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parvathi.v\Downloads\"/>
    </mc:Choice>
  </mc:AlternateContent>
  <xr:revisionPtr revIDLastSave="0" documentId="13_ncr:1_{4378B084-B97B-4945-901C-46178AD44055}" xr6:coauthVersionLast="47" xr6:coauthVersionMax="47" xr10:uidLastSave="{00000000-0000-0000-0000-000000000000}"/>
  <workbookProtection workbookAlgorithmName="SHA-512" workbookHashValue="mnhD1mzAYUdW0uITpnLq38TiHLlphzxZspJngUgPrqcowh24aKYmniawjjqQoh/+UWnJodPitvy/97q7HjNifQ==" workbookSaltValue="sceHTs31q3vRd7NhGRxsrA==" workbookSpinCount="100000" lockStructure="1"/>
  <bookViews>
    <workbookView xWindow="-110" yWindow="-110" windowWidth="19420" windowHeight="10300" tabRatio="757" firstSheet="1" activeTab="1" xr2:uid="{00000000-000D-0000-FFFF-FFFF00000000}"/>
  </bookViews>
  <sheets>
    <sheet name="MetricsDefinition (2)" sheetId="105" state="hidden" r:id="rId1"/>
    <sheet name="KPI Plan" sheetId="91" r:id="rId2"/>
    <sheet name="EnablerPlan" sheetId="68" state="hidden" r:id="rId3"/>
    <sheet name="KPI Measures-DataEntry" sheetId="85" r:id="rId4"/>
    <sheet name="KPI Tracker" sheetId="86" r:id="rId5"/>
    <sheet name="RAG-Calculation-Logic" sheetId="95" state="hidden" r:id="rId6"/>
    <sheet name="MeasureList" sheetId="87" state="hidden" r:id="rId7"/>
    <sheet name="DynamicLists" sheetId="92" state="hidden" r:id="rId8"/>
    <sheet name="PivotTable-KPI Summary" sheetId="103" r:id="rId9"/>
    <sheet name="MetricsDefinition" sheetId="84" r:id="rId10"/>
    <sheet name="Instructions" sheetId="70" r:id="rId11"/>
    <sheet name="Doc. Info" sheetId="65" r:id="rId12"/>
    <sheet name="MetricToMeasureMapping" sheetId="110" state="hidden" r:id="rId13"/>
    <sheet name="Template Revision History" sheetId="64" r:id="rId14"/>
    <sheet name="ObjChartData" sheetId="82" state="hidden" r:id="rId15"/>
    <sheet name="ObjectivesFlowDiagram" sheetId="59" state="hidden" r:id="rId16"/>
    <sheet name="ListMaster" sheetId="62" r:id="rId17"/>
    <sheet name="KPI Plan&amp;EnablerPlan-Sample" sheetId="66" state="hidden" r:id="rId18"/>
  </sheets>
  <functionGroups builtInGroupCount="19"/>
  <definedNames>
    <definedName name="_xlnm._FilterDatabase" localSheetId="7" hidden="1">DynamicLists!$A$3:$G$56</definedName>
    <definedName name="_xlnm._FilterDatabase" localSheetId="4" hidden="1">'KPI Tracker'!$A$2:$ED$2</definedName>
    <definedName name="_xlnm._FilterDatabase" localSheetId="6" hidden="1">MeasureList!$A$1:$C$226</definedName>
    <definedName name="_xlnm._FilterDatabase" localSheetId="9" hidden="1">MetricsDefinition!$A$1:$AH$84</definedName>
    <definedName name="_xlnm._FilterDatabase" localSheetId="0" hidden="1">'MetricsDefinition (2)'!$A$1:$AA$401</definedName>
    <definedName name="_xlnm._FilterDatabase" localSheetId="12" hidden="1">MetricToMeasureMapping!$A$1:$J$144</definedName>
    <definedName name="_xleta.IF" hidden="1" xlm="1">#NAME?</definedName>
    <definedName name="_xleta.SCAN" hidden="1" xlm="1">#NAME?</definedName>
    <definedName name="_xleta.T" hidden="1" xlm="1">#NAME?</definedName>
    <definedName name="Business_Objective" localSheetId="12">#REF!</definedName>
    <definedName name="Business_Objective">ListMaster!$N$2:$N$3</definedName>
    <definedName name="Business_Strartegy">ListMaster!$CB$2:$CB$4</definedName>
    <definedName name="Delivery_Process_Model" localSheetId="12">#REF!</definedName>
    <definedName name="Delivery_Process_Model">ListMaster!$F$2:$F$13</definedName>
    <definedName name="DistinctMetricCategory">ListMaster!$BA$2:$BA$14</definedName>
    <definedName name="Frequency" localSheetId="12">#REF!</definedName>
    <definedName name="Frequency">ListMaster!$R$2:$R$18</definedName>
    <definedName name="Location">ListMaster!$S$2:$S$8</definedName>
    <definedName name="Location_Type">ListMaster!$T$2:$T$4</definedName>
    <definedName name="Metric_Category" localSheetId="12">#REF!</definedName>
    <definedName name="Metric_Category">ListMaster!$B$2:$B$15</definedName>
    <definedName name="Metric_Intent" localSheetId="12">#REF!</definedName>
    <definedName name="Metric_Intent">ListMaster!$D$2:$D$6</definedName>
    <definedName name="Metric_Type" localSheetId="12">#REF!</definedName>
    <definedName name="Metric_Type">ListMaster!$A$2:$A$4</definedName>
    <definedName name="Performance_Level">ListMaster!$AQ$2:$AQ$6</definedName>
    <definedName name="_xlnm.Print_Titles" localSheetId="8">'PivotTable-KPI Summary'!$A:$A,'PivotTable-KPI Summary'!$1:$4</definedName>
    <definedName name="Process_Objective" localSheetId="12">#REF!</definedName>
    <definedName name="Process_Objective">ListMaster!$O$2:$O$7</definedName>
    <definedName name="Process_Objective_Metrics" localSheetId="12">#REF!</definedName>
    <definedName name="Process_Objective_Metrics">ListMaster!$AA$2:$AA$31</definedName>
    <definedName name="Project_Category" localSheetId="12">#REF!</definedName>
    <definedName name="Project_Category">ListMaster!$G$2:$G$7</definedName>
    <definedName name="Project_Status">ListMaster!$U$2:$U$4</definedName>
    <definedName name="Project_Type" localSheetId="12">#REF!</definedName>
    <definedName name="Project_Type">ListMaster!$H$2:$H$15</definedName>
    <definedName name="RationaleHigherLevelObjective">ListMaster!$Q$2:$Q$6</definedName>
    <definedName name="Service_Line">ListMaster!$V$2:$V$13</definedName>
    <definedName name="Size" localSheetId="12">#REF!</definedName>
    <definedName name="Size">ListMaster!$Y$2:$Y$13</definedName>
    <definedName name="Slicer_Metric">#N/A</definedName>
    <definedName name="Sub_process_Objective" localSheetId="12">#REF!</definedName>
    <definedName name="Sub_process_Objective">ListMaster!$P$2:$P$12</definedName>
    <definedName name="Technology">ListMaster!$X$2:$X$184</definedName>
    <definedName name="Vertical">ListMaster!$W$2:$W$14</definedName>
  </definedNames>
  <calcPr calcId="191028"/>
  <customWorkbookViews>
    <customWorkbookView name="sivanantham.m - Personal View" guid="{F31EA5AD-8B98-45DB-BDDE-269F4C1E8453}" mergeInterval="0" personalView="1" maximized="1" xWindow="1" yWindow="1" windowWidth="1020" windowHeight="573" activeSheetId="1" showFormulaBar="0"/>
    <customWorkbookView name="meera.ks - Personal View" guid="{C2F76383-F951-4658-BDE0-ED1CDC581F0D}" mergeInterval="0" personalView="1" maximized="1" xWindow="1" yWindow="1" windowWidth="1020" windowHeight="505" activeSheetId="2"/>
  </customWorkbookViews>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5" i="91" l="1"/>
  <c r="I74" i="91"/>
  <c r="I73" i="91"/>
  <c r="I72" i="91"/>
  <c r="I71" i="91"/>
  <c r="I70" i="91"/>
  <c r="I69" i="91"/>
  <c r="I68" i="91"/>
  <c r="I67" i="91"/>
  <c r="I66" i="91"/>
  <c r="I65" i="91"/>
  <c r="I64" i="91"/>
  <c r="I63" i="91"/>
  <c r="I62" i="91"/>
  <c r="I61" i="91"/>
  <c r="I60" i="91"/>
  <c r="I59" i="91"/>
  <c r="I58" i="91"/>
  <c r="I57" i="91"/>
  <c r="I56" i="91"/>
  <c r="I55" i="91"/>
  <c r="I54" i="91"/>
  <c r="I53" i="91"/>
  <c r="I52" i="91"/>
  <c r="I51" i="91"/>
  <c r="I50" i="91"/>
  <c r="I49" i="91"/>
  <c r="I48" i="91"/>
  <c r="I47" i="91"/>
  <c r="I46" i="91"/>
  <c r="I45" i="91"/>
  <c r="I44" i="91"/>
  <c r="I43" i="91"/>
  <c r="I42" i="91"/>
  <c r="I41" i="91"/>
  <c r="I40" i="91"/>
  <c r="I39" i="91"/>
  <c r="I38" i="91"/>
  <c r="I37" i="91"/>
  <c r="I36" i="91"/>
  <c r="I35" i="91"/>
  <c r="I34" i="91"/>
  <c r="I33" i="91"/>
  <c r="I32" i="91"/>
  <c r="I31" i="91"/>
  <c r="I30" i="91"/>
  <c r="I29" i="91"/>
  <c r="I28" i="91"/>
  <c r="E90" i="82"/>
  <c r="D90" i="82"/>
  <c r="C90" i="82"/>
  <c r="B90" i="82"/>
  <c r="A90" i="82"/>
  <c r="F90" i="82" s="1"/>
  <c r="E89" i="82"/>
  <c r="D89" i="82"/>
  <c r="C89" i="82"/>
  <c r="B89" i="82"/>
  <c r="A89" i="82"/>
  <c r="F89" i="82" s="1"/>
  <c r="F88" i="82"/>
  <c r="E88" i="82"/>
  <c r="D88" i="82"/>
  <c r="C88" i="82"/>
  <c r="B88" i="82"/>
  <c r="A88" i="82"/>
  <c r="E87" i="82"/>
  <c r="D87" i="82"/>
  <c r="C87" i="82"/>
  <c r="B87" i="82"/>
  <c r="A87" i="82"/>
  <c r="F87" i="82" s="1"/>
  <c r="F86" i="82"/>
  <c r="E86" i="82"/>
  <c r="D86" i="82"/>
  <c r="C86" i="82"/>
  <c r="B86" i="82"/>
  <c r="A86" i="82"/>
  <c r="E85" i="82"/>
  <c r="D85" i="82"/>
  <c r="C85" i="82"/>
  <c r="B85" i="82"/>
  <c r="A85" i="82"/>
  <c r="F85" i="82" s="1"/>
  <c r="F84" i="82"/>
  <c r="E84" i="82"/>
  <c r="D84" i="82"/>
  <c r="C84" i="82"/>
  <c r="B84" i="82"/>
  <c r="A84" i="82"/>
  <c r="E83" i="82"/>
  <c r="D83" i="82"/>
  <c r="C83" i="82"/>
  <c r="B83" i="82"/>
  <c r="A83" i="82"/>
  <c r="F83" i="82" s="1"/>
  <c r="F82" i="82"/>
  <c r="E82" i="82"/>
  <c r="D82" i="82"/>
  <c r="C82" i="82"/>
  <c r="B82" i="82"/>
  <c r="A82" i="82"/>
  <c r="E81" i="82"/>
  <c r="D81" i="82"/>
  <c r="C81" i="82"/>
  <c r="B81" i="82"/>
  <c r="A81" i="82"/>
  <c r="F81" i="82" s="1"/>
  <c r="E80" i="82"/>
  <c r="D80" i="82"/>
  <c r="C80" i="82"/>
  <c r="B80" i="82"/>
  <c r="A80" i="82"/>
  <c r="F80" i="82" s="1"/>
  <c r="E79" i="82"/>
  <c r="D79" i="82"/>
  <c r="C79" i="82"/>
  <c r="B79" i="82"/>
  <c r="A79" i="82"/>
  <c r="F79" i="82" s="1"/>
  <c r="E78" i="82"/>
  <c r="D78" i="82"/>
  <c r="C78" i="82"/>
  <c r="B78" i="82"/>
  <c r="A78" i="82"/>
  <c r="F78" i="82" s="1"/>
  <c r="E77" i="82"/>
  <c r="D77" i="82"/>
  <c r="C77" i="82"/>
  <c r="B77" i="82"/>
  <c r="A77" i="82"/>
  <c r="F77" i="82" s="1"/>
  <c r="E76" i="82"/>
  <c r="D76" i="82"/>
  <c r="C76" i="82"/>
  <c r="B76" i="82"/>
  <c r="A76" i="82"/>
  <c r="F76" i="82" s="1"/>
  <c r="E75" i="82"/>
  <c r="D75" i="82"/>
  <c r="C75" i="82"/>
  <c r="B75" i="82"/>
  <c r="A75" i="82"/>
  <c r="F75" i="82" s="1"/>
  <c r="E74" i="82"/>
  <c r="D74" i="82"/>
  <c r="C74" i="82"/>
  <c r="B74" i="82"/>
  <c r="A74" i="82"/>
  <c r="F74" i="82" s="1"/>
  <c r="E73" i="82"/>
  <c r="D73" i="82"/>
  <c r="C73" i="82"/>
  <c r="B73" i="82"/>
  <c r="A73" i="82"/>
  <c r="F73" i="82" s="1"/>
  <c r="E72" i="82"/>
  <c r="C72" i="82"/>
  <c r="E71" i="82"/>
  <c r="C71" i="82"/>
  <c r="E70" i="82"/>
  <c r="C70" i="82"/>
  <c r="E69" i="82"/>
  <c r="C69" i="82"/>
  <c r="E68" i="82"/>
  <c r="C68" i="82"/>
  <c r="E67" i="82"/>
  <c r="C67" i="82"/>
  <c r="E66" i="82"/>
  <c r="C66" i="82"/>
  <c r="E65" i="82"/>
  <c r="C65" i="82"/>
  <c r="E64" i="82"/>
  <c r="C64" i="82"/>
  <c r="E63" i="82"/>
  <c r="C63" i="82"/>
  <c r="E62" i="82"/>
  <c r="C62" i="82"/>
  <c r="E61" i="82"/>
  <c r="C61" i="82"/>
  <c r="E60" i="82"/>
  <c r="C60" i="82"/>
  <c r="E59" i="82"/>
  <c r="C59" i="82"/>
  <c r="E58" i="82"/>
  <c r="C58" i="82"/>
  <c r="E57" i="82"/>
  <c r="C57" i="82"/>
  <c r="E56" i="82"/>
  <c r="C56" i="82"/>
  <c r="E55" i="82"/>
  <c r="C55" i="82"/>
  <c r="E54" i="82"/>
  <c r="C54" i="82"/>
  <c r="E53" i="82"/>
  <c r="C53" i="82"/>
  <c r="E52" i="82"/>
  <c r="C52" i="82"/>
  <c r="E51" i="82"/>
  <c r="C51" i="82"/>
  <c r="E50" i="82"/>
  <c r="C50" i="82"/>
  <c r="E49" i="82"/>
  <c r="C49" i="82"/>
  <c r="E48" i="82"/>
  <c r="C48" i="82"/>
  <c r="E47" i="82"/>
  <c r="C47" i="82"/>
  <c r="E46" i="82"/>
  <c r="C46" i="82"/>
  <c r="E45" i="82"/>
  <c r="C45" i="82"/>
  <c r="E44" i="82"/>
  <c r="C44" i="82"/>
  <c r="E43" i="82"/>
  <c r="C43" i="82"/>
  <c r="E42" i="82"/>
  <c r="C42" i="82"/>
  <c r="E41" i="82"/>
  <c r="C41" i="82"/>
  <c r="E40" i="82"/>
  <c r="C40" i="82"/>
  <c r="E39" i="82"/>
  <c r="C39" i="82"/>
  <c r="E38" i="82"/>
  <c r="C38" i="82"/>
  <c r="E37" i="82"/>
  <c r="C37" i="82"/>
  <c r="E36" i="82"/>
  <c r="C36" i="82"/>
  <c r="E35" i="82"/>
  <c r="C35" i="82"/>
  <c r="E34" i="82"/>
  <c r="C34" i="82"/>
  <c r="E33" i="82"/>
  <c r="C33" i="82"/>
  <c r="E32" i="82"/>
  <c r="C32" i="82"/>
  <c r="E31" i="82"/>
  <c r="C31" i="82"/>
  <c r="E30" i="82"/>
  <c r="C30" i="82"/>
  <c r="E29" i="82"/>
  <c r="C29" i="82"/>
  <c r="E28" i="82"/>
  <c r="C28" i="82"/>
  <c r="E27" i="82"/>
  <c r="C27" i="82"/>
  <c r="E26" i="82"/>
  <c r="C26" i="82"/>
  <c r="E25" i="82"/>
  <c r="C25" i="82"/>
  <c r="E24" i="82"/>
  <c r="C24" i="82"/>
  <c r="E23" i="82"/>
  <c r="C23" i="82"/>
  <c r="E22" i="82"/>
  <c r="C22" i="82"/>
  <c r="E21" i="82"/>
  <c r="C21" i="82"/>
  <c r="E20" i="82"/>
  <c r="C20" i="82"/>
  <c r="E19" i="82"/>
  <c r="C19" i="82"/>
  <c r="E18" i="82"/>
  <c r="C18" i="82"/>
  <c r="E17" i="82"/>
  <c r="C17" i="82"/>
  <c r="E16" i="82"/>
  <c r="C16" i="82"/>
  <c r="E15" i="82"/>
  <c r="C15" i="82"/>
  <c r="E14" i="82"/>
  <c r="C14" i="82"/>
  <c r="E13" i="82"/>
  <c r="C13" i="82"/>
  <c r="E12" i="82"/>
  <c r="C12" i="82"/>
  <c r="E11" i="82"/>
  <c r="C11" i="82"/>
  <c r="E10" i="82"/>
  <c r="C10" i="82"/>
  <c r="E9" i="82"/>
  <c r="C9" i="82"/>
  <c r="E8" i="82"/>
  <c r="C8" i="82"/>
  <c r="E7" i="82"/>
  <c r="C7" i="82"/>
  <c r="E6" i="82"/>
  <c r="C6" i="82"/>
  <c r="E5" i="82"/>
  <c r="C5" i="82"/>
  <c r="E4" i="82"/>
  <c r="C4" i="82"/>
  <c r="E3" i="82"/>
  <c r="C3" i="82"/>
  <c r="AW10" i="62" l="1"/>
  <c r="AX10" i="62"/>
  <c r="D75" i="91"/>
  <c r="B72" i="82" s="1"/>
  <c r="D74" i="91"/>
  <c r="D73" i="91"/>
  <c r="B70" i="82" s="1"/>
  <c r="D72" i="91"/>
  <c r="B69" i="82" s="1"/>
  <c r="D71" i="91"/>
  <c r="B68" i="82" s="1"/>
  <c r="D70" i="91"/>
  <c r="D69" i="91"/>
  <c r="D68" i="91"/>
  <c r="D67" i="91"/>
  <c r="B64" i="82" s="1"/>
  <c r="D66" i="91"/>
  <c r="B63" i="82" s="1"/>
  <c r="D65" i="91"/>
  <c r="B62" i="82" s="1"/>
  <c r="D64" i="91"/>
  <c r="D63" i="91"/>
  <c r="D62" i="91"/>
  <c r="D61" i="91"/>
  <c r="D60" i="91"/>
  <c r="D59" i="91"/>
  <c r="D58" i="91"/>
  <c r="B55" i="82" s="1"/>
  <c r="D57" i="91"/>
  <c r="D56" i="91"/>
  <c r="D55" i="91"/>
  <c r="B52" i="82" s="1"/>
  <c r="D54" i="91"/>
  <c r="D53" i="91"/>
  <c r="D52" i="91"/>
  <c r="D51" i="91"/>
  <c r="D50" i="91"/>
  <c r="D49" i="91"/>
  <c r="B46" i="82" s="1"/>
  <c r="D48" i="91"/>
  <c r="B45" i="82" s="1"/>
  <c r="D47" i="91"/>
  <c r="D46" i="91"/>
  <c r="D45" i="91"/>
  <c r="D44" i="91"/>
  <c r="D43" i="91"/>
  <c r="B40" i="82" s="1"/>
  <c r="D42" i="91"/>
  <c r="D41" i="91"/>
  <c r="D40" i="91"/>
  <c r="B37" i="82" s="1"/>
  <c r="D39" i="91"/>
  <c r="D38" i="91"/>
  <c r="D37" i="91"/>
  <c r="D36" i="91"/>
  <c r="B33" i="82" s="1"/>
  <c r="D35" i="91"/>
  <c r="D34" i="91"/>
  <c r="D33" i="91"/>
  <c r="D32" i="91"/>
  <c r="D31" i="91"/>
  <c r="D30" i="91"/>
  <c r="D29" i="91"/>
  <c r="D28" i="91"/>
  <c r="B25" i="82" s="1"/>
  <c r="D27" i="91"/>
  <c r="D26" i="91"/>
  <c r="D25" i="91"/>
  <c r="B22" i="82" s="1"/>
  <c r="D24" i="91"/>
  <c r="D23" i="91"/>
  <c r="D22" i="91"/>
  <c r="D21" i="91"/>
  <c r="D20" i="91"/>
  <c r="D19" i="91"/>
  <c r="D18" i="91"/>
  <c r="D17" i="91"/>
  <c r="D16" i="91"/>
  <c r="D15" i="91"/>
  <c r="D14" i="91"/>
  <c r="D13" i="91"/>
  <c r="B10" i="82" s="1"/>
  <c r="D12" i="91"/>
  <c r="D11" i="91"/>
  <c r="D10" i="91"/>
  <c r="D9" i="91"/>
  <c r="D8" i="91"/>
  <c r="D7" i="91"/>
  <c r="B4" i="82" s="1"/>
  <c r="D6" i="91"/>
  <c r="C49" i="91" l="1"/>
  <c r="C28" i="91"/>
  <c r="C7" i="91"/>
  <c r="C40" i="91"/>
  <c r="C43" i="91"/>
  <c r="C48" i="91"/>
  <c r="C36" i="91"/>
  <c r="C13" i="91"/>
  <c r="C55" i="91"/>
  <c r="C66" i="91"/>
  <c r="C65" i="91"/>
  <c r="C46" i="91"/>
  <c r="B43" i="82"/>
  <c r="C27" i="91"/>
  <c r="B24" i="82"/>
  <c r="C19" i="91"/>
  <c r="B16" i="82"/>
  <c r="C20" i="91"/>
  <c r="B17" i="82"/>
  <c r="C30" i="91"/>
  <c r="B27" i="82"/>
  <c r="C10" i="91"/>
  <c r="B7" i="82"/>
  <c r="C21" i="91"/>
  <c r="B18" i="82"/>
  <c r="C31" i="91"/>
  <c r="B28" i="82"/>
  <c r="C41" i="91"/>
  <c r="B38" i="82"/>
  <c r="C50" i="91"/>
  <c r="B47" i="82"/>
  <c r="C60" i="91"/>
  <c r="B57" i="82"/>
  <c r="C11" i="91"/>
  <c r="B8" i="82"/>
  <c r="C22" i="91"/>
  <c r="B19" i="82"/>
  <c r="C32" i="91"/>
  <c r="B29" i="82"/>
  <c r="C42" i="91"/>
  <c r="B39" i="82"/>
  <c r="C51" i="91"/>
  <c r="B48" i="82"/>
  <c r="C61" i="91"/>
  <c r="B58" i="82"/>
  <c r="C70" i="91"/>
  <c r="B67" i="82"/>
  <c r="C62" i="91"/>
  <c r="B59" i="82"/>
  <c r="C71" i="91"/>
  <c r="C45" i="91"/>
  <c r="B42" i="82"/>
  <c r="C26" i="91"/>
  <c r="B23" i="82"/>
  <c r="C16" i="91"/>
  <c r="B13" i="82"/>
  <c r="C47" i="91"/>
  <c r="B44" i="82"/>
  <c r="C8" i="91"/>
  <c r="B5" i="82"/>
  <c r="C23" i="91"/>
  <c r="B20" i="82"/>
  <c r="C34" i="91"/>
  <c r="B31" i="82"/>
  <c r="C53" i="91"/>
  <c r="B50" i="82"/>
  <c r="C56" i="91"/>
  <c r="B53" i="82"/>
  <c r="C29" i="91"/>
  <c r="B26" i="82"/>
  <c r="C12" i="91"/>
  <c r="B9" i="82"/>
  <c r="C33" i="91"/>
  <c r="B30" i="82"/>
  <c r="C52" i="91"/>
  <c r="B49" i="82"/>
  <c r="C24" i="91"/>
  <c r="B21" i="82"/>
  <c r="C63" i="91"/>
  <c r="B60" i="82"/>
  <c r="C25" i="91"/>
  <c r="C35" i="91"/>
  <c r="B32" i="82"/>
  <c r="C44" i="91"/>
  <c r="B41" i="82"/>
  <c r="C54" i="91"/>
  <c r="B51" i="82"/>
  <c r="C64" i="91"/>
  <c r="B61" i="82"/>
  <c r="C72" i="91"/>
  <c r="C73" i="91"/>
  <c r="C74" i="91"/>
  <c r="B71" i="82"/>
  <c r="C37" i="91"/>
  <c r="B34" i="82"/>
  <c r="C17" i="91"/>
  <c r="B14" i="82"/>
  <c r="C57" i="91"/>
  <c r="B54" i="82"/>
  <c r="C18" i="91"/>
  <c r="B15" i="82"/>
  <c r="C39" i="91"/>
  <c r="B36" i="82"/>
  <c r="C58" i="91"/>
  <c r="C67" i="91"/>
  <c r="C75" i="91"/>
  <c r="C14" i="91"/>
  <c r="B11" i="82"/>
  <c r="C15" i="91"/>
  <c r="B12" i="82"/>
  <c r="C6" i="91"/>
  <c r="B3" i="82"/>
  <c r="C38" i="91"/>
  <c r="B35" i="82"/>
  <c r="C9" i="91"/>
  <c r="B6" i="82"/>
  <c r="C59" i="91"/>
  <c r="B56" i="82"/>
  <c r="C68" i="91"/>
  <c r="B65" i="82"/>
  <c r="C69" i="91"/>
  <c r="B66" i="82"/>
  <c r="I3" i="110"/>
  <c r="I4" i="110"/>
  <c r="I5" i="110"/>
  <c r="I6" i="110"/>
  <c r="I7" i="110"/>
  <c r="I8" i="110"/>
  <c r="I9" i="110"/>
  <c r="I10" i="110"/>
  <c r="I11" i="110"/>
  <c r="I12" i="110"/>
  <c r="I13" i="110"/>
  <c r="I14" i="110"/>
  <c r="I15" i="110"/>
  <c r="I16" i="110"/>
  <c r="I17" i="110"/>
  <c r="I18" i="110"/>
  <c r="I19" i="110"/>
  <c r="I20" i="110"/>
  <c r="I21" i="110"/>
  <c r="I22" i="110"/>
  <c r="I23" i="110"/>
  <c r="I24" i="110"/>
  <c r="I25" i="110"/>
  <c r="I26" i="110"/>
  <c r="I27" i="110"/>
  <c r="I28" i="110"/>
  <c r="I29" i="110"/>
  <c r="I30" i="110"/>
  <c r="I31" i="110"/>
  <c r="I32" i="110"/>
  <c r="I33" i="110"/>
  <c r="I34" i="110"/>
  <c r="I35" i="110"/>
  <c r="I36" i="110"/>
  <c r="I37" i="110"/>
  <c r="I38" i="110"/>
  <c r="I39" i="110"/>
  <c r="I40" i="110"/>
  <c r="I41" i="110"/>
  <c r="I42" i="110"/>
  <c r="I43" i="110"/>
  <c r="I44" i="110"/>
  <c r="I45" i="110"/>
  <c r="I46" i="110"/>
  <c r="I47" i="110"/>
  <c r="I48" i="110"/>
  <c r="I49" i="110"/>
  <c r="I50" i="110"/>
  <c r="I51" i="110"/>
  <c r="I52" i="110"/>
  <c r="I53" i="110"/>
  <c r="I54" i="110"/>
  <c r="I55" i="110"/>
  <c r="I56" i="110"/>
  <c r="I57" i="110"/>
  <c r="I58" i="110"/>
  <c r="I59" i="110"/>
  <c r="I60" i="110"/>
  <c r="I61" i="110"/>
  <c r="I62" i="110"/>
  <c r="I63" i="110"/>
  <c r="I64" i="110"/>
  <c r="I65" i="110"/>
  <c r="I66" i="110"/>
  <c r="I67" i="110"/>
  <c r="I68" i="110"/>
  <c r="I69" i="110"/>
  <c r="I70" i="110"/>
  <c r="I71" i="110"/>
  <c r="I72" i="110"/>
  <c r="I73" i="110"/>
  <c r="I74" i="110"/>
  <c r="I75" i="110"/>
  <c r="I76" i="110"/>
  <c r="I77" i="110"/>
  <c r="I78" i="110"/>
  <c r="I79" i="110"/>
  <c r="I80" i="110"/>
  <c r="I81" i="110"/>
  <c r="I82" i="110"/>
  <c r="I83" i="110"/>
  <c r="I84" i="110"/>
  <c r="I85" i="110"/>
  <c r="I86" i="110"/>
  <c r="I87" i="110"/>
  <c r="I88" i="110"/>
  <c r="I89" i="110"/>
  <c r="I90" i="110"/>
  <c r="I91" i="110"/>
  <c r="I92" i="110"/>
  <c r="I93" i="110"/>
  <c r="I94" i="110"/>
  <c r="I95" i="110"/>
  <c r="I96" i="110"/>
  <c r="I97" i="110"/>
  <c r="I98" i="110"/>
  <c r="I99" i="110"/>
  <c r="I100" i="110"/>
  <c r="I101" i="110"/>
  <c r="I102" i="110"/>
  <c r="I103" i="110"/>
  <c r="I104" i="110"/>
  <c r="I105" i="110"/>
  <c r="I106" i="110"/>
  <c r="I107" i="110"/>
  <c r="I108" i="110"/>
  <c r="I109" i="110"/>
  <c r="I110" i="110"/>
  <c r="I111" i="110"/>
  <c r="I112" i="110"/>
  <c r="I113" i="110"/>
  <c r="I114" i="110"/>
  <c r="I115" i="110"/>
  <c r="I116" i="110"/>
  <c r="I117" i="110"/>
  <c r="I118" i="110"/>
  <c r="I119" i="110"/>
  <c r="I120" i="110"/>
  <c r="I121" i="110"/>
  <c r="I122" i="110"/>
  <c r="I123" i="110"/>
  <c r="I124" i="110"/>
  <c r="I125" i="110"/>
  <c r="I126" i="110"/>
  <c r="I127" i="110"/>
  <c r="I128" i="110"/>
  <c r="I129" i="110"/>
  <c r="I130" i="110"/>
  <c r="I131" i="110"/>
  <c r="I132" i="110"/>
  <c r="I133" i="110"/>
  <c r="I134" i="110"/>
  <c r="I135" i="110"/>
  <c r="I136" i="110"/>
  <c r="I137" i="110"/>
  <c r="I138" i="110"/>
  <c r="I139" i="110"/>
  <c r="I140" i="110"/>
  <c r="I141" i="110"/>
  <c r="I142" i="110"/>
  <c r="I143" i="110"/>
  <c r="I144" i="110"/>
  <c r="I145" i="110"/>
  <c r="I146" i="110"/>
  <c r="I147" i="110"/>
  <c r="I148" i="110"/>
  <c r="I149" i="110"/>
  <c r="I150" i="110"/>
  <c r="I151" i="110"/>
  <c r="I152" i="110"/>
  <c r="I153" i="110"/>
  <c r="I154" i="110"/>
  <c r="I155" i="110"/>
  <c r="I156" i="110"/>
  <c r="I157" i="110"/>
  <c r="I158" i="110"/>
  <c r="I159" i="110"/>
  <c r="I160" i="110"/>
  <c r="I161" i="110"/>
  <c r="I162" i="110"/>
  <c r="I163" i="110"/>
  <c r="I164" i="110"/>
  <c r="I2" i="110"/>
  <c r="X58" i="84"/>
  <c r="H58" i="84"/>
  <c r="G58" i="84"/>
  <c r="F58" i="84"/>
  <c r="X52" i="84"/>
  <c r="H52" i="84"/>
  <c r="G52" i="84"/>
  <c r="F52" i="84"/>
  <c r="E2" i="82"/>
  <c r="C2" i="82"/>
  <c r="E249" i="82"/>
  <c r="D249" i="82"/>
  <c r="C249" i="82"/>
  <c r="B249" i="82"/>
  <c r="A249" i="82"/>
  <c r="F249" i="82" s="1"/>
  <c r="E248" i="82"/>
  <c r="D248" i="82"/>
  <c r="C248" i="82"/>
  <c r="B248" i="82"/>
  <c r="A248" i="82"/>
  <c r="F248" i="82" s="1"/>
  <c r="E247" i="82"/>
  <c r="D247" i="82"/>
  <c r="C247" i="82"/>
  <c r="B247" i="82"/>
  <c r="A247" i="82"/>
  <c r="F247" i="82" s="1"/>
  <c r="E246" i="82"/>
  <c r="D246" i="82"/>
  <c r="C246" i="82"/>
  <c r="B246" i="82"/>
  <c r="A246" i="82"/>
  <c r="F246" i="82" s="1"/>
  <c r="E245" i="82"/>
  <c r="D245" i="82"/>
  <c r="C245" i="82"/>
  <c r="B245" i="82"/>
  <c r="A245" i="82"/>
  <c r="F245" i="82" s="1"/>
  <c r="E244" i="82"/>
  <c r="D244" i="82"/>
  <c r="C244" i="82"/>
  <c r="B244" i="82"/>
  <c r="A244" i="82"/>
  <c r="F244" i="82" s="1"/>
  <c r="E243" i="82"/>
  <c r="D243" i="82"/>
  <c r="C243" i="82"/>
  <c r="B243" i="82"/>
  <c r="A243" i="82"/>
  <c r="F243" i="82" s="1"/>
  <c r="E242" i="82"/>
  <c r="D242" i="82"/>
  <c r="C242" i="82"/>
  <c r="B242" i="82"/>
  <c r="A242" i="82"/>
  <c r="F242" i="82" s="1"/>
  <c r="E241" i="82"/>
  <c r="D241" i="82"/>
  <c r="C241" i="82"/>
  <c r="B241" i="82"/>
  <c r="A241" i="82"/>
  <c r="F241" i="82" s="1"/>
  <c r="E240" i="82"/>
  <c r="D240" i="82"/>
  <c r="C240" i="82"/>
  <c r="B240" i="82"/>
  <c r="A240" i="82"/>
  <c r="F240" i="82" s="1"/>
  <c r="E239" i="82"/>
  <c r="D239" i="82"/>
  <c r="C239" i="82"/>
  <c r="B239" i="82"/>
  <c r="A239" i="82"/>
  <c r="F239" i="82" s="1"/>
  <c r="E238" i="82"/>
  <c r="D238" i="82"/>
  <c r="C238" i="82"/>
  <c r="B238" i="82"/>
  <c r="A238" i="82"/>
  <c r="F238" i="82" s="1"/>
  <c r="E237" i="82"/>
  <c r="D237" i="82"/>
  <c r="C237" i="82"/>
  <c r="B237" i="82"/>
  <c r="A237" i="82"/>
  <c r="F237" i="82" s="1"/>
  <c r="E236" i="82"/>
  <c r="D236" i="82"/>
  <c r="C236" i="82"/>
  <c r="B236" i="82"/>
  <c r="A236" i="82"/>
  <c r="F236" i="82" s="1"/>
  <c r="E235" i="82"/>
  <c r="D235" i="82"/>
  <c r="C235" i="82"/>
  <c r="B235" i="82"/>
  <c r="A235" i="82"/>
  <c r="F235" i="82" s="1"/>
  <c r="E234" i="82"/>
  <c r="D234" i="82"/>
  <c r="C234" i="82"/>
  <c r="B234" i="82"/>
  <c r="A234" i="82"/>
  <c r="F234" i="82" s="1"/>
  <c r="E233" i="82"/>
  <c r="D233" i="82"/>
  <c r="C233" i="82"/>
  <c r="B233" i="82"/>
  <c r="A233" i="82"/>
  <c r="F233" i="82" s="1"/>
  <c r="E232" i="82"/>
  <c r="D232" i="82"/>
  <c r="C232" i="82"/>
  <c r="B232" i="82"/>
  <c r="A232" i="82"/>
  <c r="F232" i="82" s="1"/>
  <c r="E231" i="82"/>
  <c r="D231" i="82"/>
  <c r="C231" i="82"/>
  <c r="B231" i="82"/>
  <c r="A231" i="82"/>
  <c r="F231" i="82" s="1"/>
  <c r="E230" i="82"/>
  <c r="D230" i="82"/>
  <c r="C230" i="82"/>
  <c r="B230" i="82"/>
  <c r="A230" i="82"/>
  <c r="F230" i="82" s="1"/>
  <c r="E229" i="82"/>
  <c r="D229" i="82"/>
  <c r="C229" i="82"/>
  <c r="B229" i="82"/>
  <c r="A229" i="82"/>
  <c r="F229" i="82" s="1"/>
  <c r="E228" i="82"/>
  <c r="D228" i="82"/>
  <c r="C228" i="82"/>
  <c r="B228" i="82"/>
  <c r="A228" i="82"/>
  <c r="F228" i="82" s="1"/>
  <c r="E227" i="82"/>
  <c r="D227" i="82"/>
  <c r="C227" i="82"/>
  <c r="B227" i="82"/>
  <c r="A227" i="82"/>
  <c r="F227" i="82" s="1"/>
  <c r="E226" i="82"/>
  <c r="D226" i="82"/>
  <c r="C226" i="82"/>
  <c r="B226" i="82"/>
  <c r="A226" i="82"/>
  <c r="F226" i="82" s="1"/>
  <c r="E225" i="82"/>
  <c r="D225" i="82"/>
  <c r="C225" i="82"/>
  <c r="B225" i="82"/>
  <c r="A225" i="82"/>
  <c r="F225" i="82" s="1"/>
  <c r="E224" i="82"/>
  <c r="D224" i="82"/>
  <c r="C224" i="82"/>
  <c r="B224" i="82"/>
  <c r="A224" i="82"/>
  <c r="F224" i="82" s="1"/>
  <c r="E223" i="82"/>
  <c r="D223" i="82"/>
  <c r="C223" i="82"/>
  <c r="B223" i="82"/>
  <c r="A223" i="82"/>
  <c r="F223" i="82" s="1"/>
  <c r="E222" i="82"/>
  <c r="D222" i="82"/>
  <c r="C222" i="82"/>
  <c r="B222" i="82"/>
  <c r="A222" i="82"/>
  <c r="F222" i="82" s="1"/>
  <c r="E221" i="82"/>
  <c r="D221" i="82"/>
  <c r="C221" i="82"/>
  <c r="B221" i="82"/>
  <c r="A221" i="82"/>
  <c r="F221" i="82" s="1"/>
  <c r="E220" i="82"/>
  <c r="D220" i="82"/>
  <c r="C220" i="82"/>
  <c r="B220" i="82"/>
  <c r="A220" i="82"/>
  <c r="F220" i="82" s="1"/>
  <c r="E219" i="82"/>
  <c r="D219" i="82"/>
  <c r="C219" i="82"/>
  <c r="B219" i="82"/>
  <c r="A219" i="82"/>
  <c r="F219" i="82" s="1"/>
  <c r="E218" i="82"/>
  <c r="D218" i="82"/>
  <c r="C218" i="82"/>
  <c r="B218" i="82"/>
  <c r="A218" i="82"/>
  <c r="F218" i="82" s="1"/>
  <c r="E217" i="82"/>
  <c r="D217" i="82"/>
  <c r="C217" i="82"/>
  <c r="B217" i="82"/>
  <c r="A217" i="82"/>
  <c r="F217" i="82" s="1"/>
  <c r="E216" i="82"/>
  <c r="D216" i="82"/>
  <c r="C216" i="82"/>
  <c r="B216" i="82"/>
  <c r="A216" i="82"/>
  <c r="F216" i="82" s="1"/>
  <c r="E215" i="82"/>
  <c r="D215" i="82"/>
  <c r="C215" i="82"/>
  <c r="B215" i="82"/>
  <c r="A215" i="82"/>
  <c r="F215" i="82" s="1"/>
  <c r="E214" i="82"/>
  <c r="D214" i="82"/>
  <c r="C214" i="82"/>
  <c r="B214" i="82"/>
  <c r="A214" i="82"/>
  <c r="F214" i="82" s="1"/>
  <c r="E213" i="82"/>
  <c r="D213" i="82"/>
  <c r="C213" i="82"/>
  <c r="B213" i="82"/>
  <c r="A213" i="82"/>
  <c r="F213" i="82" s="1"/>
  <c r="E212" i="82"/>
  <c r="D212" i="82"/>
  <c r="C212" i="82"/>
  <c r="B212" i="82"/>
  <c r="A212" i="82"/>
  <c r="F212" i="82" s="1"/>
  <c r="E211" i="82"/>
  <c r="D211" i="82"/>
  <c r="C211" i="82"/>
  <c r="B211" i="82"/>
  <c r="A211" i="82"/>
  <c r="F211" i="82" s="1"/>
  <c r="E210" i="82"/>
  <c r="D210" i="82"/>
  <c r="C210" i="82"/>
  <c r="B210" i="82"/>
  <c r="A210" i="82"/>
  <c r="F210" i="82" s="1"/>
  <c r="E209" i="82"/>
  <c r="D209" i="82"/>
  <c r="C209" i="82"/>
  <c r="B209" i="82"/>
  <c r="A209" i="82"/>
  <c r="F209" i="82" s="1"/>
  <c r="E208" i="82"/>
  <c r="D208" i="82"/>
  <c r="C208" i="82"/>
  <c r="B208" i="82"/>
  <c r="A208" i="82"/>
  <c r="F208" i="82" s="1"/>
  <c r="E207" i="82"/>
  <c r="D207" i="82"/>
  <c r="C207" i="82"/>
  <c r="B207" i="82"/>
  <c r="A207" i="82"/>
  <c r="F207" i="82" s="1"/>
  <c r="E206" i="82"/>
  <c r="D206" i="82"/>
  <c r="C206" i="82"/>
  <c r="B206" i="82"/>
  <c r="A206" i="82"/>
  <c r="F206" i="82" s="1"/>
  <c r="E205" i="82"/>
  <c r="D205" i="82"/>
  <c r="C205" i="82"/>
  <c r="B205" i="82"/>
  <c r="A205" i="82"/>
  <c r="F205" i="82" s="1"/>
  <c r="E204" i="82"/>
  <c r="D204" i="82"/>
  <c r="C204" i="82"/>
  <c r="B204" i="82"/>
  <c r="A204" i="82"/>
  <c r="F204" i="82" s="1"/>
  <c r="E203" i="82"/>
  <c r="D203" i="82"/>
  <c r="C203" i="82"/>
  <c r="B203" i="82"/>
  <c r="A203" i="82"/>
  <c r="F203" i="82" s="1"/>
  <c r="E202" i="82"/>
  <c r="D202" i="82"/>
  <c r="C202" i="82"/>
  <c r="B202" i="82"/>
  <c r="A202" i="82"/>
  <c r="F202" i="82" s="1"/>
  <c r="E201" i="82"/>
  <c r="D201" i="82"/>
  <c r="C201" i="82"/>
  <c r="B201" i="82"/>
  <c r="A201" i="82"/>
  <c r="F201" i="82" s="1"/>
  <c r="E200" i="82"/>
  <c r="D200" i="82"/>
  <c r="C200" i="82"/>
  <c r="B200" i="82"/>
  <c r="A200" i="82"/>
  <c r="F200" i="82" s="1"/>
  <c r="E199" i="82"/>
  <c r="D199" i="82"/>
  <c r="C199" i="82"/>
  <c r="B199" i="82"/>
  <c r="A199" i="82"/>
  <c r="F199" i="82" s="1"/>
  <c r="E198" i="82"/>
  <c r="D198" i="82"/>
  <c r="C198" i="82"/>
  <c r="B198" i="82"/>
  <c r="A198" i="82"/>
  <c r="F198" i="82" s="1"/>
  <c r="E197" i="82"/>
  <c r="D197" i="82"/>
  <c r="C197" i="82"/>
  <c r="B197" i="82"/>
  <c r="A197" i="82"/>
  <c r="F197" i="82" s="1"/>
  <c r="E196" i="82"/>
  <c r="D196" i="82"/>
  <c r="C196" i="82"/>
  <c r="B196" i="82"/>
  <c r="A196" i="82"/>
  <c r="F196" i="82" s="1"/>
  <c r="E195" i="82"/>
  <c r="D195" i="82"/>
  <c r="C195" i="82"/>
  <c r="B195" i="82"/>
  <c r="A195" i="82"/>
  <c r="F195" i="82" s="1"/>
  <c r="E194" i="82"/>
  <c r="D194" i="82"/>
  <c r="C194" i="82"/>
  <c r="B194" i="82"/>
  <c r="A194" i="82"/>
  <c r="F194" i="82" s="1"/>
  <c r="E193" i="82"/>
  <c r="D193" i="82"/>
  <c r="C193" i="82"/>
  <c r="B193" i="82"/>
  <c r="A193" i="82"/>
  <c r="F193" i="82" s="1"/>
  <c r="E192" i="82"/>
  <c r="D192" i="82"/>
  <c r="C192" i="82"/>
  <c r="B192" i="82"/>
  <c r="A192" i="82"/>
  <c r="F192" i="82" s="1"/>
  <c r="E191" i="82"/>
  <c r="D191" i="82"/>
  <c r="C191" i="82"/>
  <c r="B191" i="82"/>
  <c r="A191" i="82"/>
  <c r="F191" i="82" s="1"/>
  <c r="E190" i="82"/>
  <c r="D190" i="82"/>
  <c r="C190" i="82"/>
  <c r="B190" i="82"/>
  <c r="A190" i="82"/>
  <c r="F190" i="82" s="1"/>
  <c r="E189" i="82"/>
  <c r="D189" i="82"/>
  <c r="C189" i="82"/>
  <c r="B189" i="82"/>
  <c r="A189" i="82"/>
  <c r="F189" i="82" s="1"/>
  <c r="E188" i="82"/>
  <c r="D188" i="82"/>
  <c r="C188" i="82"/>
  <c r="B188" i="82"/>
  <c r="A188" i="82"/>
  <c r="F188" i="82" s="1"/>
  <c r="E187" i="82"/>
  <c r="D187" i="82"/>
  <c r="C187" i="82"/>
  <c r="B187" i="82"/>
  <c r="A187" i="82"/>
  <c r="F187" i="82" s="1"/>
  <c r="E186" i="82"/>
  <c r="D186" i="82"/>
  <c r="C186" i="82"/>
  <c r="B186" i="82"/>
  <c r="A186" i="82"/>
  <c r="F186" i="82" s="1"/>
  <c r="E185" i="82"/>
  <c r="D185" i="82"/>
  <c r="C185" i="82"/>
  <c r="B185" i="82"/>
  <c r="A185" i="82"/>
  <c r="F185" i="82" s="1"/>
  <c r="E184" i="82"/>
  <c r="D184" i="82"/>
  <c r="C184" i="82"/>
  <c r="B184" i="82"/>
  <c r="A184" i="82"/>
  <c r="F184" i="82" s="1"/>
  <c r="E183" i="82"/>
  <c r="D183" i="82"/>
  <c r="C183" i="82"/>
  <c r="B183" i="82"/>
  <c r="A183" i="82"/>
  <c r="F183" i="82" s="1"/>
  <c r="E182" i="82"/>
  <c r="D182" i="82"/>
  <c r="C182" i="82"/>
  <c r="B182" i="82"/>
  <c r="A182" i="82"/>
  <c r="F182" i="82" s="1"/>
  <c r="E181" i="82"/>
  <c r="D181" i="82"/>
  <c r="C181" i="82"/>
  <c r="B181" i="82"/>
  <c r="A181" i="82"/>
  <c r="F181" i="82" s="1"/>
  <c r="E180" i="82"/>
  <c r="D180" i="82"/>
  <c r="C180" i="82"/>
  <c r="B180" i="82"/>
  <c r="A180" i="82"/>
  <c r="F180" i="82" s="1"/>
  <c r="E179" i="82"/>
  <c r="D179" i="82"/>
  <c r="C179" i="82"/>
  <c r="B179" i="82"/>
  <c r="A179" i="82"/>
  <c r="F179" i="82" s="1"/>
  <c r="E178" i="82"/>
  <c r="D178" i="82"/>
  <c r="C178" i="82"/>
  <c r="B178" i="82"/>
  <c r="A178" i="82"/>
  <c r="F178" i="82" s="1"/>
  <c r="E177" i="82"/>
  <c r="D177" i="82"/>
  <c r="C177" i="82"/>
  <c r="B177" i="82"/>
  <c r="A177" i="82"/>
  <c r="F177" i="82" s="1"/>
  <c r="E176" i="82"/>
  <c r="D176" i="82"/>
  <c r="C176" i="82"/>
  <c r="B176" i="82"/>
  <c r="A176" i="82"/>
  <c r="F176" i="82" s="1"/>
  <c r="E175" i="82"/>
  <c r="D175" i="82"/>
  <c r="C175" i="82"/>
  <c r="B175" i="82"/>
  <c r="A175" i="82"/>
  <c r="F175" i="82" s="1"/>
  <c r="E174" i="82"/>
  <c r="D174" i="82"/>
  <c r="C174" i="82"/>
  <c r="B174" i="82"/>
  <c r="A174" i="82"/>
  <c r="F174" i="82" s="1"/>
  <c r="E173" i="82"/>
  <c r="D173" i="82"/>
  <c r="C173" i="82"/>
  <c r="B173" i="82"/>
  <c r="A173" i="82"/>
  <c r="F173" i="82" s="1"/>
  <c r="E172" i="82"/>
  <c r="D172" i="82"/>
  <c r="C172" i="82"/>
  <c r="B172" i="82"/>
  <c r="A172" i="82"/>
  <c r="F172" i="82" s="1"/>
  <c r="E171" i="82"/>
  <c r="D171" i="82"/>
  <c r="C171" i="82"/>
  <c r="B171" i="82"/>
  <c r="A171" i="82"/>
  <c r="F171" i="82" s="1"/>
  <c r="E170" i="82"/>
  <c r="D170" i="82"/>
  <c r="C170" i="82"/>
  <c r="B170" i="82"/>
  <c r="A170" i="82"/>
  <c r="F170" i="82" s="1"/>
  <c r="E169" i="82"/>
  <c r="D169" i="82"/>
  <c r="C169" i="82"/>
  <c r="B169" i="82"/>
  <c r="A169" i="82"/>
  <c r="F169" i="82" s="1"/>
  <c r="E168" i="82"/>
  <c r="D168" i="82"/>
  <c r="C168" i="82"/>
  <c r="B168" i="82"/>
  <c r="A168" i="82"/>
  <c r="F168" i="82" s="1"/>
  <c r="E167" i="82"/>
  <c r="D167" i="82"/>
  <c r="C167" i="82"/>
  <c r="B167" i="82"/>
  <c r="A167" i="82"/>
  <c r="F167" i="82" s="1"/>
  <c r="E166" i="82"/>
  <c r="D166" i="82"/>
  <c r="C166" i="82"/>
  <c r="B166" i="82"/>
  <c r="A166" i="82"/>
  <c r="F166" i="82" s="1"/>
  <c r="E165" i="82"/>
  <c r="D165" i="82"/>
  <c r="C165" i="82"/>
  <c r="B165" i="82"/>
  <c r="A165" i="82"/>
  <c r="F165" i="82" s="1"/>
  <c r="E164" i="82"/>
  <c r="D164" i="82"/>
  <c r="C164" i="82"/>
  <c r="B164" i="82"/>
  <c r="A164" i="82"/>
  <c r="F164" i="82" s="1"/>
  <c r="E163" i="82"/>
  <c r="D163" i="82"/>
  <c r="C163" i="82"/>
  <c r="B163" i="82"/>
  <c r="A163" i="82"/>
  <c r="F163" i="82" s="1"/>
  <c r="E162" i="82"/>
  <c r="D162" i="82"/>
  <c r="C162" i="82"/>
  <c r="B162" i="82"/>
  <c r="A162" i="82"/>
  <c r="F162" i="82" s="1"/>
  <c r="E161" i="82"/>
  <c r="D161" i="82"/>
  <c r="C161" i="82"/>
  <c r="B161" i="82"/>
  <c r="A161" i="82"/>
  <c r="F161" i="82" s="1"/>
  <c r="E160" i="82"/>
  <c r="D160" i="82"/>
  <c r="C160" i="82"/>
  <c r="B160" i="82"/>
  <c r="A160" i="82"/>
  <c r="F160" i="82" s="1"/>
  <c r="E159" i="82"/>
  <c r="D159" i="82"/>
  <c r="C159" i="82"/>
  <c r="B159" i="82"/>
  <c r="A159" i="82"/>
  <c r="F159" i="82" s="1"/>
  <c r="E158" i="82"/>
  <c r="D158" i="82"/>
  <c r="C158" i="82"/>
  <c r="B158" i="82"/>
  <c r="A158" i="82"/>
  <c r="F158" i="82" s="1"/>
  <c r="E157" i="82"/>
  <c r="D157" i="82"/>
  <c r="C157" i="82"/>
  <c r="B157" i="82"/>
  <c r="A157" i="82"/>
  <c r="F157" i="82" s="1"/>
  <c r="E156" i="82"/>
  <c r="D156" i="82"/>
  <c r="C156" i="82"/>
  <c r="B156" i="82"/>
  <c r="A156" i="82"/>
  <c r="F156" i="82" s="1"/>
  <c r="E155" i="82"/>
  <c r="D155" i="82"/>
  <c r="C155" i="82"/>
  <c r="B155" i="82"/>
  <c r="A155" i="82"/>
  <c r="F155" i="82" s="1"/>
  <c r="E154" i="82"/>
  <c r="D154" i="82"/>
  <c r="C154" i="82"/>
  <c r="B154" i="82"/>
  <c r="A154" i="82"/>
  <c r="F154" i="82" s="1"/>
  <c r="E153" i="82"/>
  <c r="D153" i="82"/>
  <c r="C153" i="82"/>
  <c r="B153" i="82"/>
  <c r="A153" i="82"/>
  <c r="F153" i="82" s="1"/>
  <c r="E152" i="82"/>
  <c r="D152" i="82"/>
  <c r="C152" i="82"/>
  <c r="B152" i="82"/>
  <c r="A152" i="82"/>
  <c r="F152" i="82" s="1"/>
  <c r="E151" i="82"/>
  <c r="D151" i="82"/>
  <c r="C151" i="82"/>
  <c r="B151" i="82"/>
  <c r="A151" i="82"/>
  <c r="F151" i="82" s="1"/>
  <c r="E150" i="82"/>
  <c r="D150" i="82"/>
  <c r="C150" i="82"/>
  <c r="B150" i="82"/>
  <c r="A150" i="82"/>
  <c r="F150" i="82" s="1"/>
  <c r="E149" i="82"/>
  <c r="D149" i="82"/>
  <c r="C149" i="82"/>
  <c r="B149" i="82"/>
  <c r="A149" i="82"/>
  <c r="F149" i="82" s="1"/>
  <c r="E148" i="82"/>
  <c r="D148" i="82"/>
  <c r="C148" i="82"/>
  <c r="B148" i="82"/>
  <c r="A148" i="82"/>
  <c r="F148" i="82" s="1"/>
  <c r="E147" i="82"/>
  <c r="D147" i="82"/>
  <c r="C147" i="82"/>
  <c r="B147" i="82"/>
  <c r="A147" i="82"/>
  <c r="F147" i="82" s="1"/>
  <c r="E146" i="82"/>
  <c r="D146" i="82"/>
  <c r="C146" i="82"/>
  <c r="B146" i="82"/>
  <c r="A146" i="82"/>
  <c r="F146" i="82" s="1"/>
  <c r="E145" i="82"/>
  <c r="D145" i="82"/>
  <c r="C145" i="82"/>
  <c r="B145" i="82"/>
  <c r="A145" i="82"/>
  <c r="F145" i="82" s="1"/>
  <c r="E144" i="82"/>
  <c r="D144" i="82"/>
  <c r="C144" i="82"/>
  <c r="B144" i="82"/>
  <c r="A144" i="82"/>
  <c r="F144" i="82" s="1"/>
  <c r="E143" i="82"/>
  <c r="D143" i="82"/>
  <c r="C143" i="82"/>
  <c r="B143" i="82"/>
  <c r="A143" i="82"/>
  <c r="F143" i="82" s="1"/>
  <c r="E142" i="82"/>
  <c r="D142" i="82"/>
  <c r="C142" i="82"/>
  <c r="B142" i="82"/>
  <c r="A142" i="82"/>
  <c r="F142" i="82" s="1"/>
  <c r="E141" i="82"/>
  <c r="D141" i="82"/>
  <c r="C141" i="82"/>
  <c r="B141" i="82"/>
  <c r="A141" i="82"/>
  <c r="F141" i="82" s="1"/>
  <c r="E140" i="82"/>
  <c r="D140" i="82"/>
  <c r="C140" i="82"/>
  <c r="B140" i="82"/>
  <c r="A140" i="82"/>
  <c r="F140" i="82" s="1"/>
  <c r="E139" i="82"/>
  <c r="D139" i="82"/>
  <c r="C139" i="82"/>
  <c r="B139" i="82"/>
  <c r="A139" i="82"/>
  <c r="F139" i="82" s="1"/>
  <c r="E138" i="82"/>
  <c r="D138" i="82"/>
  <c r="C138" i="82"/>
  <c r="B138" i="82"/>
  <c r="A138" i="82"/>
  <c r="F138" i="82" s="1"/>
  <c r="E137" i="82"/>
  <c r="D137" i="82"/>
  <c r="C137" i="82"/>
  <c r="B137" i="82"/>
  <c r="A137" i="82"/>
  <c r="F137" i="82" s="1"/>
  <c r="E136" i="82"/>
  <c r="D136" i="82"/>
  <c r="C136" i="82"/>
  <c r="B136" i="82"/>
  <c r="A136" i="82"/>
  <c r="F136" i="82" s="1"/>
  <c r="E135" i="82"/>
  <c r="D135" i="82"/>
  <c r="C135" i="82"/>
  <c r="B135" i="82"/>
  <c r="A135" i="82"/>
  <c r="F135" i="82" s="1"/>
  <c r="E134" i="82"/>
  <c r="D134" i="82"/>
  <c r="C134" i="82"/>
  <c r="B134" i="82"/>
  <c r="A134" i="82"/>
  <c r="F134" i="82" s="1"/>
  <c r="E133" i="82"/>
  <c r="D133" i="82"/>
  <c r="C133" i="82"/>
  <c r="B133" i="82"/>
  <c r="A133" i="82"/>
  <c r="F133" i="82" s="1"/>
  <c r="E132" i="82"/>
  <c r="D132" i="82"/>
  <c r="C132" i="82"/>
  <c r="B132" i="82"/>
  <c r="A132" i="82"/>
  <c r="F132" i="82" s="1"/>
  <c r="E131" i="82"/>
  <c r="D131" i="82"/>
  <c r="C131" i="82"/>
  <c r="B131" i="82"/>
  <c r="A131" i="82"/>
  <c r="F131" i="82" s="1"/>
  <c r="E130" i="82"/>
  <c r="D130" i="82"/>
  <c r="C130" i="82"/>
  <c r="B130" i="82"/>
  <c r="A130" i="82"/>
  <c r="F130" i="82" s="1"/>
  <c r="E129" i="82"/>
  <c r="D129" i="82"/>
  <c r="C129" i="82"/>
  <c r="B129" i="82"/>
  <c r="A129" i="82"/>
  <c r="F129" i="82" s="1"/>
  <c r="E128" i="82"/>
  <c r="D128" i="82"/>
  <c r="C128" i="82"/>
  <c r="B128" i="82"/>
  <c r="A128" i="82"/>
  <c r="F128" i="82" s="1"/>
  <c r="E127" i="82"/>
  <c r="D127" i="82"/>
  <c r="C127" i="82"/>
  <c r="B127" i="82"/>
  <c r="A127" i="82"/>
  <c r="F127" i="82" s="1"/>
  <c r="E126" i="82"/>
  <c r="D126" i="82"/>
  <c r="C126" i="82"/>
  <c r="B126" i="82"/>
  <c r="A126" i="82"/>
  <c r="F126" i="82" s="1"/>
  <c r="E125" i="82"/>
  <c r="D125" i="82"/>
  <c r="C125" i="82"/>
  <c r="B125" i="82"/>
  <c r="A125" i="82"/>
  <c r="F125" i="82" s="1"/>
  <c r="E124" i="82"/>
  <c r="D124" i="82"/>
  <c r="C124" i="82"/>
  <c r="B124" i="82"/>
  <c r="A124" i="82"/>
  <c r="F124" i="82" s="1"/>
  <c r="E123" i="82"/>
  <c r="D123" i="82"/>
  <c r="C123" i="82"/>
  <c r="B123" i="82"/>
  <c r="A123" i="82"/>
  <c r="F123" i="82" s="1"/>
  <c r="E122" i="82"/>
  <c r="D122" i="82"/>
  <c r="C122" i="82"/>
  <c r="B122" i="82"/>
  <c r="A122" i="82"/>
  <c r="F122" i="82" s="1"/>
  <c r="E121" i="82"/>
  <c r="D121" i="82"/>
  <c r="C121" i="82"/>
  <c r="B121" i="82"/>
  <c r="A121" i="82"/>
  <c r="F121" i="82" s="1"/>
  <c r="E120" i="82"/>
  <c r="D120" i="82"/>
  <c r="C120" i="82"/>
  <c r="B120" i="82"/>
  <c r="A120" i="82"/>
  <c r="F120" i="82" s="1"/>
  <c r="E119" i="82"/>
  <c r="D119" i="82"/>
  <c r="C119" i="82"/>
  <c r="B119" i="82"/>
  <c r="A119" i="82"/>
  <c r="F119" i="82" s="1"/>
  <c r="E118" i="82"/>
  <c r="D118" i="82"/>
  <c r="C118" i="82"/>
  <c r="B118" i="82"/>
  <c r="A118" i="82"/>
  <c r="F118" i="82" s="1"/>
  <c r="E117" i="82"/>
  <c r="D117" i="82"/>
  <c r="C117" i="82"/>
  <c r="B117" i="82"/>
  <c r="A117" i="82"/>
  <c r="F117" i="82" s="1"/>
  <c r="E116" i="82"/>
  <c r="D116" i="82"/>
  <c r="C116" i="82"/>
  <c r="B116" i="82"/>
  <c r="A116" i="82"/>
  <c r="F116" i="82" s="1"/>
  <c r="E115" i="82"/>
  <c r="D115" i="82"/>
  <c r="C115" i="82"/>
  <c r="B115" i="82"/>
  <c r="A115" i="82"/>
  <c r="F115" i="82" s="1"/>
  <c r="E114" i="82"/>
  <c r="D114" i="82"/>
  <c r="C114" i="82"/>
  <c r="B114" i="82"/>
  <c r="A114" i="82"/>
  <c r="F114" i="82" s="1"/>
  <c r="E113" i="82"/>
  <c r="D113" i="82"/>
  <c r="C113" i="82"/>
  <c r="B113" i="82"/>
  <c r="A113" i="82"/>
  <c r="F113" i="82" s="1"/>
  <c r="E112" i="82"/>
  <c r="D112" i="82"/>
  <c r="C112" i="82"/>
  <c r="B112" i="82"/>
  <c r="A112" i="82"/>
  <c r="F112" i="82" s="1"/>
  <c r="E111" i="82"/>
  <c r="D111" i="82"/>
  <c r="C111" i="82"/>
  <c r="B111" i="82"/>
  <c r="A111" i="82"/>
  <c r="F111" i="82" s="1"/>
  <c r="E110" i="82"/>
  <c r="D110" i="82"/>
  <c r="C110" i="82"/>
  <c r="B110" i="82"/>
  <c r="A110" i="82"/>
  <c r="F110" i="82" s="1"/>
  <c r="E109" i="82"/>
  <c r="D109" i="82"/>
  <c r="C109" i="82"/>
  <c r="B109" i="82"/>
  <c r="A109" i="82"/>
  <c r="F109" i="82" s="1"/>
  <c r="E108" i="82"/>
  <c r="D108" i="82"/>
  <c r="C108" i="82"/>
  <c r="B108" i="82"/>
  <c r="A108" i="82"/>
  <c r="F108" i="82" s="1"/>
  <c r="E107" i="82"/>
  <c r="D107" i="82"/>
  <c r="C107" i="82"/>
  <c r="B107" i="82"/>
  <c r="A107" i="82"/>
  <c r="F107" i="82" s="1"/>
  <c r="E106" i="82"/>
  <c r="D106" i="82"/>
  <c r="C106" i="82"/>
  <c r="B106" i="82"/>
  <c r="A106" i="82"/>
  <c r="F106" i="82" s="1"/>
  <c r="E105" i="82"/>
  <c r="D105" i="82"/>
  <c r="C105" i="82"/>
  <c r="B105" i="82"/>
  <c r="A105" i="82"/>
  <c r="F105" i="82" s="1"/>
  <c r="E104" i="82"/>
  <c r="D104" i="82"/>
  <c r="C104" i="82"/>
  <c r="B104" i="82"/>
  <c r="A104" i="82"/>
  <c r="F104" i="82" s="1"/>
  <c r="E103" i="82"/>
  <c r="D103" i="82"/>
  <c r="C103" i="82"/>
  <c r="B103" i="82"/>
  <c r="A103" i="82"/>
  <c r="F103" i="82" s="1"/>
  <c r="E102" i="82"/>
  <c r="D102" i="82"/>
  <c r="C102" i="82"/>
  <c r="B102" i="82"/>
  <c r="A102" i="82"/>
  <c r="F102" i="82" s="1"/>
  <c r="E101" i="82"/>
  <c r="D101" i="82"/>
  <c r="C101" i="82"/>
  <c r="B101" i="82"/>
  <c r="A101" i="82"/>
  <c r="F101" i="82" s="1"/>
  <c r="E100" i="82"/>
  <c r="D100" i="82"/>
  <c r="C100" i="82"/>
  <c r="B100" i="82"/>
  <c r="A100" i="82"/>
  <c r="F100" i="82" s="1"/>
  <c r="E99" i="82"/>
  <c r="D99" i="82"/>
  <c r="C99" i="82"/>
  <c r="B99" i="82"/>
  <c r="A99" i="82"/>
  <c r="F99" i="82" s="1"/>
  <c r="E98" i="82"/>
  <c r="D98" i="82"/>
  <c r="C98" i="82"/>
  <c r="B98" i="82"/>
  <c r="A98" i="82"/>
  <c r="F98" i="82" s="1"/>
  <c r="E97" i="82"/>
  <c r="D97" i="82"/>
  <c r="C97" i="82"/>
  <c r="B97" i="82"/>
  <c r="A97" i="82"/>
  <c r="F97" i="82" s="1"/>
  <c r="E96" i="82"/>
  <c r="D96" i="82"/>
  <c r="C96" i="82"/>
  <c r="B96" i="82"/>
  <c r="A96" i="82"/>
  <c r="F96" i="82" s="1"/>
  <c r="E95" i="82"/>
  <c r="D95" i="82"/>
  <c r="C95" i="82"/>
  <c r="B95" i="82"/>
  <c r="A95" i="82"/>
  <c r="F95" i="82" s="1"/>
  <c r="E94" i="82"/>
  <c r="D94" i="82"/>
  <c r="C94" i="82"/>
  <c r="B94" i="82"/>
  <c r="A94" i="82"/>
  <c r="F94" i="82" s="1"/>
  <c r="E93" i="82"/>
  <c r="D93" i="82"/>
  <c r="C93" i="82"/>
  <c r="B93" i="82"/>
  <c r="A93" i="82"/>
  <c r="F93" i="82" s="1"/>
  <c r="E92" i="82"/>
  <c r="D92" i="82"/>
  <c r="C92" i="82"/>
  <c r="B92" i="82"/>
  <c r="A92" i="82"/>
  <c r="F92" i="82" s="1"/>
  <c r="E91" i="82"/>
  <c r="D91" i="82"/>
  <c r="C91" i="82"/>
  <c r="B91" i="82"/>
  <c r="A91" i="82"/>
  <c r="F91" i="82" s="1"/>
  <c r="AE6" i="91" l="1"/>
  <c r="AE7" i="91"/>
  <c r="AE8" i="91"/>
  <c r="AE9" i="91"/>
  <c r="AE10" i="91"/>
  <c r="AE11" i="91"/>
  <c r="AE12" i="91"/>
  <c r="AE13" i="91"/>
  <c r="AE14" i="91"/>
  <c r="AE15" i="91"/>
  <c r="AE16" i="91"/>
  <c r="AE17" i="91"/>
  <c r="AE18" i="91"/>
  <c r="AE19" i="91"/>
  <c r="AE20" i="91"/>
  <c r="AE21" i="91"/>
  <c r="AE22" i="91"/>
  <c r="AE23" i="91"/>
  <c r="AE24" i="91"/>
  <c r="AE25" i="91"/>
  <c r="AE26" i="91"/>
  <c r="AE27" i="91"/>
  <c r="AE28" i="91"/>
  <c r="AE29" i="91"/>
  <c r="AE30" i="91"/>
  <c r="AE31" i="91"/>
  <c r="AE32" i="91"/>
  <c r="AE33" i="91"/>
  <c r="AE34" i="91"/>
  <c r="AE35" i="91"/>
  <c r="AE36" i="91"/>
  <c r="AE37" i="91"/>
  <c r="AE38" i="91"/>
  <c r="AE39" i="91"/>
  <c r="AE40" i="91"/>
  <c r="AE41" i="91"/>
  <c r="AE42" i="91"/>
  <c r="AE43" i="91"/>
  <c r="AE44" i="91"/>
  <c r="AE45" i="91"/>
  <c r="AE46" i="91"/>
  <c r="AE47" i="91"/>
  <c r="AE48" i="91"/>
  <c r="AE49" i="91"/>
  <c r="AE50" i="91"/>
  <c r="AE51" i="91"/>
  <c r="AE52" i="91"/>
  <c r="AE53" i="91"/>
  <c r="AE54" i="91"/>
  <c r="AE55" i="91"/>
  <c r="AE56" i="91"/>
  <c r="AE57" i="91"/>
  <c r="AE58" i="91"/>
  <c r="AE59" i="91"/>
  <c r="AE60" i="91"/>
  <c r="AE61" i="91"/>
  <c r="AE62" i="91"/>
  <c r="AE63" i="91"/>
  <c r="AE64" i="91"/>
  <c r="AE65" i="91"/>
  <c r="AE66" i="91"/>
  <c r="AE67" i="91"/>
  <c r="AE68" i="91"/>
  <c r="AE69" i="91"/>
  <c r="AE70" i="91"/>
  <c r="AE71" i="91"/>
  <c r="AE72" i="91"/>
  <c r="AE73" i="91"/>
  <c r="AE74" i="91"/>
  <c r="AE75" i="91"/>
  <c r="AE5" i="91"/>
  <c r="AX24" i="62" l="1"/>
  <c r="AX25" i="62"/>
  <c r="AX26" i="62"/>
  <c r="AX27" i="62"/>
  <c r="AX28" i="62"/>
  <c r="AX29" i="62"/>
  <c r="AX30" i="62"/>
  <c r="AX31" i="62"/>
  <c r="AX32" i="62"/>
  <c r="AX2" i="62"/>
  <c r="X84" i="84"/>
  <c r="X83" i="84"/>
  <c r="X82" i="84"/>
  <c r="X81" i="84"/>
  <c r="X80" i="84"/>
  <c r="X79" i="84"/>
  <c r="X78" i="84"/>
  <c r="X77" i="84"/>
  <c r="H84" i="84"/>
  <c r="G84" i="84"/>
  <c r="F84" i="84"/>
  <c r="H83" i="84"/>
  <c r="G83" i="84"/>
  <c r="F83" i="84"/>
  <c r="H82" i="84"/>
  <c r="G82" i="84"/>
  <c r="F82" i="84"/>
  <c r="H81" i="84"/>
  <c r="G81" i="84"/>
  <c r="F81" i="84"/>
  <c r="H80" i="84"/>
  <c r="G80" i="84"/>
  <c r="F80" i="84"/>
  <c r="H78" i="84"/>
  <c r="G78" i="84"/>
  <c r="F78" i="84"/>
  <c r="X76" i="84"/>
  <c r="H76" i="84"/>
  <c r="G76" i="84"/>
  <c r="F76" i="84"/>
  <c r="X75" i="84"/>
  <c r="H75" i="84"/>
  <c r="G75" i="84"/>
  <c r="F75" i="84"/>
  <c r="X74" i="84"/>
  <c r="H74" i="84"/>
  <c r="G74" i="84"/>
  <c r="F74" i="84"/>
  <c r="X73" i="84"/>
  <c r="H73" i="84"/>
  <c r="G73" i="84"/>
  <c r="F73" i="84"/>
  <c r="X72" i="84"/>
  <c r="H72" i="84"/>
  <c r="G72" i="84"/>
  <c r="F72" i="84"/>
  <c r="X71" i="84"/>
  <c r="H71" i="84"/>
  <c r="G71" i="84"/>
  <c r="F71" i="84"/>
  <c r="X70" i="84"/>
  <c r="H70" i="84"/>
  <c r="G70" i="84"/>
  <c r="F70" i="84"/>
  <c r="X69" i="84"/>
  <c r="H69" i="84"/>
  <c r="G69" i="84"/>
  <c r="F69" i="84"/>
  <c r="X68" i="84"/>
  <c r="H68" i="84"/>
  <c r="G68" i="84"/>
  <c r="F68" i="84"/>
  <c r="X67" i="84"/>
  <c r="H67" i="84"/>
  <c r="G67" i="84"/>
  <c r="F67" i="84"/>
  <c r="X66" i="84"/>
  <c r="H66" i="84"/>
  <c r="G66" i="84"/>
  <c r="F66" i="84"/>
  <c r="X65" i="84"/>
  <c r="H65" i="84"/>
  <c r="G65" i="84"/>
  <c r="F65" i="84"/>
  <c r="X64" i="84"/>
  <c r="H64" i="84"/>
  <c r="G64" i="84"/>
  <c r="F64" i="84"/>
  <c r="X63" i="84"/>
  <c r="H63" i="84"/>
  <c r="G63" i="84"/>
  <c r="F63" i="84"/>
  <c r="X62" i="84"/>
  <c r="H62" i="84"/>
  <c r="G62" i="84"/>
  <c r="F62" i="84"/>
  <c r="X61" i="84"/>
  <c r="H61" i="84"/>
  <c r="G61" i="84"/>
  <c r="F61" i="84"/>
  <c r="X60" i="84"/>
  <c r="H60" i="84"/>
  <c r="G60" i="84"/>
  <c r="F60" i="84"/>
  <c r="X59" i="84"/>
  <c r="H59" i="84"/>
  <c r="G59" i="84"/>
  <c r="F59" i="84"/>
  <c r="X57" i="84"/>
  <c r="H57" i="84"/>
  <c r="G57" i="84"/>
  <c r="F57" i="84"/>
  <c r="X56" i="84"/>
  <c r="H56" i="84"/>
  <c r="G56" i="84"/>
  <c r="F56" i="84"/>
  <c r="X55" i="84"/>
  <c r="H55" i="84"/>
  <c r="G55" i="84"/>
  <c r="F55" i="84"/>
  <c r="X54" i="84"/>
  <c r="H54" i="84"/>
  <c r="G54" i="84"/>
  <c r="F54" i="84"/>
  <c r="X53" i="84"/>
  <c r="H53" i="84"/>
  <c r="G53" i="84"/>
  <c r="F53" i="84"/>
  <c r="X51" i="84"/>
  <c r="H51" i="84"/>
  <c r="G51" i="84"/>
  <c r="F51" i="84"/>
  <c r="X50" i="84"/>
  <c r="H50" i="84"/>
  <c r="G50" i="84"/>
  <c r="F50" i="84"/>
  <c r="X49" i="84"/>
  <c r="H49" i="84"/>
  <c r="G49" i="84"/>
  <c r="F49" i="84"/>
  <c r="X48" i="84"/>
  <c r="H48" i="84"/>
  <c r="G48" i="84"/>
  <c r="F48" i="84"/>
  <c r="X47" i="84"/>
  <c r="H47" i="84"/>
  <c r="G47" i="84"/>
  <c r="F47" i="84"/>
  <c r="X46" i="84"/>
  <c r="H46" i="84"/>
  <c r="G46" i="84"/>
  <c r="F46" i="84"/>
  <c r="X45" i="84"/>
  <c r="H45" i="84"/>
  <c r="G45" i="84"/>
  <c r="F45" i="84"/>
  <c r="X44" i="84"/>
  <c r="H44" i="84"/>
  <c r="G44" i="84"/>
  <c r="F44" i="84"/>
  <c r="X43" i="84"/>
  <c r="H43" i="84"/>
  <c r="G43" i="84"/>
  <c r="F43" i="84"/>
  <c r="X42" i="84"/>
  <c r="H42" i="84"/>
  <c r="G42" i="84"/>
  <c r="F42" i="84"/>
  <c r="X41" i="84"/>
  <c r="H41" i="84"/>
  <c r="G41" i="84"/>
  <c r="F41" i="84"/>
  <c r="X40" i="84"/>
  <c r="H40" i="84"/>
  <c r="G40" i="84"/>
  <c r="F40" i="84"/>
  <c r="X39" i="84"/>
  <c r="H39" i="84"/>
  <c r="G39" i="84"/>
  <c r="F39" i="84"/>
  <c r="X38" i="84"/>
  <c r="H38" i="84"/>
  <c r="G38" i="84"/>
  <c r="F38" i="84"/>
  <c r="X37" i="84"/>
  <c r="H37" i="84"/>
  <c r="G37" i="84"/>
  <c r="F37" i="84"/>
  <c r="X36" i="84"/>
  <c r="H36" i="84"/>
  <c r="G36" i="84"/>
  <c r="F36" i="84"/>
  <c r="X35" i="84"/>
  <c r="H35" i="84"/>
  <c r="G35" i="84"/>
  <c r="F35" i="84"/>
  <c r="X34" i="84"/>
  <c r="H34" i="84"/>
  <c r="G34" i="84"/>
  <c r="F34" i="84"/>
  <c r="X33" i="84"/>
  <c r="H33" i="84"/>
  <c r="G33" i="84"/>
  <c r="F33" i="84"/>
  <c r="X32" i="84"/>
  <c r="H32" i="84"/>
  <c r="G32" i="84"/>
  <c r="F32" i="84"/>
  <c r="X31" i="84"/>
  <c r="H31" i="84"/>
  <c r="G31" i="84"/>
  <c r="F31" i="84"/>
  <c r="X30" i="84"/>
  <c r="H30" i="84"/>
  <c r="G30" i="84"/>
  <c r="F30" i="84"/>
  <c r="X29" i="84"/>
  <c r="H29" i="84"/>
  <c r="G29" i="84"/>
  <c r="F29" i="84"/>
  <c r="X28" i="84"/>
  <c r="H28" i="84"/>
  <c r="G28" i="84"/>
  <c r="F28" i="84"/>
  <c r="X27" i="84"/>
  <c r="H27" i="84"/>
  <c r="G27" i="84"/>
  <c r="F27" i="84"/>
  <c r="X26" i="84"/>
  <c r="H26" i="84"/>
  <c r="G26" i="84"/>
  <c r="F26" i="84"/>
  <c r="X25" i="84"/>
  <c r="H25" i="84"/>
  <c r="G25" i="84"/>
  <c r="F25" i="84"/>
  <c r="X24" i="84"/>
  <c r="H24" i="84"/>
  <c r="G24" i="84"/>
  <c r="F24" i="84"/>
  <c r="X23" i="84"/>
  <c r="H23" i="84"/>
  <c r="G23" i="84"/>
  <c r="F23" i="84"/>
  <c r="X22" i="84"/>
  <c r="H22" i="84"/>
  <c r="G22" i="84"/>
  <c r="F22" i="84"/>
  <c r="X21" i="84"/>
  <c r="H21" i="84"/>
  <c r="G21" i="84"/>
  <c r="F21" i="84"/>
  <c r="X20" i="84"/>
  <c r="H20" i="84"/>
  <c r="G20" i="84"/>
  <c r="F20" i="84"/>
  <c r="X19" i="84"/>
  <c r="H19" i="84"/>
  <c r="G19" i="84"/>
  <c r="F19" i="84"/>
  <c r="X18" i="84"/>
  <c r="H18" i="84"/>
  <c r="G18" i="84"/>
  <c r="F18" i="84"/>
  <c r="X17" i="84"/>
  <c r="H17" i="84"/>
  <c r="G17" i="84"/>
  <c r="F17" i="84"/>
  <c r="X16" i="84"/>
  <c r="H16" i="84"/>
  <c r="G16" i="84"/>
  <c r="F16" i="84"/>
  <c r="X15" i="84"/>
  <c r="H15" i="84"/>
  <c r="G15" i="84"/>
  <c r="F15" i="84"/>
  <c r="X14" i="84"/>
  <c r="H14" i="84"/>
  <c r="G14" i="84"/>
  <c r="F14" i="84"/>
  <c r="X13" i="84"/>
  <c r="H13" i="84"/>
  <c r="G13" i="84"/>
  <c r="F13" i="84"/>
  <c r="X12" i="84"/>
  <c r="H12" i="84"/>
  <c r="G12" i="84"/>
  <c r="F12" i="84"/>
  <c r="X11" i="84"/>
  <c r="H11" i="84"/>
  <c r="G11" i="84"/>
  <c r="F11" i="84"/>
  <c r="X10" i="84"/>
  <c r="H10" i="84"/>
  <c r="G10" i="84"/>
  <c r="F10" i="84"/>
  <c r="X9" i="84"/>
  <c r="H9" i="84"/>
  <c r="G9" i="84"/>
  <c r="F9" i="84"/>
  <c r="X8" i="84"/>
  <c r="H8" i="84"/>
  <c r="G8" i="84"/>
  <c r="F8" i="84"/>
  <c r="X7" i="84"/>
  <c r="H7" i="84"/>
  <c r="G7" i="84"/>
  <c r="F7" i="84"/>
  <c r="X6" i="84"/>
  <c r="H6" i="84"/>
  <c r="G6" i="84"/>
  <c r="F6" i="84"/>
  <c r="X5" i="84"/>
  <c r="H5" i="84"/>
  <c r="G5" i="84"/>
  <c r="F5" i="84"/>
  <c r="X4" i="84"/>
  <c r="H4" i="84"/>
  <c r="G4" i="84"/>
  <c r="F4" i="84"/>
  <c r="X3" i="84"/>
  <c r="H3" i="84"/>
  <c r="G3" i="84"/>
  <c r="F3" i="84"/>
  <c r="X2" i="84"/>
  <c r="H2" i="84"/>
  <c r="G2" i="84"/>
  <c r="F2" i="84"/>
  <c r="X401" i="105"/>
  <c r="H401" i="105"/>
  <c r="G401" i="105"/>
  <c r="F401" i="105"/>
  <c r="X400" i="105"/>
  <c r="H400" i="105"/>
  <c r="G400" i="105"/>
  <c r="F400" i="105"/>
  <c r="X399" i="105"/>
  <c r="H399" i="105"/>
  <c r="G399" i="105"/>
  <c r="F399" i="105"/>
  <c r="X398" i="105"/>
  <c r="H398" i="105"/>
  <c r="G398" i="105"/>
  <c r="F398" i="105"/>
  <c r="X397" i="105"/>
  <c r="H397" i="105"/>
  <c r="G397" i="105"/>
  <c r="F397" i="105"/>
  <c r="X396" i="105"/>
  <c r="H396" i="105"/>
  <c r="G396" i="105"/>
  <c r="F396" i="105"/>
  <c r="X395" i="105"/>
  <c r="H395" i="105"/>
  <c r="G395" i="105"/>
  <c r="F395" i="105"/>
  <c r="X394" i="105"/>
  <c r="H394" i="105"/>
  <c r="G394" i="105"/>
  <c r="F394" i="105"/>
  <c r="X393" i="105"/>
  <c r="H393" i="105"/>
  <c r="G393" i="105"/>
  <c r="F393" i="105"/>
  <c r="X392" i="105"/>
  <c r="H392" i="105"/>
  <c r="G392" i="105"/>
  <c r="F392" i="105"/>
  <c r="X391" i="105"/>
  <c r="H391" i="105"/>
  <c r="G391" i="105"/>
  <c r="F391" i="105"/>
  <c r="X390" i="105"/>
  <c r="H390" i="105"/>
  <c r="G390" i="105"/>
  <c r="F390" i="105"/>
  <c r="X389" i="105"/>
  <c r="H389" i="105"/>
  <c r="G389" i="105"/>
  <c r="F389" i="105"/>
  <c r="X388" i="105"/>
  <c r="H388" i="105"/>
  <c r="G388" i="105"/>
  <c r="F388" i="105"/>
  <c r="X387" i="105"/>
  <c r="H387" i="105"/>
  <c r="G387" i="105"/>
  <c r="F387" i="105"/>
  <c r="X386" i="105"/>
  <c r="H386" i="105"/>
  <c r="G386" i="105"/>
  <c r="F386" i="105"/>
  <c r="X385" i="105"/>
  <c r="H385" i="105"/>
  <c r="G385" i="105"/>
  <c r="F385" i="105"/>
  <c r="X384" i="105"/>
  <c r="H384" i="105"/>
  <c r="G384" i="105"/>
  <c r="F384" i="105"/>
  <c r="X383" i="105"/>
  <c r="H383" i="105"/>
  <c r="G383" i="105"/>
  <c r="F383" i="105"/>
  <c r="X382" i="105"/>
  <c r="H382" i="105"/>
  <c r="G382" i="105"/>
  <c r="F382" i="105"/>
  <c r="X381" i="105"/>
  <c r="H381" i="105"/>
  <c r="G381" i="105"/>
  <c r="F381" i="105"/>
  <c r="X380" i="105"/>
  <c r="H380" i="105"/>
  <c r="G380" i="105"/>
  <c r="F380" i="105"/>
  <c r="X379" i="105"/>
  <c r="H379" i="105"/>
  <c r="G379" i="105"/>
  <c r="F379" i="105"/>
  <c r="X378" i="105"/>
  <c r="H378" i="105"/>
  <c r="G378" i="105"/>
  <c r="F378" i="105"/>
  <c r="X377" i="105"/>
  <c r="H377" i="105"/>
  <c r="G377" i="105"/>
  <c r="F377" i="105"/>
  <c r="X376" i="105"/>
  <c r="H376" i="105"/>
  <c r="G376" i="105"/>
  <c r="F376" i="105"/>
  <c r="X375" i="105"/>
  <c r="H375" i="105"/>
  <c r="G375" i="105"/>
  <c r="F375" i="105"/>
  <c r="X374" i="105"/>
  <c r="H374" i="105"/>
  <c r="G374" i="105"/>
  <c r="F374" i="105"/>
  <c r="X373" i="105"/>
  <c r="H373" i="105"/>
  <c r="G373" i="105"/>
  <c r="F373" i="105"/>
  <c r="X372" i="105"/>
  <c r="H372" i="105"/>
  <c r="G372" i="105"/>
  <c r="F372" i="105"/>
  <c r="X371" i="105"/>
  <c r="H371" i="105"/>
  <c r="G371" i="105"/>
  <c r="F371" i="105"/>
  <c r="X370" i="105"/>
  <c r="H370" i="105"/>
  <c r="G370" i="105"/>
  <c r="F370" i="105"/>
  <c r="X369" i="105"/>
  <c r="H369" i="105"/>
  <c r="G369" i="105"/>
  <c r="F369" i="105"/>
  <c r="X368" i="105"/>
  <c r="H368" i="105"/>
  <c r="G368" i="105"/>
  <c r="F368" i="105"/>
  <c r="X367" i="105"/>
  <c r="H367" i="105"/>
  <c r="G367" i="105"/>
  <c r="F367" i="105"/>
  <c r="X366" i="105"/>
  <c r="H366" i="105"/>
  <c r="G366" i="105"/>
  <c r="F366" i="105"/>
  <c r="X365" i="105"/>
  <c r="H365" i="105"/>
  <c r="G365" i="105"/>
  <c r="F365" i="105"/>
  <c r="X364" i="105"/>
  <c r="H364" i="105"/>
  <c r="G364" i="105"/>
  <c r="F364" i="105"/>
  <c r="X363" i="105"/>
  <c r="H363" i="105"/>
  <c r="G363" i="105"/>
  <c r="F363" i="105"/>
  <c r="X362" i="105"/>
  <c r="H362" i="105"/>
  <c r="G362" i="105"/>
  <c r="F362" i="105"/>
  <c r="X361" i="105"/>
  <c r="H361" i="105"/>
  <c r="G361" i="105"/>
  <c r="F361" i="105"/>
  <c r="X360" i="105"/>
  <c r="H360" i="105"/>
  <c r="G360" i="105"/>
  <c r="F360" i="105"/>
  <c r="X359" i="105"/>
  <c r="H359" i="105"/>
  <c r="G359" i="105"/>
  <c r="F359" i="105"/>
  <c r="X358" i="105"/>
  <c r="H358" i="105"/>
  <c r="G358" i="105"/>
  <c r="F358" i="105"/>
  <c r="X357" i="105"/>
  <c r="H357" i="105"/>
  <c r="G357" i="105"/>
  <c r="F357" i="105"/>
  <c r="X356" i="105"/>
  <c r="H356" i="105"/>
  <c r="G356" i="105"/>
  <c r="F356" i="105"/>
  <c r="X355" i="105"/>
  <c r="H355" i="105"/>
  <c r="G355" i="105"/>
  <c r="F355" i="105"/>
  <c r="X354" i="105"/>
  <c r="H354" i="105"/>
  <c r="G354" i="105"/>
  <c r="F354" i="105"/>
  <c r="X353" i="105"/>
  <c r="H353" i="105"/>
  <c r="G353" i="105"/>
  <c r="F353" i="105"/>
  <c r="X352" i="105"/>
  <c r="H352" i="105"/>
  <c r="G352" i="105"/>
  <c r="F352" i="105"/>
  <c r="X351" i="105"/>
  <c r="H351" i="105"/>
  <c r="G351" i="105"/>
  <c r="F351" i="105"/>
  <c r="X350" i="105"/>
  <c r="H350" i="105"/>
  <c r="G350" i="105"/>
  <c r="F350" i="105"/>
  <c r="X349" i="105"/>
  <c r="H349" i="105"/>
  <c r="G349" i="105"/>
  <c r="F349" i="105"/>
  <c r="X348" i="105"/>
  <c r="H348" i="105"/>
  <c r="G348" i="105"/>
  <c r="F348" i="105"/>
  <c r="X347" i="105"/>
  <c r="H347" i="105"/>
  <c r="G347" i="105"/>
  <c r="F347" i="105"/>
  <c r="X346" i="105"/>
  <c r="H346" i="105"/>
  <c r="G346" i="105"/>
  <c r="F346" i="105"/>
  <c r="X345" i="105"/>
  <c r="H345" i="105"/>
  <c r="G345" i="105"/>
  <c r="F345" i="105"/>
  <c r="X344" i="105"/>
  <c r="H344" i="105"/>
  <c r="G344" i="105"/>
  <c r="F344" i="105"/>
  <c r="X343" i="105"/>
  <c r="H343" i="105"/>
  <c r="G343" i="105"/>
  <c r="F343" i="105"/>
  <c r="X342" i="105"/>
  <c r="H342" i="105"/>
  <c r="G342" i="105"/>
  <c r="F342" i="105"/>
  <c r="X341" i="105"/>
  <c r="H341" i="105"/>
  <c r="G341" i="105"/>
  <c r="F341" i="105"/>
  <c r="X340" i="105"/>
  <c r="H340" i="105"/>
  <c r="G340" i="105"/>
  <c r="F340" i="105"/>
  <c r="X339" i="105"/>
  <c r="H339" i="105"/>
  <c r="G339" i="105"/>
  <c r="F339" i="105"/>
  <c r="X338" i="105"/>
  <c r="H338" i="105"/>
  <c r="G338" i="105"/>
  <c r="F338" i="105"/>
  <c r="X337" i="105"/>
  <c r="H337" i="105"/>
  <c r="G337" i="105"/>
  <c r="F337" i="105"/>
  <c r="X336" i="105"/>
  <c r="H336" i="105"/>
  <c r="G336" i="105"/>
  <c r="F336" i="105"/>
  <c r="X335" i="105"/>
  <c r="H335" i="105"/>
  <c r="G335" i="105"/>
  <c r="F335" i="105"/>
  <c r="X334" i="105"/>
  <c r="H334" i="105"/>
  <c r="G334" i="105"/>
  <c r="F334" i="105"/>
  <c r="X333" i="105"/>
  <c r="H333" i="105"/>
  <c r="G333" i="105"/>
  <c r="F333" i="105"/>
  <c r="X332" i="105"/>
  <c r="H332" i="105"/>
  <c r="G332" i="105"/>
  <c r="F332" i="105"/>
  <c r="X331" i="105"/>
  <c r="H331" i="105"/>
  <c r="G331" i="105"/>
  <c r="F331" i="105"/>
  <c r="X330" i="105"/>
  <c r="H330" i="105"/>
  <c r="G330" i="105"/>
  <c r="F330" i="105"/>
  <c r="X329" i="105"/>
  <c r="H329" i="105"/>
  <c r="G329" i="105"/>
  <c r="F329" i="105"/>
  <c r="X328" i="105"/>
  <c r="H328" i="105"/>
  <c r="G328" i="105"/>
  <c r="F328" i="105"/>
  <c r="X327" i="105"/>
  <c r="H327" i="105"/>
  <c r="G327" i="105"/>
  <c r="F327" i="105"/>
  <c r="X326" i="105"/>
  <c r="H326" i="105"/>
  <c r="G326" i="105"/>
  <c r="F326" i="105"/>
  <c r="X325" i="105"/>
  <c r="H325" i="105"/>
  <c r="G325" i="105"/>
  <c r="F325" i="105"/>
  <c r="X324" i="105"/>
  <c r="H324" i="105"/>
  <c r="G324" i="105"/>
  <c r="F324" i="105"/>
  <c r="X323" i="105"/>
  <c r="H323" i="105"/>
  <c r="G323" i="105"/>
  <c r="F323" i="105"/>
  <c r="X322" i="105"/>
  <c r="H322" i="105"/>
  <c r="G322" i="105"/>
  <c r="F322" i="105"/>
  <c r="X321" i="105"/>
  <c r="H321" i="105"/>
  <c r="G321" i="105"/>
  <c r="F321" i="105"/>
  <c r="X320" i="105"/>
  <c r="H320" i="105"/>
  <c r="G320" i="105"/>
  <c r="F320" i="105"/>
  <c r="X319" i="105"/>
  <c r="H319" i="105"/>
  <c r="G319" i="105"/>
  <c r="F319" i="105"/>
  <c r="X318" i="105"/>
  <c r="H318" i="105"/>
  <c r="G318" i="105"/>
  <c r="F318" i="105"/>
  <c r="X317" i="105"/>
  <c r="H317" i="105"/>
  <c r="G317" i="105"/>
  <c r="F317" i="105"/>
  <c r="X316" i="105"/>
  <c r="H316" i="105"/>
  <c r="G316" i="105"/>
  <c r="F316" i="105"/>
  <c r="X315" i="105"/>
  <c r="H315" i="105"/>
  <c r="G315" i="105"/>
  <c r="F315" i="105"/>
  <c r="X314" i="105"/>
  <c r="H314" i="105"/>
  <c r="G314" i="105"/>
  <c r="F314" i="105"/>
  <c r="X313" i="105"/>
  <c r="H313" i="105"/>
  <c r="G313" i="105"/>
  <c r="F313" i="105"/>
  <c r="X312" i="105"/>
  <c r="H312" i="105"/>
  <c r="G312" i="105"/>
  <c r="F312" i="105"/>
  <c r="X311" i="105"/>
  <c r="H311" i="105"/>
  <c r="G311" i="105"/>
  <c r="F311" i="105"/>
  <c r="X310" i="105"/>
  <c r="H310" i="105"/>
  <c r="G310" i="105"/>
  <c r="F310" i="105"/>
  <c r="X309" i="105"/>
  <c r="H309" i="105"/>
  <c r="G309" i="105"/>
  <c r="F309" i="105"/>
  <c r="X308" i="105"/>
  <c r="H308" i="105"/>
  <c r="G308" i="105"/>
  <c r="F308" i="105"/>
  <c r="X307" i="105"/>
  <c r="H307" i="105"/>
  <c r="G307" i="105"/>
  <c r="F307" i="105"/>
  <c r="X306" i="105"/>
  <c r="H306" i="105"/>
  <c r="G306" i="105"/>
  <c r="F306" i="105"/>
  <c r="X305" i="105"/>
  <c r="H305" i="105"/>
  <c r="G305" i="105"/>
  <c r="F305" i="105"/>
  <c r="X304" i="105"/>
  <c r="H304" i="105"/>
  <c r="G304" i="105"/>
  <c r="F304" i="105"/>
  <c r="X303" i="105"/>
  <c r="H303" i="105"/>
  <c r="G303" i="105"/>
  <c r="F303" i="105"/>
  <c r="X302" i="105"/>
  <c r="H302" i="105"/>
  <c r="G302" i="105"/>
  <c r="F302" i="105"/>
  <c r="X301" i="105"/>
  <c r="H301" i="105"/>
  <c r="G301" i="105"/>
  <c r="F301" i="105"/>
  <c r="X300" i="105"/>
  <c r="H300" i="105"/>
  <c r="G300" i="105"/>
  <c r="F300" i="105"/>
  <c r="X299" i="105"/>
  <c r="H299" i="105"/>
  <c r="G299" i="105"/>
  <c r="F299" i="105"/>
  <c r="X298" i="105"/>
  <c r="H298" i="105"/>
  <c r="G298" i="105"/>
  <c r="F298" i="105"/>
  <c r="X297" i="105"/>
  <c r="H297" i="105"/>
  <c r="G297" i="105"/>
  <c r="F297" i="105"/>
  <c r="X296" i="105"/>
  <c r="H296" i="105"/>
  <c r="G296" i="105"/>
  <c r="F296" i="105"/>
  <c r="X295" i="105"/>
  <c r="H295" i="105"/>
  <c r="G295" i="105"/>
  <c r="F295" i="105"/>
  <c r="X294" i="105"/>
  <c r="H294" i="105"/>
  <c r="G294" i="105"/>
  <c r="F294" i="105"/>
  <c r="X293" i="105"/>
  <c r="H293" i="105"/>
  <c r="G293" i="105"/>
  <c r="F293" i="105"/>
  <c r="X292" i="105"/>
  <c r="H292" i="105"/>
  <c r="G292" i="105"/>
  <c r="F292" i="105"/>
  <c r="X291" i="105"/>
  <c r="H291" i="105"/>
  <c r="G291" i="105"/>
  <c r="F291" i="105"/>
  <c r="X290" i="105"/>
  <c r="H290" i="105"/>
  <c r="G290" i="105"/>
  <c r="F290" i="105"/>
  <c r="X289" i="105"/>
  <c r="H289" i="105"/>
  <c r="G289" i="105"/>
  <c r="F289" i="105"/>
  <c r="X288" i="105"/>
  <c r="H288" i="105"/>
  <c r="G288" i="105"/>
  <c r="F288" i="105"/>
  <c r="X287" i="105"/>
  <c r="H287" i="105"/>
  <c r="G287" i="105"/>
  <c r="F287" i="105"/>
  <c r="X286" i="105"/>
  <c r="H286" i="105"/>
  <c r="G286" i="105"/>
  <c r="F286" i="105"/>
  <c r="X285" i="105"/>
  <c r="H285" i="105"/>
  <c r="G285" i="105"/>
  <c r="F285" i="105"/>
  <c r="X284" i="105"/>
  <c r="H284" i="105"/>
  <c r="G284" i="105"/>
  <c r="F284" i="105"/>
  <c r="X283" i="105"/>
  <c r="H283" i="105"/>
  <c r="G283" i="105"/>
  <c r="F283" i="105"/>
  <c r="X282" i="105"/>
  <c r="H282" i="105"/>
  <c r="G282" i="105"/>
  <c r="F282" i="105"/>
  <c r="X281" i="105"/>
  <c r="H281" i="105"/>
  <c r="G281" i="105"/>
  <c r="F281" i="105"/>
  <c r="X280" i="105"/>
  <c r="H280" i="105"/>
  <c r="G280" i="105"/>
  <c r="F280" i="105"/>
  <c r="X279" i="105"/>
  <c r="H279" i="105"/>
  <c r="G279" i="105"/>
  <c r="F279" i="105"/>
  <c r="X278" i="105"/>
  <c r="H278" i="105"/>
  <c r="G278" i="105"/>
  <c r="F278" i="105"/>
  <c r="X277" i="105"/>
  <c r="H277" i="105"/>
  <c r="G277" i="105"/>
  <c r="F277" i="105"/>
  <c r="X276" i="105"/>
  <c r="H276" i="105"/>
  <c r="G276" i="105"/>
  <c r="F276" i="105"/>
  <c r="X275" i="105"/>
  <c r="H275" i="105"/>
  <c r="G275" i="105"/>
  <c r="F275" i="105"/>
  <c r="X274" i="105"/>
  <c r="H274" i="105"/>
  <c r="G274" i="105"/>
  <c r="F274" i="105"/>
  <c r="X273" i="105"/>
  <c r="H273" i="105"/>
  <c r="G273" i="105"/>
  <c r="F273" i="105"/>
  <c r="X272" i="105"/>
  <c r="H272" i="105"/>
  <c r="G272" i="105"/>
  <c r="F272" i="105"/>
  <c r="X271" i="105"/>
  <c r="H271" i="105"/>
  <c r="G271" i="105"/>
  <c r="F271" i="105"/>
  <c r="X270" i="105"/>
  <c r="H270" i="105"/>
  <c r="G270" i="105"/>
  <c r="F270" i="105"/>
  <c r="X269" i="105"/>
  <c r="H269" i="105"/>
  <c r="G269" i="105"/>
  <c r="F269" i="105"/>
  <c r="X268" i="105"/>
  <c r="H268" i="105"/>
  <c r="G268" i="105"/>
  <c r="F268" i="105"/>
  <c r="X267" i="105"/>
  <c r="H267" i="105"/>
  <c r="G267" i="105"/>
  <c r="F267" i="105"/>
  <c r="X266" i="105"/>
  <c r="H266" i="105"/>
  <c r="G266" i="105"/>
  <c r="F266" i="105"/>
  <c r="X265" i="105"/>
  <c r="H265" i="105"/>
  <c r="G265" i="105"/>
  <c r="F265" i="105"/>
  <c r="X264" i="105"/>
  <c r="H264" i="105"/>
  <c r="G264" i="105"/>
  <c r="F264" i="105"/>
  <c r="X263" i="105"/>
  <c r="H263" i="105"/>
  <c r="G263" i="105"/>
  <c r="F263" i="105"/>
  <c r="X262" i="105"/>
  <c r="H262" i="105"/>
  <c r="G262" i="105"/>
  <c r="F262" i="105"/>
  <c r="X261" i="105"/>
  <c r="H261" i="105"/>
  <c r="G261" i="105"/>
  <c r="F261" i="105"/>
  <c r="X260" i="105"/>
  <c r="H260" i="105"/>
  <c r="G260" i="105"/>
  <c r="F260" i="105"/>
  <c r="X259" i="105"/>
  <c r="H259" i="105"/>
  <c r="G259" i="105"/>
  <c r="F259" i="105"/>
  <c r="X258" i="105"/>
  <c r="H258" i="105"/>
  <c r="G258" i="105"/>
  <c r="F258" i="105"/>
  <c r="X257" i="105"/>
  <c r="H257" i="105"/>
  <c r="G257" i="105"/>
  <c r="F257" i="105"/>
  <c r="X256" i="105"/>
  <c r="H256" i="105"/>
  <c r="G256" i="105"/>
  <c r="F256" i="105"/>
  <c r="X255" i="105"/>
  <c r="H255" i="105"/>
  <c r="G255" i="105"/>
  <c r="F255" i="105"/>
  <c r="X254" i="105"/>
  <c r="H254" i="105"/>
  <c r="G254" i="105"/>
  <c r="F254" i="105"/>
  <c r="X253" i="105"/>
  <c r="H253" i="105"/>
  <c r="G253" i="105"/>
  <c r="F253" i="105"/>
  <c r="X252" i="105"/>
  <c r="H252" i="105"/>
  <c r="G252" i="105"/>
  <c r="F252" i="105"/>
  <c r="X251" i="105"/>
  <c r="H251" i="105"/>
  <c r="G251" i="105"/>
  <c r="F251" i="105"/>
  <c r="X250" i="105"/>
  <c r="H250" i="105"/>
  <c r="G250" i="105"/>
  <c r="F250" i="105"/>
  <c r="X249" i="105"/>
  <c r="H249" i="105"/>
  <c r="G249" i="105"/>
  <c r="F249" i="105"/>
  <c r="X248" i="105"/>
  <c r="H248" i="105"/>
  <c r="G248" i="105"/>
  <c r="F248" i="105"/>
  <c r="X247" i="105"/>
  <c r="H247" i="105"/>
  <c r="G247" i="105"/>
  <c r="F247" i="105"/>
  <c r="X246" i="105"/>
  <c r="H246" i="105"/>
  <c r="G246" i="105"/>
  <c r="F246" i="105"/>
  <c r="X245" i="105"/>
  <c r="H245" i="105"/>
  <c r="G245" i="105"/>
  <c r="F245" i="105"/>
  <c r="X244" i="105"/>
  <c r="H244" i="105"/>
  <c r="G244" i="105"/>
  <c r="F244" i="105"/>
  <c r="X243" i="105"/>
  <c r="H243" i="105"/>
  <c r="G243" i="105"/>
  <c r="F243" i="105"/>
  <c r="X242" i="105"/>
  <c r="H242" i="105"/>
  <c r="G242" i="105"/>
  <c r="F242" i="105"/>
  <c r="X241" i="105"/>
  <c r="H241" i="105"/>
  <c r="G241" i="105"/>
  <c r="F241" i="105"/>
  <c r="X240" i="105"/>
  <c r="H240" i="105"/>
  <c r="G240" i="105"/>
  <c r="F240" i="105"/>
  <c r="X239" i="105"/>
  <c r="H239" i="105"/>
  <c r="G239" i="105"/>
  <c r="F239" i="105"/>
  <c r="X238" i="105"/>
  <c r="H238" i="105"/>
  <c r="G238" i="105"/>
  <c r="F238" i="105"/>
  <c r="X237" i="105"/>
  <c r="H237" i="105"/>
  <c r="G237" i="105"/>
  <c r="F237" i="105"/>
  <c r="X236" i="105"/>
  <c r="H236" i="105"/>
  <c r="G236" i="105"/>
  <c r="F236" i="105"/>
  <c r="X235" i="105"/>
  <c r="H235" i="105"/>
  <c r="G235" i="105"/>
  <c r="F235" i="105"/>
  <c r="X234" i="105"/>
  <c r="H234" i="105"/>
  <c r="G234" i="105"/>
  <c r="F234" i="105"/>
  <c r="X233" i="105"/>
  <c r="H233" i="105"/>
  <c r="G233" i="105"/>
  <c r="F233" i="105"/>
  <c r="X232" i="105"/>
  <c r="H232" i="105"/>
  <c r="G232" i="105"/>
  <c r="F232" i="105"/>
  <c r="X231" i="105"/>
  <c r="H231" i="105"/>
  <c r="G231" i="105"/>
  <c r="F231" i="105"/>
  <c r="X230" i="105"/>
  <c r="H230" i="105"/>
  <c r="G230" i="105"/>
  <c r="F230" i="105"/>
  <c r="X229" i="105"/>
  <c r="H229" i="105"/>
  <c r="G229" i="105"/>
  <c r="F229" i="105"/>
  <c r="X228" i="105"/>
  <c r="H228" i="105"/>
  <c r="G228" i="105"/>
  <c r="F228" i="105"/>
  <c r="X227" i="105"/>
  <c r="H227" i="105"/>
  <c r="G227" i="105"/>
  <c r="F227" i="105"/>
  <c r="X226" i="105"/>
  <c r="H226" i="105"/>
  <c r="G226" i="105"/>
  <c r="F226" i="105"/>
  <c r="X225" i="105"/>
  <c r="H225" i="105"/>
  <c r="G225" i="105"/>
  <c r="F225" i="105"/>
  <c r="X224" i="105"/>
  <c r="H224" i="105"/>
  <c r="G224" i="105"/>
  <c r="F224" i="105"/>
  <c r="X223" i="105"/>
  <c r="H223" i="105"/>
  <c r="G223" i="105"/>
  <c r="F223" i="105"/>
  <c r="X222" i="105"/>
  <c r="H222" i="105"/>
  <c r="G222" i="105"/>
  <c r="F222" i="105"/>
  <c r="X221" i="105"/>
  <c r="H221" i="105"/>
  <c r="G221" i="105"/>
  <c r="F221" i="105"/>
  <c r="X220" i="105"/>
  <c r="H220" i="105"/>
  <c r="G220" i="105"/>
  <c r="F220" i="105"/>
  <c r="X219" i="105"/>
  <c r="H219" i="105"/>
  <c r="G219" i="105"/>
  <c r="F219" i="105"/>
  <c r="X218" i="105"/>
  <c r="H218" i="105"/>
  <c r="G218" i="105"/>
  <c r="F218" i="105"/>
  <c r="X217" i="105"/>
  <c r="H217" i="105"/>
  <c r="G217" i="105"/>
  <c r="F217" i="105"/>
  <c r="X216" i="105"/>
  <c r="H216" i="105"/>
  <c r="G216" i="105"/>
  <c r="F216" i="105"/>
  <c r="X215" i="105"/>
  <c r="H215" i="105"/>
  <c r="G215" i="105"/>
  <c r="F215" i="105"/>
  <c r="X214" i="105"/>
  <c r="H214" i="105"/>
  <c r="G214" i="105"/>
  <c r="F214" i="105"/>
  <c r="X213" i="105"/>
  <c r="H213" i="105"/>
  <c r="G213" i="105"/>
  <c r="F213" i="105"/>
  <c r="X212" i="105"/>
  <c r="H212" i="105"/>
  <c r="G212" i="105"/>
  <c r="F212" i="105"/>
  <c r="X211" i="105"/>
  <c r="H211" i="105"/>
  <c r="G211" i="105"/>
  <c r="F211" i="105"/>
  <c r="X210" i="105"/>
  <c r="H210" i="105"/>
  <c r="G210" i="105"/>
  <c r="F210" i="105"/>
  <c r="X209" i="105"/>
  <c r="H209" i="105"/>
  <c r="G209" i="105"/>
  <c r="F209" i="105"/>
  <c r="X208" i="105"/>
  <c r="H208" i="105"/>
  <c r="G208" i="105"/>
  <c r="F208" i="105"/>
  <c r="X207" i="105"/>
  <c r="H207" i="105"/>
  <c r="G207" i="105"/>
  <c r="F207" i="105"/>
  <c r="X206" i="105"/>
  <c r="H206" i="105"/>
  <c r="G206" i="105"/>
  <c r="F206" i="105"/>
  <c r="X205" i="105"/>
  <c r="H205" i="105"/>
  <c r="G205" i="105"/>
  <c r="F205" i="105"/>
  <c r="X204" i="105"/>
  <c r="H204" i="105"/>
  <c r="G204" i="105"/>
  <c r="F204" i="105"/>
  <c r="X203" i="105"/>
  <c r="H203" i="105"/>
  <c r="G203" i="105"/>
  <c r="F203" i="105"/>
  <c r="X202" i="105"/>
  <c r="H202" i="105"/>
  <c r="G202" i="105"/>
  <c r="F202" i="105"/>
  <c r="X201" i="105"/>
  <c r="H201" i="105"/>
  <c r="G201" i="105"/>
  <c r="F201" i="105"/>
  <c r="X200" i="105"/>
  <c r="H200" i="105"/>
  <c r="G200" i="105"/>
  <c r="F200" i="105"/>
  <c r="X199" i="105"/>
  <c r="H199" i="105"/>
  <c r="G199" i="105"/>
  <c r="F199" i="105"/>
  <c r="X198" i="105"/>
  <c r="H198" i="105"/>
  <c r="G198" i="105"/>
  <c r="F198" i="105"/>
  <c r="X197" i="105"/>
  <c r="H197" i="105"/>
  <c r="G197" i="105"/>
  <c r="F197" i="105"/>
  <c r="X196" i="105"/>
  <c r="H196" i="105"/>
  <c r="G196" i="105"/>
  <c r="F196" i="105"/>
  <c r="X195" i="105"/>
  <c r="H195" i="105"/>
  <c r="G195" i="105"/>
  <c r="F195" i="105"/>
  <c r="X194" i="105"/>
  <c r="H194" i="105"/>
  <c r="G194" i="105"/>
  <c r="F194" i="105"/>
  <c r="X193" i="105"/>
  <c r="H193" i="105"/>
  <c r="G193" i="105"/>
  <c r="F193" i="105"/>
  <c r="X192" i="105"/>
  <c r="H192" i="105"/>
  <c r="G192" i="105"/>
  <c r="F192" i="105"/>
  <c r="X191" i="105"/>
  <c r="H191" i="105"/>
  <c r="G191" i="105"/>
  <c r="F191" i="105"/>
  <c r="X190" i="105"/>
  <c r="H190" i="105"/>
  <c r="G190" i="105"/>
  <c r="F190" i="105"/>
  <c r="X189" i="105"/>
  <c r="H189" i="105"/>
  <c r="G189" i="105"/>
  <c r="F189" i="105"/>
  <c r="X188" i="105"/>
  <c r="H188" i="105"/>
  <c r="G188" i="105"/>
  <c r="F188" i="105"/>
  <c r="X187" i="105"/>
  <c r="H187" i="105"/>
  <c r="G187" i="105"/>
  <c r="F187" i="105"/>
  <c r="X186" i="105"/>
  <c r="H186" i="105"/>
  <c r="G186" i="105"/>
  <c r="F186" i="105"/>
  <c r="X185" i="105"/>
  <c r="H185" i="105"/>
  <c r="G185" i="105"/>
  <c r="F185" i="105"/>
  <c r="X184" i="105"/>
  <c r="H184" i="105"/>
  <c r="G184" i="105"/>
  <c r="F184" i="105"/>
  <c r="X183" i="105"/>
  <c r="H183" i="105"/>
  <c r="G183" i="105"/>
  <c r="F183" i="105"/>
  <c r="X182" i="105"/>
  <c r="H182" i="105"/>
  <c r="G182" i="105"/>
  <c r="F182" i="105"/>
  <c r="X181" i="105"/>
  <c r="H181" i="105"/>
  <c r="G181" i="105"/>
  <c r="F181" i="105"/>
  <c r="X180" i="105"/>
  <c r="H180" i="105"/>
  <c r="G180" i="105"/>
  <c r="F180" i="105"/>
  <c r="X179" i="105"/>
  <c r="H179" i="105"/>
  <c r="G179" i="105"/>
  <c r="F179" i="105"/>
  <c r="X178" i="105"/>
  <c r="H178" i="105"/>
  <c r="G178" i="105"/>
  <c r="F178" i="105"/>
  <c r="X177" i="105"/>
  <c r="H177" i="105"/>
  <c r="G177" i="105"/>
  <c r="F177" i="105"/>
  <c r="X176" i="105"/>
  <c r="H176" i="105"/>
  <c r="G176" i="105"/>
  <c r="F176" i="105"/>
  <c r="X175" i="105"/>
  <c r="H175" i="105"/>
  <c r="G175" i="105"/>
  <c r="F175" i="105"/>
  <c r="X174" i="105"/>
  <c r="H174" i="105"/>
  <c r="G174" i="105"/>
  <c r="F174" i="105"/>
  <c r="X173" i="105"/>
  <c r="H173" i="105"/>
  <c r="G173" i="105"/>
  <c r="F173" i="105"/>
  <c r="X172" i="105"/>
  <c r="H172" i="105"/>
  <c r="G172" i="105"/>
  <c r="F172" i="105"/>
  <c r="X171" i="105"/>
  <c r="H171" i="105"/>
  <c r="G171" i="105"/>
  <c r="F171" i="105"/>
  <c r="X170" i="105"/>
  <c r="H170" i="105"/>
  <c r="G170" i="105"/>
  <c r="F170" i="105"/>
  <c r="X169" i="105"/>
  <c r="H169" i="105"/>
  <c r="G169" i="105"/>
  <c r="F169" i="105"/>
  <c r="X168" i="105"/>
  <c r="H168" i="105"/>
  <c r="G168" i="105"/>
  <c r="F168" i="105"/>
  <c r="X167" i="105"/>
  <c r="H167" i="105"/>
  <c r="G167" i="105"/>
  <c r="F167" i="105"/>
  <c r="X166" i="105"/>
  <c r="H166" i="105"/>
  <c r="G166" i="105"/>
  <c r="F166" i="105"/>
  <c r="X165" i="105"/>
  <c r="H165" i="105"/>
  <c r="G165" i="105"/>
  <c r="F165" i="105"/>
  <c r="X164" i="105"/>
  <c r="H164" i="105"/>
  <c r="G164" i="105"/>
  <c r="F164" i="105"/>
  <c r="X163" i="105"/>
  <c r="H163" i="105"/>
  <c r="G163" i="105"/>
  <c r="F163" i="105"/>
  <c r="X162" i="105"/>
  <c r="H162" i="105"/>
  <c r="G162" i="105"/>
  <c r="F162" i="105"/>
  <c r="X161" i="105"/>
  <c r="H161" i="105"/>
  <c r="G161" i="105"/>
  <c r="F161" i="105"/>
  <c r="X160" i="105"/>
  <c r="H160" i="105"/>
  <c r="G160" i="105"/>
  <c r="F160" i="105"/>
  <c r="X159" i="105"/>
  <c r="H159" i="105"/>
  <c r="G159" i="105"/>
  <c r="F159" i="105"/>
  <c r="X158" i="105"/>
  <c r="H158" i="105"/>
  <c r="G158" i="105"/>
  <c r="F158" i="105"/>
  <c r="X157" i="105"/>
  <c r="H157" i="105"/>
  <c r="G157" i="105"/>
  <c r="F157" i="105"/>
  <c r="X156" i="105"/>
  <c r="H156" i="105"/>
  <c r="G156" i="105"/>
  <c r="F156" i="105"/>
  <c r="X155" i="105"/>
  <c r="H155" i="105"/>
  <c r="G155" i="105"/>
  <c r="F155" i="105"/>
  <c r="X154" i="105"/>
  <c r="H154" i="105"/>
  <c r="G154" i="105"/>
  <c r="F154" i="105"/>
  <c r="X153" i="105"/>
  <c r="H153" i="105"/>
  <c r="G153" i="105"/>
  <c r="F153" i="105"/>
  <c r="X152" i="105"/>
  <c r="H152" i="105"/>
  <c r="G152" i="105"/>
  <c r="F152" i="105"/>
  <c r="X151" i="105"/>
  <c r="H151" i="105"/>
  <c r="G151" i="105"/>
  <c r="F151" i="105"/>
  <c r="X150" i="105"/>
  <c r="H150" i="105"/>
  <c r="G150" i="105"/>
  <c r="F150" i="105"/>
  <c r="X149" i="105"/>
  <c r="H149" i="105"/>
  <c r="G149" i="105"/>
  <c r="F149" i="105"/>
  <c r="X148" i="105"/>
  <c r="H148" i="105"/>
  <c r="G148" i="105"/>
  <c r="F148" i="105"/>
  <c r="X147" i="105"/>
  <c r="H147" i="105"/>
  <c r="G147" i="105"/>
  <c r="F147" i="105"/>
  <c r="X146" i="105"/>
  <c r="H146" i="105"/>
  <c r="G146" i="105"/>
  <c r="F146" i="105"/>
  <c r="X145" i="105"/>
  <c r="H145" i="105"/>
  <c r="G145" i="105"/>
  <c r="F145" i="105"/>
  <c r="X144" i="105"/>
  <c r="H144" i="105"/>
  <c r="G144" i="105"/>
  <c r="F144" i="105"/>
  <c r="X143" i="105"/>
  <c r="H143" i="105"/>
  <c r="G143" i="105"/>
  <c r="F143" i="105"/>
  <c r="X142" i="105"/>
  <c r="H142" i="105"/>
  <c r="G142" i="105"/>
  <c r="F142" i="105"/>
  <c r="X141" i="105"/>
  <c r="H141" i="105"/>
  <c r="G141" i="105"/>
  <c r="F141" i="105"/>
  <c r="X140" i="105"/>
  <c r="H140" i="105"/>
  <c r="G140" i="105"/>
  <c r="F140" i="105"/>
  <c r="X139" i="105"/>
  <c r="H139" i="105"/>
  <c r="G139" i="105"/>
  <c r="F139" i="105"/>
  <c r="X138" i="105"/>
  <c r="H138" i="105"/>
  <c r="G138" i="105"/>
  <c r="F138" i="105"/>
  <c r="X137" i="105"/>
  <c r="H137" i="105"/>
  <c r="G137" i="105"/>
  <c r="F137" i="105"/>
  <c r="X136" i="105"/>
  <c r="H136" i="105"/>
  <c r="G136" i="105"/>
  <c r="F136" i="105"/>
  <c r="X135" i="105"/>
  <c r="H135" i="105"/>
  <c r="G135" i="105"/>
  <c r="F135" i="105"/>
  <c r="X134" i="105"/>
  <c r="H134" i="105"/>
  <c r="G134" i="105"/>
  <c r="F134" i="105"/>
  <c r="X133" i="105"/>
  <c r="H133" i="105"/>
  <c r="G133" i="105"/>
  <c r="F133" i="105"/>
  <c r="X132" i="105"/>
  <c r="H132" i="105"/>
  <c r="G132" i="105"/>
  <c r="F132" i="105"/>
  <c r="X131" i="105"/>
  <c r="H131" i="105"/>
  <c r="G131" i="105"/>
  <c r="F131" i="105"/>
  <c r="X130" i="105"/>
  <c r="H130" i="105"/>
  <c r="G130" i="105"/>
  <c r="F130" i="105"/>
  <c r="X129" i="105"/>
  <c r="H129" i="105"/>
  <c r="G129" i="105"/>
  <c r="F129" i="105"/>
  <c r="X128" i="105"/>
  <c r="H128" i="105"/>
  <c r="G128" i="105"/>
  <c r="F128" i="105"/>
  <c r="X127" i="105"/>
  <c r="H127" i="105"/>
  <c r="G127" i="105"/>
  <c r="F127" i="105"/>
  <c r="X126" i="105"/>
  <c r="H126" i="105"/>
  <c r="G126" i="105"/>
  <c r="F126" i="105"/>
  <c r="X125" i="105"/>
  <c r="H125" i="105"/>
  <c r="G125" i="105"/>
  <c r="F125" i="105"/>
  <c r="X124" i="105"/>
  <c r="H124" i="105"/>
  <c r="G124" i="105"/>
  <c r="F124" i="105"/>
  <c r="X123" i="105"/>
  <c r="H123" i="105"/>
  <c r="G123" i="105"/>
  <c r="F123" i="105"/>
  <c r="X122" i="105"/>
  <c r="H122" i="105"/>
  <c r="G122" i="105"/>
  <c r="F122" i="105"/>
  <c r="X121" i="105"/>
  <c r="H121" i="105"/>
  <c r="G121" i="105"/>
  <c r="F121" i="105"/>
  <c r="X120" i="105"/>
  <c r="H120" i="105"/>
  <c r="G120" i="105"/>
  <c r="F120" i="105"/>
  <c r="X119" i="105"/>
  <c r="H119" i="105"/>
  <c r="G119" i="105"/>
  <c r="F119" i="105"/>
  <c r="X118" i="105"/>
  <c r="H118" i="105"/>
  <c r="G118" i="105"/>
  <c r="F118" i="105"/>
  <c r="X117" i="105"/>
  <c r="H117" i="105"/>
  <c r="G117" i="105"/>
  <c r="F117" i="105"/>
  <c r="X116" i="105"/>
  <c r="H116" i="105"/>
  <c r="G116" i="105"/>
  <c r="F116" i="105"/>
  <c r="X115" i="105"/>
  <c r="H115" i="105"/>
  <c r="G115" i="105"/>
  <c r="F115" i="105"/>
  <c r="X114" i="105"/>
  <c r="H114" i="105"/>
  <c r="G114" i="105"/>
  <c r="F114" i="105"/>
  <c r="X113" i="105"/>
  <c r="H113" i="105"/>
  <c r="G113" i="105"/>
  <c r="F113" i="105"/>
  <c r="X112" i="105"/>
  <c r="H112" i="105"/>
  <c r="G112" i="105"/>
  <c r="F112" i="105"/>
  <c r="X111" i="105"/>
  <c r="H111" i="105"/>
  <c r="G111" i="105"/>
  <c r="F111" i="105"/>
  <c r="X110" i="105"/>
  <c r="H110" i="105"/>
  <c r="G110" i="105"/>
  <c r="F110" i="105"/>
  <c r="X109" i="105"/>
  <c r="H109" i="105"/>
  <c r="G109" i="105"/>
  <c r="F109" i="105"/>
  <c r="X108" i="105"/>
  <c r="H108" i="105"/>
  <c r="G108" i="105"/>
  <c r="F108" i="105"/>
  <c r="X107" i="105"/>
  <c r="H107" i="105"/>
  <c r="G107" i="105"/>
  <c r="F107" i="105"/>
  <c r="X106" i="105"/>
  <c r="H106" i="105"/>
  <c r="G106" i="105"/>
  <c r="F106" i="105"/>
  <c r="X105" i="105"/>
  <c r="H105" i="105"/>
  <c r="G105" i="105"/>
  <c r="F105" i="105"/>
  <c r="X104" i="105"/>
  <c r="H104" i="105"/>
  <c r="G104" i="105"/>
  <c r="F104" i="105"/>
  <c r="X103" i="105"/>
  <c r="H103" i="105"/>
  <c r="G103" i="105"/>
  <c r="F103" i="105"/>
  <c r="X102" i="105"/>
  <c r="H102" i="105"/>
  <c r="G102" i="105"/>
  <c r="F102" i="105"/>
  <c r="X101" i="105"/>
  <c r="H101" i="105"/>
  <c r="G101" i="105"/>
  <c r="F101" i="105"/>
  <c r="X100" i="105"/>
  <c r="H100" i="105"/>
  <c r="G100" i="105"/>
  <c r="F100" i="105"/>
  <c r="X99" i="105"/>
  <c r="H99" i="105"/>
  <c r="G99" i="105"/>
  <c r="F99" i="105"/>
  <c r="X98" i="105"/>
  <c r="H98" i="105"/>
  <c r="G98" i="105"/>
  <c r="F98" i="105"/>
  <c r="X97" i="105"/>
  <c r="H97" i="105"/>
  <c r="G97" i="105"/>
  <c r="F97" i="105"/>
  <c r="X96" i="105"/>
  <c r="H96" i="105"/>
  <c r="G96" i="105"/>
  <c r="F96" i="105"/>
  <c r="X95" i="105"/>
  <c r="H95" i="105"/>
  <c r="G95" i="105"/>
  <c r="F95" i="105"/>
  <c r="X94" i="105"/>
  <c r="H94" i="105"/>
  <c r="G94" i="105"/>
  <c r="F94" i="105"/>
  <c r="X93" i="105"/>
  <c r="H93" i="105"/>
  <c r="G93" i="105"/>
  <c r="F93" i="105"/>
  <c r="X92" i="105"/>
  <c r="H92" i="105"/>
  <c r="G92" i="105"/>
  <c r="F92" i="105"/>
  <c r="X91" i="105"/>
  <c r="H91" i="105"/>
  <c r="G91" i="105"/>
  <c r="F91" i="105"/>
  <c r="X90" i="105"/>
  <c r="H90" i="105"/>
  <c r="G90" i="105"/>
  <c r="F90" i="105"/>
  <c r="X89" i="105"/>
  <c r="H89" i="105"/>
  <c r="G89" i="105"/>
  <c r="F89" i="105"/>
  <c r="X88" i="105"/>
  <c r="H88" i="105"/>
  <c r="G88" i="105"/>
  <c r="F88" i="105"/>
  <c r="X87" i="105"/>
  <c r="H87" i="105"/>
  <c r="G87" i="105"/>
  <c r="F87" i="105"/>
  <c r="X86" i="105"/>
  <c r="H86" i="105"/>
  <c r="G86" i="105"/>
  <c r="F86" i="105"/>
  <c r="X85" i="105"/>
  <c r="H85" i="105"/>
  <c r="G85" i="105"/>
  <c r="F85" i="105"/>
  <c r="X84" i="105"/>
  <c r="H84" i="105"/>
  <c r="G84" i="105"/>
  <c r="F84" i="105"/>
  <c r="X83" i="105"/>
  <c r="H83" i="105"/>
  <c r="G83" i="105"/>
  <c r="F83" i="105"/>
  <c r="X82" i="105"/>
  <c r="H82" i="105"/>
  <c r="G82" i="105"/>
  <c r="F82" i="105"/>
  <c r="X81" i="105"/>
  <c r="H81" i="105"/>
  <c r="G81" i="105"/>
  <c r="F81" i="105"/>
  <c r="X80" i="105"/>
  <c r="H80" i="105"/>
  <c r="G80" i="105"/>
  <c r="F80" i="105"/>
  <c r="X79" i="105"/>
  <c r="H79" i="105"/>
  <c r="G79" i="105"/>
  <c r="F79" i="105"/>
  <c r="X78" i="105"/>
  <c r="H78" i="105"/>
  <c r="G78" i="105"/>
  <c r="F78" i="105"/>
  <c r="X77" i="105"/>
  <c r="H77" i="105"/>
  <c r="G77" i="105"/>
  <c r="F77" i="105"/>
  <c r="X76" i="105"/>
  <c r="H76" i="105"/>
  <c r="G76" i="105"/>
  <c r="F76" i="105"/>
  <c r="X75" i="105"/>
  <c r="H75" i="105"/>
  <c r="G75" i="105"/>
  <c r="F75" i="105"/>
  <c r="X74" i="105"/>
  <c r="H74" i="105"/>
  <c r="G74" i="105"/>
  <c r="F74" i="105"/>
  <c r="X73" i="105"/>
  <c r="H73" i="105"/>
  <c r="G73" i="105"/>
  <c r="F73" i="105"/>
  <c r="X72" i="105"/>
  <c r="H72" i="105"/>
  <c r="G72" i="105"/>
  <c r="F72" i="105"/>
  <c r="X71" i="105"/>
  <c r="H71" i="105"/>
  <c r="G71" i="105"/>
  <c r="F71" i="105"/>
  <c r="X70" i="105"/>
  <c r="H70" i="105"/>
  <c r="G70" i="105"/>
  <c r="F70" i="105"/>
  <c r="X69" i="105"/>
  <c r="H69" i="105"/>
  <c r="G69" i="105"/>
  <c r="F69" i="105"/>
  <c r="X68" i="105"/>
  <c r="H68" i="105"/>
  <c r="G68" i="105"/>
  <c r="F68" i="105"/>
  <c r="X67" i="105"/>
  <c r="H67" i="105"/>
  <c r="G67" i="105"/>
  <c r="F67" i="105"/>
  <c r="X66" i="105"/>
  <c r="H66" i="105"/>
  <c r="G66" i="105"/>
  <c r="F66" i="105"/>
  <c r="X65" i="105"/>
  <c r="H65" i="105"/>
  <c r="G65" i="105"/>
  <c r="F65" i="105"/>
  <c r="X64" i="105"/>
  <c r="H64" i="105"/>
  <c r="G64" i="105"/>
  <c r="F64" i="105"/>
  <c r="X63" i="105"/>
  <c r="H63" i="105"/>
  <c r="G63" i="105"/>
  <c r="F63" i="105"/>
  <c r="X62" i="105"/>
  <c r="H62" i="105"/>
  <c r="G62" i="105"/>
  <c r="F62" i="105"/>
  <c r="X61" i="105"/>
  <c r="H61" i="105"/>
  <c r="G61" i="105"/>
  <c r="F61" i="105"/>
  <c r="X60" i="105"/>
  <c r="H60" i="105"/>
  <c r="G60" i="105"/>
  <c r="F60" i="105"/>
  <c r="X59" i="105"/>
  <c r="H59" i="105"/>
  <c r="G59" i="105"/>
  <c r="F59" i="105"/>
  <c r="X58" i="105"/>
  <c r="H58" i="105"/>
  <c r="G58" i="105"/>
  <c r="F58" i="105"/>
  <c r="X57" i="105"/>
  <c r="H57" i="105"/>
  <c r="G57" i="105"/>
  <c r="F57" i="105"/>
  <c r="X56" i="105"/>
  <c r="H56" i="105"/>
  <c r="G56" i="105"/>
  <c r="F56" i="105"/>
  <c r="X55" i="105"/>
  <c r="H55" i="105"/>
  <c r="G55" i="105"/>
  <c r="F55" i="105"/>
  <c r="X54" i="105"/>
  <c r="H54" i="105"/>
  <c r="G54" i="105"/>
  <c r="F54" i="105"/>
  <c r="X53" i="105"/>
  <c r="H53" i="105"/>
  <c r="G53" i="105"/>
  <c r="F53" i="105"/>
  <c r="X52" i="105"/>
  <c r="H52" i="105"/>
  <c r="G52" i="105"/>
  <c r="F52" i="105"/>
  <c r="X51" i="105"/>
  <c r="H51" i="105"/>
  <c r="G51" i="105"/>
  <c r="F51" i="105"/>
  <c r="X50" i="105"/>
  <c r="H50" i="105"/>
  <c r="G50" i="105"/>
  <c r="F50" i="105"/>
  <c r="X49" i="105"/>
  <c r="H49" i="105"/>
  <c r="G49" i="105"/>
  <c r="F49" i="105"/>
  <c r="X48" i="105"/>
  <c r="H48" i="105"/>
  <c r="G48" i="105"/>
  <c r="F48" i="105"/>
  <c r="X47" i="105"/>
  <c r="H47" i="105"/>
  <c r="G47" i="105"/>
  <c r="F47" i="105"/>
  <c r="X46" i="105"/>
  <c r="H46" i="105"/>
  <c r="G46" i="105"/>
  <c r="F46" i="105"/>
  <c r="X45" i="105"/>
  <c r="H45" i="105"/>
  <c r="G45" i="105"/>
  <c r="F45" i="105"/>
  <c r="X44" i="105"/>
  <c r="H44" i="105"/>
  <c r="G44" i="105"/>
  <c r="F44" i="105"/>
  <c r="X43" i="105"/>
  <c r="H43" i="105"/>
  <c r="G43" i="105"/>
  <c r="F43" i="105"/>
  <c r="X42" i="105"/>
  <c r="H42" i="105"/>
  <c r="G42" i="105"/>
  <c r="F42" i="105"/>
  <c r="X41" i="105"/>
  <c r="H41" i="105"/>
  <c r="G41" i="105"/>
  <c r="F41" i="105"/>
  <c r="X40" i="105"/>
  <c r="H40" i="105"/>
  <c r="G40" i="105"/>
  <c r="F40" i="105"/>
  <c r="X39" i="105"/>
  <c r="H39" i="105"/>
  <c r="G39" i="105"/>
  <c r="F39" i="105"/>
  <c r="X38" i="105"/>
  <c r="H38" i="105"/>
  <c r="G38" i="105"/>
  <c r="F38" i="105"/>
  <c r="X37" i="105"/>
  <c r="H37" i="105"/>
  <c r="G37" i="105"/>
  <c r="F37" i="105"/>
  <c r="X36" i="105"/>
  <c r="H36" i="105"/>
  <c r="G36" i="105"/>
  <c r="F36" i="105"/>
  <c r="X35" i="105"/>
  <c r="H35" i="105"/>
  <c r="G35" i="105"/>
  <c r="F35" i="105"/>
  <c r="X34" i="105"/>
  <c r="H34" i="105"/>
  <c r="G34" i="105"/>
  <c r="F34" i="105"/>
  <c r="X33" i="105"/>
  <c r="H33" i="105"/>
  <c r="G33" i="105"/>
  <c r="F33" i="105"/>
  <c r="X32" i="105"/>
  <c r="H32" i="105"/>
  <c r="G32" i="105"/>
  <c r="F32" i="105"/>
  <c r="X31" i="105"/>
  <c r="H31" i="105"/>
  <c r="G31" i="105"/>
  <c r="F31" i="105"/>
  <c r="X30" i="105"/>
  <c r="H30" i="105"/>
  <c r="G30" i="105"/>
  <c r="F30" i="105"/>
  <c r="X29" i="105"/>
  <c r="H29" i="105"/>
  <c r="G29" i="105"/>
  <c r="F29" i="105"/>
  <c r="X28" i="105"/>
  <c r="H28" i="105"/>
  <c r="G28" i="105"/>
  <c r="F28" i="105"/>
  <c r="X27" i="105"/>
  <c r="H27" i="105"/>
  <c r="G27" i="105"/>
  <c r="F27" i="105"/>
  <c r="X26" i="105"/>
  <c r="H26" i="105"/>
  <c r="G26" i="105"/>
  <c r="F26" i="105"/>
  <c r="X25" i="105"/>
  <c r="H25" i="105"/>
  <c r="G25" i="105"/>
  <c r="F25" i="105"/>
  <c r="X24" i="105"/>
  <c r="H24" i="105"/>
  <c r="G24" i="105"/>
  <c r="F24" i="105"/>
  <c r="X23" i="105"/>
  <c r="H23" i="105"/>
  <c r="G23" i="105"/>
  <c r="F23" i="105"/>
  <c r="X22" i="105"/>
  <c r="H22" i="105"/>
  <c r="G22" i="105"/>
  <c r="F22" i="105"/>
  <c r="X21" i="105"/>
  <c r="H21" i="105"/>
  <c r="G21" i="105"/>
  <c r="F21" i="105"/>
  <c r="X20" i="105"/>
  <c r="H20" i="105"/>
  <c r="G20" i="105"/>
  <c r="F20" i="105"/>
  <c r="X19" i="105"/>
  <c r="H19" i="105"/>
  <c r="G19" i="105"/>
  <c r="F19" i="105"/>
  <c r="X18" i="105"/>
  <c r="H18" i="105"/>
  <c r="G18" i="105"/>
  <c r="F18" i="105"/>
  <c r="X17" i="105"/>
  <c r="H17" i="105"/>
  <c r="G17" i="105"/>
  <c r="F17" i="105"/>
  <c r="X16" i="105"/>
  <c r="H16" i="105"/>
  <c r="G16" i="105"/>
  <c r="F16" i="105"/>
  <c r="X15" i="105"/>
  <c r="H15" i="105"/>
  <c r="G15" i="105"/>
  <c r="F15" i="105"/>
  <c r="X14" i="105"/>
  <c r="H14" i="105"/>
  <c r="G14" i="105"/>
  <c r="F14" i="105"/>
  <c r="X13" i="105"/>
  <c r="H13" i="105"/>
  <c r="G13" i="105"/>
  <c r="F13" i="105"/>
  <c r="X12" i="105"/>
  <c r="H12" i="105"/>
  <c r="G12" i="105"/>
  <c r="F12" i="105"/>
  <c r="X11" i="105"/>
  <c r="H11" i="105"/>
  <c r="G11" i="105"/>
  <c r="F11" i="105"/>
  <c r="X10" i="105"/>
  <c r="H10" i="105"/>
  <c r="G10" i="105"/>
  <c r="F10" i="105"/>
  <c r="X9" i="105"/>
  <c r="H9" i="105"/>
  <c r="G9" i="105"/>
  <c r="F9" i="105"/>
  <c r="X8" i="105"/>
  <c r="H8" i="105"/>
  <c r="G8" i="105"/>
  <c r="F8" i="105"/>
  <c r="X7" i="105"/>
  <c r="H7" i="105"/>
  <c r="G7" i="105"/>
  <c r="F7" i="105"/>
  <c r="X6" i="105"/>
  <c r="H6" i="105"/>
  <c r="G6" i="105"/>
  <c r="F6" i="105"/>
  <c r="X5" i="105"/>
  <c r="H5" i="105"/>
  <c r="G5" i="105"/>
  <c r="F5" i="105"/>
  <c r="X4" i="105"/>
  <c r="H4" i="105"/>
  <c r="G4" i="105"/>
  <c r="F4" i="105"/>
  <c r="X3" i="105"/>
  <c r="H3" i="105"/>
  <c r="G3" i="105"/>
  <c r="F3" i="105"/>
  <c r="X2" i="105"/>
  <c r="H2" i="105"/>
  <c r="G2" i="105"/>
  <c r="F2" i="105"/>
  <c r="G1" i="103" l="1"/>
  <c r="H75" i="91"/>
  <c r="H74" i="91"/>
  <c r="H73" i="91"/>
  <c r="H72" i="91"/>
  <c r="H71" i="91"/>
  <c r="H70" i="91"/>
  <c r="H69" i="91"/>
  <c r="H68" i="91"/>
  <c r="H67" i="91"/>
  <c r="H66" i="91"/>
  <c r="H65" i="91"/>
  <c r="H64" i="91"/>
  <c r="H63" i="91"/>
  <c r="H62" i="91"/>
  <c r="H61" i="91"/>
  <c r="H60" i="91"/>
  <c r="H59" i="91"/>
  <c r="H58" i="91"/>
  <c r="H57" i="91"/>
  <c r="H56" i="91"/>
  <c r="H55" i="91"/>
  <c r="H54" i="91"/>
  <c r="H53" i="91"/>
  <c r="H52" i="91"/>
  <c r="H51" i="91"/>
  <c r="H50" i="91"/>
  <c r="H49" i="91"/>
  <c r="H48" i="91"/>
  <c r="H47" i="91"/>
  <c r="H46" i="91"/>
  <c r="H45" i="91"/>
  <c r="H44" i="91"/>
  <c r="H43" i="91"/>
  <c r="H42" i="91"/>
  <c r="H41" i="91"/>
  <c r="H40" i="91"/>
  <c r="H39" i="91"/>
  <c r="H38" i="91"/>
  <c r="H37" i="91"/>
  <c r="H36" i="91"/>
  <c r="H35" i="91"/>
  <c r="H34" i="91"/>
  <c r="H33" i="91"/>
  <c r="H32" i="91"/>
  <c r="H31" i="91"/>
  <c r="H30" i="91"/>
  <c r="H29" i="91"/>
  <c r="H28" i="91"/>
  <c r="H27" i="91"/>
  <c r="H26" i="91"/>
  <c r="H25" i="91"/>
  <c r="H24" i="91"/>
  <c r="H23" i="91"/>
  <c r="H22" i="91"/>
  <c r="H21" i="91"/>
  <c r="H20" i="91"/>
  <c r="H19" i="91"/>
  <c r="H18" i="91"/>
  <c r="H17" i="91"/>
  <c r="H16" i="91"/>
  <c r="H15" i="91"/>
  <c r="H14" i="91"/>
  <c r="H13" i="91"/>
  <c r="H12" i="91"/>
  <c r="H11" i="91"/>
  <c r="H10" i="91"/>
  <c r="H9" i="91"/>
  <c r="H8" i="91"/>
  <c r="H7" i="91"/>
  <c r="H6" i="91"/>
  <c r="H5" i="91"/>
  <c r="AD75" i="91" l="1"/>
  <c r="AC75" i="91"/>
  <c r="Y75" i="91"/>
  <c r="V75" i="91"/>
  <c r="T75" i="91"/>
  <c r="D72" i="82" s="1"/>
  <c r="A75" i="91"/>
  <c r="S75" i="91"/>
  <c r="R75" i="91"/>
  <c r="M75" i="91"/>
  <c r="G75" i="91"/>
  <c r="AD74" i="91"/>
  <c r="AC74" i="91"/>
  <c r="Y74" i="91"/>
  <c r="V74" i="91"/>
  <c r="T74" i="91"/>
  <c r="D71" i="82" s="1"/>
  <c r="A74" i="91"/>
  <c r="S74" i="91"/>
  <c r="R74" i="91"/>
  <c r="M74" i="91"/>
  <c r="G74" i="91"/>
  <c r="AD73" i="91"/>
  <c r="AC73" i="91"/>
  <c r="Y73" i="91"/>
  <c r="V73" i="91"/>
  <c r="T73" i="91"/>
  <c r="D70" i="82" s="1"/>
  <c r="A73" i="91"/>
  <c r="S73" i="91"/>
  <c r="R73" i="91"/>
  <c r="M73" i="91"/>
  <c r="G73" i="91"/>
  <c r="AD72" i="91"/>
  <c r="AC72" i="91"/>
  <c r="Y72" i="91"/>
  <c r="V72" i="91"/>
  <c r="T72" i="91"/>
  <c r="D69" i="82" s="1"/>
  <c r="A72" i="91"/>
  <c r="S72" i="91"/>
  <c r="R72" i="91"/>
  <c r="M72" i="91"/>
  <c r="G72" i="91"/>
  <c r="AD71" i="91"/>
  <c r="AC71" i="91"/>
  <c r="Y71" i="91"/>
  <c r="V71" i="91"/>
  <c r="T71" i="91"/>
  <c r="D68" i="82" s="1"/>
  <c r="A71" i="91"/>
  <c r="S71" i="91"/>
  <c r="R71" i="91"/>
  <c r="M71" i="91"/>
  <c r="G71" i="91"/>
  <c r="AD70" i="91"/>
  <c r="AC70" i="91"/>
  <c r="Y70" i="91"/>
  <c r="V70" i="91"/>
  <c r="T70" i="91"/>
  <c r="D67" i="82" s="1"/>
  <c r="A70" i="91"/>
  <c r="S70" i="91"/>
  <c r="R70" i="91"/>
  <c r="M70" i="91"/>
  <c r="G70" i="91"/>
  <c r="AD69" i="91"/>
  <c r="AC69" i="91"/>
  <c r="Y69" i="91"/>
  <c r="V69" i="91"/>
  <c r="T69" i="91"/>
  <c r="D66" i="82" s="1"/>
  <c r="A69" i="91"/>
  <c r="S69" i="91"/>
  <c r="R69" i="91"/>
  <c r="M69" i="91"/>
  <c r="G69" i="91"/>
  <c r="AD68" i="91"/>
  <c r="AC68" i="91"/>
  <c r="Y68" i="91"/>
  <c r="V68" i="91"/>
  <c r="T68" i="91"/>
  <c r="D65" i="82" s="1"/>
  <c r="A68" i="91"/>
  <c r="S68" i="91"/>
  <c r="R68" i="91"/>
  <c r="M68" i="91"/>
  <c r="G68" i="91"/>
  <c r="AD67" i="91"/>
  <c r="AC67" i="91"/>
  <c r="Y67" i="91"/>
  <c r="V67" i="91"/>
  <c r="T67" i="91"/>
  <c r="D64" i="82" s="1"/>
  <c r="A67" i="91"/>
  <c r="S67" i="91"/>
  <c r="R67" i="91"/>
  <c r="M67" i="91"/>
  <c r="G67" i="91"/>
  <c r="AD66" i="91"/>
  <c r="AC66" i="91"/>
  <c r="Y66" i="91"/>
  <c r="V66" i="91"/>
  <c r="T66" i="91"/>
  <c r="D63" i="82" s="1"/>
  <c r="A66" i="91"/>
  <c r="S66" i="91"/>
  <c r="R66" i="91"/>
  <c r="M66" i="91"/>
  <c r="G66" i="91"/>
  <c r="AD65" i="91"/>
  <c r="AC65" i="91"/>
  <c r="Y65" i="91"/>
  <c r="V65" i="91"/>
  <c r="T65" i="91"/>
  <c r="D62" i="82" s="1"/>
  <c r="A65" i="91"/>
  <c r="S65" i="91"/>
  <c r="R65" i="91"/>
  <c r="M65" i="91"/>
  <c r="G65" i="91"/>
  <c r="AD64" i="91"/>
  <c r="AC64" i="91"/>
  <c r="Y64" i="91"/>
  <c r="V64" i="91"/>
  <c r="T64" i="91"/>
  <c r="D61" i="82" s="1"/>
  <c r="A64" i="91"/>
  <c r="S64" i="91"/>
  <c r="R64" i="91"/>
  <c r="M64" i="91"/>
  <c r="G64" i="91"/>
  <c r="AD63" i="91"/>
  <c r="AC63" i="91"/>
  <c r="Y63" i="91"/>
  <c r="V63" i="91"/>
  <c r="T63" i="91"/>
  <c r="D60" i="82" s="1"/>
  <c r="A63" i="91"/>
  <c r="S63" i="91"/>
  <c r="R63" i="91"/>
  <c r="M63" i="91"/>
  <c r="G63" i="91"/>
  <c r="AD62" i="91"/>
  <c r="AC62" i="91"/>
  <c r="Y62" i="91"/>
  <c r="V62" i="91"/>
  <c r="T62" i="91"/>
  <c r="D59" i="82" s="1"/>
  <c r="A62" i="91"/>
  <c r="S62" i="91"/>
  <c r="R62" i="91"/>
  <c r="M62" i="91"/>
  <c r="G62" i="91"/>
  <c r="AD61" i="91"/>
  <c r="AC61" i="91"/>
  <c r="Y61" i="91"/>
  <c r="V61" i="91"/>
  <c r="T61" i="91"/>
  <c r="D58" i="82" s="1"/>
  <c r="A61" i="91"/>
  <c r="S61" i="91"/>
  <c r="R61" i="91"/>
  <c r="M61" i="91"/>
  <c r="G61" i="91"/>
  <c r="AD60" i="91"/>
  <c r="AC60" i="91"/>
  <c r="Y60" i="91"/>
  <c r="V60" i="91"/>
  <c r="T60" i="91"/>
  <c r="D57" i="82" s="1"/>
  <c r="A60" i="91"/>
  <c r="S60" i="91"/>
  <c r="R60" i="91"/>
  <c r="M60" i="91"/>
  <c r="G60" i="91"/>
  <c r="AD59" i="91"/>
  <c r="AC59" i="91"/>
  <c r="Y59" i="91"/>
  <c r="V59" i="91"/>
  <c r="T59" i="91"/>
  <c r="D56" i="82" s="1"/>
  <c r="A59" i="91"/>
  <c r="S59" i="91"/>
  <c r="R59" i="91"/>
  <c r="M59" i="91"/>
  <c r="G59" i="91"/>
  <c r="AD58" i="91"/>
  <c r="AC58" i="91"/>
  <c r="Y58" i="91"/>
  <c r="V58" i="91"/>
  <c r="T58" i="91"/>
  <c r="D55" i="82" s="1"/>
  <c r="A58" i="91"/>
  <c r="S58" i="91"/>
  <c r="R58" i="91"/>
  <c r="M58" i="91"/>
  <c r="G58" i="91"/>
  <c r="AD57" i="91"/>
  <c r="AC57" i="91"/>
  <c r="Y57" i="91"/>
  <c r="V57" i="91"/>
  <c r="T57" i="91"/>
  <c r="D54" i="82" s="1"/>
  <c r="A57" i="91"/>
  <c r="S57" i="91"/>
  <c r="R57" i="91"/>
  <c r="M57" i="91"/>
  <c r="G57" i="91"/>
  <c r="AD56" i="91"/>
  <c r="AC56" i="91"/>
  <c r="Y56" i="91"/>
  <c r="V56" i="91"/>
  <c r="T56" i="91"/>
  <c r="D53" i="82" s="1"/>
  <c r="A56" i="91"/>
  <c r="S56" i="91"/>
  <c r="R56" i="91"/>
  <c r="M56" i="91"/>
  <c r="G56" i="91"/>
  <c r="AD55" i="91"/>
  <c r="AC55" i="91"/>
  <c r="Y55" i="91"/>
  <c r="V55" i="91"/>
  <c r="T55" i="91"/>
  <c r="D52" i="82" s="1"/>
  <c r="A55" i="91"/>
  <c r="S55" i="91"/>
  <c r="R55" i="91"/>
  <c r="M55" i="91"/>
  <c r="G55" i="91"/>
  <c r="AD54" i="91"/>
  <c r="AC54" i="91"/>
  <c r="Y54" i="91"/>
  <c r="V54" i="91"/>
  <c r="T54" i="91"/>
  <c r="D51" i="82" s="1"/>
  <c r="A54" i="91"/>
  <c r="S54" i="91"/>
  <c r="R54" i="91"/>
  <c r="M54" i="91"/>
  <c r="G54" i="91"/>
  <c r="AD53" i="91"/>
  <c r="AC53" i="91"/>
  <c r="Y53" i="91"/>
  <c r="V53" i="91"/>
  <c r="T53" i="91"/>
  <c r="D50" i="82" s="1"/>
  <c r="A53" i="91"/>
  <c r="S53" i="91"/>
  <c r="R53" i="91"/>
  <c r="M53" i="91"/>
  <c r="G53" i="91"/>
  <c r="AD52" i="91"/>
  <c r="AC52" i="91"/>
  <c r="Y52" i="91"/>
  <c r="V52" i="91"/>
  <c r="T52" i="91"/>
  <c r="D49" i="82" s="1"/>
  <c r="A52" i="91"/>
  <c r="S52" i="91"/>
  <c r="R52" i="91"/>
  <c r="M52" i="91"/>
  <c r="G52" i="91"/>
  <c r="AD51" i="91"/>
  <c r="AC51" i="91"/>
  <c r="Y51" i="91"/>
  <c r="V51" i="91"/>
  <c r="T51" i="91"/>
  <c r="D48" i="82" s="1"/>
  <c r="A51" i="91"/>
  <c r="S51" i="91"/>
  <c r="R51" i="91"/>
  <c r="M51" i="91"/>
  <c r="G51" i="91"/>
  <c r="AD50" i="91"/>
  <c r="AC50" i="91"/>
  <c r="Y50" i="91"/>
  <c r="V50" i="91"/>
  <c r="T50" i="91"/>
  <c r="D47" i="82" s="1"/>
  <c r="A50" i="91"/>
  <c r="S50" i="91"/>
  <c r="R50" i="91"/>
  <c r="M50" i="91"/>
  <c r="G50" i="91"/>
  <c r="AD49" i="91"/>
  <c r="AC49" i="91"/>
  <c r="Y49" i="91"/>
  <c r="V49" i="91"/>
  <c r="T49" i="91"/>
  <c r="D46" i="82" s="1"/>
  <c r="A49" i="91"/>
  <c r="S49" i="91"/>
  <c r="R49" i="91"/>
  <c r="M49" i="91"/>
  <c r="G49" i="91"/>
  <c r="AD48" i="91"/>
  <c r="AC48" i="91"/>
  <c r="Y48" i="91"/>
  <c r="V48" i="91"/>
  <c r="T48" i="91"/>
  <c r="D45" i="82" s="1"/>
  <c r="A48" i="91"/>
  <c r="S48" i="91"/>
  <c r="R48" i="91"/>
  <c r="M48" i="91"/>
  <c r="G48" i="91"/>
  <c r="AD47" i="91"/>
  <c r="AC47" i="91"/>
  <c r="Y47" i="91"/>
  <c r="V47" i="91"/>
  <c r="T47" i="91"/>
  <c r="D44" i="82" s="1"/>
  <c r="A47" i="91"/>
  <c r="S47" i="91"/>
  <c r="R47" i="91"/>
  <c r="M47" i="91"/>
  <c r="G47" i="91"/>
  <c r="AD46" i="91"/>
  <c r="AC46" i="91"/>
  <c r="Y46" i="91"/>
  <c r="V46" i="91"/>
  <c r="T46" i="91"/>
  <c r="D43" i="82" s="1"/>
  <c r="A46" i="91"/>
  <c r="S46" i="91"/>
  <c r="R46" i="91"/>
  <c r="M46" i="91"/>
  <c r="G46" i="91"/>
  <c r="AD45" i="91"/>
  <c r="AC45" i="91"/>
  <c r="Y45" i="91"/>
  <c r="V45" i="91"/>
  <c r="T45" i="91"/>
  <c r="D42" i="82" s="1"/>
  <c r="A45" i="91"/>
  <c r="S45" i="91"/>
  <c r="R45" i="91"/>
  <c r="M45" i="91"/>
  <c r="G45" i="91"/>
  <c r="AD44" i="91"/>
  <c r="AC44" i="91"/>
  <c r="Y44" i="91"/>
  <c r="V44" i="91"/>
  <c r="T44" i="91"/>
  <c r="D41" i="82" s="1"/>
  <c r="A44" i="91"/>
  <c r="S44" i="91"/>
  <c r="R44" i="91"/>
  <c r="M44" i="91"/>
  <c r="G44" i="91"/>
  <c r="Y43" i="91"/>
  <c r="V43" i="91"/>
  <c r="S43" i="91"/>
  <c r="R43" i="91"/>
  <c r="M43" i="91"/>
  <c r="G43" i="91"/>
  <c r="Y42" i="91"/>
  <c r="V42" i="91"/>
  <c r="S42" i="91"/>
  <c r="R42" i="91"/>
  <c r="M42" i="91"/>
  <c r="G42" i="91"/>
  <c r="Y41" i="91"/>
  <c r="V41" i="91"/>
  <c r="S41" i="91"/>
  <c r="R41" i="91"/>
  <c r="M41" i="91"/>
  <c r="G41" i="91"/>
  <c r="Y40" i="91"/>
  <c r="V40" i="91"/>
  <c r="S40" i="91"/>
  <c r="R40" i="91"/>
  <c r="M40" i="91"/>
  <c r="G40" i="91"/>
  <c r="Y39" i="91"/>
  <c r="V39" i="91"/>
  <c r="S39" i="91"/>
  <c r="R39" i="91"/>
  <c r="M39" i="91"/>
  <c r="G39" i="91"/>
  <c r="Y38" i="91"/>
  <c r="V38" i="91"/>
  <c r="S38" i="91"/>
  <c r="R38" i="91"/>
  <c r="M38" i="91"/>
  <c r="G38" i="91"/>
  <c r="Y37" i="91"/>
  <c r="V37" i="91"/>
  <c r="S37" i="91"/>
  <c r="R37" i="91"/>
  <c r="M37" i="91"/>
  <c r="G37" i="91"/>
  <c r="Y36" i="91"/>
  <c r="V36" i="91"/>
  <c r="S36" i="91"/>
  <c r="R36" i="91"/>
  <c r="M36" i="91"/>
  <c r="G36" i="91"/>
  <c r="Y35" i="91"/>
  <c r="V35" i="91"/>
  <c r="S35" i="91"/>
  <c r="R35" i="91"/>
  <c r="M35" i="91"/>
  <c r="G35" i="91"/>
  <c r="Y34" i="91"/>
  <c r="V34" i="91"/>
  <c r="S34" i="91"/>
  <c r="R34" i="91"/>
  <c r="M34" i="91"/>
  <c r="G34" i="91"/>
  <c r="Y33" i="91"/>
  <c r="V33" i="91"/>
  <c r="S33" i="91"/>
  <c r="R33" i="91"/>
  <c r="M33" i="91"/>
  <c r="G33" i="91"/>
  <c r="Y32" i="91"/>
  <c r="V32" i="91"/>
  <c r="S32" i="91"/>
  <c r="R32" i="91"/>
  <c r="M32" i="91"/>
  <c r="G32" i="91"/>
  <c r="Y31" i="91"/>
  <c r="V31" i="91"/>
  <c r="S31" i="91"/>
  <c r="R31" i="91"/>
  <c r="M31" i="91"/>
  <c r="G31" i="91"/>
  <c r="Y30" i="91"/>
  <c r="V30" i="91"/>
  <c r="S30" i="91"/>
  <c r="R30" i="91"/>
  <c r="M30" i="91"/>
  <c r="G30" i="91"/>
  <c r="Y29" i="91"/>
  <c r="V29" i="91"/>
  <c r="S29" i="91"/>
  <c r="R29" i="91"/>
  <c r="M29" i="91"/>
  <c r="G29" i="91"/>
  <c r="Y28" i="91"/>
  <c r="V28" i="91"/>
  <c r="S28" i="91"/>
  <c r="R28" i="91"/>
  <c r="M28" i="91"/>
  <c r="G28" i="91"/>
  <c r="Y27" i="91"/>
  <c r="V27" i="91"/>
  <c r="S27" i="91"/>
  <c r="R27" i="91"/>
  <c r="M27" i="91"/>
  <c r="I27" i="91" s="1"/>
  <c r="G27" i="91"/>
  <c r="Y26" i="91"/>
  <c r="V26" i="91"/>
  <c r="S26" i="91"/>
  <c r="R26" i="91"/>
  <c r="M26" i="91"/>
  <c r="I26" i="91" s="1"/>
  <c r="G26" i="91"/>
  <c r="Y25" i="91"/>
  <c r="V25" i="91"/>
  <c r="S25" i="91"/>
  <c r="R25" i="91"/>
  <c r="M25" i="91"/>
  <c r="I25" i="91" s="1"/>
  <c r="G25" i="91"/>
  <c r="Y24" i="91"/>
  <c r="V24" i="91"/>
  <c r="S24" i="91"/>
  <c r="R24" i="91"/>
  <c r="M24" i="91"/>
  <c r="I24" i="91" s="1"/>
  <c r="G24" i="91"/>
  <c r="Y23" i="91"/>
  <c r="V23" i="91"/>
  <c r="S23" i="91"/>
  <c r="R23" i="91"/>
  <c r="M23" i="91"/>
  <c r="I23" i="91" s="1"/>
  <c r="G23" i="91"/>
  <c r="Y22" i="91"/>
  <c r="V22" i="91"/>
  <c r="S22" i="91"/>
  <c r="R22" i="91"/>
  <c r="M22" i="91"/>
  <c r="I22" i="91" s="1"/>
  <c r="G22" i="91"/>
  <c r="Y21" i="91"/>
  <c r="V21" i="91"/>
  <c r="S21" i="91"/>
  <c r="R21" i="91"/>
  <c r="M21" i="91"/>
  <c r="I21" i="91" s="1"/>
  <c r="G21" i="91"/>
  <c r="Y20" i="91"/>
  <c r="V20" i="91"/>
  <c r="S20" i="91"/>
  <c r="R20" i="91"/>
  <c r="M20" i="91"/>
  <c r="I20" i="91" s="1"/>
  <c r="G20" i="91"/>
  <c r="Y19" i="91"/>
  <c r="V19" i="91"/>
  <c r="S19" i="91"/>
  <c r="R19" i="91"/>
  <c r="M19" i="91"/>
  <c r="I19" i="91" s="1"/>
  <c r="G19" i="91"/>
  <c r="Y18" i="91"/>
  <c r="V18" i="91"/>
  <c r="S18" i="91"/>
  <c r="R18" i="91"/>
  <c r="M18" i="91"/>
  <c r="I18" i="91" s="1"/>
  <c r="G18" i="91"/>
  <c r="Y17" i="91"/>
  <c r="V17" i="91"/>
  <c r="S17" i="91"/>
  <c r="R17" i="91"/>
  <c r="M17" i="91"/>
  <c r="I17" i="91" s="1"/>
  <c r="G17" i="91"/>
  <c r="Y16" i="91"/>
  <c r="V16" i="91"/>
  <c r="S16" i="91"/>
  <c r="R16" i="91"/>
  <c r="M16" i="91"/>
  <c r="I16" i="91" s="1"/>
  <c r="G16" i="91"/>
  <c r="Y15" i="91"/>
  <c r="V15" i="91"/>
  <c r="S15" i="91"/>
  <c r="R15" i="91"/>
  <c r="M15" i="91"/>
  <c r="I15" i="91" s="1"/>
  <c r="G15" i="91"/>
  <c r="Y14" i="91"/>
  <c r="V14" i="91"/>
  <c r="S14" i="91"/>
  <c r="R14" i="91"/>
  <c r="M14" i="91"/>
  <c r="I14" i="91" s="1"/>
  <c r="G14" i="91"/>
  <c r="Y13" i="91"/>
  <c r="V13" i="91"/>
  <c r="S13" i="91"/>
  <c r="R13" i="91"/>
  <c r="M13" i="91"/>
  <c r="I13" i="91" s="1"/>
  <c r="G13" i="91"/>
  <c r="Y12" i="91"/>
  <c r="V12" i="91"/>
  <c r="S12" i="91"/>
  <c r="R12" i="91"/>
  <c r="M12" i="91"/>
  <c r="I12" i="91" s="1"/>
  <c r="G12" i="91"/>
  <c r="Y11" i="91"/>
  <c r="V11" i="91"/>
  <c r="S11" i="91"/>
  <c r="R11" i="91"/>
  <c r="M11" i="91"/>
  <c r="I11" i="91" s="1"/>
  <c r="G11" i="91"/>
  <c r="Y10" i="91"/>
  <c r="V10" i="91"/>
  <c r="S10" i="91"/>
  <c r="R10" i="91"/>
  <c r="M10" i="91"/>
  <c r="I10" i="91" s="1"/>
  <c r="G10" i="91"/>
  <c r="Y9" i="91"/>
  <c r="V9" i="91"/>
  <c r="S9" i="91"/>
  <c r="R9" i="91"/>
  <c r="M9" i="91"/>
  <c r="I9" i="91" s="1"/>
  <c r="G9" i="91"/>
  <c r="Y8" i="91"/>
  <c r="V8" i="91"/>
  <c r="S8" i="91"/>
  <c r="R8" i="91"/>
  <c r="M8" i="91"/>
  <c r="I8" i="91" s="1"/>
  <c r="G8" i="91"/>
  <c r="Y7" i="91"/>
  <c r="V7" i="91"/>
  <c r="S7" i="91"/>
  <c r="R7" i="91"/>
  <c r="M7" i="91"/>
  <c r="I7" i="91" s="1"/>
  <c r="G7" i="91"/>
  <c r="Y6" i="91"/>
  <c r="V6" i="91"/>
  <c r="S6" i="91"/>
  <c r="R6" i="91"/>
  <c r="M6" i="91"/>
  <c r="I6" i="91" s="1"/>
  <c r="G6" i="91"/>
  <c r="Y5" i="91"/>
  <c r="V5" i="91"/>
  <c r="S5" i="91"/>
  <c r="R5" i="91"/>
  <c r="M5" i="91"/>
  <c r="I5" i="91" s="1"/>
  <c r="G5" i="91"/>
  <c r="A56" i="82" l="1"/>
  <c r="F56" i="82" s="1"/>
  <c r="B59" i="91"/>
  <c r="B65" i="91"/>
  <c r="A62" i="82"/>
  <c r="F62" i="82" s="1"/>
  <c r="A68" i="82"/>
  <c r="F68" i="82" s="1"/>
  <c r="B71" i="91"/>
  <c r="A50" i="82"/>
  <c r="F50" i="82" s="1"/>
  <c r="B53" i="91"/>
  <c r="B46" i="91"/>
  <c r="A43" i="82"/>
  <c r="F43" i="82" s="1"/>
  <c r="B52" i="91"/>
  <c r="A49" i="82"/>
  <c r="F49" i="82" s="1"/>
  <c r="B58" i="91"/>
  <c r="A55" i="82"/>
  <c r="F55" i="82" s="1"/>
  <c r="B64" i="91"/>
  <c r="A61" i="82"/>
  <c r="F61" i="82" s="1"/>
  <c r="B70" i="91"/>
  <c r="A67" i="82"/>
  <c r="F67" i="82" s="1"/>
  <c r="B51" i="91"/>
  <c r="A48" i="82"/>
  <c r="F48" i="82" s="1"/>
  <c r="B57" i="91"/>
  <c r="A54" i="82"/>
  <c r="F54" i="82" s="1"/>
  <c r="A60" i="82"/>
  <c r="F60" i="82" s="1"/>
  <c r="B63" i="91"/>
  <c r="B69" i="91"/>
  <c r="A66" i="82"/>
  <c r="F66" i="82" s="1"/>
  <c r="A65" i="82"/>
  <c r="F65" i="82" s="1"/>
  <c r="B68" i="91"/>
  <c r="B66" i="91"/>
  <c r="A63" i="82"/>
  <c r="F63" i="82" s="1"/>
  <c r="A69" i="82"/>
  <c r="F69" i="82" s="1"/>
  <c r="B72" i="91"/>
  <c r="A41" i="82"/>
  <c r="F41" i="82" s="1"/>
  <c r="B44" i="91"/>
  <c r="A45" i="82"/>
  <c r="F45" i="82" s="1"/>
  <c r="B48" i="91"/>
  <c r="B54" i="91"/>
  <c r="A51" i="82"/>
  <c r="F51" i="82" s="1"/>
  <c r="A57" i="82"/>
  <c r="F57" i="82" s="1"/>
  <c r="B60" i="91"/>
  <c r="A42" i="82"/>
  <c r="F42" i="82" s="1"/>
  <c r="B45" i="91"/>
  <c r="A53" i="82"/>
  <c r="F53" i="82" s="1"/>
  <c r="B56" i="91"/>
  <c r="B62" i="91"/>
  <c r="A59" i="82"/>
  <c r="F59" i="82" s="1"/>
  <c r="B49" i="91"/>
  <c r="A46" i="82"/>
  <c r="F46" i="82" s="1"/>
  <c r="A52" i="82"/>
  <c r="F52" i="82" s="1"/>
  <c r="B55" i="91"/>
  <c r="A58" i="82"/>
  <c r="F58" i="82" s="1"/>
  <c r="B61" i="91"/>
  <c r="B67" i="91"/>
  <c r="A64" i="82"/>
  <c r="F64" i="82" s="1"/>
  <c r="B73" i="91"/>
  <c r="A70" i="82"/>
  <c r="F70" i="82" s="1"/>
  <c r="A44" i="82"/>
  <c r="F44" i="82" s="1"/>
  <c r="B47" i="91"/>
  <c r="B75" i="91"/>
  <c r="A72" i="82"/>
  <c r="F72" i="82" s="1"/>
  <c r="B50" i="91"/>
  <c r="A47" i="82"/>
  <c r="F47" i="82" s="1"/>
  <c r="A71" i="82"/>
  <c r="F71" i="82" s="1"/>
  <c r="B74" i="91"/>
  <c r="AC43" i="91"/>
  <c r="AC42" i="91"/>
  <c r="AC41" i="91"/>
  <c r="AC15" i="91"/>
  <c r="AC16" i="91"/>
  <c r="AC27" i="91"/>
  <c r="AC17" i="91"/>
  <c r="AC29" i="91"/>
  <c r="AC36" i="91"/>
  <c r="AC12" i="91"/>
  <c r="AC24" i="91"/>
  <c r="AC32" i="91"/>
  <c r="AC40" i="91"/>
  <c r="AC14" i="91"/>
  <c r="AC26" i="91"/>
  <c r="AC38" i="91"/>
  <c r="AC28" i="91"/>
  <c r="AC39" i="91"/>
  <c r="AC13" i="91"/>
  <c r="AC25" i="91"/>
  <c r="AC37" i="91"/>
  <c r="AC35" i="91"/>
  <c r="AC22" i="91"/>
  <c r="AC34" i="91"/>
  <c r="AC9" i="91"/>
  <c r="AC8" i="91"/>
  <c r="AC20" i="91"/>
  <c r="AC5" i="91"/>
  <c r="AC23" i="91"/>
  <c r="AC11" i="91"/>
  <c r="AC10" i="91"/>
  <c r="AC21" i="91"/>
  <c r="AC7" i="91"/>
  <c r="AC19" i="91"/>
  <c r="AC31" i="91"/>
  <c r="AC33" i="91"/>
  <c r="AC6" i="91"/>
  <c r="AC18" i="91"/>
  <c r="AC30" i="91"/>
  <c r="CG3" i="62" l="1"/>
  <c r="CG4" i="62"/>
  <c r="CG5" i="62"/>
  <c r="CG6" i="62"/>
  <c r="CG7" i="62"/>
  <c r="CG8" i="62"/>
  <c r="CG9" i="62"/>
  <c r="CG10" i="62"/>
  <c r="CG11" i="62"/>
  <c r="CG12" i="62"/>
  <c r="CG13" i="62"/>
  <c r="CG14" i="62"/>
  <c r="CG15" i="62"/>
  <c r="CG16" i="62"/>
  <c r="CG17" i="62"/>
  <c r="CG18" i="62"/>
  <c r="CG19" i="62"/>
  <c r="CG2" i="62"/>
  <c r="Z2" i="62"/>
  <c r="BR542" i="62"/>
  <c r="BR541" i="62"/>
  <c r="BR540" i="62"/>
  <c r="BR539" i="62"/>
  <c r="BR538" i="62"/>
  <c r="BR537" i="62"/>
  <c r="BR536" i="62"/>
  <c r="BR535" i="62"/>
  <c r="BR534" i="62"/>
  <c r="BR533" i="62"/>
  <c r="BR532" i="62"/>
  <c r="BR531" i="62"/>
  <c r="BR530" i="62"/>
  <c r="BR529" i="62"/>
  <c r="BR528" i="62"/>
  <c r="BR527" i="62"/>
  <c r="BR526" i="62"/>
  <c r="BR525" i="62"/>
  <c r="BR524" i="62"/>
  <c r="BR523" i="62"/>
  <c r="BR522" i="62"/>
  <c r="BR521" i="62"/>
  <c r="BR520" i="62"/>
  <c r="BR519" i="62"/>
  <c r="BR518" i="62"/>
  <c r="BR517" i="62"/>
  <c r="BR516" i="62"/>
  <c r="BR515" i="62"/>
  <c r="BR514" i="62"/>
  <c r="BR513" i="62"/>
  <c r="BR512" i="62"/>
  <c r="BR511" i="62"/>
  <c r="BR510" i="62"/>
  <c r="BR509" i="62"/>
  <c r="BR508" i="62"/>
  <c r="BR507" i="62"/>
  <c r="BR506" i="62"/>
  <c r="BR505" i="62"/>
  <c r="BR504" i="62"/>
  <c r="BR503" i="62"/>
  <c r="BR502" i="62"/>
  <c r="BR501" i="62"/>
  <c r="BR500" i="62"/>
  <c r="BR499" i="62"/>
  <c r="BR498" i="62"/>
  <c r="BR497" i="62"/>
  <c r="BR496" i="62"/>
  <c r="BR495" i="62"/>
  <c r="BR494" i="62"/>
  <c r="BR493" i="62"/>
  <c r="BR492" i="62"/>
  <c r="BR491" i="62"/>
  <c r="BR490" i="62"/>
  <c r="BR489" i="62"/>
  <c r="BR488" i="62"/>
  <c r="BR487" i="62"/>
  <c r="BR486" i="62"/>
  <c r="BR485" i="62"/>
  <c r="BR484" i="62"/>
  <c r="BR483" i="62"/>
  <c r="BR482" i="62"/>
  <c r="BR481" i="62"/>
  <c r="BR480" i="62"/>
  <c r="BR479" i="62"/>
  <c r="BR478" i="62"/>
  <c r="BR477" i="62"/>
  <c r="BR476" i="62"/>
  <c r="BR475" i="62"/>
  <c r="BR474" i="62"/>
  <c r="BR473" i="62"/>
  <c r="BR472" i="62"/>
  <c r="BR471" i="62"/>
  <c r="BR470" i="62"/>
  <c r="BR469" i="62"/>
  <c r="BR468" i="62"/>
  <c r="BR467" i="62"/>
  <c r="BR466" i="62"/>
  <c r="BR465" i="62"/>
  <c r="BR464" i="62"/>
  <c r="BR463" i="62"/>
  <c r="BR462" i="62"/>
  <c r="BR461" i="62"/>
  <c r="BR460" i="62"/>
  <c r="BR459" i="62"/>
  <c r="BR458" i="62"/>
  <c r="BR457" i="62"/>
  <c r="BR456" i="62"/>
  <c r="BR455" i="62"/>
  <c r="BR454" i="62"/>
  <c r="BR453" i="62"/>
  <c r="BR452" i="62"/>
  <c r="BR451" i="62"/>
  <c r="BR450" i="62"/>
  <c r="BR449" i="62"/>
  <c r="BR448" i="62"/>
  <c r="BR447" i="62"/>
  <c r="BR446" i="62"/>
  <c r="BR445" i="62"/>
  <c r="BR444" i="62"/>
  <c r="BR443" i="62"/>
  <c r="BR442" i="62"/>
  <c r="BR441" i="62"/>
  <c r="BR440" i="62"/>
  <c r="BR439" i="62"/>
  <c r="BR438" i="62"/>
  <c r="BR437" i="62"/>
  <c r="BR436" i="62"/>
  <c r="BR435" i="62"/>
  <c r="BR434" i="62"/>
  <c r="BR433" i="62"/>
  <c r="BR432" i="62"/>
  <c r="BR431" i="62"/>
  <c r="BR430" i="62"/>
  <c r="BR429" i="62"/>
  <c r="BR428" i="62"/>
  <c r="BR427" i="62"/>
  <c r="BR426" i="62"/>
  <c r="BR425" i="62"/>
  <c r="BR424" i="62"/>
  <c r="BR423" i="62"/>
  <c r="BR422" i="62"/>
  <c r="BR421" i="62"/>
  <c r="BR420" i="62"/>
  <c r="BR419" i="62"/>
  <c r="BR418" i="62"/>
  <c r="BR417" i="62"/>
  <c r="BR416" i="62"/>
  <c r="BR415" i="62"/>
  <c r="BR414" i="62"/>
  <c r="BR413" i="62"/>
  <c r="BR412" i="62"/>
  <c r="BR411" i="62"/>
  <c r="BR410" i="62"/>
  <c r="BR409" i="62"/>
  <c r="BR408" i="62"/>
  <c r="BR407" i="62"/>
  <c r="BR406" i="62"/>
  <c r="BR405" i="62"/>
  <c r="BR404" i="62"/>
  <c r="BR403" i="62"/>
  <c r="BR402" i="62"/>
  <c r="BR401" i="62"/>
  <c r="BR400" i="62"/>
  <c r="BR399" i="62"/>
  <c r="BR398" i="62"/>
  <c r="BR397" i="62"/>
  <c r="BR396" i="62"/>
  <c r="BR395" i="62"/>
  <c r="BR394" i="62"/>
  <c r="BR393" i="62"/>
  <c r="BR392" i="62"/>
  <c r="BR391" i="62"/>
  <c r="BR390" i="62"/>
  <c r="BR389" i="62"/>
  <c r="BR388" i="62"/>
  <c r="BR387" i="62"/>
  <c r="BR386" i="62"/>
  <c r="BR385" i="62"/>
  <c r="BR384" i="62"/>
  <c r="BR383" i="62"/>
  <c r="BR382" i="62"/>
  <c r="BR381" i="62"/>
  <c r="BR380" i="62"/>
  <c r="BR379" i="62"/>
  <c r="BR378" i="62"/>
  <c r="BR377" i="62"/>
  <c r="BR376" i="62"/>
  <c r="BR375" i="62"/>
  <c r="BR374" i="62"/>
  <c r="BR373" i="62"/>
  <c r="BR372" i="62"/>
  <c r="BR371" i="62"/>
  <c r="BR370" i="62"/>
  <c r="BR369" i="62"/>
  <c r="BR368" i="62"/>
  <c r="BR367" i="62"/>
  <c r="BR366" i="62"/>
  <c r="BR365" i="62"/>
  <c r="BR364" i="62"/>
  <c r="BR363" i="62"/>
  <c r="BR362" i="62"/>
  <c r="BR361" i="62"/>
  <c r="BR360" i="62"/>
  <c r="BR359" i="62"/>
  <c r="BR358" i="62"/>
  <c r="BR357" i="62"/>
  <c r="BR356" i="62"/>
  <c r="BR355" i="62"/>
  <c r="BR354" i="62"/>
  <c r="BR353" i="62"/>
  <c r="BR352" i="62"/>
  <c r="BR351" i="62"/>
  <c r="BR350" i="62"/>
  <c r="BR349" i="62"/>
  <c r="BR348" i="62"/>
  <c r="BR347" i="62"/>
  <c r="BR346" i="62"/>
  <c r="BR345" i="62"/>
  <c r="BR344" i="62"/>
  <c r="BR343" i="62"/>
  <c r="BR342" i="62"/>
  <c r="BR341" i="62"/>
  <c r="BR340" i="62"/>
  <c r="BR339" i="62"/>
  <c r="BR338" i="62"/>
  <c r="BR337" i="62"/>
  <c r="BR336" i="62"/>
  <c r="BR335" i="62"/>
  <c r="BR334" i="62"/>
  <c r="BR333" i="62"/>
  <c r="BR332" i="62"/>
  <c r="BR331" i="62"/>
  <c r="BR330" i="62"/>
  <c r="BR329" i="62"/>
  <c r="BR328" i="62"/>
  <c r="BR327" i="62"/>
  <c r="BR326" i="62"/>
  <c r="BR325" i="62"/>
  <c r="BR324" i="62"/>
  <c r="BR323" i="62"/>
  <c r="BR322" i="62"/>
  <c r="BR321" i="62"/>
  <c r="BR320" i="62"/>
  <c r="BR319" i="62"/>
  <c r="BR318" i="62"/>
  <c r="BR317" i="62"/>
  <c r="BR316" i="62"/>
  <c r="BR315" i="62"/>
  <c r="BR314" i="62"/>
  <c r="BR313" i="62"/>
  <c r="BR312" i="62"/>
  <c r="BR311" i="62"/>
  <c r="BR310" i="62"/>
  <c r="BR309" i="62"/>
  <c r="BR308" i="62"/>
  <c r="BR307" i="62"/>
  <c r="BR306" i="62"/>
  <c r="BR305" i="62"/>
  <c r="BR304" i="62"/>
  <c r="BR303" i="62"/>
  <c r="BR302" i="62"/>
  <c r="BR301" i="62"/>
  <c r="BR300" i="62"/>
  <c r="BR299" i="62"/>
  <c r="BR298" i="62"/>
  <c r="BR297" i="62"/>
  <c r="BR296" i="62"/>
  <c r="BR295" i="62"/>
  <c r="BR294" i="62"/>
  <c r="BR293" i="62"/>
  <c r="BR292" i="62"/>
  <c r="BR291" i="62"/>
  <c r="BR290" i="62"/>
  <c r="BR289" i="62"/>
  <c r="BR288" i="62"/>
  <c r="BR287" i="62"/>
  <c r="BR286" i="62"/>
  <c r="BR285" i="62"/>
  <c r="BR284" i="62"/>
  <c r="BR283" i="62"/>
  <c r="BR282" i="62"/>
  <c r="BR281" i="62"/>
  <c r="BR280" i="62"/>
  <c r="BR279" i="62"/>
  <c r="BR278" i="62"/>
  <c r="BR277" i="62"/>
  <c r="BR276" i="62"/>
  <c r="BR275" i="62"/>
  <c r="BR274" i="62"/>
  <c r="BR273" i="62"/>
  <c r="BR272" i="62"/>
  <c r="BR271" i="62"/>
  <c r="BR270" i="62"/>
  <c r="BR269" i="62"/>
  <c r="BR268" i="62"/>
  <c r="BR267" i="62"/>
  <c r="BR266" i="62"/>
  <c r="BR265" i="62"/>
  <c r="BR264" i="62"/>
  <c r="BR263" i="62"/>
  <c r="BR262" i="62"/>
  <c r="BR261" i="62"/>
  <c r="BR260" i="62"/>
  <c r="BR259" i="62"/>
  <c r="BR258" i="62"/>
  <c r="BR257" i="62"/>
  <c r="BR256" i="62"/>
  <c r="BR255" i="62"/>
  <c r="BR254" i="62"/>
  <c r="BR253" i="62"/>
  <c r="BR252" i="62"/>
  <c r="BR251" i="62"/>
  <c r="BR250" i="62"/>
  <c r="BR249" i="62"/>
  <c r="BR248" i="62"/>
  <c r="BR247" i="62"/>
  <c r="BR246" i="62"/>
  <c r="BR245" i="62"/>
  <c r="BR244" i="62"/>
  <c r="BR243" i="62"/>
  <c r="BR242" i="62"/>
  <c r="BR241" i="62"/>
  <c r="BR240" i="62"/>
  <c r="BR239" i="62"/>
  <c r="BR238" i="62"/>
  <c r="BR237" i="62"/>
  <c r="BR236" i="62"/>
  <c r="BR235" i="62"/>
  <c r="BR234" i="62"/>
  <c r="BR233" i="62"/>
  <c r="BR232" i="62"/>
  <c r="BR231" i="62"/>
  <c r="BR230" i="62"/>
  <c r="BR229" i="62"/>
  <c r="BR228" i="62"/>
  <c r="BR227" i="62"/>
  <c r="BR226" i="62"/>
  <c r="BR225" i="62"/>
  <c r="BR224" i="62"/>
  <c r="BR223" i="62"/>
  <c r="BR222" i="62"/>
  <c r="BR221" i="62"/>
  <c r="BR220" i="62"/>
  <c r="BR219" i="62"/>
  <c r="BR218" i="62"/>
  <c r="BR217" i="62"/>
  <c r="BR216" i="62"/>
  <c r="BR215" i="62"/>
  <c r="BR214" i="62"/>
  <c r="BR213" i="62"/>
  <c r="BR212" i="62"/>
  <c r="BR211" i="62"/>
  <c r="BR210" i="62"/>
  <c r="BR209" i="62"/>
  <c r="BR208" i="62"/>
  <c r="BR207" i="62"/>
  <c r="BR206" i="62"/>
  <c r="BR205" i="62"/>
  <c r="BR204" i="62"/>
  <c r="BR203" i="62"/>
  <c r="BR202" i="62"/>
  <c r="BR201" i="62"/>
  <c r="BR200" i="62"/>
  <c r="BR199" i="62"/>
  <c r="BR198" i="62"/>
  <c r="BR197" i="62"/>
  <c r="BR196" i="62"/>
  <c r="BR195" i="62"/>
  <c r="BR194" i="62"/>
  <c r="BR193" i="62"/>
  <c r="BR192" i="62"/>
  <c r="BR191" i="62"/>
  <c r="BR190" i="62"/>
  <c r="BR189" i="62"/>
  <c r="BR188" i="62"/>
  <c r="BR187" i="62"/>
  <c r="BR186" i="62"/>
  <c r="BR185" i="62"/>
  <c r="BR184" i="62"/>
  <c r="BR183" i="62"/>
  <c r="BR182" i="62"/>
  <c r="BR181" i="62"/>
  <c r="BR180" i="62"/>
  <c r="BR179" i="62"/>
  <c r="BR178" i="62"/>
  <c r="BR177" i="62"/>
  <c r="BR176" i="62"/>
  <c r="BR175" i="62"/>
  <c r="BR174" i="62"/>
  <c r="BR173" i="62"/>
  <c r="BR172" i="62"/>
  <c r="BR171" i="62"/>
  <c r="BR170" i="62"/>
  <c r="BR169" i="62"/>
  <c r="BR168" i="62"/>
  <c r="BR167" i="62"/>
  <c r="BR166" i="62"/>
  <c r="BR165" i="62"/>
  <c r="BR164" i="62"/>
  <c r="BR163" i="62"/>
  <c r="BR162" i="62"/>
  <c r="BR161" i="62"/>
  <c r="BR160" i="62"/>
  <c r="BR159" i="62"/>
  <c r="BR158" i="62"/>
  <c r="BR157" i="62"/>
  <c r="BR156" i="62"/>
  <c r="BR155" i="62"/>
  <c r="BR154" i="62"/>
  <c r="BR153" i="62"/>
  <c r="BR152" i="62"/>
  <c r="BR151" i="62"/>
  <c r="BR150" i="62"/>
  <c r="BR149" i="62"/>
  <c r="BR148" i="62"/>
  <c r="BR147" i="62"/>
  <c r="BR146" i="62"/>
  <c r="BR145" i="62"/>
  <c r="BR144" i="62"/>
  <c r="BR143" i="62"/>
  <c r="BR142" i="62"/>
  <c r="BR141" i="62"/>
  <c r="BR140" i="62"/>
  <c r="BR139" i="62"/>
  <c r="BR138" i="62"/>
  <c r="BR137" i="62"/>
  <c r="BR136" i="62"/>
  <c r="BR135" i="62"/>
  <c r="BR134" i="62"/>
  <c r="BR133" i="62"/>
  <c r="BR132" i="62"/>
  <c r="BR131" i="62"/>
  <c r="BR130" i="62"/>
  <c r="BR129" i="62"/>
  <c r="BR128" i="62"/>
  <c r="BR127" i="62"/>
  <c r="BR126" i="62"/>
  <c r="BR125" i="62"/>
  <c r="BR124" i="62"/>
  <c r="BR123" i="62"/>
  <c r="BR122" i="62"/>
  <c r="BR121" i="62"/>
  <c r="BR120" i="62"/>
  <c r="BR119" i="62"/>
  <c r="BR118" i="62"/>
  <c r="BR117" i="62"/>
  <c r="BR116" i="62"/>
  <c r="BR115" i="62"/>
  <c r="BR114" i="62"/>
  <c r="BR113" i="62"/>
  <c r="BR112" i="62"/>
  <c r="BR111" i="62"/>
  <c r="BR110" i="62"/>
  <c r="BR109" i="62"/>
  <c r="BR108" i="62"/>
  <c r="BR107" i="62"/>
  <c r="BR106" i="62"/>
  <c r="BR105" i="62"/>
  <c r="BR104" i="62"/>
  <c r="BR103" i="62"/>
  <c r="BR102" i="62"/>
  <c r="BR101" i="62"/>
  <c r="BR100" i="62"/>
  <c r="BR99" i="62"/>
  <c r="BR98" i="62"/>
  <c r="BR97" i="62"/>
  <c r="BR96" i="62"/>
  <c r="BR95" i="62"/>
  <c r="BR94" i="62"/>
  <c r="BR93" i="62"/>
  <c r="BR92" i="62"/>
  <c r="BR91" i="62"/>
  <c r="BR90" i="62"/>
  <c r="BR89" i="62"/>
  <c r="BR88" i="62"/>
  <c r="BR87" i="62"/>
  <c r="BR86" i="62"/>
  <c r="BR85" i="62"/>
  <c r="BR84" i="62"/>
  <c r="BR83" i="62"/>
  <c r="BR82" i="62"/>
  <c r="BR81" i="62"/>
  <c r="BR80" i="62"/>
  <c r="BR79" i="62"/>
  <c r="BR78" i="62"/>
  <c r="BR77" i="62"/>
  <c r="BR76" i="62"/>
  <c r="BR75" i="62"/>
  <c r="BR74" i="62"/>
  <c r="BR73" i="62"/>
  <c r="BR72" i="62"/>
  <c r="BR71" i="62"/>
  <c r="BR70" i="62"/>
  <c r="BR69" i="62"/>
  <c r="BR68" i="62"/>
  <c r="BR67" i="62"/>
  <c r="BR66" i="62"/>
  <c r="BR65" i="62"/>
  <c r="BR64" i="62"/>
  <c r="BR63" i="62"/>
  <c r="BR62" i="62"/>
  <c r="BR61" i="62"/>
  <c r="BR60" i="62"/>
  <c r="BR59" i="62"/>
  <c r="BR58" i="62"/>
  <c r="BR57" i="62"/>
  <c r="BR56" i="62"/>
  <c r="BR55" i="62"/>
  <c r="BR54" i="62"/>
  <c r="BR53" i="62"/>
  <c r="BR52" i="62"/>
  <c r="BR51" i="62"/>
  <c r="BR50" i="62"/>
  <c r="BR49" i="62"/>
  <c r="BR48" i="62"/>
  <c r="BR47" i="62"/>
  <c r="BR46" i="62"/>
  <c r="BR45" i="62"/>
  <c r="BR44" i="62"/>
  <c r="BR43" i="62"/>
  <c r="BR42" i="62"/>
  <c r="BR41" i="62"/>
  <c r="BR40" i="62"/>
  <c r="BR39" i="62"/>
  <c r="BR38" i="62"/>
  <c r="BR37" i="62"/>
  <c r="BR36" i="62"/>
  <c r="BR35" i="62"/>
  <c r="BR34" i="62"/>
  <c r="BR33" i="62"/>
  <c r="BR32" i="62"/>
  <c r="BR31" i="62"/>
  <c r="BR30" i="62"/>
  <c r="BR29" i="62"/>
  <c r="BR28" i="62"/>
  <c r="BR27" i="62"/>
  <c r="BR26" i="62"/>
  <c r="AY26" i="62"/>
  <c r="BR25" i="62"/>
  <c r="AY25" i="62"/>
  <c r="BR24" i="62"/>
  <c r="AY24" i="62"/>
  <c r="BR23" i="62"/>
  <c r="AW23" i="62"/>
  <c r="AX23" i="62" s="1"/>
  <c r="BR22" i="62"/>
  <c r="AW22" i="62"/>
  <c r="AX22" i="62" s="1"/>
  <c r="BR21" i="62"/>
  <c r="AW21" i="62"/>
  <c r="AX21" i="62" s="1"/>
  <c r="AY21" i="62"/>
  <c r="BR20" i="62"/>
  <c r="AW20" i="62"/>
  <c r="AX20" i="62" s="1"/>
  <c r="BR19" i="62"/>
  <c r="AW19" i="62"/>
  <c r="AX19" i="62" s="1"/>
  <c r="BR18" i="62"/>
  <c r="AW18" i="62"/>
  <c r="AX18" i="62" s="1"/>
  <c r="AY18" i="62"/>
  <c r="BR17" i="62"/>
  <c r="AW17" i="62"/>
  <c r="AX17" i="62" s="1"/>
  <c r="BR16" i="62"/>
  <c r="AW16" i="62"/>
  <c r="AX16" i="62" s="1"/>
  <c r="BR15" i="62"/>
  <c r="AW15" i="62"/>
  <c r="AX15" i="62" s="1"/>
  <c r="AY15" i="62"/>
  <c r="BR14" i="62"/>
  <c r="AW14" i="62"/>
  <c r="AX14" i="62" s="1"/>
  <c r="BR13" i="62"/>
  <c r="AW13" i="62"/>
  <c r="AX13" i="62" s="1"/>
  <c r="BR12" i="62"/>
  <c r="AW12" i="62"/>
  <c r="AX12" i="62" s="1"/>
  <c r="BR11" i="62"/>
  <c r="AW11" i="62"/>
  <c r="AX11" i="62" s="1"/>
  <c r="BR10" i="62"/>
  <c r="BR9" i="62"/>
  <c r="AW9" i="62"/>
  <c r="AX9" i="62" s="1"/>
  <c r="BR8" i="62"/>
  <c r="AW8" i="62"/>
  <c r="AX8" i="62" s="1"/>
  <c r="BR7" i="62"/>
  <c r="AW7" i="62"/>
  <c r="AX7" i="62" s="1"/>
  <c r="BR6" i="62"/>
  <c r="AW6" i="62"/>
  <c r="AX6" i="62" s="1"/>
  <c r="BR5" i="62"/>
  <c r="AW5" i="62"/>
  <c r="BR4" i="62"/>
  <c r="AW4" i="62"/>
  <c r="AX4" i="62" s="1"/>
  <c r="BR3" i="62"/>
  <c r="AW3" i="62"/>
  <c r="AX3" i="62" s="1"/>
  <c r="BR2" i="62"/>
  <c r="BM2" i="62"/>
  <c r="BA2" i="62" a="1"/>
  <c r="BA2" i="62" s="1"/>
  <c r="AW2" i="62"/>
  <c r="A39" i="91"/>
  <c r="AD25" i="91"/>
  <c r="L50" i="68"/>
  <c r="I50" i="68"/>
  <c r="K50" i="68"/>
  <c r="M50" i="68"/>
  <c r="J50" i="68"/>
  <c r="H50" i="68"/>
  <c r="G50" i="68"/>
  <c r="L49" i="68"/>
  <c r="I49" i="68"/>
  <c r="K49" i="68"/>
  <c r="M49" i="68" s="1"/>
  <c r="J49" i="68"/>
  <c r="H49" i="68"/>
  <c r="G49" i="68"/>
  <c r="L48" i="68"/>
  <c r="I48" i="68"/>
  <c r="K48" i="68"/>
  <c r="M48" i="68"/>
  <c r="J48" i="68"/>
  <c r="H48" i="68"/>
  <c r="G48" i="68"/>
  <c r="L47" i="68"/>
  <c r="I47" i="68"/>
  <c r="K47" i="68"/>
  <c r="M47" i="68" s="1"/>
  <c r="J47" i="68"/>
  <c r="H47" i="68"/>
  <c r="G47" i="68"/>
  <c r="L46" i="68"/>
  <c r="I46" i="68"/>
  <c r="K46" i="68"/>
  <c r="M46" i="68"/>
  <c r="J46" i="68"/>
  <c r="H46" i="68"/>
  <c r="G46" i="68"/>
  <c r="L45" i="68"/>
  <c r="K45" i="68"/>
  <c r="M45" i="68"/>
  <c r="J45" i="68"/>
  <c r="I45" i="68"/>
  <c r="H45" i="68"/>
  <c r="G45" i="68"/>
  <c r="M44" i="68"/>
  <c r="L44" i="68"/>
  <c r="I44" i="68"/>
  <c r="K44" i="68"/>
  <c r="J44" i="68"/>
  <c r="H44" i="68"/>
  <c r="G44" i="68"/>
  <c r="L43" i="68"/>
  <c r="I43" i="68"/>
  <c r="K43" i="68"/>
  <c r="M43" i="68"/>
  <c r="J43" i="68"/>
  <c r="H43" i="68"/>
  <c r="G43" i="68"/>
  <c r="M42" i="68"/>
  <c r="L42" i="68"/>
  <c r="I42" i="68"/>
  <c r="K42" i="68"/>
  <c r="J42" i="68"/>
  <c r="H42" i="68"/>
  <c r="G42" i="68"/>
  <c r="L41" i="68"/>
  <c r="K41" i="68"/>
  <c r="M41" i="68"/>
  <c r="J41" i="68"/>
  <c r="I41" i="68"/>
  <c r="H41" i="68"/>
  <c r="G41" i="68"/>
  <c r="L35" i="68"/>
  <c r="I35" i="68"/>
  <c r="K35" i="68"/>
  <c r="M35" i="68"/>
  <c r="J35" i="68"/>
  <c r="H35" i="68"/>
  <c r="G35" i="68"/>
  <c r="L34" i="68"/>
  <c r="I34" i="68"/>
  <c r="K34" i="68"/>
  <c r="M34" i="68"/>
  <c r="J34" i="68"/>
  <c r="H34" i="68"/>
  <c r="G34" i="68"/>
  <c r="L33" i="68"/>
  <c r="I33" i="68"/>
  <c r="K33" i="68"/>
  <c r="M33" i="68"/>
  <c r="J33" i="68"/>
  <c r="H33" i="68"/>
  <c r="G33" i="68"/>
  <c r="L32" i="68"/>
  <c r="I32" i="68"/>
  <c r="K32" i="68"/>
  <c r="M32" i="68"/>
  <c r="J32" i="68"/>
  <c r="H32" i="68"/>
  <c r="G32" i="68"/>
  <c r="L31" i="68"/>
  <c r="I31" i="68"/>
  <c r="K31" i="68"/>
  <c r="M31" i="68"/>
  <c r="J31" i="68"/>
  <c r="H31" i="68"/>
  <c r="G31" i="68"/>
  <c r="L30" i="68"/>
  <c r="I30" i="68"/>
  <c r="K30" i="68"/>
  <c r="M30" i="68" s="1"/>
  <c r="J30" i="68"/>
  <c r="H30" i="68"/>
  <c r="G30" i="68"/>
  <c r="L29" i="68"/>
  <c r="I29" i="68"/>
  <c r="K29" i="68"/>
  <c r="M29" i="68"/>
  <c r="J29" i="68"/>
  <c r="H29" i="68"/>
  <c r="G29" i="68"/>
  <c r="L28" i="68"/>
  <c r="I28" i="68"/>
  <c r="K28" i="68"/>
  <c r="M28" i="68"/>
  <c r="J28" i="68"/>
  <c r="H28" i="68"/>
  <c r="G28" i="68"/>
  <c r="L27" i="68"/>
  <c r="I27" i="68"/>
  <c r="K27" i="68"/>
  <c r="M27" i="68" s="1"/>
  <c r="J27" i="68"/>
  <c r="H27" i="68"/>
  <c r="G27" i="68"/>
  <c r="L26" i="68"/>
  <c r="I26" i="68" s="1"/>
  <c r="K26" i="68"/>
  <c r="M26" i="68" s="1"/>
  <c r="J26" i="68"/>
  <c r="H26" i="68"/>
  <c r="G26" i="68"/>
  <c r="L20" i="68"/>
  <c r="I20" i="68"/>
  <c r="K20" i="68"/>
  <c r="M20" i="68" s="1"/>
  <c r="J20" i="68"/>
  <c r="H20" i="68"/>
  <c r="G20" i="68"/>
  <c r="L19" i="68"/>
  <c r="I19" i="68"/>
  <c r="K19" i="68"/>
  <c r="M19" i="68"/>
  <c r="J19" i="68"/>
  <c r="H19" i="68"/>
  <c r="G19" i="68"/>
  <c r="L18" i="68"/>
  <c r="I18" i="68"/>
  <c r="K18" i="68"/>
  <c r="M18" i="68" s="1"/>
  <c r="J18" i="68"/>
  <c r="H18" i="68"/>
  <c r="G18" i="68"/>
  <c r="L17" i="68"/>
  <c r="I17" i="68"/>
  <c r="K17" i="68"/>
  <c r="M17" i="68"/>
  <c r="J17" i="68"/>
  <c r="H17" i="68"/>
  <c r="G17" i="68"/>
  <c r="L16" i="68"/>
  <c r="I16" i="68"/>
  <c r="K16" i="68"/>
  <c r="M16" i="68" s="1"/>
  <c r="J16" i="68"/>
  <c r="H16" i="68"/>
  <c r="G16" i="68"/>
  <c r="L15" i="68"/>
  <c r="I15" i="68"/>
  <c r="K15" i="68"/>
  <c r="M15" i="68"/>
  <c r="J15" i="68"/>
  <c r="H15" i="68"/>
  <c r="G15" i="68"/>
  <c r="L14" i="68"/>
  <c r="K14" i="68"/>
  <c r="M14" i="68" s="1"/>
  <c r="J14" i="68"/>
  <c r="I14" i="68"/>
  <c r="H14" i="68"/>
  <c r="G14" i="68"/>
  <c r="L13" i="68"/>
  <c r="I13" i="68"/>
  <c r="K13" i="68"/>
  <c r="M13" i="68" s="1"/>
  <c r="J13" i="68"/>
  <c r="H13" i="68"/>
  <c r="G13" i="68"/>
  <c r="L12" i="68"/>
  <c r="I12" i="68"/>
  <c r="K12" i="68"/>
  <c r="M12" i="68"/>
  <c r="J12" i="68"/>
  <c r="H12" i="68"/>
  <c r="G12" i="68"/>
  <c r="L11" i="68"/>
  <c r="I11" i="68"/>
  <c r="K11" i="68"/>
  <c r="M11" i="68"/>
  <c r="J11" i="68"/>
  <c r="H11" i="68"/>
  <c r="G11" i="68"/>
  <c r="L10" i="68"/>
  <c r="I10" i="68"/>
  <c r="K10" i="68"/>
  <c r="M10" i="68" s="1"/>
  <c r="J10" i="68"/>
  <c r="H10" i="68"/>
  <c r="G10" i="68"/>
  <c r="G3" i="65"/>
  <c r="AY23" i="62"/>
  <c r="B39" i="91" l="1"/>
  <c r="A36" i="82"/>
  <c r="F36" i="82" s="1"/>
  <c r="AY19" i="62"/>
  <c r="AX5" i="62"/>
  <c r="AY5" i="62" s="1"/>
  <c r="A22" i="91"/>
  <c r="T19" i="91"/>
  <c r="D16" i="82" s="1"/>
  <c r="AD22" i="91"/>
  <c r="T22" i="91"/>
  <c r="D19" i="82" s="1"/>
  <c r="AD19" i="91"/>
  <c r="A26" i="91"/>
  <c r="A31" i="91"/>
  <c r="A23" i="91"/>
  <c r="T17" i="91"/>
  <c r="D14" i="82" s="1"/>
  <c r="A40" i="91"/>
  <c r="AD17" i="91"/>
  <c r="A18" i="91"/>
  <c r="T40" i="91"/>
  <c r="D37" i="82" s="1"/>
  <c r="AD40" i="91"/>
  <c r="T18" i="91"/>
  <c r="D15" i="82" s="1"/>
  <c r="AD18" i="91"/>
  <c r="A19" i="91"/>
  <c r="A36" i="91"/>
  <c r="AD36" i="91"/>
  <c r="T36" i="91"/>
  <c r="D33" i="82" s="1"/>
  <c r="T28" i="91"/>
  <c r="D25" i="82" s="1"/>
  <c r="A28" i="91"/>
  <c r="AD23" i="91"/>
  <c r="A24" i="91"/>
  <c r="A38" i="91"/>
  <c r="T24" i="91"/>
  <c r="D21" i="82" s="1"/>
  <c r="AD24" i="91"/>
  <c r="T23" i="91"/>
  <c r="D20" i="82" s="1"/>
  <c r="AD28" i="91"/>
  <c r="A29" i="91"/>
  <c r="T29" i="91"/>
  <c r="D26" i="82" s="1"/>
  <c r="AD29" i="91"/>
  <c r="A25" i="91"/>
  <c r="T20" i="91"/>
  <c r="D17" i="82" s="1"/>
  <c r="AD20" i="91"/>
  <c r="A20" i="91"/>
  <c r="T25" i="91"/>
  <c r="D22" i="82" s="1"/>
  <c r="A5" i="91"/>
  <c r="B5" i="91" s="1"/>
  <c r="A17" i="91"/>
  <c r="AD5" i="91"/>
  <c r="AD26" i="91"/>
  <c r="AD38" i="91"/>
  <c r="AD31" i="91"/>
  <c r="AD39" i="91"/>
  <c r="A37" i="91"/>
  <c r="AD27" i="91"/>
  <c r="AD21" i="91"/>
  <c r="A10" i="91"/>
  <c r="A12" i="91"/>
  <c r="AD30" i="91"/>
  <c r="D5" i="91"/>
  <c r="B2" i="82" s="1"/>
  <c r="AD37" i="91"/>
  <c r="T5" i="91"/>
  <c r="D2" i="82" s="1"/>
  <c r="T26" i="91"/>
  <c r="D23" i="82" s="1"/>
  <c r="T38" i="91"/>
  <c r="D35" i="82" s="1"/>
  <c r="T31" i="91"/>
  <c r="D28" i="82" s="1"/>
  <c r="T39" i="91"/>
  <c r="D36" i="82" s="1"/>
  <c r="T10" i="91"/>
  <c r="D7" i="82" s="1"/>
  <c r="T12" i="91"/>
  <c r="D9" i="82" s="1"/>
  <c r="A13" i="91"/>
  <c r="A32" i="91"/>
  <c r="A34" i="91"/>
  <c r="A16" i="91"/>
  <c r="A43" i="91"/>
  <c r="T7" i="91"/>
  <c r="D4" i="82" s="1"/>
  <c r="T11" i="91"/>
  <c r="D8" i="82" s="1"/>
  <c r="T13" i="91"/>
  <c r="D10" i="82" s="1"/>
  <c r="T32" i="91"/>
  <c r="D29" i="82" s="1"/>
  <c r="T34" i="91"/>
  <c r="D31" i="82" s="1"/>
  <c r="T16" i="91"/>
  <c r="D13" i="82" s="1"/>
  <c r="T43" i="91"/>
  <c r="D40" i="82" s="1"/>
  <c r="AD7" i="91"/>
  <c r="AD10" i="91"/>
  <c r="AD11" i="91"/>
  <c r="AD12" i="91"/>
  <c r="AD13" i="91"/>
  <c r="AD32" i="91"/>
  <c r="AD34" i="91"/>
  <c r="AD16" i="91"/>
  <c r="AD43" i="91"/>
  <c r="A30" i="91"/>
  <c r="A6" i="91"/>
  <c r="A8" i="91"/>
  <c r="A9" i="91"/>
  <c r="A14" i="91"/>
  <c r="A33" i="91"/>
  <c r="A35" i="91"/>
  <c r="A41" i="91"/>
  <c r="A15" i="91"/>
  <c r="A42" i="91"/>
  <c r="A7" i="91"/>
  <c r="A11" i="91"/>
  <c r="A27" i="91"/>
  <c r="A21" i="91"/>
  <c r="T27" i="91"/>
  <c r="D24" i="82" s="1"/>
  <c r="T21" i="91"/>
  <c r="D18" i="82" s="1"/>
  <c r="T37" i="91"/>
  <c r="D34" i="82" s="1"/>
  <c r="T30" i="91"/>
  <c r="D27" i="82" s="1"/>
  <c r="T6" i="91"/>
  <c r="D3" i="82" s="1"/>
  <c r="T8" i="91"/>
  <c r="D5" i="82" s="1"/>
  <c r="T9" i="91"/>
  <c r="D6" i="82" s="1"/>
  <c r="T14" i="91"/>
  <c r="D11" i="82" s="1"/>
  <c r="T33" i="91"/>
  <c r="D30" i="82" s="1"/>
  <c r="T35" i="91"/>
  <c r="D32" i="82" s="1"/>
  <c r="T41" i="91"/>
  <c r="D38" i="82" s="1"/>
  <c r="T15" i="91"/>
  <c r="D12" i="82" s="1"/>
  <c r="T42" i="91"/>
  <c r="D39" i="82" s="1"/>
  <c r="AD6" i="91"/>
  <c r="AD8" i="91"/>
  <c r="AD9" i="91"/>
  <c r="AD14" i="91"/>
  <c r="AD33" i="91"/>
  <c r="AD35" i="91"/>
  <c r="AD41" i="91"/>
  <c r="AD15" i="91"/>
  <c r="AD42" i="91"/>
  <c r="AY12" i="62"/>
  <c r="AY2" i="62"/>
  <c r="AY7" i="62"/>
  <c r="AY13" i="62"/>
  <c r="AY17" i="62"/>
  <c r="AY22" i="62"/>
  <c r="AY11" i="62"/>
  <c r="AY20" i="62"/>
  <c r="AY8" i="62"/>
  <c r="AY3" i="62"/>
  <c r="AY14" i="62"/>
  <c r="AY16" i="62"/>
  <c r="AY9" i="62"/>
  <c r="AY4" i="62"/>
  <c r="AY10" i="62"/>
  <c r="AY6" i="62"/>
  <c r="BA3" i="62" a="1"/>
  <c r="BA3" i="62" s="1"/>
  <c r="A23" i="82" l="1"/>
  <c r="F23" i="82" s="1"/>
  <c r="B26" i="91"/>
  <c r="A12" i="82"/>
  <c r="F12" i="82" s="1"/>
  <c r="B15" i="91"/>
  <c r="A38" i="82"/>
  <c r="F38" i="82" s="1"/>
  <c r="B41" i="91"/>
  <c r="B19" i="91"/>
  <c r="A16" i="82"/>
  <c r="F16" i="82" s="1"/>
  <c r="B17" i="91"/>
  <c r="A14" i="82"/>
  <c r="F14" i="82" s="1"/>
  <c r="A20" i="82"/>
  <c r="F20" i="82" s="1"/>
  <c r="B23" i="91"/>
  <c r="A28" i="82"/>
  <c r="F28" i="82" s="1"/>
  <c r="B31" i="91"/>
  <c r="A39" i="82"/>
  <c r="F39" i="82" s="1"/>
  <c r="B42" i="91"/>
  <c r="A33" i="82"/>
  <c r="F33" i="82" s="1"/>
  <c r="B36" i="91"/>
  <c r="B33" i="91"/>
  <c r="A30" i="82"/>
  <c r="F30" i="82" s="1"/>
  <c r="B34" i="91"/>
  <c r="A31" i="82"/>
  <c r="F31" i="82" s="1"/>
  <c r="B22" i="91"/>
  <c r="A19" i="82"/>
  <c r="F19" i="82" s="1"/>
  <c r="A32" i="82"/>
  <c r="F32" i="82" s="1"/>
  <c r="B35" i="91"/>
  <c r="B9" i="91"/>
  <c r="A6" i="82"/>
  <c r="F6" i="82" s="1"/>
  <c r="A10" i="82"/>
  <c r="F10" i="82" s="1"/>
  <c r="B13" i="91"/>
  <c r="B10" i="91"/>
  <c r="A7" i="82"/>
  <c r="F7" i="82" s="1"/>
  <c r="A17" i="82"/>
  <c r="F17" i="82" s="1"/>
  <c r="B20" i="91"/>
  <c r="A21" i="82"/>
  <c r="F21" i="82" s="1"/>
  <c r="B24" i="91"/>
  <c r="A15" i="82"/>
  <c r="F15" i="82" s="1"/>
  <c r="B18" i="91"/>
  <c r="A8" i="82"/>
  <c r="F8" i="82" s="1"/>
  <c r="B11" i="91"/>
  <c r="A26" i="82"/>
  <c r="F26" i="82" s="1"/>
  <c r="B29" i="91"/>
  <c r="B21" i="91"/>
  <c r="A18" i="82"/>
  <c r="F18" i="82" s="1"/>
  <c r="B6" i="91"/>
  <c r="A3" i="82"/>
  <c r="F3" i="82" s="1"/>
  <c r="A25" i="82"/>
  <c r="F25" i="82" s="1"/>
  <c r="B28" i="91"/>
  <c r="B40" i="91"/>
  <c r="A37" i="82"/>
  <c r="F37" i="82" s="1"/>
  <c r="A4" i="82"/>
  <c r="F4" i="82" s="1"/>
  <c r="B7" i="91"/>
  <c r="A40" i="82"/>
  <c r="F40" i="82" s="1"/>
  <c r="B43" i="91"/>
  <c r="B16" i="91"/>
  <c r="A13" i="82"/>
  <c r="F13" i="82" s="1"/>
  <c r="B14" i="91"/>
  <c r="A11" i="82"/>
  <c r="F11" i="82" s="1"/>
  <c r="A29" i="82"/>
  <c r="F29" i="82" s="1"/>
  <c r="B32" i="91"/>
  <c r="A9" i="82"/>
  <c r="F9" i="82" s="1"/>
  <c r="B12" i="91"/>
  <c r="B38" i="91"/>
  <c r="A35" i="82"/>
  <c r="F35" i="82" s="1"/>
  <c r="A5" i="82"/>
  <c r="F5" i="82" s="1"/>
  <c r="B8" i="91"/>
  <c r="B27" i="91"/>
  <c r="A24" i="82"/>
  <c r="F24" i="82" s="1"/>
  <c r="B30" i="91"/>
  <c r="A27" i="82"/>
  <c r="F27" i="82" s="1"/>
  <c r="A34" i="82"/>
  <c r="F34" i="82" s="1"/>
  <c r="B37" i="91"/>
  <c r="B25" i="91"/>
  <c r="A22" i="82"/>
  <c r="F22" i="82" s="1"/>
  <c r="A2" i="82"/>
  <c r="F2" i="82" s="1"/>
  <c r="C5" i="91"/>
  <c r="AA2" i="62" a="1"/>
  <c r="AA2" i="62" s="1"/>
  <c r="AY1" i="62"/>
  <c r="F3" i="91" s="1"/>
  <c r="BA4" i="62" a="1"/>
  <c r="BA4" i="62" s="1"/>
  <c r="AA3" i="62" l="1" a="1"/>
  <c r="AA3" i="62" s="1"/>
  <c r="BA5" i="62" a="1"/>
  <c r="BA5" i="62" s="1"/>
  <c r="AA4" i="62" l="1" a="1"/>
  <c r="AA4" i="62" s="1"/>
  <c r="AA5" i="62" s="1" a="1"/>
  <c r="AA5" i="62" s="1"/>
  <c r="BA6" i="62" a="1"/>
  <c r="BA6" i="62" s="1"/>
  <c r="BA7" i="62" s="1" a="1"/>
  <c r="BA7" i="62" s="1"/>
  <c r="BA8" i="62" s="1" a="1"/>
  <c r="BA8" i="62" s="1"/>
  <c r="AA6" i="62" l="1" a="1"/>
  <c r="AA6" i="62" s="1"/>
  <c r="AA7" i="62" s="1" a="1"/>
  <c r="AA7" i="62" s="1"/>
  <c r="BA9" i="62" a="1"/>
  <c r="BA9" i="62" s="1"/>
  <c r="BA10" i="62" s="1" a="1"/>
  <c r="BA10" i="62" s="1"/>
  <c r="AA8" i="62" l="1" a="1"/>
  <c r="AA8" i="62" s="1"/>
  <c r="AA9" i="62" s="1" a="1"/>
  <c r="AA9" i="62" s="1"/>
  <c r="BA11" i="62" a="1"/>
  <c r="BA11" i="62" s="1"/>
  <c r="AA10" i="62" l="1" a="1"/>
  <c r="AA10" i="62" s="1"/>
  <c r="AA11" i="62" s="1" a="1"/>
  <c r="AA11" i="62" s="1"/>
  <c r="AA12" i="62" s="1" a="1"/>
  <c r="AA12" i="62" s="1"/>
  <c r="AA13" i="62" s="1" a="1"/>
  <c r="AA13" i="62" s="1"/>
  <c r="AA14" i="62" s="1" a="1"/>
  <c r="AA14" i="62" s="1"/>
  <c r="AA15" i="62" s="1" a="1"/>
  <c r="AA15" i="62" s="1"/>
  <c r="AA16" i="62" s="1" a="1"/>
  <c r="AA16" i="62" s="1"/>
  <c r="AA17" i="62" s="1" a="1"/>
  <c r="AA17" i="62" s="1"/>
  <c r="AA18" i="62" s="1" a="1"/>
  <c r="AA18" i="62" s="1"/>
  <c r="AA19" i="62" s="1" a="1"/>
  <c r="AA19" i="62" s="1"/>
  <c r="AA20" i="62" s="1" a="1"/>
  <c r="AA20" i="62" s="1"/>
  <c r="AA21" i="62" s="1" a="1"/>
  <c r="AA21" i="62" s="1"/>
  <c r="AA22" i="62" s="1" a="1"/>
  <c r="AA22" i="62" s="1"/>
  <c r="AA23" i="62" s="1" a="1"/>
  <c r="AA23" i="62" s="1"/>
  <c r="AA24" i="62" s="1" a="1"/>
  <c r="AA24" i="62" s="1"/>
  <c r="AA25" i="62" s="1" a="1"/>
  <c r="AA25" i="62" s="1"/>
  <c r="AA26" i="62" s="1" a="1"/>
  <c r="AA26" i="62" s="1"/>
  <c r="AA27" i="62" s="1" a="1"/>
  <c r="AA27" i="62" s="1"/>
  <c r="AA28" i="62" s="1" a="1"/>
  <c r="AA28" i="62" s="1"/>
  <c r="AA29" i="62" s="1" a="1"/>
  <c r="AA29" i="62" s="1"/>
  <c r="AA30" i="62" s="1" a="1"/>
  <c r="AA30" i="62" s="1"/>
  <c r="AA31" i="62" s="1" a="1"/>
  <c r="AA31" i="62" s="1"/>
  <c r="BA12" i="62" a="1"/>
  <c r="BA12" i="62" s="1"/>
  <c r="BA13" i="62" l="1" a="1"/>
  <c r="BA13" i="62" s="1"/>
  <c r="BA14" i="62" s="1" a="1"/>
  <c r="BA14" i="62" s="1"/>
  <c r="BA15" i="62" s="1" a="1"/>
  <c r="BA15" i="62" s="1"/>
  <c r="BA16" i="62" s="1" a="1"/>
  <c r="BA16" i="62" s="1"/>
  <c r="BA17" i="62" s="1" a="1"/>
  <c r="BA17" i="62" s="1"/>
  <c r="BA18" i="62" s="1" a="1"/>
  <c r="BA18" i="62" s="1"/>
  <c r="BA19" i="62" s="1" a="1"/>
  <c r="BA19" i="62" s="1"/>
  <c r="BA20" i="62" s="1" a="1"/>
  <c r="BA20" i="62" s="1"/>
  <c r="BA21" i="62" s="1" a="1"/>
  <c r="BA21" i="62" s="1"/>
  <c r="BA22" i="62" s="1" a="1"/>
  <c r="BA22" i="62" s="1"/>
  <c r="BA23" i="62" s="1" a="1"/>
  <c r="BA23" i="62" s="1"/>
  <c r="BA24" i="62" s="1" a="1"/>
  <c r="BA24" i="62" s="1"/>
  <c r="BA25" i="62" s="1" a="1"/>
  <c r="BA25" i="62" s="1"/>
  <c r="BA26" i="62" s="1" a="1"/>
  <c r="BA26" i="62" s="1"/>
  <c r="BA27" i="62" s="1" a="1"/>
  <c r="BA27" i="62" s="1"/>
  <c r="BA28" i="62" s="1" a="1"/>
  <c r="BA28" i="62" s="1"/>
  <c r="BA29" i="62" s="1" a="1"/>
  <c r="BA29" i="62" s="1"/>
  <c r="BA30" i="62" s="1" a="1"/>
  <c r="BA30" i="62" s="1"/>
  <c r="BA31" i="62" s="1" a="1"/>
  <c r="BA31" i="62" s="1"/>
  <c r="BA32" i="62" s="1" a="1"/>
  <c r="BA32" i="62" s="1"/>
  <c r="BA33" i="62" s="1" a="1"/>
  <c r="BA33" i="62" s="1"/>
  <c r="BA34" i="62" s="1" a="1"/>
  <c r="BA34" i="62" s="1"/>
  <c r="BA35" i="62" s="1" a="1"/>
  <c r="BA35" i="62" s="1"/>
  <c r="BA36" i="62" s="1" a="1"/>
  <c r="BA36" i="62" s="1"/>
  <c r="BA37" i="62" s="1" a="1"/>
  <c r="BA37" i="62" s="1"/>
  <c r="BA38" i="62" s="1" a="1"/>
  <c r="BA38" i="62" s="1"/>
  <c r="BA39" i="62" s="1" a="1"/>
  <c r="BA39" i="62" s="1"/>
  <c r="BA40" i="62" s="1" a="1"/>
  <c r="BA40" i="62" s="1"/>
  <c r="BA41" i="62" s="1" a="1"/>
  <c r="BA41" i="62" s="1"/>
  <c r="BA42" i="62" s="1" a="1"/>
  <c r="BA42" i="62" s="1"/>
  <c r="BA43" i="62" s="1" a="1"/>
  <c r="BA43" i="62" s="1"/>
  <c r="BA44" i="62" s="1" a="1"/>
  <c r="BA44" i="62" s="1"/>
  <c r="BA45" i="62" s="1" a="1"/>
  <c r="BA45" i="62" s="1"/>
  <c r="BA46" i="62" s="1" a="1"/>
  <c r="BA46" i="62" s="1"/>
  <c r="BA47" i="62" s="1" a="1"/>
  <c r="BA47" i="62" s="1"/>
  <c r="BA48" i="62" s="1" a="1"/>
  <c r="BA48" i="62" s="1"/>
  <c r="BA49" i="62" s="1" a="1"/>
  <c r="BA49" i="62" s="1"/>
  <c r="BA50" i="62" s="1" a="1"/>
  <c r="BA50" i="62" s="1"/>
  <c r="BA51" i="62" s="1" a="1"/>
  <c r="BA51" i="62" s="1"/>
  <c r="BA52" i="62" s="1" a="1"/>
  <c r="BA52" i="62" s="1"/>
  <c r="BA53" i="62" s="1" a="1"/>
  <c r="BA53" i="62" s="1"/>
  <c r="BA54" i="62" s="1" a="1"/>
  <c r="BA54" i="62" s="1"/>
  <c r="BA55" i="62" s="1" a="1"/>
  <c r="BA55" i="62" s="1"/>
  <c r="BA56" i="62" s="1" a="1"/>
  <c r="BA56" i="62" s="1"/>
  <c r="BA57" i="62" s="1" a="1"/>
  <c r="BA57" i="62" s="1"/>
  <c r="BA58" i="62" s="1" a="1"/>
  <c r="BA58" i="62" s="1"/>
  <c r="BA59" i="62" s="1" a="1"/>
  <c r="BA59" i="62" s="1"/>
  <c r="BA60" i="62" s="1" a="1"/>
  <c r="BA60" i="62" s="1"/>
  <c r="BA61" i="62" s="1" a="1"/>
  <c r="BA61" i="62" s="1"/>
  <c r="BA62" i="62" s="1" a="1"/>
  <c r="BA62" i="62" s="1"/>
  <c r="BA63" i="62" s="1" a="1"/>
  <c r="BA63" i="62" s="1"/>
  <c r="BA64" i="62" s="1" a="1"/>
  <c r="BA64" i="62" s="1"/>
  <c r="BA65" i="62" s="1" a="1"/>
  <c r="BA65" i="62" s="1"/>
  <c r="BA66" i="62" s="1" a="1"/>
  <c r="BA66" i="62" s="1"/>
  <c r="BA67" i="62" s="1" a="1"/>
  <c r="BA67" i="62" s="1"/>
  <c r="BA68" i="62" s="1" a="1"/>
  <c r="BA68" i="62" s="1"/>
  <c r="BA69" i="62" s="1" a="1"/>
  <c r="BA69" i="62" s="1"/>
  <c r="BA70" i="62" s="1" a="1"/>
  <c r="BA70" i="62" s="1"/>
  <c r="BA71" i="62" s="1" a="1"/>
  <c r="BA71" i="62" s="1"/>
  <c r="BA72" i="62" s="1" a="1"/>
  <c r="BA72" i="62" s="1"/>
  <c r="BA73" i="62" s="1" a="1"/>
  <c r="BA73" i="62" s="1"/>
  <c r="BA74" i="62" s="1" a="1"/>
  <c r="BA74" i="62" s="1"/>
  <c r="BA75" i="62" s="1" a="1"/>
  <c r="BA75" i="62" s="1"/>
  <c r="BA76" i="62" s="1" a="1"/>
  <c r="BA76" i="62" s="1"/>
  <c r="BA77" i="62" s="1" a="1"/>
  <c r="BA77" i="62" s="1"/>
  <c r="BA78" i="62" s="1" a="1"/>
  <c r="BA78" i="62" s="1"/>
  <c r="BA79" i="62" s="1" a="1"/>
  <c r="BA79" i="62" s="1"/>
  <c r="BA80" i="62" s="1" a="1"/>
  <c r="BA80" i="62" s="1"/>
  <c r="BA81" i="62" s="1" a="1"/>
  <c r="BA81" i="62" s="1"/>
  <c r="BA82" i="62" s="1" a="1"/>
  <c r="BA82" i="62" s="1"/>
  <c r="BA83" i="62" s="1" a="1"/>
  <c r="BA83" i="62" s="1"/>
  <c r="BA84" i="62" s="1" a="1"/>
  <c r="BA84" i="62" s="1"/>
  <c r="BA85" i="62" s="1" a="1"/>
  <c r="BA85" i="62" s="1"/>
  <c r="BA86" i="62" s="1" a="1"/>
  <c r="BA86" i="62" s="1"/>
  <c r="BA87" i="62" s="1" a="1"/>
  <c r="BA87" i="62" s="1"/>
  <c r="BA88" i="62" s="1" a="1"/>
  <c r="BA88" i="62" s="1"/>
  <c r="BA89" i="62" s="1" a="1"/>
  <c r="BA89" i="62" s="1"/>
  <c r="BA90" i="62" s="1" a="1"/>
  <c r="BA90" i="62" s="1"/>
  <c r="BA91" i="62" s="1" a="1"/>
  <c r="BA91" i="62" s="1"/>
  <c r="BA92" i="62" s="1" a="1"/>
  <c r="BA92" i="62" s="1"/>
  <c r="BA93" i="62" s="1" a="1"/>
  <c r="BA93" i="62" s="1"/>
  <c r="BA94" i="62" s="1" a="1"/>
  <c r="BA94" i="62" s="1"/>
  <c r="BA95" i="62" s="1" a="1"/>
  <c r="BA95" i="62" s="1"/>
  <c r="BA96" i="62" s="1" a="1"/>
  <c r="BA96" i="62" s="1"/>
  <c r="BA97" i="62" s="1" a="1"/>
  <c r="BA97" i="62" s="1"/>
  <c r="BA98" i="62" s="1" a="1"/>
  <c r="BA98" i="62" s="1"/>
  <c r="BA99" i="62" s="1" a="1"/>
  <c r="BA99" i="62" s="1"/>
  <c r="BA100" i="62" s="1" a="1"/>
  <c r="BA100" i="62" s="1"/>
  <c r="BA101" i="62" s="1" a="1"/>
  <c r="BA101" i="62" s="1"/>
  <c r="BA102" i="62" s="1" a="1"/>
  <c r="BA102" i="62" s="1"/>
  <c r="AC4" i="9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Parvathi V.</author>
  </authors>
  <commentList>
    <comment ref="Y21" authorId="0" shapeId="0" xr:uid="{AFC8C789-6B31-42B3-B0A4-761F64AD734F}">
      <text>
        <r>
          <rPr>
            <b/>
            <sz val="9"/>
            <color indexed="81"/>
            <rFont val="Tahoma"/>
            <family val="2"/>
          </rPr>
          <t>The Thresholds  of Delivered defect rate can be converted wrt the Size, by converting effort to the no of Size units.</t>
        </r>
      </text>
    </comment>
    <comment ref="Y23" authorId="0" shapeId="0" xr:uid="{68EC95D0-3BA6-43A5-94D9-37AC11CD23A1}">
      <text>
        <r>
          <rPr>
            <b/>
            <sz val="9"/>
            <color indexed="81"/>
            <rFont val="Tahoma"/>
            <family val="2"/>
          </rPr>
          <t>The Thresholds  of Total   Defect rate can be converted wrt the Size, by converting effort to the no of Size units.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sivanantham.m</author>
    <author>Sivanantham M.</author>
    <author>parvathi.v</author>
  </authors>
  <commentList>
    <comment ref="K4" authorId="0" shapeId="0" xr:uid="{9B6BC7C0-D341-4F5B-A045-BFD0D56D588C}">
      <text>
        <r>
          <rPr>
            <b/>
            <sz val="9"/>
            <color indexed="81"/>
            <rFont val="Tahoma"/>
            <family val="2"/>
          </rPr>
          <t>The lower side benchmark for process performance or product quality and any value below this threshold will not be acceptable as defined by customer or organization or project. 
This is conditionally required for metrics which are "Higher the better" by nature. For example, Productivity measured in FP per Person-month. The Lower Specification Limit can be 0.8 FP per Person-month</t>
        </r>
      </text>
    </comment>
    <comment ref="L4" authorId="0" shapeId="0" xr:uid="{448C8BF9-0599-4933-A21C-E9CC5771BB01}">
      <text>
        <r>
          <rPr>
            <b/>
            <sz val="9"/>
            <color indexed="81"/>
            <rFont val="Tahoma"/>
            <family val="2"/>
          </rPr>
          <t>The higher side benchmark for process performance or product quality and any value above this threshold will not be acceptable as defined by customer or organization or project. 
This is conditionally required for metrics which are "Lower the better" by nature. For example, Defect Leakage to Warrnty and Production measured in %. The Upper Specification Limit can be 5%</t>
        </r>
      </text>
    </comment>
    <comment ref="P4" authorId="0" shapeId="0" xr:uid="{72D38976-DD0D-4BA4-AC68-F77EB2E057D6}">
      <text>
        <r>
          <rPr>
            <b/>
            <sz val="9"/>
            <color indexed="81"/>
            <rFont val="Tahoma"/>
            <family val="2"/>
          </rPr>
          <t xml:space="preserve">The inputs could be one or more of the following: Organization objectives, Customer goals or objectives, Product Quality Requirements, Process Performance Baseline values
Refer the documents where these inputs are available for ensuring traceability of each objective to the sources E.g. Sonata Development SOW January 2012-6M_DP.PDF, Software Requirement Specification for FA DaaS v1.3.docx, BusinessObjectives_Jan13.xls, PPB_Report_May13_Detailed.doc. </t>
        </r>
        <r>
          <rPr>
            <sz val="9"/>
            <color indexed="81"/>
            <rFont val="Tahoma"/>
            <family val="2"/>
          </rPr>
          <t xml:space="preserve">
</t>
        </r>
        <r>
          <rPr>
            <b/>
            <sz val="9"/>
            <color indexed="81"/>
            <rFont val="Tahoma"/>
            <family val="2"/>
          </rPr>
          <t>The rationale for Priority should be specified based on Customer mandate or Org. mandate or linkage to success criteria of the project. The rationale for values for Objectives should be specified in terms of whether it was inherited as is from the reference or the percentage of change desired from the reference</t>
        </r>
      </text>
    </comment>
    <comment ref="Q4" authorId="1" shapeId="0" xr:uid="{C5DCDA86-016B-462D-B4A1-2E91642C6F79}">
      <text>
        <r>
          <rPr>
            <b/>
            <sz val="9"/>
            <color indexed="81"/>
            <rFont val="Tahoma"/>
            <family val="2"/>
          </rPr>
          <t xml:space="preserve">All metrics with “No” are only internally reported within Sonata and selecting “Yes” will indicate that it is expected and reported to customer as well
</t>
        </r>
        <r>
          <rPr>
            <sz val="9"/>
            <color indexed="81"/>
            <rFont val="Tahoma"/>
            <family val="2"/>
          </rPr>
          <t xml:space="preserve">
</t>
        </r>
      </text>
    </comment>
    <comment ref="R4" authorId="2" shapeId="0" xr:uid="{2F5E9B6B-35E2-441E-AD22-F97B6858CE74}">
      <text>
        <r>
          <rPr>
            <b/>
            <sz val="8"/>
            <color indexed="81"/>
            <rFont val="Tahoma"/>
            <family val="2"/>
          </rPr>
          <t>Specify all the data to be collected for computing the metric
Operational definition describes the data and the procedure you will use to measure the data.</t>
        </r>
        <r>
          <rPr>
            <sz val="8"/>
            <color indexed="81"/>
            <rFont val="Tahoma"/>
            <family val="2"/>
          </rPr>
          <t xml:space="preserve">
 Eg: Data to be collected is </t>
        </r>
        <r>
          <rPr>
            <b/>
            <sz val="8"/>
            <color indexed="81"/>
            <rFont val="Tahoma"/>
            <family val="2"/>
          </rPr>
          <t>Actual or Projected End date</t>
        </r>
        <r>
          <rPr>
            <sz val="8"/>
            <color indexed="81"/>
            <rFont val="Tahoma"/>
            <family val="2"/>
          </rPr>
          <t>-its operational definition can be 
"</t>
        </r>
        <r>
          <rPr>
            <b/>
            <sz val="8"/>
            <color indexed="81"/>
            <rFont val="Tahoma"/>
            <family val="2"/>
          </rPr>
          <t>The actual/planned date on which the final product is signed off or deemed signed off by the custome</t>
        </r>
        <r>
          <rPr>
            <sz val="8"/>
            <color indexed="81"/>
            <rFont val="Tahoma"/>
            <family val="2"/>
          </rPr>
          <t xml:space="preserve">r".
</t>
        </r>
      </text>
    </comment>
    <comment ref="V4" authorId="0" shapeId="0" xr:uid="{AE41A719-A1A4-422D-BC6A-7991C0AAE1C0}">
      <text>
        <r>
          <rPr>
            <b/>
            <sz val="9"/>
            <color indexed="81"/>
            <rFont val="Tahoma"/>
            <family val="2"/>
          </rPr>
          <t>Type of Metric is specified based on the objective and the purpose it serves.
Project Manager should choose a right mix metrics that maps to  Result, Enabler and Insight Metrics.
For example, 
Metric mapping to the End Results of Business Performance such as Gross Margin % or "Project or Process or Product" Performance such as Productivity or Delivered Quality will be specified as Result Metric; 
Metric that enables the achievement of Results such as Coding Delivery Rate impacting Productivity or Code Review Efficiency imapcting Delivery Quality etc. will be specified as Enabler Metric; 
Metric that provides insight on performance  such as Percentage of Defects by Category will be specified as Insight Metric;</t>
        </r>
      </text>
    </comment>
    <comment ref="W4" authorId="0" shapeId="0" xr:uid="{40B25B88-A11A-43C9-8FA1-C5E6579042CB}">
      <text>
        <r>
          <rPr>
            <b/>
            <sz val="9"/>
            <color indexed="81"/>
            <rFont val="Tahoma"/>
            <family val="2"/>
          </rPr>
          <t>Specify the relevant sub-process, if the type of metric is a  sub-process metric. Othewise this column can be left blank</t>
        </r>
        <r>
          <rPr>
            <sz val="9"/>
            <color indexed="81"/>
            <rFont val="Tahoma"/>
            <family val="2"/>
          </rPr>
          <t xml:space="preserve">
</t>
        </r>
      </text>
    </comment>
    <comment ref="X4" authorId="0" shapeId="0" xr:uid="{B48CB51C-1D05-4577-A462-AEF6865BD5F3}">
      <text>
        <r>
          <rPr>
            <b/>
            <sz val="9"/>
            <color indexed="81"/>
            <rFont val="Tahoma"/>
            <family val="2"/>
          </rPr>
          <t>Specify "Managed Statistically as "Yes", if statitsical techniques such as Control Chart, Prediction Models etc. are used for analyzing the process performance</t>
        </r>
        <r>
          <rPr>
            <sz val="9"/>
            <color indexed="81"/>
            <rFont val="Tahoma"/>
            <family val="2"/>
          </rPr>
          <t xml:space="preserve">
</t>
        </r>
      </text>
    </comment>
    <comment ref="Y4" authorId="0" shapeId="0" xr:uid="{722887EB-1E21-4F71-A8F9-A6E147625763}">
      <text>
        <r>
          <rPr>
            <b/>
            <sz val="9"/>
            <color indexed="81"/>
            <rFont val="Tahoma"/>
            <family val="2"/>
          </rPr>
          <t xml:space="preserve">Specify the appropriate analytic technique for analyzing and understanding process or sub-process performance. 
Examples of analytic techniques include Control Chart(I-MR Chart), Box Plot,Scattor Plot, Histogram, Run Chart, Pie Chart, ANOVA, Regression Analysis, Time Series Analysis etc.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Parvathi V.</author>
    <author>sivanantham.m</author>
  </authors>
  <commentList>
    <comment ref="B6" authorId="0" shapeId="0" xr:uid="{1D047DF6-9D19-4710-9DE7-E09E07FF847F}">
      <text>
        <r>
          <rPr>
            <b/>
            <sz val="9"/>
            <color indexed="81"/>
            <rFont val="Tahoma"/>
            <family val="2"/>
          </rPr>
          <t>Process Objective Metrics are listed</t>
        </r>
      </text>
    </comment>
    <comment ref="M7" authorId="1" shapeId="0" xr:uid="{044494DD-6801-4311-831C-91C11E3F50B0}">
      <text>
        <r>
          <rPr>
            <b/>
            <sz val="9"/>
            <color indexed="81"/>
            <rFont val="Tahoma"/>
            <family val="2"/>
          </rPr>
          <t>The Total Score threshold 75%   gives the assurance that the sub-process metric having the rating of High for both Contribution to KPI [K] &amp; Amenability for frequent data and control [C] or the sub-process metric having the rating of Medium for "Contribution to KPI [K]" &amp; High for "Amenability for frequent data and control" [C]" with availability of past data, is selected  for "Managed Statistically"</t>
        </r>
        <r>
          <rPr>
            <sz val="9"/>
            <color indexed="81"/>
            <rFont val="Tahoma"/>
            <family val="2"/>
          </rPr>
          <t xml:space="preserve">
</t>
        </r>
      </text>
    </comment>
    <comment ref="M8" authorId="1" shapeId="0" xr:uid="{8FC4FB2B-153A-4019-A2E4-38F79E98FBB5}">
      <text>
        <r>
          <rPr>
            <b/>
            <sz val="9"/>
            <color indexed="81"/>
            <rFont val="Tahoma"/>
            <family val="2"/>
          </rPr>
          <t>The Total Score threshold 70% but below 75% gives the assurance that the sub-process metric having the rating of Medium for both "Contribution to KPI [K] &amp; Amenability for frequent data and control [C]" with availability of past data and linkage in PPM or the sub-process metric having the rating of High for "Contribution to KPI [K]" &amp; Medium for "Amenability for frequent data and control" [C]" with availability of past data or the sub-process metric having the rating of Medium for "Contribution to KPI [K]" &amp; High for "Amenability for frequent data and control" [C]" without past data and linkage to PPM, is selected  for "Managed Quantitatively"</t>
        </r>
        <r>
          <rPr>
            <sz val="9"/>
            <color indexed="81"/>
            <rFont val="Tahoma"/>
            <family val="2"/>
          </rPr>
          <t xml:space="preserve">
</t>
        </r>
      </text>
    </comment>
    <comment ref="C9" authorId="1" shapeId="0" xr:uid="{09CA1846-096A-4436-BE9A-17579A28D9A7}">
      <text>
        <r>
          <rPr>
            <b/>
            <sz val="9"/>
            <color indexed="81"/>
            <rFont val="Tahoma"/>
            <family val="2"/>
          </rPr>
          <t xml:space="preserve">Contribution to Result should be rated based on one or more of the following
-Sensitivity Analysis output from Simulation based Prediction Model (Top most Sensitive Sub-process will be rated High, folllowed by Medium and Low)
-Regression Analysis (The sub-process measure having highest co-efficient in Regression Equation or having highest contribution to Variance Analysis will be rated High, folllowed by Medium and Low)
-Based on the logical relationship or contribution (The sub-process measure having the strongest logical relationship or contribution based on the data analysis will be rated High,  folllowed by Medium and Low)
</t>
        </r>
        <r>
          <rPr>
            <sz val="9"/>
            <color indexed="81"/>
            <rFont val="Tahoma"/>
            <family val="2"/>
          </rPr>
          <t xml:space="preserve">
</t>
        </r>
      </text>
    </comment>
    <comment ref="E9" authorId="0" shapeId="0" xr:uid="{0ECF2182-FB22-45DA-B76E-A3CE178385E1}">
      <text>
        <r>
          <rPr>
            <sz val="9"/>
            <color indexed="81"/>
            <rFont val="Tahoma"/>
            <family val="2"/>
          </rPr>
          <t xml:space="preserve">Is the Sub-process measure/metric  impacted/linked through CAR/Innovation/PPM
</t>
        </r>
      </text>
    </comment>
    <comment ref="F9" authorId="1" shapeId="0" xr:uid="{94F8CE41-D10D-48F4-AC5D-54AA2D19F122}">
      <text>
        <r>
          <rPr>
            <b/>
            <sz val="9"/>
            <color indexed="81"/>
            <rFont val="Tahoma"/>
            <family val="2"/>
          </rPr>
          <t xml:space="preserve">"Amenability for frequent data and control" will be rated based on one or more of the following
-Number/Frequency of data points within the control window such as Sprint/ Release/Project/Phase etc. (For example: Number/Frequency of data points for "Coding Delivery Rate" is likely to be High compared to "Design Delivery Rate" as some user stories may not have design activity itself or done by Onsite or Customer
-Ability for in-process control   (For example: Ability to in-process control will be rated High for "Coding Delivery Rate" compared to "Design Delivery Rate" or "Analysis Delivery Rate" where our flexibility to control will be more constrained and hence the same may be rated as "Medium" or "Low" )
</t>
        </r>
        <r>
          <rPr>
            <sz val="9"/>
            <color indexed="81"/>
            <rFont val="Tahoma"/>
            <family val="2"/>
          </rPr>
          <t xml:space="preserve">
</t>
        </r>
      </text>
    </comment>
    <comment ref="K9" authorId="1" shapeId="0" xr:uid="{B65B2EBC-9B33-489A-8944-5324861AE98A}">
      <text>
        <r>
          <rPr>
            <b/>
            <sz val="9"/>
            <color indexed="81"/>
            <rFont val="Tahoma"/>
            <family val="2"/>
          </rPr>
          <t>Total Score is computed as the weighted average of rating done for each of following Criteria</t>
        </r>
        <r>
          <rPr>
            <sz val="9"/>
            <color indexed="81"/>
            <rFont val="Tahoma"/>
            <family val="2"/>
          </rPr>
          <t xml:space="preserve">
-</t>
        </r>
        <r>
          <rPr>
            <i/>
            <sz val="9"/>
            <color indexed="81"/>
            <rFont val="Tahoma"/>
            <family val="2"/>
          </rPr>
          <t>Contribution to KPI [K]
-Adequate quantitative data from past available[D] 
-Impacted/Linked through CAR,Innovation,PPM[P]
-Amenability for frequent data and control[C]
Total Score =(Rating Value for K*Weightage for K+Rating Value for D*Weightage for D+Rating Value for P*Weightage for P+Rating Value for C*Weightage for C)/(Max. Rating Value for K*Weightage for K+Max.Rating Value for D*Weightage for D+Max. Rating Value for P*Weightage for P+Max. Rating Value for C*Weightage for C)</t>
        </r>
      </text>
    </comment>
    <comment ref="R18" authorId="1" shapeId="0" xr:uid="{8643E23E-7D50-4EE5-AC33-3AF56763A6F3}">
      <text>
        <r>
          <rPr>
            <b/>
            <sz val="9"/>
            <color indexed="81"/>
            <rFont val="Tahoma"/>
            <family val="2"/>
          </rPr>
          <t>The Total Score threshold 75%   gives the assurance that the sub-process metric having the rating of High for both Contribution to KPI [K] &amp; Amenability for frequent data and control [C] or the sub-process metric having the rating of Medium for "Contribution to KPI [K]" &amp; High for "Amenability for frequent data and control" [C]" with availability of past data, is selected  for "Managed Statistically"</t>
        </r>
        <r>
          <rPr>
            <sz val="9"/>
            <color indexed="81"/>
            <rFont val="Tahoma"/>
            <family val="2"/>
          </rPr>
          <t xml:space="preserve">
</t>
        </r>
      </text>
    </comment>
    <comment ref="R19" authorId="1" shapeId="0" xr:uid="{D273B33F-4690-4C6D-AE4F-AC2DB6D3BCAA}">
      <text>
        <r>
          <rPr>
            <b/>
            <sz val="9"/>
            <color indexed="81"/>
            <rFont val="Tahoma"/>
            <family val="2"/>
          </rPr>
          <t>The Total Score threshold 70% but below 75% gives the assurance that the sub-process metric having the rating of Medium for both "Contribution to KPI [K] &amp; Amenability for frequent data and control [C]" with availability of past data and linkage in PPM or the sub-process metric having the rating of High for "Contribution to KPI [K]" &amp; Medium for "Amenability for frequent data and control" [C]" with availability of past data or the sub-process metric having the rating of Medium for "Contribution to KPI [K]" &amp; High for "Amenability for frequent data and control" [C]" without past data and linkage to PPM, is selected  for "Managed Quantitatively"</t>
        </r>
        <r>
          <rPr>
            <sz val="9"/>
            <color indexed="81"/>
            <rFont val="Tahoma"/>
            <family val="2"/>
          </rPr>
          <t xml:space="preserve">
</t>
        </r>
      </text>
    </comment>
    <comment ref="B22" authorId="0" shapeId="0" xr:uid="{23B3B773-9E87-4217-AB0B-A82DFE40900B}">
      <text>
        <r>
          <rPr>
            <b/>
            <sz val="9"/>
            <color indexed="81"/>
            <rFont val="Tahoma"/>
            <family val="2"/>
          </rPr>
          <t>Process Objective Metrics are listed</t>
        </r>
      </text>
    </comment>
    <comment ref="M23" authorId="1" shapeId="0" xr:uid="{3215A4DE-4C13-479E-83B7-9EC3E43EDDBE}">
      <text>
        <r>
          <rPr>
            <b/>
            <sz val="9"/>
            <color indexed="81"/>
            <rFont val="Tahoma"/>
            <family val="2"/>
          </rPr>
          <t>The Total Score threshold 75%   gives the assurance that the sub-process metric having the rating of High for both Contribution to KPI [K] &amp; Amenability for frequent data and control [C] or the sub-process metric having the rating of Medium for "Contribution to KPI [K]" &amp; High for "Amenability for frequent data and control" [C]" with availability of past data, is selected  for "Managed Statistically"</t>
        </r>
        <r>
          <rPr>
            <sz val="9"/>
            <color indexed="81"/>
            <rFont val="Tahoma"/>
            <family val="2"/>
          </rPr>
          <t xml:space="preserve">
</t>
        </r>
      </text>
    </comment>
    <comment ref="M24" authorId="1" shapeId="0" xr:uid="{B014A010-7BD9-40EC-9176-64BE5C474483}">
      <text>
        <r>
          <rPr>
            <b/>
            <sz val="9"/>
            <color indexed="81"/>
            <rFont val="Tahoma"/>
            <family val="2"/>
          </rPr>
          <t>The Total Score threshold 70% but below 75% gives the assurance that the sub-process metric having the rating of Medium for both "Contribution to KPI [K] &amp; Amenability for frequent data and control [C]" with availability of past data and linkage in PPM or the sub-process metric having the rating of High for "Contribution to KPI [K]" &amp; Medium for "Amenability for frequent data and control" [C]" with availability of past data or the sub-process metric having the rating of Medium for "Contribution to KPI [K]" &amp; High for "Amenability for frequent data and control" [C]" without past data and linkage to PPM, is selected  for "Managed Quantitatively"</t>
        </r>
        <r>
          <rPr>
            <sz val="9"/>
            <color indexed="81"/>
            <rFont val="Tahoma"/>
            <family val="2"/>
          </rPr>
          <t xml:space="preserve">
</t>
        </r>
      </text>
    </comment>
    <comment ref="C25" authorId="1" shapeId="0" xr:uid="{F9F7FAA7-9418-4D4D-B7E7-32FF8870B72F}">
      <text>
        <r>
          <rPr>
            <b/>
            <sz val="9"/>
            <color indexed="81"/>
            <rFont val="Tahoma"/>
            <family val="2"/>
          </rPr>
          <t xml:space="preserve">Contribution to Result should be rated based on one or more of the following
-Sensitivity Analysis output from Simulation based Prediction Model (Top most Sensitive Sub-process will be rated High, folllowed by Medium and Low)
-Regression Analysis (The sub-process measure having highest co-efficient in Regression Equation or having highest contribution to Variance Analysis will be rated High, folllowed by Medium and Low)
-Based on the logical relationship or contribution (The sub-process measure having the strongest logical relationship or contribution based on the data analysis will be rated High,  folllowed by Medium and Low)
</t>
        </r>
        <r>
          <rPr>
            <sz val="9"/>
            <color indexed="81"/>
            <rFont val="Tahoma"/>
            <family val="2"/>
          </rPr>
          <t xml:space="preserve">
</t>
        </r>
      </text>
    </comment>
    <comment ref="E25" authorId="0" shapeId="0" xr:uid="{74BE52D0-F109-4811-A80D-02D0F4E4CC79}">
      <text>
        <r>
          <rPr>
            <sz val="9"/>
            <color indexed="81"/>
            <rFont val="Tahoma"/>
            <family val="2"/>
          </rPr>
          <t xml:space="preserve">Is the Sub-process measure/metric  impacted/linked through CAR/Innovation/PPM
</t>
        </r>
      </text>
    </comment>
    <comment ref="F25" authorId="1" shapeId="0" xr:uid="{FCE8F269-B290-465D-90C6-126FD75441D2}">
      <text>
        <r>
          <rPr>
            <b/>
            <sz val="9"/>
            <color indexed="81"/>
            <rFont val="Tahoma"/>
            <family val="2"/>
          </rPr>
          <t xml:space="preserve">"Amenability for frequent data and control" will be rated based on one or more of the following
-Number/Frequency of data points within the control window such as Sprint/ Release/Project/Phase etc. (For example: Number/Frequency of data points for "Coding Delivery Rate" is likely to be High compared to "Design Delivery Rate" as some user stories may not have design activity itself or done by Onsite or Customer
-Ability for in-process control   (For example: Ability to in-process control will be rated High for "Coding Delivery Rate" compared to "Design Delivery Rate" or "Analysis Delivery Rate" where our flexibility to control will be more constrained and hence the same may be rated as "Medium" or "Low" )
</t>
        </r>
        <r>
          <rPr>
            <sz val="9"/>
            <color indexed="81"/>
            <rFont val="Tahoma"/>
            <family val="2"/>
          </rPr>
          <t xml:space="preserve">
</t>
        </r>
      </text>
    </comment>
    <comment ref="K25" authorId="1" shapeId="0" xr:uid="{1EA4080B-5625-4700-BFD3-A99CF3E0711E}">
      <text>
        <r>
          <rPr>
            <b/>
            <sz val="9"/>
            <color indexed="81"/>
            <rFont val="Tahoma"/>
            <family val="2"/>
          </rPr>
          <t>Total Score is computed as the weighted average of rating done for each of following Criteria</t>
        </r>
        <r>
          <rPr>
            <sz val="9"/>
            <color indexed="81"/>
            <rFont val="Tahoma"/>
            <family val="2"/>
          </rPr>
          <t xml:space="preserve">
-</t>
        </r>
        <r>
          <rPr>
            <i/>
            <sz val="9"/>
            <color indexed="81"/>
            <rFont val="Tahoma"/>
            <family val="2"/>
          </rPr>
          <t>Contribution to KPI [K]
-Adequate quantitative data from past available[D] 
-Impacted/Linked through CAR,Innovation,PPM[P]
-Amenability for frequent data and control[C]
Total Score =(Rating Value for K*Weightage for K+Rating Value for D*Weightage for D+Rating Value for P*Weightage for P+Rating Value for C*Weightage for C)/(Max. Rating Value for K*Weightage for K+Max.Rating Value for D*Weightage for D+Max. Rating Value for P*Weightage for P+Max. Rating Value for C*Weightage for C)</t>
        </r>
      </text>
    </comment>
    <comment ref="B37" authorId="0" shapeId="0" xr:uid="{7BE0E0EA-AA82-4CAB-9537-8C49D6F8A03A}">
      <text>
        <r>
          <rPr>
            <b/>
            <sz val="9"/>
            <color indexed="81"/>
            <rFont val="Tahoma"/>
            <family val="2"/>
          </rPr>
          <t>Process Objective Metrics are listed</t>
        </r>
      </text>
    </comment>
    <comment ref="M38" authorId="1" shapeId="0" xr:uid="{D0CF0EAF-BC3D-40A7-926D-042C0D97D54D}">
      <text>
        <r>
          <rPr>
            <b/>
            <sz val="9"/>
            <color indexed="81"/>
            <rFont val="Tahoma"/>
            <family val="2"/>
          </rPr>
          <t>The Total Score threshold 75%   gives the assurance that the sub-process metric having the rating of High for both Contribution to KPI [K] &amp; Amenability for frequent data and control [C] or the sub-process metric having the rating of Medium for "Contribution to KPI [K]" &amp; High for "Amenability for frequent data and control" [C]" with availability of past data, is selected  for "Managed Statistically"</t>
        </r>
        <r>
          <rPr>
            <sz val="9"/>
            <color indexed="81"/>
            <rFont val="Tahoma"/>
            <family val="2"/>
          </rPr>
          <t xml:space="preserve">
</t>
        </r>
      </text>
    </comment>
    <comment ref="M39" authorId="1" shapeId="0" xr:uid="{CBC9C6D0-753C-45B1-B10A-D219D31C1E6E}">
      <text>
        <r>
          <rPr>
            <b/>
            <sz val="9"/>
            <color indexed="81"/>
            <rFont val="Tahoma"/>
            <family val="2"/>
          </rPr>
          <t>The Total Score threshold 70% but below 75% gives the assurance that the sub-process metric having the rating of Medium for both "Contribution to KPI [K] &amp; Amenability for frequent data and control [C]" with availability of past data and linkage in PPM or the sub-process metric having the rating of High for "Contribution to KPI [K]" &amp; Medium for "Amenability for frequent data and control" [C]" with availability of past data or the sub-process metric having the rating of Medium for "Contribution to KPI [K]" &amp; High for "Amenability for frequent data and control" [C]" without past data and linkage to PPM, is selected  for "Managed Quantitatively"</t>
        </r>
        <r>
          <rPr>
            <sz val="9"/>
            <color indexed="81"/>
            <rFont val="Tahoma"/>
            <family val="2"/>
          </rPr>
          <t xml:space="preserve">
</t>
        </r>
      </text>
    </comment>
    <comment ref="C40" authorId="1" shapeId="0" xr:uid="{2B7CAE27-5E52-4D80-8E8F-759D57E18262}">
      <text>
        <r>
          <rPr>
            <b/>
            <sz val="9"/>
            <color indexed="81"/>
            <rFont val="Tahoma"/>
            <family val="2"/>
          </rPr>
          <t xml:space="preserve">Contribution to Result should be rated based on one or more of the following
-Sensitivity Analysis output from Simulation based Prediction Model (Top most Sensitive Sub-process will be rated High, folllowed by Medium and Low)
-Regression Analysis (The sub-process measure having highest co-efficient in Regression Equation or having highest contribution to Variance Analysis will be rated High, folllowed by Medium and Low)
-Based on the logical relationship or contribution (The sub-process measure having the strongest logical relationship or contribution based on the data analysis will be rated High,  folllowed by Medium and Low)
</t>
        </r>
        <r>
          <rPr>
            <sz val="9"/>
            <color indexed="81"/>
            <rFont val="Tahoma"/>
            <family val="2"/>
          </rPr>
          <t xml:space="preserve">
</t>
        </r>
      </text>
    </comment>
    <comment ref="E40" authorId="0" shapeId="0" xr:uid="{70F14855-40CB-4343-9817-DE3468F8FC2D}">
      <text>
        <r>
          <rPr>
            <sz val="9"/>
            <color indexed="81"/>
            <rFont val="Tahoma"/>
            <family val="2"/>
          </rPr>
          <t xml:space="preserve">Is the Sub-process measure/metric  impacted/linked through CAR/Innovation/PPM
</t>
        </r>
      </text>
    </comment>
    <comment ref="F40" authorId="1" shapeId="0" xr:uid="{CC7153D5-6490-4039-8458-11A11F46FF15}">
      <text>
        <r>
          <rPr>
            <b/>
            <sz val="9"/>
            <color indexed="81"/>
            <rFont val="Tahoma"/>
            <family val="2"/>
          </rPr>
          <t xml:space="preserve">"Amenability for frequent data and control" will be rated based on one or more of the following
-Number/Frequency of data points within the control window such as Sprint/ Release/Project/Phase etc. (For example: Number/Frequency of data points for "Coding Delivery Rate" is likely to be High compared to "Design Delivery Rate" as some user stories may not have design activity itself or done by Onsite or Customer
-Ability for in-process control   (For example: Ability to in-process control will be rated High for "Coding Delivery Rate" compared to "Design Delivery Rate" or "Analysis Delivery Rate" where our flexibility to control will be more constrained and hence the same may be rated as "Medium" or "Low" )
</t>
        </r>
        <r>
          <rPr>
            <sz val="9"/>
            <color indexed="81"/>
            <rFont val="Tahoma"/>
            <family val="2"/>
          </rPr>
          <t xml:space="preserve">
</t>
        </r>
      </text>
    </comment>
    <comment ref="K40" authorId="1" shapeId="0" xr:uid="{1FCA27F5-8FE1-4B82-916C-99067FD9BE5F}">
      <text>
        <r>
          <rPr>
            <b/>
            <sz val="9"/>
            <color indexed="81"/>
            <rFont val="Tahoma"/>
            <family val="2"/>
          </rPr>
          <t>Total Score is computed as the weighted average of rating done for each of following Criteria</t>
        </r>
        <r>
          <rPr>
            <sz val="9"/>
            <color indexed="81"/>
            <rFont val="Tahoma"/>
            <family val="2"/>
          </rPr>
          <t xml:space="preserve">
-</t>
        </r>
        <r>
          <rPr>
            <i/>
            <sz val="9"/>
            <color indexed="81"/>
            <rFont val="Tahoma"/>
            <family val="2"/>
          </rPr>
          <t>Contribution to KPI [K]
-Adequate quantitative data from past available[D] 
-Impacted/Linked through CAR,Innovation,PPM[P]
-Amenability for frequent data and control[C]
Total Score =(Rating Value for K*Weightage for K+Rating Value for D*Weightage for D+Rating Value for P*Weightage for P+Rating Value for C*Weightage for C)/(Max. Rating Value for K*Weightage for K+Max.Rating Value for D*Weightage for D+Max. Rating Value for P*Weightage for P+Max. Rating Value for C*Weightage for 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Parvathi V.</author>
  </authors>
  <commentList>
    <comment ref="E2" authorId="0" shapeId="0" xr:uid="{47577B39-BE22-4B17-863C-9E61EC8D4CA2}">
      <text>
        <r>
          <rPr>
            <sz val="9"/>
            <color indexed="81"/>
            <rFont val="Tahoma"/>
            <family val="2"/>
          </rPr>
          <t xml:space="preserve">
(Week Name or No,Month Name, Sprint No,ReleaseNo)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tc={FBBF3D93-9A45-476F-A208-0E4673DCC0E2}</author>
    <author>Parvathi V.</author>
  </authors>
  <commentList>
    <comment ref="T1" authorId="0" shapeId="0" xr:uid="{FBBF3D93-9A45-476F-A208-0E4673DCC0E2}">
      <text>
        <t>[Threaded comment]
Your version of Excel allows you to read this threaded comment; however, any edits to it will get removed if the file is opened in a newer version of Excel. Learn more: https://go.microsoft.com/fwlink/?linkid=870924
Comment:
    Please mark M / O only</t>
      </text>
    </comment>
    <comment ref="AG1" authorId="1" shapeId="0" xr:uid="{DDFC5864-3ECB-4324-8EC1-9CF03B5E9E75}">
      <text>
        <r>
          <rPr>
            <b/>
            <sz val="9"/>
            <color indexed="81"/>
            <rFont val="Tahoma"/>
            <family val="2"/>
          </rPr>
          <t>Client Mandate</t>
        </r>
        <r>
          <rPr>
            <sz val="9"/>
            <color indexed="81"/>
            <rFont val="Tahoma"/>
            <family val="2"/>
          </rPr>
          <t xml:space="preserve">- Metric Mandated by Customer
</t>
        </r>
        <r>
          <rPr>
            <b/>
            <sz val="9"/>
            <color indexed="81"/>
            <rFont val="Tahoma"/>
            <family val="2"/>
          </rPr>
          <t>Formula/ Operational Definition</t>
        </r>
        <r>
          <rPr>
            <sz val="9"/>
            <color indexed="81"/>
            <rFont val="Tahoma"/>
            <family val="2"/>
          </rPr>
          <t xml:space="preserve">- Change in the Formulae for computation or Operational Definition for Data Element
</t>
        </r>
        <r>
          <rPr>
            <b/>
            <sz val="9"/>
            <color indexed="81"/>
            <rFont val="Tahoma"/>
            <family val="2"/>
          </rPr>
          <t>Metric Level</t>
        </r>
        <r>
          <rPr>
            <sz val="9"/>
            <color indexed="81"/>
            <rFont val="Tahoma"/>
            <family val="2"/>
          </rPr>
          <t xml:space="preserve">-Change in the Level of the Metrics which is tracked eg:  Schedule Variance : Project level/Milestone etc
</t>
        </r>
        <r>
          <rPr>
            <b/>
            <sz val="9"/>
            <color indexed="81"/>
            <rFont val="Tahoma"/>
            <family val="2"/>
          </rPr>
          <t>Metric Name</t>
        </r>
        <r>
          <rPr>
            <sz val="9"/>
            <color indexed="81"/>
            <rFont val="Tahoma"/>
            <family val="2"/>
          </rPr>
          <t xml:space="preserve">-Change In the Name of the Metric
</t>
        </r>
      </text>
    </comment>
    <comment ref="AH1" authorId="1" shapeId="0" xr:uid="{0F6307E6-662F-4392-862A-C70651037579}">
      <text>
        <r>
          <rPr>
            <b/>
            <sz val="9"/>
            <color indexed="81"/>
            <rFont val="Tahoma"/>
            <family val="2"/>
          </rPr>
          <t>Mention the details of Tailoring</t>
        </r>
        <r>
          <rPr>
            <sz val="9"/>
            <color indexed="81"/>
            <rFont val="Tahoma"/>
            <family val="2"/>
          </rPr>
          <t xml:space="preserve">
</t>
        </r>
      </text>
    </comment>
    <comment ref="Y11" authorId="1" shapeId="0" xr:uid="{62FD698C-002A-411A-BBE1-70A951904AD8}">
      <text>
        <r>
          <rPr>
            <b/>
            <sz val="9"/>
            <color indexed="81"/>
            <rFont val="Tahoma"/>
            <family val="2"/>
          </rPr>
          <t>The Thresholds  of Delivered defect rate can be converted wrt the Size, by converting effort to the no of Size units.</t>
        </r>
      </text>
    </comment>
    <comment ref="Y12" authorId="1" shapeId="0" xr:uid="{DF15973C-C3A3-4E05-94A0-2AC5BC033483}">
      <text>
        <r>
          <rPr>
            <b/>
            <sz val="9"/>
            <color indexed="81"/>
            <rFont val="Tahoma"/>
            <family val="2"/>
          </rPr>
          <t>The Thresholds  of Total   Defect rate can be converted wrt the Size, by converting effort to the no of Size units.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sivanantham.m</author>
  </authors>
  <commentList>
    <comment ref="AG11" authorId="0" shapeId="0" xr:uid="{ADE5F55A-C0AC-4A0E-811F-3870404BF355}">
      <text>
        <r>
          <rPr>
            <b/>
            <sz val="9"/>
            <color indexed="81"/>
            <rFont val="Tahoma"/>
            <family val="2"/>
          </rPr>
          <t>The Total Score threshold 75%   gives the assurance that the sub-process metric having the rating of High for both Contribution to KPI [K] &amp; Amenability for frequent data and control [C] or the sub-process metric having the rating of Medium for "Contribution to KPI [K]" &amp; High for "Amenability for frequent data and control" [C]" with availability of past data, is selected  for "Managed Statistically"</t>
        </r>
        <r>
          <rPr>
            <sz val="9"/>
            <color indexed="81"/>
            <rFont val="Tahoma"/>
            <family val="2"/>
          </rPr>
          <t xml:space="preserve">
</t>
        </r>
      </text>
    </comment>
    <comment ref="AG12" authorId="0" shapeId="0" xr:uid="{67E653A5-C566-4E12-8D49-450772BB61AF}">
      <text>
        <r>
          <rPr>
            <b/>
            <sz val="9"/>
            <color indexed="81"/>
            <rFont val="Tahoma"/>
            <family val="2"/>
          </rPr>
          <t>The Total Score threshold 70% but below 75% gives the assurance that the sub-process metric having the rating of Medium for both "Contribution to KPI [K] &amp; Amenability for frequent data and control [C]" with availability of past data and linkage in PPM or the sub-process metric having the rating of High for "Contribution to KPI [K]" &amp; Medium for "Amenability for frequent data and control" [C]" with availability of past data or the sub-process metric having the rating of Medium for "Contribution to KPI [K]" &amp; High for "Amenability for frequent data and control" [C]" without past data and linkage to PPM, is selected  for "Managed Quantitatively"</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sivanantham.m</author>
    <author>parvathi.v</author>
    <author>Parvathi V.</author>
  </authors>
  <commentList>
    <comment ref="F3" authorId="0" shapeId="0" xr:uid="{D7DFB2D0-0247-42F1-9C67-0C0C288D3F05}">
      <text>
        <r>
          <rPr>
            <b/>
            <sz val="9"/>
            <color indexed="81"/>
            <rFont val="Tahoma"/>
            <family val="2"/>
          </rPr>
          <t>Target refers to the most ideal/desired value or range for process performance or product quality as</t>
        </r>
        <r>
          <rPr>
            <sz val="9"/>
            <color indexed="81"/>
            <rFont val="Tahoma"/>
            <family val="2"/>
          </rPr>
          <t xml:space="preserve">
</t>
        </r>
        <r>
          <rPr>
            <b/>
            <sz val="9"/>
            <color indexed="81"/>
            <rFont val="Tahoma"/>
            <family val="2"/>
          </rPr>
          <t>defined by customer or organization or project</t>
        </r>
        <r>
          <rPr>
            <sz val="9"/>
            <color indexed="81"/>
            <rFont val="Tahoma"/>
            <family val="2"/>
          </rPr>
          <t xml:space="preserve">
</t>
        </r>
        <r>
          <rPr>
            <b/>
            <sz val="9"/>
            <color indexed="81"/>
            <rFont val="Tahoma"/>
            <family val="2"/>
          </rPr>
          <t>This is mandatory for all metrics. For example, Effort Variance measured in %. The target desired can be 0%</t>
        </r>
      </text>
    </comment>
    <comment ref="G3" authorId="0" shapeId="0" xr:uid="{31B7DD0D-4432-404C-8351-1D4B84E6F4B9}">
      <text>
        <r>
          <rPr>
            <b/>
            <sz val="9"/>
            <color indexed="81"/>
            <rFont val="Tahoma"/>
            <family val="2"/>
          </rPr>
          <t>The lower side benchmark for process performance or product quality and any value below this threshold will not be acceptable as defined by customer or organization or project. 
This is conditionally required for metrics which are "Higher the better" by nature. For example, Productivity measured in FP per Person-month. The Lower Specification Limit can be 0.8 FP per Person-month</t>
        </r>
      </text>
    </comment>
    <comment ref="H3" authorId="0" shapeId="0" xr:uid="{29BF02AE-5BFA-4BAF-8035-76BB35A01980}">
      <text>
        <r>
          <rPr>
            <b/>
            <sz val="9"/>
            <color indexed="81"/>
            <rFont val="Tahoma"/>
            <family val="2"/>
          </rPr>
          <t>The higher side benchmark for process performance or product quality and any value above this threshold will not be acceptable as defined by customer or organization or project. 
This is conditionally required for metrics which are "Lower the better" by nature. For example, Defect Leakage to Warrnty and Production measured in %. The Upper Specification Limit can be 5%</t>
        </r>
      </text>
    </comment>
    <comment ref="J3" authorId="0" shapeId="0" xr:uid="{5CB7B733-7DF1-4855-8313-01BD871E4FA5}">
      <text>
        <r>
          <rPr>
            <b/>
            <sz val="9"/>
            <color indexed="81"/>
            <rFont val="Tahoma"/>
            <family val="2"/>
          </rPr>
          <t xml:space="preserve">The inputs could be one or more of the following: Organization objectives, Customer goals or objectives, Product Quality Requirements, Process Performance Baseline values
Refer the documents where these inputs are available for ensuring traceability of each objective to the sources E.g. Sonata Development SOW January 2012-6M_DP.PDF, Software Requirement Specification for FA DaaS v1.3.docx, BusinessObjectives_Jan13.xls, PPB_Report_May13_Detailed.doc. </t>
        </r>
        <r>
          <rPr>
            <sz val="9"/>
            <color indexed="81"/>
            <rFont val="Tahoma"/>
            <family val="2"/>
          </rPr>
          <t xml:space="preserve">
</t>
        </r>
        <r>
          <rPr>
            <b/>
            <sz val="9"/>
            <color indexed="81"/>
            <rFont val="Tahoma"/>
            <family val="2"/>
          </rPr>
          <t>The rationale for Priority should be specified based on Customer mandate or Org. mandate or linkage to success criteria of the project. The rationale for values for Objectives should be specified in terms of whether it was inherited as is from the reference or the percentage of change desired from the reference</t>
        </r>
      </text>
    </comment>
    <comment ref="K3" authorId="0" shapeId="0" xr:uid="{F4EA3886-58C3-4FE2-8C66-8D3EDE805DC8}">
      <text>
        <r>
          <rPr>
            <b/>
            <sz val="9"/>
            <color indexed="81"/>
            <rFont val="Tahoma"/>
            <family val="2"/>
          </rPr>
          <t>Type of Metric is specified based on the objective and the purpose it serves.
Project Manager should choose a right mix metrics that maps to  Result, Enabler and Insight Metrics.
For example, 
Metric mapping to the End Results of Business Performance such as Gross Margin % or "Project or Process or Product" Performance such as Productivity or Delivered Quality will be specified as Result Metric; 
Metric that enables the achievement of Results such as Coding Delivery Rate impacting Productivity or Code Review Efficiency imapcting Delivery Quality etc. will be specified as Enabler Metric; 
Metric that provides insight on performance  such as Percentage of Defects by Category will be specified as Insight Metric;</t>
        </r>
      </text>
    </comment>
    <comment ref="L3" authorId="0" shapeId="0" xr:uid="{512A0D68-3698-4E11-9D8E-CCDD50B6B4F2}">
      <text>
        <r>
          <rPr>
            <b/>
            <sz val="9"/>
            <color indexed="81"/>
            <rFont val="Tahoma"/>
            <family val="2"/>
          </rPr>
          <t>Specify the relevant sub-process, if the type of metric is a  sub-process metric. Othewise this column can be left blank</t>
        </r>
        <r>
          <rPr>
            <sz val="9"/>
            <color indexed="81"/>
            <rFont val="Tahoma"/>
            <family val="2"/>
          </rPr>
          <t xml:space="preserve">
</t>
        </r>
      </text>
    </comment>
    <comment ref="M3" authorId="1" shapeId="0" xr:uid="{4A12FC69-F275-49D9-986B-6E02901206C2}">
      <text>
        <r>
          <rPr>
            <b/>
            <sz val="8"/>
            <color indexed="81"/>
            <rFont val="Tahoma"/>
            <family val="2"/>
          </rPr>
          <t>Specify all the data to be collected for computing the metric
Operational definition describes the data and the procedure you will use to measure the data.</t>
        </r>
        <r>
          <rPr>
            <sz val="8"/>
            <color indexed="81"/>
            <rFont val="Tahoma"/>
            <family val="2"/>
          </rPr>
          <t xml:space="preserve">
 Eg: Data to be collected is </t>
        </r>
        <r>
          <rPr>
            <b/>
            <sz val="8"/>
            <color indexed="81"/>
            <rFont val="Tahoma"/>
            <family val="2"/>
          </rPr>
          <t>Actual or Projected End date</t>
        </r>
        <r>
          <rPr>
            <sz val="8"/>
            <color indexed="81"/>
            <rFont val="Tahoma"/>
            <family val="2"/>
          </rPr>
          <t>-its operational definition can be 
"</t>
        </r>
        <r>
          <rPr>
            <b/>
            <sz val="8"/>
            <color indexed="81"/>
            <rFont val="Tahoma"/>
            <family val="2"/>
          </rPr>
          <t>The actual/planned date on which the final product is signed off or deemed signed off by the custome</t>
        </r>
        <r>
          <rPr>
            <sz val="8"/>
            <color indexed="81"/>
            <rFont val="Tahoma"/>
            <family val="2"/>
          </rPr>
          <t xml:space="preserve">r".
</t>
        </r>
      </text>
    </comment>
    <comment ref="P3" authorId="0" shapeId="0" xr:uid="{57B861F3-8BFF-44AE-84D0-0CBCFD1FF522}">
      <text>
        <r>
          <rPr>
            <b/>
            <sz val="9"/>
            <color indexed="81"/>
            <rFont val="Tahoma"/>
            <family val="2"/>
          </rPr>
          <t>Specify "Managed Statistically as "Yes", if statitsical techniques such as Control Chart, Prediction Models etc. are used for analyzing the process performance</t>
        </r>
        <r>
          <rPr>
            <sz val="9"/>
            <color indexed="81"/>
            <rFont val="Tahoma"/>
            <family val="2"/>
          </rPr>
          <t xml:space="preserve">
</t>
        </r>
      </text>
    </comment>
    <comment ref="Q3" authorId="0" shapeId="0" xr:uid="{409E8943-EC15-4150-A2C6-AB93A2509880}">
      <text>
        <r>
          <rPr>
            <b/>
            <sz val="9"/>
            <color indexed="81"/>
            <rFont val="Tahoma"/>
            <family val="2"/>
          </rPr>
          <t xml:space="preserve">Specify the appropriate analytic technique for analyzing and understanding process or sub-process performance. 
Examples of analytic techniques include Control Chart(I-MR Chart), Box Plot,Scattor Plot, Histogram, Run Chart, Pie Chart, ANOVA, Regression Analysis, Time Series Analysis etc. </t>
        </r>
        <r>
          <rPr>
            <sz val="9"/>
            <color indexed="81"/>
            <rFont val="Tahoma"/>
            <family val="2"/>
          </rPr>
          <t xml:space="preserve">
</t>
        </r>
      </text>
    </comment>
    <comment ref="E31" authorId="2" shapeId="0" xr:uid="{44B8420A-EFEA-496D-9DCE-1D5D44E91F06}">
      <text>
        <r>
          <rPr>
            <sz val="9"/>
            <color indexed="81"/>
            <rFont val="Tahoma"/>
            <family val="2"/>
          </rPr>
          <t xml:space="preserve">Is the Sub-process measure/metric  impacted/linked through CAR/Innovation/PPM
</t>
        </r>
      </text>
    </comment>
    <comment ref="F31" authorId="0" shapeId="0" xr:uid="{B2BCB3D1-4D27-46F8-8C89-77DB124FC046}">
      <text>
        <r>
          <rPr>
            <b/>
            <sz val="9"/>
            <color indexed="81"/>
            <rFont val="Tahoma"/>
            <family val="2"/>
          </rPr>
          <t xml:space="preserve">"Amenability for frequent data and control" will be rated based on one or more of the following
-Number/Frequency of data points within the control window such as Sprint/ Release/Project/Phase etc. (For example: Number/Frequency of data points for "Coding Delivery Rate" is likely to be High compared to "Design Delivery Rate" as some user stories may not have design activity itself or done by Onsite or Customer
-Ability for in-process control   (For example: Ability to in-process control will be rated High for "Coding Delivery Rate" compared to "Design Delivery Rate" or "Analysis Delivery Rate" where our flexibility to control will be more constrained and hence the same may be rated as "Medium" or "Low" )
</t>
        </r>
        <r>
          <rPr>
            <sz val="9"/>
            <color indexed="81"/>
            <rFont val="Tahoma"/>
            <family val="2"/>
          </rPr>
          <t xml:space="preserve">
</t>
        </r>
      </text>
    </comment>
    <comment ref="G31" authorId="0" shapeId="0" xr:uid="{D9B43730-3140-4837-A344-40C459F85375}">
      <text>
        <r>
          <rPr>
            <b/>
            <sz val="9"/>
            <color indexed="81"/>
            <rFont val="Tahoma"/>
            <family val="2"/>
          </rPr>
          <t>Total Score is computed as the weighted average of rating done for each of following Criteria</t>
        </r>
        <r>
          <rPr>
            <sz val="9"/>
            <color indexed="81"/>
            <rFont val="Tahoma"/>
            <family val="2"/>
          </rPr>
          <t xml:space="preserve">
-</t>
        </r>
        <r>
          <rPr>
            <i/>
            <sz val="9"/>
            <color indexed="81"/>
            <rFont val="Tahoma"/>
            <family val="2"/>
          </rPr>
          <t>Contribution to KPI [K]
-Adequate quantitative data from past available[D] 
-Impacted/Linked through CAR,Innovation,PPM[P]
-Amenability for frequent data and control[C]
Total Score =(Rating Value for K*Weightage for K+Rating Value for D*Weightage for D+Rating Value for P*Weightage for P+Rating Value for C*Weightage for C)/(Max. Rating Value for K*Weightage for K+Max.Rating Value for D*Weightage for D+Max. Rating Value for P*Weightage for P+Max. Rating Value for C*Weightage for C)</t>
        </r>
      </text>
    </comment>
    <comment ref="E52" authorId="2" shapeId="0" xr:uid="{75D7298F-3B8C-46C4-ADEE-C57A43EE6C6C}">
      <text>
        <r>
          <rPr>
            <sz val="9"/>
            <color indexed="81"/>
            <rFont val="Tahoma"/>
            <family val="2"/>
          </rPr>
          <t xml:space="preserve">Is the Sub-process measure/metric  impacted/linked through CAR/Innovation/PPM
</t>
        </r>
      </text>
    </comment>
    <comment ref="F52" authorId="0" shapeId="0" xr:uid="{A7D1691A-10BE-4CC0-AEFD-87CBEA0CA1AD}">
      <text>
        <r>
          <rPr>
            <b/>
            <sz val="9"/>
            <color indexed="81"/>
            <rFont val="Tahoma"/>
            <family val="2"/>
          </rPr>
          <t xml:space="preserve">"Amenability for frequent data and control" will be rated based on one or more of the following
-Number/Frequency of data points within the control window such as Sprint/ Release/Project/Phase etc. (For example: Number/Frequency of data points for "Coding Delivery Rate" is likely to be High compared to "Design Delivery Rate" as some user stories may not have design activity itself or done by Onsite or Customer
-Ability for in-process control   (For example: Ability to in-process control will be rated High for "Coding Delivery Rate" compared to "Design Delivery Rate" or "Analysis Delivery Rate" where our flexibility to control will be more constrained and hence the same may be rated as "Medium" or "Low" )
</t>
        </r>
        <r>
          <rPr>
            <sz val="9"/>
            <color indexed="81"/>
            <rFont val="Tahoma"/>
            <family val="2"/>
          </rPr>
          <t xml:space="preserve">
</t>
        </r>
      </text>
    </comment>
    <comment ref="G52" authorId="0" shapeId="0" xr:uid="{6AD35D14-6023-4778-86D9-5244AB6FBB2B}">
      <text>
        <r>
          <rPr>
            <b/>
            <sz val="9"/>
            <color indexed="81"/>
            <rFont val="Tahoma"/>
            <family val="2"/>
          </rPr>
          <t>Total Score is computed as the weighted average of rating done for each of following Criteria</t>
        </r>
        <r>
          <rPr>
            <sz val="9"/>
            <color indexed="81"/>
            <rFont val="Tahoma"/>
            <family val="2"/>
          </rPr>
          <t xml:space="preserve">
-</t>
        </r>
        <r>
          <rPr>
            <i/>
            <sz val="9"/>
            <color indexed="81"/>
            <rFont val="Tahoma"/>
            <family val="2"/>
          </rPr>
          <t>Contribution to KPI [K]
-Adequate quantitative data from past available[D] 
-Impacted/Linked through CAR,Innovation,PPM[P]
-Amenability for frequent data and control[C]
Total Score =(Rating Value for K*Weightage for K+Rating Value for D*Weightage for D+Rating Value for P*Weightage for P+Rating Value for C*Weightage for C)/(Max. Rating Value for K*Weightage for K+Max.Rating Value for D*Weightage for D+Max. Rating Value for P*Weightage for P+Max. Rating Value for C*Weightage for 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<sst xmlns="http://schemas.openxmlformats.org/spreadsheetml/2006/main" count="7173" uniqueCount="1735">
  <si>
    <t>Objective Type</t>
  </si>
  <si>
    <t>Associated Org. Objective or Goal</t>
  </si>
  <si>
    <t>Associated Higher level Objective</t>
  </si>
  <si>
    <t>Metric Category</t>
  </si>
  <si>
    <t>Metric Name</t>
  </si>
  <si>
    <t>Objective Type- -do NoT Disturb this coulmn used for Display</t>
  </si>
  <si>
    <t>Associated Org. Objective or Goal- -do NoT Disturb this coulmn used for Display</t>
  </si>
  <si>
    <t>Associated Higher level Objective- -do NoT Disturb this coulmn used for Display</t>
  </si>
  <si>
    <t>Formulae</t>
  </si>
  <si>
    <t>Unit of Measure (UoM)</t>
  </si>
  <si>
    <t>Metrics Type</t>
  </si>
  <si>
    <t>Metric Intent</t>
  </si>
  <si>
    <t>Project Type</t>
  </si>
  <si>
    <t>Delivery Process Model</t>
  </si>
  <si>
    <t>Project Category</t>
  </si>
  <si>
    <t>Data Elements &amp; Operational Definitions</t>
  </si>
  <si>
    <t>Data Source</t>
  </si>
  <si>
    <t>Analysis Frequency</t>
  </si>
  <si>
    <t xml:space="preserve">Analytic technique </t>
  </si>
  <si>
    <t>Compliance Directive</t>
  </si>
  <si>
    <t xml:space="preserve">Dashboard Metric? </t>
  </si>
  <si>
    <t>Governance Level</t>
  </si>
  <si>
    <t>Directive Inputs</t>
  </si>
  <si>
    <t>Metric Category -do NoT Disturb this coulmn used for Display</t>
  </si>
  <si>
    <t>Target</t>
  </si>
  <si>
    <t>LSL</t>
  </si>
  <si>
    <t>USL</t>
  </si>
  <si>
    <t>Size Dependent</t>
  </si>
  <si>
    <t>Business Objective</t>
  </si>
  <si>
    <t>Achieve Gross Margin target and improve</t>
  </si>
  <si>
    <t>Financial</t>
  </si>
  <si>
    <t>Gross Margin%</t>
  </si>
  <si>
    <t>(Actual or Expected Revenue - Actual or Expected Direct Human Resource cost+Other Direct Cost)/Actual or Expected Revenue*100</t>
  </si>
  <si>
    <t>%</t>
  </si>
  <si>
    <t>Result</t>
  </si>
  <si>
    <t>Higher the better</t>
  </si>
  <si>
    <t>Fresh Development,Maintenance,Testing,Infrastructure Management Services,Re-Engineering,Migration,Package Rollout,Package implementation,Production Support,Application Build,Helpdesk Services,Upgrade,Professional Services</t>
  </si>
  <si>
    <t>Iterative,Incremental,Agile-Scrum,Agile-Kanban,Sure Step,Agile Sure Step,ASAP,Oracle AIM,ITIL based Service Delivery,Traditional Maintenance &amp; Support,Waterfall</t>
  </si>
  <si>
    <t>Fixed Price,Time &amp; Material With Cap,Time &amp; Material,Fixed Capacity,Outcome based Fee</t>
  </si>
  <si>
    <t>Actual or Expected Revenue; 
Actual or Expected Direct Human Resource cost;
Other Direct Cost;
UoM for Currency;</t>
  </si>
  <si>
    <t>ORBIT,IWO, Monthly MIS Report</t>
  </si>
  <si>
    <t>Monthly</t>
  </si>
  <si>
    <t>MIS RAG</t>
  </si>
  <si>
    <t>M</t>
  </si>
  <si>
    <t>Delivery Manager</t>
  </si>
  <si>
    <t>&gt;47.5</t>
  </si>
  <si>
    <t>Process Objective</t>
  </si>
  <si>
    <t>Improve Billability</t>
  </si>
  <si>
    <t>Average Revenue per employee - Offshore</t>
  </si>
  <si>
    <t>Total Revenue / Total Effort in Person months</t>
  </si>
  <si>
    <t>$-USD per Person-month</t>
  </si>
  <si>
    <t>Enabler</t>
  </si>
  <si>
    <t>Iterative,Incremental,Agile-Scrum,Agile-Kanban,Sure Step,Agile Sure Step,ASAP,Oracle AIM,ITIL based Service Delivery,Traditional Maintenance &amp; Support,Waterfall,Staffing</t>
  </si>
  <si>
    <t>Actual or Expected Revenue; 
Actual or Expected Effort;
UoM for Currency($-USD;£-GBP;€-Euro;CHF;₹-INR;AUD;Dirham);
UoM for Effort;</t>
  </si>
  <si>
    <t>ORBIT,IWO, Time Tracking System, Monthly MIS Report</t>
  </si>
  <si>
    <t>R</t>
  </si>
  <si>
    <t>Average Revenue per employee - Onsite</t>
  </si>
  <si>
    <t>Improve Productivity and Cost Efficiency</t>
  </si>
  <si>
    <t>Average Offshore Cost per employee</t>
  </si>
  <si>
    <t>Total Cost / Total Effort in Person months</t>
  </si>
  <si>
    <t xml:space="preserve"> ₹-INR per Person-month</t>
  </si>
  <si>
    <t>Lower the better</t>
  </si>
  <si>
    <t>Actual or Expected Direct Human Resource cost; Other Direct Cost; Actual or Expected Effort;
UoM for Currency($-USD;£-GBP;€-Euro;CHF;₹-INR;AUD;Dirham);
UoM for Effort;</t>
  </si>
  <si>
    <t>Average Onsite Cost per employee</t>
  </si>
  <si>
    <t>Pyramid Index Cost</t>
  </si>
  <si>
    <t>((Cost of ETGs+Cost of A Band Resources+Cost of B Band resources+ Cost of C Band resources+Cost of D Band resources+Cost of E Band resources+Cost of F Band Resources+Cost of FTEs) in the Entity per month in INR /Total Number of resources for the entity)</t>
  </si>
  <si>
    <t xml:space="preserve"> ₹-INR per Person</t>
  </si>
  <si>
    <t>Nominal the best</t>
  </si>
  <si>
    <t>Band wise Resource Count;
Band Category;
Cost of Resources at each Band; UoM for Currency(₹-INR);</t>
  </si>
  <si>
    <t>ORBIT,IWO</t>
  </si>
  <si>
    <t> &lt;=82000</t>
  </si>
  <si>
    <t> 100000</t>
  </si>
  <si>
    <t>Efficiency</t>
  </si>
  <si>
    <t>Resource Utlization %</t>
  </si>
  <si>
    <t>(Effort billed to customer+Nonbillable Effort spent for delivery+Training Effort+Effort from Backup resources)/ (Total Capacity of team including backup resources - Effort towards Holidays &amp; Leaves)*100</t>
  </si>
  <si>
    <t>Time &amp; Material,Fixed Capacity</t>
  </si>
  <si>
    <t>Effort billed to customer; Nonbillable Effort spent for delivery;Training Effort;Effort from Backup resources;Total Capacity of team including backup resources; Effort towards Holidays &amp; Leaves;
UoM for Effort;</t>
  </si>
  <si>
    <t>ORBIT, Time Tracking System</t>
  </si>
  <si>
    <t xml:space="preserve">Bar Chart </t>
  </si>
  <si>
    <t>Project Manager</t>
  </si>
  <si>
    <t>Billability%</t>
  </si>
  <si>
    <t>Effort billed to customer / Total Capacity of team including backup resources*100</t>
  </si>
  <si>
    <t>Effort billed to customer;Total Capacity of team including backup resources;
UoM for Effort;</t>
  </si>
  <si>
    <t>Customer timesheets/ Time Tracking System</t>
  </si>
  <si>
    <t>Bar Chart or Run Chart</t>
  </si>
  <si>
    <t>Yes</t>
  </si>
  <si>
    <t>Achieve Customer Satisfaction target and improve</t>
  </si>
  <si>
    <t>Stakeholder Perception</t>
  </si>
  <si>
    <t>Customer Satisfaction Index</t>
  </si>
  <si>
    <t>Customer Satisfaction Rating on a scale of 1 to 5 for Overall Satisfaction &amp; each parameter-wise question using standard survey</t>
  </si>
  <si>
    <t>Number</t>
  </si>
  <si>
    <t>CSAT Score</t>
  </si>
  <si>
    <t>C-Pulse Survey System</t>
  </si>
  <si>
    <t>Once in Six Months or on Project Completion</t>
  </si>
  <si>
    <t>Improve Quality of Delivery</t>
  </si>
  <si>
    <t>Internal Quality</t>
  </si>
  <si>
    <t>Process Health Index</t>
  </si>
  <si>
    <t>Process Health Rating by Del-Ex or Quick Health Assessment by PM</t>
  </si>
  <si>
    <t>Fresh Development,Maintenance,Testing,Infrastructure Management Services,Re-Engineering,Migration,Package Rollout,Package implementation,Production Support,Application Build,Helpdesk Services,Upgrade</t>
  </si>
  <si>
    <t>PHA Score %</t>
  </si>
  <si>
    <t>ADEPT DelOps, Process Health Assessment Report</t>
  </si>
  <si>
    <t>Quarterly</t>
  </si>
  <si>
    <t>Sub-process Objective</t>
  </si>
  <si>
    <t>Improve Delivery Capability</t>
  </si>
  <si>
    <t>Delivery Capabilty</t>
  </si>
  <si>
    <t>Resource Fulfillment Index</t>
  </si>
  <si>
    <t>(Number of resources fulfilled as per Staffing Plan or SLA/Number of resources required as per staffing plan or SLA)*100</t>
  </si>
  <si>
    <t># of resources fulfilled as per Staffing Plan or SLA; 
# of resources required as per staffing plan or SLA</t>
  </si>
  <si>
    <t>Resource Tracking sheet, Staffing Plan</t>
  </si>
  <si>
    <t>Weekly and Monthly</t>
  </si>
  <si>
    <t>O</t>
  </si>
  <si>
    <t>Technical Competency Fit Index (TCFI)</t>
  </si>
  <si>
    <t>(Sum of (Number of people at that competency level*Weightage for Competency Level)/Sum of (Target Competency level for that competency*Number of people expected at Target competency level) for all competencies required for the team*100;
Use Sonata's Competency Based Framework or equivalent for defining and assessing competency level</t>
  </si>
  <si>
    <t xml:space="preserve">Competency Name;
Competency Category: Technical
Competency Need: Current
Actual Competency Level;
Number of people at that competency level;
Weightage for Competency Level;
Target Competency level for that competency;
Number of people expected at Target competency level;
</t>
  </si>
  <si>
    <t>Resource Tracking sheet, Staffing Plan, ORBIT or Skill Tracking Sheet</t>
  </si>
  <si>
    <t>Monthly or Quarterly</t>
  </si>
  <si>
    <t>Domain or Product Knowledge Index(DKI or PKI)</t>
  </si>
  <si>
    <t>(Sum of (Number of people at that knowledge or expertise level for that area*Weightage for knowledge or expertise Level)/Sum of (Target knowledge or expertise level for that area*Number of people expected at Target knowledge or expertise level) for all customer's business processes or domain areas required for the team*100;
Use Sonata's Competency Based Framework or equivalent for defining and assessing competency level</t>
  </si>
  <si>
    <t xml:space="preserve">Competency Name;
Competency Category: Domain
Actual Competency Level;
Number of people at that competency level;
Weightage for Competency Level;
Target Competency level for that competency;
Number of people expected at Target competency level;
</t>
  </si>
  <si>
    <t>Future Technology Readiness Index (FTRI)</t>
  </si>
  <si>
    <t>(Sum of Team’s Competency level on Customer’s future Technology landscape/Sum of target Competency level on Customer’s future Technology landscape)*100;
Use Sonata's Competency Based Framework or equivalent for defining and assessing competency level</t>
  </si>
  <si>
    <t xml:space="preserve">Competency Name;
Competency Category: Technical
Competency Need: Future
Actual Competency Level;
Number of people at that competency level;
Weightage for Competency Level;
Target Competency level for that competency;
Number of people expected at Target competency level;
</t>
  </si>
  <si>
    <t>Sonata Offshore Management Ownership Index</t>
  </si>
  <si>
    <t xml:space="preserve">Customer management effort taken over by Sonata per period/Effort initially spent by customer to manage Sonata’s work per period *100;
Period could be Week or Month or Quarter or any fixed time duration </t>
  </si>
  <si>
    <t>Customer management effort taken over by Sonata per period;
Effort initially spent by customer to manage Sonata’s work per period;
UoM for Effort;</t>
  </si>
  <si>
    <t>Estimation Sheet/ MPP, Time Tracking System</t>
  </si>
  <si>
    <t>Improve People Satisfaction and Engagement</t>
  </si>
  <si>
    <t>Retention %</t>
  </si>
  <si>
    <t>(Average Number of resources in the project or account-Number of resources quit in current month)/Average Number of resources in the project or account)*100</t>
  </si>
  <si>
    <t>Average Number of resources in the project or account;
Number of resources quit in current month</t>
  </si>
  <si>
    <t>ORBIT</t>
  </si>
  <si>
    <t>Effort Variance</t>
  </si>
  <si>
    <t>(Actual Effort for the Work till date +Remaining Effort for completing the pending work - Planned Effort)/Planned Effort*100</t>
  </si>
  <si>
    <t>Fresh Development,Maintenance,Testing,Re-Engineering,Migration,Custom Enhancements,Package Rollout,Upgrade,Package implementation</t>
  </si>
  <si>
    <t>Waterfall,Iterative,Incremental,Sure Step,ASAP,Oracle AIM,Traditional Maintenance &amp; Support,Agile-Scrum</t>
  </si>
  <si>
    <t>Fixed Price,Time &amp; Material With Cap</t>
  </si>
  <si>
    <t>Actual Effort for the Work till date;
Remaining Effort for completing the pending work in agreed scope;
Planned Effort;
UoM for Effort;</t>
  </si>
  <si>
    <t>Run Chart</t>
  </si>
  <si>
    <t>Mandatory for Traditional Managed Projects</t>
  </si>
  <si>
    <t>Improve Ontime and Speed of Delivery</t>
  </si>
  <si>
    <t>Time &amp; Speed</t>
  </si>
  <si>
    <t>Schedule Variance</t>
  </si>
  <si>
    <t>((Actual or Expected End Date - Planned End Date) / (Planned End Date- Planned Start Date)) *100</t>
  </si>
  <si>
    <t>Fresh Development,Maintenance,Testing,Re-Engineering,Migration,Custom Enhancements,Package Rollout,Package implementation,Upgrade</t>
  </si>
  <si>
    <t>Waterfall,Iterative,Incremental,Sure Step,ASAP,Oracle AIM,Traditional Maintenance &amp; Support</t>
  </si>
  <si>
    <t>Actual or Expected End Date;
Planned End Date;
Planned Start Date</t>
  </si>
  <si>
    <t>Project Schedule(MPP) or any other Schedule Plan</t>
  </si>
  <si>
    <t>C</t>
  </si>
  <si>
    <t>Deliver committed scope</t>
  </si>
  <si>
    <t>Scope</t>
  </si>
  <si>
    <t>Scope Fullfillment</t>
  </si>
  <si>
    <t xml:space="preserve">(Number of items delivered to the customer / Total number of items committed) * 100
Items could be requirements or tasks or tickets </t>
  </si>
  <si>
    <t>Number of items delivered to the customer;
Total number of items committed</t>
  </si>
  <si>
    <t>Requirement Tracking System</t>
  </si>
  <si>
    <t>Delivered Quality</t>
  </si>
  <si>
    <t>Delivered Defect Density</t>
  </si>
  <si>
    <t xml:space="preserve">Sum of (Count of leaked defects  to customer for each Severity*Weightage for each Severity of Defects) leaked to customer/Estimated or Actual Size;
Fatal : Severity Weight 3; Major : Severity Weight 2; Minor : Severity Weight 1
</t>
  </si>
  <si>
    <t>Weighted Defects per Size Unit</t>
  </si>
  <si>
    <t>Fresh Development,Maintenance,Re-Engineering,Migration,Custom Enhancements,Package implementation,Upgrade</t>
  </si>
  <si>
    <t>Waterfall,Iterative,Incremental,Sure Step,ASAP,Oracle AIM,Traditional Maintenance &amp; Support,Agile-Scrum,Agile-Kanban,Agile Sure Step</t>
  </si>
  <si>
    <t>Count of leaked defects  to customer for each Severity; 
Defect Severity;
Weightage for each Severity of Defects;
Estimated or Actual Size;  
Unit of Size (Function Point-FP;Compleixity Point-CP;Use Case Point-UCP;Object;
Story Point-SP)</t>
  </si>
  <si>
    <t>Bugzilla or Any Defect Tracking System, Size Estimation Sheets;</t>
  </si>
  <si>
    <t>On completion of customer or user acceptance testing and at Retrospective point</t>
  </si>
  <si>
    <t>Delivered Defect Rate</t>
  </si>
  <si>
    <t xml:space="preserve">Sum of (Count of leaked defects  to customer for each Severity*Weightage for each Severity of Defects) leaked to customer/Estimated or Planned Effort in Person-days;
Fatal : Severity Weight 3; Major : Severity Weight 2; Minor : Severity Weight 1
</t>
  </si>
  <si>
    <t>Weighted Defects per Person-day</t>
  </si>
  <si>
    <t>Count of leaked defects  to customer for each Severity; 
Defect Severity;
Weightage for each Severity of Defects;
Estimated or Planned Effort in Person-days;</t>
  </si>
  <si>
    <t>Bugzilla or Any Defect Tracking System, Time Tracking System</t>
  </si>
  <si>
    <t>Total Defect Density</t>
  </si>
  <si>
    <t xml:space="preserve">Sum of (Count of leaked defects  to customer for each Severity*Weightage for each Severity of Defects) uncovered from internal reviews and testing and customer reviews and testing/Estimated or Actual Size;
Fatal : Severity Weight 3; Major : Severity Weight 2; Minor : Severity Weight 1
</t>
  </si>
  <si>
    <t>Count of leaked defects  to customer for each Severity; 
Count of defects  reported from internal reviews and testing for each Severity; 
Defect Severity;
Weightage for each Severity of Defects;
Estimated or Actual Size;  
Unit of Size (Function Point-FP;Compleixity Point-CP;Use Case Point-UCP;Object; Story Point-SP)</t>
  </si>
  <si>
    <t>Total Defect Rate</t>
  </si>
  <si>
    <t xml:space="preserve">Sum of (Count of leaked defects  to customer for each Severity*Weightage for each Severity of Defects) uncovered from internal reviews and testing and customer reviews and testing/Estimated or Planned Effort in Person-days;
Fatal : Severity Weight 3; Major : Severity Weight 2; Minor : Severity Weight 1
</t>
  </si>
  <si>
    <t>Count of leaked defects  to customer for each Severity; 
Count of defects  reported from internal reviews and testing for each Severity; 
Defect Severity;
Weightage for each Severity of Defects;
Estimated or Planned Effort in Person-days;</t>
  </si>
  <si>
    <t>Improve System Performance</t>
  </si>
  <si>
    <t>Non-functional-Performance</t>
  </si>
  <si>
    <t>% of Screens meeting Response Time Target</t>
  </si>
  <si>
    <t>Number of screens met the Response Time Target/Number of screens in the application*100</t>
  </si>
  <si>
    <t>Response Time Target; 
Number of screens met the Response Time Target;
Number of screens in the application;
UoM for Time;</t>
  </si>
  <si>
    <t>Performance Requirements; Performance Test Tool and Reports</t>
  </si>
  <si>
    <t>After Performance Testing</t>
  </si>
  <si>
    <t>Clustered Column Chart</t>
  </si>
  <si>
    <t>Application Throughput</t>
  </si>
  <si>
    <t>Number of transactions handled/Handling Time;
Transactions can be User Requests or Database Transactions or API Calls etc.</t>
  </si>
  <si>
    <t>Transcations per Unit of Time</t>
  </si>
  <si>
    <t>Fresh Development,Maintenance,Testing,Re-Engineering,Migration,Custom Enhancements,Package implementation,Upgrade</t>
  </si>
  <si>
    <t>Number of transactions handled; Handling Time;
UoM for Time (Second; Minute; Hour; Day)</t>
  </si>
  <si>
    <t>Improve System Security</t>
  </si>
  <si>
    <t>Non-functional-Security</t>
  </si>
  <si>
    <t>OWASP Compliance %</t>
  </si>
  <si>
    <t>Number of Security Vulnerabilities addressed for compliance by the system as per applicable OWASP Requirements/Number of Security Vulnerabilities exists in the system as per applicable OWASP Requirements*100</t>
  </si>
  <si>
    <t>Number of Security Vulnerabilities complied by the system as per applicable OWASP Requirements; Number of Security Vulnerabilities as per applicable OWASP Requirements</t>
  </si>
  <si>
    <t>Security Requirements; Security Test Reports</t>
  </si>
  <si>
    <t>After Security Testing</t>
  </si>
  <si>
    <t>Ontime activation and deactivation %</t>
  </si>
  <si>
    <t>Number of requests completed ontime for activation or deactivation during a period/Total Number of requests raised for activation or deactivation during the period*100</t>
  </si>
  <si>
    <t>Number of requests completed ontime for activation or deactivation during a period;
Total Number of requests raised for activation or deactivation during the period</t>
  </si>
  <si>
    <t>Access Control List or Register; New Joinees List; De-allocation Report;</t>
  </si>
  <si>
    <t>Improve System Usability</t>
  </si>
  <si>
    <t>Non-functional-Usability</t>
  </si>
  <si>
    <t>Usability</t>
  </si>
  <si>
    <t>Number of screens or functionality or information in the system that can be accessed within Target number of clicks/ Total Number of screens or functionality or information in the system*100</t>
  </si>
  <si>
    <t>Number of clicks to access any screen or functionality or information in the system;
Target Number of Clicks;
Number of screens or functionality or information in the System accessed within Target Number of Clicks
Total Number of screens or functionality or information in the System</t>
  </si>
  <si>
    <t>Usability Requirements; Usability Test Report</t>
  </si>
  <si>
    <t>After Usability Testing</t>
  </si>
  <si>
    <t>Improve System Maintainability</t>
  </si>
  <si>
    <t>Non-functional-Maintainability</t>
  </si>
  <si>
    <t>Technical Debt</t>
  </si>
  <si>
    <t>Effort to fix all Code Smells</t>
  </si>
  <si>
    <t>Person-hours</t>
  </si>
  <si>
    <t>Number of Code Smells;
Effort to fix all Code Smells
UoM for Effort;</t>
  </si>
  <si>
    <t>Sonar Quality Reports</t>
  </si>
  <si>
    <t>After each build in Central Server</t>
  </si>
  <si>
    <t>Cyclomatic Complexity</t>
  </si>
  <si>
    <t>Number of edges -Number of nodes+2* Number of disconnected parts of the flow graph</t>
  </si>
  <si>
    <t>Number of edges (transfers of control);  Number of nodes (sequential group of statements containing only one transfer of control); Number of disconnected parts of the flow graph</t>
  </si>
  <si>
    <t>Halstead Volume</t>
  </si>
  <si>
    <t>(Number of Operators+Number of Operands) * Log2(Number of Unique Operators+Number of Unique Operands)</t>
  </si>
  <si>
    <t>Number of Operators; Number of Operands; Number of Unique Operators; Number of Unique Operands</t>
  </si>
  <si>
    <t>Sonar Quality Reports or Plug in Reports</t>
  </si>
  <si>
    <t>Maintainability Rating</t>
  </si>
  <si>
    <t>Maximum of (0,(171 – 5.2 * log(Average Halstead Volume per module) – 0.23 * (Average Cyclomatic Complexity per module) – 16.2 * log(Average number of Source Lines of Code (SLOC) per module))*100 / 171)</t>
  </si>
  <si>
    <t>Cyclomatic Complexity;
Halstead Volume; Lines of Code</t>
  </si>
  <si>
    <t>Code Coverage</t>
  </si>
  <si>
    <t>(Conditions that have been evaluated to 'true' at least once+ Conditions that have been evaluated to 'false' at least once + lines to cover - uncovered lines)/(2*Ttotal number of conditions+ Total number of executable lines)*100</t>
  </si>
  <si>
    <t>Conditions that have been evaluated to 'true' at least once;
Conditions that have been evaluated to 'false' at least once;
Lines to cover; 
Uncovered lines;
Ttotal number of conditions;
Total number of executable lines</t>
  </si>
  <si>
    <t>Cost of Delivery</t>
  </si>
  <si>
    <t>Total cost  for the delivered work or product/Estimated or Actual Size;
Size Unit could be  Function Points(FP),Complexity Points(CP), Use Case Points(UCP), Objects; Story Points(SP),Test Steps(TS),Design Test Units(DTU),Functional Test Units(FTU), Test Cases(TC),Test Scripts,Number of tickets;
Objects could include Reports, Interfaces, Conversions, Enhancements, Forms, Workflows, Extensions, etc</t>
  </si>
  <si>
    <t>Currency Unit per Size Unit</t>
  </si>
  <si>
    <t>Total cost  for the delivered work or product; 
UoM for Currency:($-USD;£-GBP;€-Euro;CHF;₹-INR;AUD;Dirham);
Estimated or Actual Size;  
Unit of Size: (Function Points(FP),Complexity Points(CP), Use Case Points(UCP), Objects; Story Points(SP),Test Steps(TS),Design Test Units(DTU),Functional Test Units(FTU), Test Cases(TC),Test Scripts,Number of tickets)</t>
  </si>
  <si>
    <t>Size Estimation Sheet, Time Tracking System, SoW or Rate Card, SoW or Rate Card</t>
  </si>
  <si>
    <t>Mandatory for projects in 60x5 accounts implementing IT Value Measurement</t>
  </si>
  <si>
    <t>Productivity</t>
  </si>
  <si>
    <t>Estimated or Actual Size/Total Actual Project Execution Effort or Total Projected Project Execution Effort in Person-day;
Size Unit could be  Function Points(FP),Complexity Points(CP), Use Case Points(UCP), Objects; Story Points(SP),Test Steps(TS),Design Test Units(DTU),Functional Test Units(FTU), Test Cases(TC),Test Scripts,Number of tickets;
Objects could include Reports, Interfaces, Conversions, Enhancements, Forms, Workflows, Extensions, etc</t>
  </si>
  <si>
    <t>Size Unit per Person day</t>
  </si>
  <si>
    <t>Fresh Development,Testing,Re-Engineering,Migration,Package implementation,Upgrade</t>
  </si>
  <si>
    <t>Iterative,Incremental,Agile-Scrum,Agile-Kanban,Sure Step,Agile Sure Step,ASAP,Oracle AIM,Waterfall</t>
  </si>
  <si>
    <t xml:space="preserve">Estimated or Actual Size; 
Unit of Size (Function Points(FP),Complexity Points(CP), Use Case Points(UCP), Objects; Story Points(SP),Test Steps(TS),Design Test Units(DTU),Functional Test Units(FTU), Test Cases(TC),Test Scripts,Number of tickets);
Total Actual Project Execution Effort or Total Projected Project Execution; UoM for Effort:(Person-day)
</t>
  </si>
  <si>
    <t>Size Estimation Sheet/ MPP, Time Tracking System</t>
  </si>
  <si>
    <t>On completion of each Component and at Retrospective point</t>
  </si>
  <si>
    <t>0.9-wrt Function Point
0.7 wrt Story Point</t>
  </si>
  <si>
    <t>0.8-wrt Function Points
0.5 -wrt Story Points</t>
  </si>
  <si>
    <t>Overall Delivery Rate</t>
  </si>
  <si>
    <t>Total Actual Project Execution Effort or Total Projected Project Execution Effort in Person-hours/Estimated or Actual Size;
Size Unit could be  Function Points(FP),Complexity Points(CP), Use Case Points(UCP), Objects; Story Points(SP),Test Steps(TS),Test Units(TU),Design Test Units(DTU),Functional Test Units(FTU), Test Cases(TC),Test Scripts,Number of tickets;
Objects could include Reports, Interfaces, Conversions, Enhancements, Forms, Workflows, Extensions, etc</t>
  </si>
  <si>
    <t xml:space="preserve">Person-hour per Size Unit </t>
  </si>
  <si>
    <t xml:space="preserve">Estimated or Actual Size; 
Unit of Size (Function Points(FP),Complexity Points(CP), Use Case Points(UCP), Objects; Story Points(SP),Test Steps(TS),Test Units(TU),Design Test Units(DTU),Functional Test Units(FTU), Test Cases(TC),Test Scripts,Number of tickets);
Total Actual Project Execution Effort or Total Projected Project Execution; UoM for Effort; (Person-hour)
</t>
  </si>
  <si>
    <t>Speed of Delivery</t>
  </si>
  <si>
    <t>Estimated or Actual Size/Total Elapsed Time for till the milestone of interest;
Size Unit could be  Function Points(FP),Complexity Points(CP), Use Case Points(UCP), Objects; Story Points(SP),Test Steps(TS),Test Units(TU),Design Test Units(DTU),Functional Test Units(FTU), Test Cases(TC),Test Scripts,Number of tickets;
Objects could include Reports, Interfaces, Conversions, Enhancements, Forms, Workflows, Extensions, etc
Milestone could be UAT Entry, UAT Completion, Pre-production, Production or Market Release</t>
  </si>
  <si>
    <t>Size Unit per month</t>
  </si>
  <si>
    <t>Fresh Development,Re-Engineering,Custom Enhancements,Package implementation,Upgrade,Migration</t>
  </si>
  <si>
    <t xml:space="preserve">Estimated or Actual Size;
Unit of Size: (Function Points(FP),Complexity Points(CP), Use Case Points(UCP), Objects; Story Points(SP),Test Steps(TS),Test Units(TU),Design Test Units(DTU),Functional Test Units(FTU), Test Cases(TC),Test Scripts,Number of tickets); 
Total Elapsed Time for till the milestone of interest;
UoM for Time;(Days, Weeks, Months)
</t>
  </si>
  <si>
    <t>Size Estimation Sheet; Project Schedule; Time Tracking System</t>
  </si>
  <si>
    <t>On completion of each Release</t>
  </si>
  <si>
    <t>Person Delivery Rate</t>
  </si>
  <si>
    <t>Estimated or Actual Size/(Total Effort in Person months*Elapsed duration in Calender Months);
Size Unit could be  Function Points(FP),Complexity Points(CP), Use Case Points(UCP), Objects; Story Points(SP),Test Steps(TS),Test Units(TU),Design Test Units(DTU),Functional Test Units(FTU), Test Cases(TC),Test Scripts,Number of tickets;
Objects could include Reports, Interfaces, Conversions, Enhancements, Forms, Workflows, Extensions, etc</t>
  </si>
  <si>
    <t>Size Unit per  Person per month</t>
  </si>
  <si>
    <t xml:space="preserve">Estimated or Actual Size;
Unit of Size; (Function Points(FP),Complexity Points(CP), Use Case Points(UCP), Objects; Story Points(SP),Test Steps(TS),Test Units(TU),Design Test Units(DTU), Functional Test Units(FTU), Test Cases(TC),Test Scripts,Number of tickets)
Total Effort in Person months;
Elapsed duration in Calender Months;
</t>
  </si>
  <si>
    <t>Time to Market</t>
  </si>
  <si>
    <t>Elapsed Time from Release Start date to till the completion of milestone of interest/Estimated or Actual Size expressed as "100 Units of Size";
Size Unit could be  Function Points(FP),Complexity Points(CP), Use Case Points(UCP), Objects; Story Points(SP),Test Steps(TS),Test Units(TU),Design Test Units(DTU),Functional Test Units(FTU), Test Cases(TC),Test Scripts,Number of tickets;
Objects could include Reports, Interfaces, Conversions, Enhancements, Forms, Workflows, Extensions, etc.;
Milestone could be UAT Entry, UAT Completion, Pre-production, Production or Market Release</t>
  </si>
  <si>
    <t>Calander Days per 100 Unit of Size</t>
  </si>
  <si>
    <t>Elapsed Time in Days from Release Start date to till the completion of milestone of interest;
Estimated or Actual Size expressed as "100 Units of Size" (Function Points(FP),Complexity Points(CP), Use Case Points(UCP), Objects; Story Points(SP),Test Steps(TS),Test Units(TU),Design Test Units(DTU),Functional Test Units(FTU), Test Cases(TC),Test Scripts,Number of tickets);</t>
  </si>
  <si>
    <t>Size Estimation Sheet; Project Schedule;</t>
  </si>
  <si>
    <t xml:space="preserve">Improve Sub-process Productivity </t>
  </si>
  <si>
    <t>Rework %</t>
  </si>
  <si>
    <t>Rework Effort /Total Effort*100</t>
  </si>
  <si>
    <t>Insight</t>
  </si>
  <si>
    <t>Rework Effort (Refers to effort spent towards Defect Fixes after Reviews and Testing both internally and externally;
Total Effort;
UoM for Effort;</t>
  </si>
  <si>
    <t>Time Tracking System</t>
  </si>
  <si>
    <t xml:space="preserve">Knowledge &amp; Reuse </t>
  </si>
  <si>
    <t>Reusability %</t>
  </si>
  <si>
    <t>Size of reusable assets used in the project/Estimated or Actual Size;
Size could be expressed as Lines of Code, Number of Services or Components, Number of Objects,Function Points, Story Points, Complexity points, Use Case Points,  Number of Test Cases or Test Scripts</t>
  </si>
  <si>
    <t>Fresh Development,Re-Engineering,Custom Enhancements,Package implementation,Upgrade,Migration,Maintenance</t>
  </si>
  <si>
    <t>Iterative,Incremental,Agile-Scrum,Agile-Kanban,Sure Step,Agile Sure Step,ASAP,Oracle AIM,Waterfall,Traditional Maintenance &amp; Support</t>
  </si>
  <si>
    <t>Size of reusable assets used in the project;
Estimated or Actual Size;
Unit of Size; (Size could be expressed as Lines of Code, Number of Services or Components, Number of Objects,Function Points, Story Points, Complexity points, Use Case Points,  Number of Test Cases or Test Scripts)</t>
  </si>
  <si>
    <t>Size Estimation Sheet; ReusePlan&amp;Tracker</t>
  </si>
  <si>
    <t>Mandatory if Reuse is budgeted during estimation or planning</t>
  </si>
  <si>
    <t>Reuse Saving %</t>
  </si>
  <si>
    <t>Actual or Expected Effort saving through Re-use/Planned Effort*100</t>
  </si>
  <si>
    <t>Iterative,Incremental,Agile-Scrum,Agile-Kanban,Sure Step,Agile Sure Step,ASAP,Oracle AIM,Traditional Maintenance &amp; Support,Waterfall</t>
  </si>
  <si>
    <t>Actual or Expected Effort saving through Re-use;
Planned Effort;
UoM for Effort;</t>
  </si>
  <si>
    <t>Estimation Sheet/ MPP, ReusePlan&amp;Tracker</t>
  </si>
  <si>
    <t>Improve Internal Quality</t>
  </si>
  <si>
    <t>Reusable Asset Quality%</t>
  </si>
  <si>
    <t>Number of certified reusable assets by Competency team or Architect or Tech. Lead/Total number of reusable assets available for use</t>
  </si>
  <si>
    <t>Number of certified reusable assets by Competency team or Architect or Tech. Lead;
Total number of reusable assets available for use</t>
  </si>
  <si>
    <t>Ensure Scope Management</t>
  </si>
  <si>
    <t>Requirements Change Index</t>
  </si>
  <si>
    <t>Number of Requirements changed after work start/Total Number of Requirements*100</t>
  </si>
  <si>
    <t>Not Applicable</t>
  </si>
  <si>
    <t>Number of Requirements changed(Added or Modified or Removed) after work start;
Total Number of Requirements</t>
  </si>
  <si>
    <t>CR Tracker</t>
  </si>
  <si>
    <t>Change Impact Index</t>
  </si>
  <si>
    <t>Estimated or Actual Effort due to approved Change Requests/Planned Effort*100</t>
  </si>
  <si>
    <t>Estimated or Actual Effort due to approved Change Requests;
Planned Effort;
UoM for Effort;</t>
  </si>
  <si>
    <t>CR Tracker, Estimation Sheet/ MPP, Time Tracking System</t>
  </si>
  <si>
    <t>Mandatory for Fixed Price projects &amp; Time and Material with cap projects</t>
  </si>
  <si>
    <t>Schedule Performance Index</t>
  </si>
  <si>
    <t>Earned Value/Planned Value</t>
  </si>
  <si>
    <t>Earned Value(Budgeted Cost for Work completed);
Planned Value(Budgeted Cost for Work Scheduled);
UoM for Currency;</t>
  </si>
  <si>
    <t>EVM Tracker, ORBIT, IWO, Re-estimation</t>
  </si>
  <si>
    <t>Schedule Variance-EVM</t>
  </si>
  <si>
    <t>Earned Value-Planned Value</t>
  </si>
  <si>
    <t>Currency Unit</t>
  </si>
  <si>
    <t>Cost Performance Index</t>
  </si>
  <si>
    <t>Earned Value/Actual Cost</t>
  </si>
  <si>
    <t>Earned Value(Budgeted Cost for Work completed);
Actual Cost(Actual Cost for Work completed);
UoM for Currency;</t>
  </si>
  <si>
    <t>Cost Variance-EVM</t>
  </si>
  <si>
    <t xml:space="preserve">Earned Value-Actual Cost </t>
  </si>
  <si>
    <t>Billability % for Change Requests</t>
  </si>
  <si>
    <t>Effort billed to customer towards Change Requests/Effort spent for implementing Change Requests*100</t>
  </si>
  <si>
    <t>Effort billed to customer towards Change Requests;
Effort spent for implementing Change Requests
UoM for Effort;</t>
  </si>
  <si>
    <t>Percentage Code Review Effort</t>
  </si>
  <si>
    <t xml:space="preserve">Effort spent on Code or Script Reviews*100/Total Engineering Effort </t>
  </si>
  <si>
    <t>Within Limits</t>
  </si>
  <si>
    <t>Effort spent on Code or Script Reviews;
Total Engineering Effort 
UoM for Effort;</t>
  </si>
  <si>
    <t>Review Efficiency</t>
  </si>
  <si>
    <t xml:space="preserve">Sum of (Count of leaked defects  to customer for each Severity*Weightage for each Severity of Defects) uncovered through review/Review Effort;
Fatal : Severity Weight 3; Major : Severity Weight 2; Minor : Severity Weight 1
</t>
  </si>
  <si>
    <t>Count of Review Defects for each Severity; 
Defect Severity;
Weightage for each Severity of Defects;
Review Effort;
UoM for Effort;</t>
  </si>
  <si>
    <t>Test Efficiency</t>
  </si>
  <si>
    <t xml:space="preserve">Sum of (Count of leaked defects  to customer for each Severity*Weightage for each Severity of Defects) uncovered in a Testing/Effort for Test Execuion
Fatal : Severity Weight 3; Major : Severity Weight 2; Minor : Severity Weight 1
</t>
  </si>
  <si>
    <t>Count of Testing Defects for each Severity; 
Defect Severity;
Weightage for each Severity of Defects;
Testing Effort;
UoM for Effort;</t>
  </si>
  <si>
    <t>Time Tracking System, Review Logs or Any Defect Tracking System</t>
  </si>
  <si>
    <t>On completion of each review and at Retrospective point</t>
  </si>
  <si>
    <t>Unit Test Coverage %</t>
  </si>
  <si>
    <t>Proportion of project's code that is unit tested/Estimated or Actual Size</t>
  </si>
  <si>
    <t>Fresh Development,Re-Engineering,Custom Enhancements,Package implementation,Maintenance</t>
  </si>
  <si>
    <t>Proportion of project's code that is unit tested;
Estimated or Actual Size;
Unit of Size;(KLOC)</t>
  </si>
  <si>
    <t>Code Quality tools such as Sonar</t>
  </si>
  <si>
    <t>On completion of each test cycle and at Retrospective point</t>
  </si>
  <si>
    <t>Mandatory if Unit Test Automation is part of Project Scope</t>
  </si>
  <si>
    <t>Review Coverage %</t>
  </si>
  <si>
    <t>Proportion of project's code or test script that is reviewed/Estimated or Actual Size</t>
  </si>
  <si>
    <t>Proportion of project's code or test script that is reviewed;
Estimated or Actual Size;
Unit of Size;(KLOC)</t>
  </si>
  <si>
    <t>On completion Unit Testing</t>
  </si>
  <si>
    <t>Test Case per Size</t>
  </si>
  <si>
    <t>Number of Test Cases/Estimated or Actual Size;
Item could be Application or Product, Module, Feature, User Story or Requirement;
Size Unit could be  Function Points(FP),Complexity Points(CP), Use Case Points(UCP), Objects; Story Points(SP);
Objects could include Reports, Interfaces, Conversions, Enhancements, Forms, Workflows, Extensions, etc</t>
  </si>
  <si>
    <t>Test Case/Size Unit</t>
  </si>
  <si>
    <t>Number of Test Cases;
Estimated or Actual Size;
Unit of Size; (Function Points(FP),Complexity Points(CP), Use Case Points(UCP), Objects; Story Points(SP));</t>
  </si>
  <si>
    <t xml:space="preserve"> Size Estimation/  Time Tracking System</t>
  </si>
  <si>
    <t>Percentage Defects by category</t>
  </si>
  <si>
    <t>Count of defects by Severity, Type, Status, Build, Module, Root cause category, Defect Injection Phase, Defect Detection phase</t>
  </si>
  <si>
    <t>Review Reports;
Test Reports; 
Bugzilla or Any Defect Tracking System</t>
  </si>
  <si>
    <t>On completion Code Review</t>
  </si>
  <si>
    <t>Review Defect Density</t>
  </si>
  <si>
    <t xml:space="preserve">Sum of ((Count of defects  detected from Review for each Severity*Weightage for each Severity of Defects) found from Work Product Review/Estimated or Actual Size 
Fatal : Severity Weight 3; Major : Severity Weight 2; Minor : Severity Weight 1
</t>
  </si>
  <si>
    <t>Count of Review Defects for each Severity; 
Defect Severity;
Weightage for each Severity of Defects;
Estimated or Actual Size; 
Unit of Size (Function Point-FP;Compleixity Point-CP;Use Case Point-UCP;Object;Story Points(SP))</t>
  </si>
  <si>
    <t>Bugzilla or Any Defect Tracking System; Size Estimation Sheets;</t>
  </si>
  <si>
    <t xml:space="preserve">Monthly </t>
  </si>
  <si>
    <t>Bar chart or Pie chart</t>
  </si>
  <si>
    <t>Review Defect Rate</t>
  </si>
  <si>
    <t xml:space="preserve">Sum of (Count of defects  detected from Review for each Severity*Weightage for each Severity of Defects) found from Work Product Review/Planned Engineering Effort for the Work Product
Fatal : Severity Weight 3; Major : Severity Weight 2; Minor : Severity Weight 1
</t>
  </si>
  <si>
    <t xml:space="preserve">Count of Review Defects for each Severity; 
Defect Severity;
Weightage for each Severity of Defects;
Planned Engineering Effort for the Work Product;
UoM for Effort;
</t>
  </si>
  <si>
    <t>Bugzilla or Any Defect Tracking System; Time Tracking System</t>
  </si>
  <si>
    <t>Testing Defect Density</t>
  </si>
  <si>
    <t xml:space="preserve">Sum of (Count of defects  detected from Testing for each Severity*Weightage for each Severity of Defects) found from Testing/Estimated or Actual Size
Fatal : Severity Weight 3; Major : Severity Weight 2; Minor : Severity Weight 1
</t>
  </si>
  <si>
    <t>Count of Testing Defects for each Severity; 
Defect Severity;
Weightage for each Severity of Defects;
Estimated or Actual Size;
Enigeering Effort for the Component;
UoM for Effort;
Unit of Size(Function Point-FP;Compleixity Point-CP;Use Case Point-UCP;Object;Story Points(SP))</t>
  </si>
  <si>
    <t xml:space="preserve">Defect Tracking System, Size Estimation Sheet; </t>
  </si>
  <si>
    <t>Testing Defect Rate</t>
  </si>
  <si>
    <t xml:space="preserve">Sum of (Count of leaked defects  to customer for each Severity*Weightage for each Severity of Defects) found from Testing/ Planned Engineering Effort for the Component
Fatal : Severity Weight 3; Major : Severity Weight 2; Minor : Severity Weight 1
</t>
  </si>
  <si>
    <t xml:space="preserve">Count of Testing Defects for each Severity; 
Defect Severity;
Weightage for each Severity of Defects;
Planned Engineering Effort for the Componnentt;
UoM for Effort; </t>
  </si>
  <si>
    <t>Defect Tracking System, Time Tracking System</t>
  </si>
  <si>
    <t>On completion of each Testing and at Retrospective point</t>
  </si>
  <si>
    <t>First time Test Case Pass %</t>
  </si>
  <si>
    <t>Number of Test Cases passed first time/Number of test cases executed</t>
  </si>
  <si>
    <t>Number of Test Cases passed first time;
Number of test cases executed</t>
  </si>
  <si>
    <t>Test Reports; Bugzilla or Any Defect Tracking System</t>
  </si>
  <si>
    <t>Each Sprint and Release</t>
  </si>
  <si>
    <t>Requirements Analysis Delivery Rate</t>
  </si>
  <si>
    <t>Effort spent for Requirements Analysis/Estimated or Actual Size
Size could be for Application or Product, Module, Feature, User Story or Requirement;
Size Unit could be  Function Points(FP),Story Points(SP),Complexity Points(CP), Use Case Points(UCP), Objects,Test Steps(TS),Test Units(TU),Test Cases(TC),Number of tickets;
Objects could include Reports, Interfaces, Conversions, Enhancements, Forms, Workflows, Extensions, etc</t>
  </si>
  <si>
    <t>Person-hours/Size Unit</t>
  </si>
  <si>
    <t>Fresh Development,Re-Engineering,Custom Enhancements,Package implementation,Upgrade,Migration,Maintenance,Testing</t>
  </si>
  <si>
    <t>Effort spent for Requirements Analysis;
Estimated or Actual Size;
UoM for Effort;
Unit of Size; (Function Points(FP), Story Points(SP),Complexity Points(CP), Use Case Points(UCP), Objects,Test Steps(TS),Design Test Units(DTU),Test Cases(TC),Number of tickets)</t>
  </si>
  <si>
    <t>Design Delivery Rate</t>
  </si>
  <si>
    <t>Effort spent for Design/Estimated or Actual Size;
Size could be for Application or Product, Module, Feature, User Story or Requirement;
Size Unit could be  Function Points(FP),Story Points(SP),Complexity Points(CP), Use Case Points(UCP), Objects;
Objects could include Reports, Interfaces, Conversions, Enhancements, Forms, Workflows, Extensions, etc</t>
  </si>
  <si>
    <t>Effort spent for Design;
Estimated or Actual Size
UoM for Effort;
Unit of Size;(Function Points(FP),Story Points(SP),Complexity Points(CP), Use Case Points(UCP), Objects)</t>
  </si>
  <si>
    <t>Coding Delivery Rate</t>
  </si>
  <si>
    <t>Effort spent for Coding/Estimated or Actual Size;
Size could be for Application or Product, Module, Feature, User Story or Requirement;
Size Unit could be  Function Points(FP),Story Points(SP),Complexity Points(CP), Use Case Points(UCP), Objects;
Objects could include Reports, Interfaces, Conversions, Enhancements, Forms, Workflows, Extensions, etc</t>
  </si>
  <si>
    <t>Effort spent for Coding;
Estimated or Actual Size;
UoM for Effort;
Unit of Size;(Function Points(FP),Story Points(SP),Complexity Points(CP), Use Case Points(UCP), Objects)</t>
  </si>
  <si>
    <t>Code Review Rate</t>
  </si>
  <si>
    <t>Effort spent for Code Review/Estimated or Actual Size;
Item could be Application or Product, Module, Feature, User Story or Requirement;
Size Unit could be  Function Points(FP),Story Points(SP),Complexity Points(CP), Use Case Points(UCP), Objects;
Objects could include Reports, Interfaces, Conversions, Enhancements, Forms, Workflows, Extensions, etc</t>
  </si>
  <si>
    <t>Effort spent for Code Review;
Estimated or Actual Size;
UoM for Effort;
Unit of Size;(Function Points(FP),Story Points(SP),Complexity Points(CP), Use Case Points(UCP), Objects)</t>
  </si>
  <si>
    <t>Test Design Delivery Rate</t>
  </si>
  <si>
    <t>Effort Spent for Test Design/Estimated or Actual Size;
Size could be for Application or Product, Module, Feature, User Story or Requirement;
Size Unit could be  Function Points(FP),Story Points(SP),Complexity Points(CP), Use Case Points(UCP), Objects,Test Steps(TS),Test Units(TU),Test Cases(TC),Test Scripts;
Objects could include Reports, Interfaces, Conversions, Enhancements, Forms, Workflows, Extensions, etc</t>
  </si>
  <si>
    <t>Effort Spent for Test Design;
Estimated or Actual Size;
UoM for Effort;
Unit of Size; (Function Points(FP), Story Points(SP),Complexity Points(CP), Use Case Points(UCP), Objects,Test Steps(TS),Design Test Units(DTU), Test Cases(TC),Number of tickets)</t>
  </si>
  <si>
    <t>Test Review Delivery Rate</t>
  </si>
  <si>
    <t>Effort Spent for Test Design Review/Estimated or Actual Size;
Size could be for Application or Product, Module, Feature, User Story or Requirement;
Size Unit could be  Function Points(FP),Story Points(SP),Complexity Points(CP), Use Case Points(UCP), Objects,Test Steps(TS),Test Units(TU),Test Cases(TC),Test Scripts;
Objects could include Reports, Interfaces, Conversions, Enhancements, Forms, Workflows, Extensions, etc</t>
  </si>
  <si>
    <t>Effort Spent for Test Execution;
Estimated or Actual Size;
UoM for Effort;
Unit of Size; (Function Points(FP), Story Points(SP),Complexity Points(CP), Use Case Points(UCP), Objects,Test Steps(TS),Design Test Units(DTU),Test Cases(TC),Number of tickets)</t>
  </si>
  <si>
    <t>Test Execution Delivery Rate</t>
  </si>
  <si>
    <t>Effort Spent for Test Execution/Estimated or Actual Size;
Size could be for Application or Product, Module, Feature, User Story or Requirement;
Size Unit could be  Function Points(FP),Complexity Points(CP), Use Case Points(UCP), Objects; Story Points(SP),Test Steps(TS),Test Units(TU),Test Cases(TC),Test Scripts;
Objects could include Reports, Interfaces, Conversions, Enhancements, Forms, Workflows, Extensions, etc</t>
  </si>
  <si>
    <t>Effort Spent for Test Execution;
Estimated or Actual Size;
UoM for Effort;
Unit of Size; (Function Points(FP), Story Points(SP),Complexity Points(CP), Use Case Points(UCP), Objects,Test Steps(TS),Functional Test Units(FTU),Test Cases(TC),Number of tickets)</t>
  </si>
  <si>
    <t>Velocity</t>
  </si>
  <si>
    <t xml:space="preserve">Story Points delivered and accepted per Sprint </t>
  </si>
  <si>
    <t>Story Points-SP</t>
  </si>
  <si>
    <t>Agile-Scrum,Agile Sure Step</t>
  </si>
  <si>
    <t>Product Backlog, Size Estimation, Time Tracking System</t>
  </si>
  <si>
    <t>Commitment to Delivery %</t>
  </si>
  <si>
    <t>Story Points for User Stories delivered and accepted by Product Owner in a sprint/Story Points for User Stories committed for the sprint*100</t>
  </si>
  <si>
    <t>Story Points for User Stories delivered and accepted by Product Owner in a sprint;
Story Points for User Stories committed for the sprint</t>
  </si>
  <si>
    <t xml:space="preserve">Product Backlog </t>
  </si>
  <si>
    <t>Release Delay Index</t>
  </si>
  <si>
    <t>Number of Sprints planned for delivering the commited release scope/(Actual Number of sprints completed+Expected number of sprints required for delivering remaining Release Scope)*100</t>
  </si>
  <si>
    <t>Number of Sprints planned for delivering the commited release scope;
Actual Number of sprints completed;
Expected number of sprints required for delivering remaining Release Scope</t>
  </si>
  <si>
    <t>Product Backlog, Size Estimation/  Time Tracking System</t>
  </si>
  <si>
    <t>Mandatory if Sonata has primary ownership or joint ownership with customer for Release Planning and tracking</t>
  </si>
  <si>
    <t>Sprint Burn down Chart</t>
  </si>
  <si>
    <t>Burned Down Effort, Ideal Burn Down Effort, Remaining Effort against Total Amount of Planned Effort</t>
  </si>
  <si>
    <t>Agile-Scrum</t>
  </si>
  <si>
    <t>Burned Down Effort;
Ideal Burn Down Effort;
Remaining Effort against Total Planned Effort;
UoM for Effort;</t>
  </si>
  <si>
    <t>Each Sprint</t>
  </si>
  <si>
    <t>Release Burn up Chart</t>
  </si>
  <si>
    <t>Number of Story Points completed till current sprint,  Ideal Story Points burnup, Remaining Story Points for the Release, Total Story Points for the Release</t>
  </si>
  <si>
    <t>Number of Story Points completed till current sprint;
Ideal Story Points burnup; Remaining Story Points for the Release;
Total Story Points for the Release</t>
  </si>
  <si>
    <t xml:space="preserve">WIP </t>
  </si>
  <si>
    <t xml:space="preserve">The sum of the story points for WIP(Work In Progress) items or  number of WIP(Work In Progress) items </t>
  </si>
  <si>
    <t>Fresh Development,Maintenance,Re-Engineering</t>
  </si>
  <si>
    <t>Agile-Kanban</t>
  </si>
  <si>
    <t xml:space="preserve">The sum of the story points for WIP(Work In Progress) items;  Number of WIP(Work In Progress) items </t>
  </si>
  <si>
    <t>Kanban tool</t>
  </si>
  <si>
    <t>Each week, month, quarter</t>
  </si>
  <si>
    <t>Cumululative Flow Diagram</t>
  </si>
  <si>
    <t>Process Throughput</t>
  </si>
  <si>
    <t xml:space="preserve">The count of work items finished or sum of story points finished (Done) in a given
time period 
</t>
  </si>
  <si>
    <t xml:space="preserve">The count of work items finished; or The sum of story points finished (Done) in a given time period 
</t>
  </si>
  <si>
    <t xml:space="preserve">Cycle Time </t>
  </si>
  <si>
    <t>Average Elapsed time from the moment when the request was picked up the team from the board to when all work on this item is completed and the request was delivered to the client</t>
  </si>
  <si>
    <t>Number of hours or Number of days</t>
  </si>
  <si>
    <t>Higher the better,Lower the better</t>
  </si>
  <si>
    <t>Average Elapsed time from pick up to completion &amp; delivery to client
UoM for Time;</t>
  </si>
  <si>
    <t>Lead Time</t>
  </si>
  <si>
    <t>Average Elapsed time from the moment when the request was made by a client and placed on a board to when all work on this item is completed and the request was delivered to the client</t>
  </si>
  <si>
    <t>Average Elapsed time from request to completion &amp; delivery to client;
UoM for Time;</t>
  </si>
  <si>
    <t>Running Tested Feature % (RTF%)</t>
  </si>
  <si>
    <t xml:space="preserve">Cumulative Number of Running Tested Features at any given point of time/Cumulative Number of Features planned at the same point of time
</t>
  </si>
  <si>
    <t>Fresh Development,Maintenance,Re-Engineering,Migration,Custom Enhancements,Package implementation,Helpdesk Services</t>
  </si>
  <si>
    <t>Iterative,Incremental,Agile-Scrum,Agile Sure Step,Sure Step,ASAP,Oracle AIM,Traditional Maintenance &amp; Support</t>
  </si>
  <si>
    <t xml:space="preserve">Cumulative Number of Running Tested Features at any given point of time;
Cumulative Number of Features planned at the same point of time
</t>
  </si>
  <si>
    <t>Test Reports, Test Management System, Time Reporting System</t>
  </si>
  <si>
    <t>Each Test Cycle, Sprint and Release</t>
  </si>
  <si>
    <t xml:space="preserve">Improve  Service Level Performance </t>
  </si>
  <si>
    <t>SLA Adherance % - Resolution</t>
  </si>
  <si>
    <t># of tickets resolved within SLA by Priority/# of tickets resolved by Priority*100</t>
  </si>
  <si>
    <t>Maintenance,Infrastructure Management Services,Production Support,Application Build,Helpdesk Services</t>
  </si>
  <si>
    <t>ITIL based Service Delivery,Traditional Maintenance &amp; Support</t>
  </si>
  <si>
    <t># of tickets resolved within SLA by Priority;
# of tickets resolved by Priority</t>
  </si>
  <si>
    <t>Ticket Tracking System</t>
  </si>
  <si>
    <t>Mandatory if SLAs are formally agreed with customer</t>
  </si>
  <si>
    <t>SLA Adherance % - Response</t>
  </si>
  <si>
    <t># of tickets responded within SLA by Priority/# of tickets responded by Priority*100</t>
  </si>
  <si>
    <t># of tickets responded within SLA by Priority;
# of tickets responded by Priority</t>
  </si>
  <si>
    <t>First Time Fit  %</t>
  </si>
  <si>
    <t># of tickets resolved right first time/# of tickets resolved *100</t>
  </si>
  <si>
    <t># of tickets resolved right first time;
# of tickets resolved</t>
  </si>
  <si>
    <t>Maintenance Ticket Delivery Rate</t>
  </si>
  <si>
    <t>Effort spent in resolving those tickets by Ticket type/Number of Maintenance tickets resolved by Ticket Type
Type of Maintenance Tickets are Bug Fix, Enhancement or Change Requirements, Service Requests</t>
  </si>
  <si>
    <t>Person-hours per Ticket</t>
  </si>
  <si>
    <t>Effort spent in resolving those tickets by Ticket type;
Number of Maintenance tickets resolved by Ticket Type;
Type of Maintenance Ticket;
UoM for Effort;</t>
  </si>
  <si>
    <t>Ticket Tracking System, Time Reporting System</t>
  </si>
  <si>
    <t>Ticket Volume</t>
  </si>
  <si>
    <t xml:space="preserve">Number of Maintenance tickets resolved by Ticket Type
</t>
  </si>
  <si>
    <t>Number of tickets</t>
  </si>
  <si>
    <t xml:space="preserve">Number of Maintenance tickets resolved by Ticket Type;
Type of Maintenance Ticket;
</t>
  </si>
  <si>
    <t>Backlog Management Index</t>
  </si>
  <si>
    <t>Number of tickets closed in a month/Number of tickets reported in a month*100</t>
  </si>
  <si>
    <t>Number of tickets closed in a month;
Number of tickets reported in a month</t>
  </si>
  <si>
    <t xml:space="preserve">Effort Distribution % </t>
  </si>
  <si>
    <t>Effort spent for a type of  Maintenance tickets/  Effort spent for all type of  Maintenance tickets</t>
  </si>
  <si>
    <t>Effort spent for a type of  Maintenance tickets;
Effort spent for all type of  Maintenance tickets;
UoM for Effort;</t>
  </si>
  <si>
    <t>Ticket Tracking System, Time Tracking System</t>
  </si>
  <si>
    <t>Improve Sub-process Cycle time</t>
  </si>
  <si>
    <t>Ontime completion</t>
  </si>
  <si>
    <t># of items completed ontime/# items planned for completion*100;
Items could be tickets or tasks or feature or components</t>
  </si>
  <si>
    <t>Maintenance,Infrastructure Management Services,Production Support,Application Build,Helpdesk Services,Package implementation</t>
  </si>
  <si>
    <t>Traditional Maintenance &amp; Support,Waterfall,Iterative,Sure Step</t>
  </si>
  <si>
    <t># of items completed ontime;
# items planned for completion;
Items could be tickets or tasks or feature or components</t>
  </si>
  <si>
    <t>Mandatory if no SLAs are formally agreed with customer</t>
  </si>
  <si>
    <t xml:space="preserve">Average Resolution Time </t>
  </si>
  <si>
    <t>Sum of Elapsed time between the time the ticket is assigned and resolved for all tickets in a time period/Number of tickets in a time period</t>
  </si>
  <si>
    <t>Hours or days</t>
  </si>
  <si>
    <t>Infrastructure Management Services,Production Support,Helpdesk Services</t>
  </si>
  <si>
    <t>Sum of Elapsed time between the time the ticket is assigned and resolved for all tickets in a time period;Number of tickets in a time period</t>
  </si>
  <si>
    <t xml:space="preserve">Average Response Time </t>
  </si>
  <si>
    <t>Average Elapsed time between the time the ticket is assigned and responded with a first response in a time period</t>
  </si>
  <si>
    <t>Minutes or hours</t>
  </si>
  <si>
    <t>Sum of Elapsed time between the time the ticket is assigned and first responded for all tickets in a time period;
Number of tickets in a time period</t>
  </si>
  <si>
    <t>Availability %</t>
  </si>
  <si>
    <t>(Amount of time available /Amount of time committed for as per agreement) *100;
Availability could be measured for Application, Voice&amp; Data Lines, Network, Mail Service, Data Center etc.</t>
  </si>
  <si>
    <t>Amount of time available; 
Amount of time committed for as per agreement;
UoM for Time;</t>
  </si>
  <si>
    <t>Monitoring System</t>
  </si>
  <si>
    <t>Abandon Call rate</t>
  </si>
  <si>
    <t>Number of Calls offered – Number of Calls handled] / [Number of Calls offered] * 100</t>
  </si>
  <si>
    <t>Infrastructure Management Services,Production Support,Helpdesk Services,Application Build</t>
  </si>
  <si>
    <t xml:space="preserve">Number of Calls offered;
 Number of Calls handled;
</t>
  </si>
  <si>
    <t>Incidents Breached %</t>
  </si>
  <si>
    <t>(No of Incidents not meeting SLA/Total No of Incidents)*100</t>
  </si>
  <si>
    <t>No of Incidents not meeting SLA;
Total No of Incidents</t>
  </si>
  <si>
    <t>Test Design Productivity</t>
  </si>
  <si>
    <t>Estimated or Actual Size/Effort spent for Test Design in Person-days
Size Unit could be  Test Steps(TS), Design Test Units(DTU),Test Cases(TC), Test Scripts</t>
  </si>
  <si>
    <t>Size Unit/ Person-day</t>
  </si>
  <si>
    <t>Testing</t>
  </si>
  <si>
    <t>Iterative,Incremental,Agile-Scrum,Agile-Kanban,Waterfall</t>
  </si>
  <si>
    <t>Effort Spent for Test Design;
Estimated or Actual Size;
UoM for Effort;
Unit of Size; (Unit of Size can be
Test Steps(TS),Test Units(TU),Test Cases(TC), Test Scripts)</t>
  </si>
  <si>
    <t>Test Management &amp; Time Tracking System</t>
  </si>
  <si>
    <t>Test Execution Productivity</t>
  </si>
  <si>
    <t>Estimated or Actual Size/Effort spent for Test Execution in Person-days
Size Unit could be  Test Steps(TS), Functional Test Units(FTU),Test Cases(TC), Test Scripts</t>
  </si>
  <si>
    <t>Effort Spent for Test Execution;
Estimated or Actual Size;
UoM for Effort;
Unit of Size; (Unit of Size can be
Test Steps(TS),Test Units(TU),Test Cases(TC), Test Scripts)</t>
  </si>
  <si>
    <t>Test Coverage %</t>
  </si>
  <si>
    <t>(Number of test cases executed in a build or cycle/Total number of Test cases planned for execution)*100</t>
  </si>
  <si>
    <t>Fresh Development,Testing,Re-Engineering,Custom Enhancements,Package implementation</t>
  </si>
  <si>
    <t>Waterfall,Iterative,Incremental,Agile-Scrum,Agile Sure Step</t>
  </si>
  <si>
    <t>Number of test cases executed;
Total number of Test cases planned for execution</t>
  </si>
  <si>
    <t>Test Reports, Test Management System</t>
  </si>
  <si>
    <t>Functional Test Coverage</t>
  </si>
  <si>
    <t>(Number of Functional Specifications(FS) Covered by test cases/Total number of Functional Specifications(FS)) * 100</t>
  </si>
  <si>
    <t>Number of Functional Specifications(FS) Covered by test cases;
Total number of Functional Specifications(FS)</t>
  </si>
  <si>
    <t>Test Management System</t>
  </si>
  <si>
    <t>Test Automation %</t>
  </si>
  <si>
    <t>(Number of test cases automated/Total number of automatable test cases)*100</t>
  </si>
  <si>
    <t>Number of test cases automated;
Total number of automatable test cases</t>
  </si>
  <si>
    <t>Automation Test Scripts, Test Management System</t>
  </si>
  <si>
    <t>Mandatory if Test Automation is in project scope</t>
  </si>
  <si>
    <t>Percentage of valid defects %</t>
  </si>
  <si>
    <t>(Number of valid defects reported by testing team/Total number of testing defects)*100</t>
  </si>
  <si>
    <t>Number of valid defects reported by testing team;
Total number of testing defects</t>
  </si>
  <si>
    <t>Defect Management System</t>
  </si>
  <si>
    <t>Test Automation Rejection %</t>
  </si>
  <si>
    <t>(Number of automated Test script rejections/Total no of  automated Test Scripts )*100</t>
  </si>
  <si>
    <t>Number of automated Test script rejections;
Total number of  automated Test Scripts</t>
  </si>
  <si>
    <t>Test Scenario/Spec Rejection %</t>
  </si>
  <si>
    <t>(No of Test Scenarios or Spec rejected due to invalid defects/Total no of Test Scenarios or Specs )*100</t>
  </si>
  <si>
    <t>No of Test Scenarios or Spec rejected due to invalid defects;
Total number of Test Scenarios or Specs</t>
  </si>
  <si>
    <t>Defect Detection Efficiency %</t>
  </si>
  <si>
    <t>Number of defects reported from testing/(Number of defects from testing+Number of defects reported by customer or business)*100</t>
  </si>
  <si>
    <t>Waterfall,Iterative,Incremental,Agile-Scrum,Agile Sure Step,Sure Step,ASAP,Oracle AIM</t>
  </si>
  <si>
    <t>Number of defects reported from testing;
Number of defects reported by customer or business</t>
  </si>
  <si>
    <t>Time to Fill Requisition</t>
  </si>
  <si>
    <t>Elapsed Time from the date resource requisition is raised  to fulfillment</t>
  </si>
  <si>
    <t>Days</t>
  </si>
  <si>
    <t>Professional Services</t>
  </si>
  <si>
    <t>Staffing</t>
  </si>
  <si>
    <t>Elapsed Time from the date resource requisition is raised  to fulfillment;
UoM for Time;</t>
  </si>
  <si>
    <t xml:space="preserve">% of  unfulfilled Resource Requests </t>
  </si>
  <si>
    <t>(Number of resources not fulfilled as on date/Number of resources requests raised*100</t>
  </si>
  <si>
    <t>Number of resources not fulfilled as on date;
Number of resources requests raised</t>
  </si>
  <si>
    <t>Cost per Fulfillment</t>
  </si>
  <si>
    <t>Total cost towards Advertising, Recruitment, Agency fees, Relocation and other operation costs during a time period/Number of resources fulfilled during a time period</t>
  </si>
  <si>
    <t>Currency Unit per resource</t>
  </si>
  <si>
    <t>Total cost towards Advertising, Recruitment, Agency fees, Relocation and other operation costs during a time period;
Number of resources fulfilled during a time period;
UoM for Currency;</t>
  </si>
  <si>
    <t>% of Customer Rejected Candidates</t>
  </si>
  <si>
    <t>(Number of resources rejected by customer for a position/Number of resource profiles qualfied internally for the same position *100</t>
  </si>
  <si>
    <t>Number of resources rejected by customer for a position;
Number of resource profiles qualfied internally for the same position</t>
  </si>
  <si>
    <t>% of  Internally Rejected Candidates</t>
  </si>
  <si>
    <t>(Number of resources rejected internally for a position/Number of resource profiles received for the same position *100</t>
  </si>
  <si>
    <t xml:space="preserve">Number of resources rejected internally for a position;
Number of resource profiles received for the same position </t>
  </si>
  <si>
    <t>Project Name</t>
  </si>
  <si>
    <t>Engagement Model</t>
  </si>
  <si>
    <t>Work Size Unit</t>
  </si>
  <si>
    <t>Iterative</t>
  </si>
  <si>
    <t>Time &amp; Material</t>
  </si>
  <si>
    <t>Test Steps-TS</t>
  </si>
  <si>
    <t>Metric category</t>
  </si>
  <si>
    <t>KPI/Metric*</t>
  </si>
  <si>
    <t>Formula*</t>
  </si>
  <si>
    <t>Unit of Measure*</t>
  </si>
  <si>
    <t>Target*</t>
  </si>
  <si>
    <t>KPI Intent*</t>
  </si>
  <si>
    <t>Frequency of Analysis and Reporting*</t>
  </si>
  <si>
    <t>Priority*</t>
  </si>
  <si>
    <t>Inputs &amp; Rationale for Priority and values for objectives*</t>
  </si>
  <si>
    <t>Reported To Customer *</t>
  </si>
  <si>
    <t xml:space="preserve">Data to be collected and operational definition of the data* </t>
  </si>
  <si>
    <t>Data Source(s)*</t>
  </si>
  <si>
    <t>Business Strategy</t>
  </si>
  <si>
    <t>Associated Higher Level Objective</t>
  </si>
  <si>
    <t>Associated Higher Level Metric</t>
  </si>
  <si>
    <t>Type of Metric*</t>
  </si>
  <si>
    <t>If type of metric is Enabling metric, Specify the relevant sub-process</t>
  </si>
  <si>
    <t>Managed Statistically?*</t>
  </si>
  <si>
    <t>Analytic technique*</t>
  </si>
  <si>
    <t>Identify applicable Predicton Model, if any</t>
  </si>
  <si>
    <t>Pro-active Approach/Plan for meeting the objective</t>
  </si>
  <si>
    <t>Specific Actions to be taken in case of potential breach of target/thresholds</t>
  </si>
  <si>
    <t>Check Selected Metric Belongs to the Same Metric Category-DO Not Delete This column Used for validation</t>
  </si>
  <si>
    <t>Check Selected Higher levelMetric is already defined-DO Not Delete This column Used for validation</t>
  </si>
  <si>
    <t>Enabler Plan</t>
  </si>
  <si>
    <t xml:space="preserve">Note: This section is mantatory for all medium and large projects (belonging to Development/Enhancement, Managed Testing and Maintenance Project Categories) but optional for small projects and other categories of projects.
Refer to the KPI Plan&amp;EnablerPlan-Sample sheet for guidance on preparing the different sheets of QPM Plan </t>
  </si>
  <si>
    <t>Instructions: List all the sub-processes within the scope of Sonata related to each Measurable Objective separately. Based on the values selected for criteria for sub-process selection and control, total score will be computed and the decision for "Type of Process Control" will be automatically recommended. In case, the recommendation is overruled/changed by the Project Manager,the rationale for the same should be  provided in Remarks column</t>
  </si>
  <si>
    <t>Measurable Objective(s)</t>
  </si>
  <si>
    <t>Criteria for subprocess selection and control</t>
  </si>
  <si>
    <t>&gt;=75%</t>
  </si>
  <si>
    <t>Managed Statistically</t>
  </si>
  <si>
    <t>70&lt;=Total Score&lt;75%</t>
  </si>
  <si>
    <t>Managed Quantitatively</t>
  </si>
  <si>
    <t>Sub-process</t>
  </si>
  <si>
    <t>Sub process measure/metric</t>
  </si>
  <si>
    <t>Contribution to KPI [K]</t>
  </si>
  <si>
    <t>Adequate quantitative data from past available [D]</t>
  </si>
  <si>
    <t>Linked through</t>
  </si>
  <si>
    <t>Amenability for frequent data and control [C]</t>
  </si>
  <si>
    <t>D</t>
  </si>
  <si>
    <t>P</t>
  </si>
  <si>
    <t>Total Score</t>
  </si>
  <si>
    <t>Type of Process Control</t>
  </si>
  <si>
    <t>Enabling Factor and Alternate Options</t>
  </si>
  <si>
    <t>Remarks</t>
  </si>
  <si>
    <t>Submitted By</t>
  </si>
  <si>
    <t>Measure*</t>
  </si>
  <si>
    <t>Actual Value*</t>
  </si>
  <si>
    <t>UOM</t>
  </si>
  <si>
    <t>Frequency*</t>
  </si>
  <si>
    <t>Frequency Name*</t>
  </si>
  <si>
    <t xml:space="preserve">From Date </t>
  </si>
  <si>
    <t>To Date</t>
  </si>
  <si>
    <t>Metric *</t>
  </si>
  <si>
    <t>Metric</t>
  </si>
  <si>
    <t>Frequency</t>
  </si>
  <si>
    <t>Frequency Name</t>
  </si>
  <si>
    <t>Actual Value</t>
  </si>
  <si>
    <t>Target opr</t>
  </si>
  <si>
    <t>Measure1 Name</t>
  </si>
  <si>
    <t xml:space="preserve">Measure1 Value </t>
  </si>
  <si>
    <t>Measure2 Name</t>
  </si>
  <si>
    <t xml:space="preserve">Measure2 Value </t>
  </si>
  <si>
    <t>Measure3 Name</t>
  </si>
  <si>
    <t xml:space="preserve">Measure3 Value </t>
  </si>
  <si>
    <t>Measure4 Name</t>
  </si>
  <si>
    <t xml:space="preserve">Measure4 Value </t>
  </si>
  <si>
    <t>From Date</t>
  </si>
  <si>
    <t>ToDate</t>
  </si>
  <si>
    <t>Submitted Date</t>
  </si>
  <si>
    <t>RAG</t>
  </si>
  <si>
    <t>Analysis/Comments</t>
  </si>
  <si>
    <t>Action Taken</t>
  </si>
  <si>
    <t>Responsibility</t>
  </si>
  <si>
    <t>Action Status</t>
  </si>
  <si>
    <t>Updated By</t>
  </si>
  <si>
    <t>Updated Date</t>
  </si>
  <si>
    <t>Sprint 1</t>
  </si>
  <si>
    <t>Number of items completed ontime</t>
  </si>
  <si>
    <t>Number items planned for completion</t>
  </si>
  <si>
    <t>Estimated or Actual Size</t>
  </si>
  <si>
    <t>Total Actual Project Execution Effort</t>
  </si>
  <si>
    <t>Story Delivery Rate</t>
  </si>
  <si>
    <t>Number of Story Points completed in Sprint</t>
  </si>
  <si>
    <t>Total Engineering Effort Spent for Completed Story Points in Sprint</t>
  </si>
  <si>
    <t>Rel 2</t>
  </si>
  <si>
    <t>Actual or Expected End Date</t>
  </si>
  <si>
    <t>Planned End Date</t>
  </si>
  <si>
    <t>Planned Start Date</t>
  </si>
  <si>
    <t>A</t>
  </si>
  <si>
    <t>G</t>
  </si>
  <si>
    <t>Example-Metrics</t>
  </si>
  <si>
    <t>&gt;=</t>
  </si>
  <si>
    <t>&lt;=LSL</t>
  </si>
  <si>
    <t>&lt;Target &amp; &gt;LSL</t>
  </si>
  <si>
    <t>&gt;= Target</t>
  </si>
  <si>
    <t>Productivity,GM, CSAT,CPI,SPI</t>
  </si>
  <si>
    <t>&lt;=</t>
  </si>
  <si>
    <t>&gt;=USL</t>
  </si>
  <si>
    <t>&gt;Target &amp;&lt;USL</t>
  </si>
  <si>
    <t>&lt;=Target</t>
  </si>
  <si>
    <t>cost of Delivery, Delivered Defect DensitY,SV,EV</t>
  </si>
  <si>
    <t>Nominal the Best</t>
  </si>
  <si>
    <t>LSL,USL</t>
  </si>
  <si>
    <t>&gt;USL &amp;&lt;LSL</t>
  </si>
  <si>
    <t>&lt;=USL  AND &gt;=LSL  and &lt;&gt; Target</t>
  </si>
  <si>
    <t>equal to Target</t>
  </si>
  <si>
    <t>Effort Varinace,Velocity</t>
  </si>
  <si>
    <t>Within the Limits</t>
  </si>
  <si>
    <t xml:space="preserve">&lt;=USL  AND &gt;=LSL  </t>
  </si>
  <si>
    <t>Coding Delivery Rate, All Delivery Rates,Internal Defect Metrics</t>
  </si>
  <si>
    <t>Target= Baseline value</t>
  </si>
  <si>
    <t>Measure</t>
  </si>
  <si>
    <t>Metric(s)</t>
  </si>
  <si>
    <t>Actual Cost(Actual Cost for Work completed)</t>
  </si>
  <si>
    <t>Actual Effort for the Work till date</t>
  </si>
  <si>
    <t>Actual Number of sprints completed</t>
  </si>
  <si>
    <t>Actual or Expected Direct Human Resource cost</t>
  </si>
  <si>
    <t>Actual or Expected Effort</t>
  </si>
  <si>
    <t>Actual or Expected Effort saving through Re-use</t>
  </si>
  <si>
    <t>Reuse Saving</t>
  </si>
  <si>
    <t>Actual or Expected Revenue</t>
  </si>
  <si>
    <t>Amount of time available</t>
  </si>
  <si>
    <t>Amount of time committed for as per agreement</t>
  </si>
  <si>
    <t>Average Elapsed time from pick up to completion &amp; delivery to client</t>
  </si>
  <si>
    <t>Average Elapsed time from request to completion &amp; delivery to client</t>
  </si>
  <si>
    <t>Average Number of resources in the project or account</t>
  </si>
  <si>
    <t>Band Category</t>
  </si>
  <si>
    <t>Band wise Resource Count</t>
  </si>
  <si>
    <t>Burned Down Effort</t>
  </si>
  <si>
    <t>Competency Category: DomainActual Competency Level</t>
  </si>
  <si>
    <t>Competency Category: TechnicalCompetency Need: CurrentActual Competency Level</t>
  </si>
  <si>
    <t>Competency Category: TechnicalCompetency Need: FutureActual Competency Level</t>
  </si>
  <si>
    <t>Competency Name</t>
  </si>
  <si>
    <t>Conditions that have been evaluated to 'false' at least once</t>
  </si>
  <si>
    <t>Conditions that have been evaluated to 'true' at least once</t>
  </si>
  <si>
    <t>Cost of Resources at each Band</t>
  </si>
  <si>
    <t>Count of defects  reported from internal reviews and testing of Severity S1</t>
  </si>
  <si>
    <t>Count of defects  reported from internal reviews and testing of Severity S2</t>
  </si>
  <si>
    <t>Count of defects  reported from internal reviews and testing of Severity S3</t>
  </si>
  <si>
    <t>Count of defects  reported from internal reviews and testing of Severity S4</t>
  </si>
  <si>
    <t>Count of leaked defects  to customer of Severity S1</t>
  </si>
  <si>
    <t>Delivered Defect Density,Delivered Defect Rate</t>
  </si>
  <si>
    <t>Count of leaked defects  to customer of Severity S2</t>
  </si>
  <si>
    <t>Count of leaked defects  to customer of Severity S3</t>
  </si>
  <si>
    <t>Count of leaked defects  to customer of Severity S4</t>
  </si>
  <si>
    <t>Count of Review defects of Severity S1</t>
  </si>
  <si>
    <t>Count of Review defects of Severity S2</t>
  </si>
  <si>
    <t>Count of Review defects of Severity S3</t>
  </si>
  <si>
    <t>Count of Review defects of Severity S4</t>
  </si>
  <si>
    <t>Count of Testing defects of Severity S1</t>
  </si>
  <si>
    <t>Testing Defect Density,Testing Defect Rate</t>
  </si>
  <si>
    <t>Count of Testing defects of Severity S2</t>
  </si>
  <si>
    <t>Count of Testing defects of Severity S3</t>
  </si>
  <si>
    <t>Count of Testing defects of Severity S4</t>
  </si>
  <si>
    <t>CTesting Effort</t>
  </si>
  <si>
    <t>Cumulative Number of Features planned at the same point of time</t>
  </si>
  <si>
    <t>Cumulative Number of Running Tested Features at any given point of time</t>
  </si>
  <si>
    <t>Customer management effort taken over by Sonata per period</t>
  </si>
  <si>
    <t>Earned Value(Budgeted Cost for Work completed)</t>
  </si>
  <si>
    <t>Effort billed to customer</t>
  </si>
  <si>
    <t>Effort billed to customer towards Change Requests</t>
  </si>
  <si>
    <t>Effort from Backup resources</t>
  </si>
  <si>
    <t>Effort initially spent by customer to manage Sonata’s work per period</t>
  </si>
  <si>
    <t>Effort spent for all type of  Maintenance tickets</t>
  </si>
  <si>
    <t>Effort spent for Code Review</t>
  </si>
  <si>
    <t>Effort spent for Coding</t>
  </si>
  <si>
    <t>Effort spent for Design</t>
  </si>
  <si>
    <t>Effort spent for implementing Change RequestsUoM for Effort</t>
  </si>
  <si>
    <t>Effort spent for Requirements Analysis</t>
  </si>
  <si>
    <t>Effort Spent for Test Design</t>
  </si>
  <si>
    <t>Effort Spent for Test Execution</t>
  </si>
  <si>
    <t>Effort spent for tickets of type Bug Fix</t>
  </si>
  <si>
    <t>Effort spent for tickets of type Change Request</t>
  </si>
  <si>
    <t>Effort spent for ticketsof type Service Request</t>
  </si>
  <si>
    <t>Effort spent in resolving those tickets of type Bug Fix</t>
  </si>
  <si>
    <t>Effort spent in resolving those tickets of type Change Request</t>
  </si>
  <si>
    <t>Effort spent in resolving those tickets of type Enhancements</t>
  </si>
  <si>
    <t>Effort spent in resolving those tickets of type Service Request</t>
  </si>
  <si>
    <t>Effort spent on Code or Script Reviews</t>
  </si>
  <si>
    <t>Effort spentfor tickets of type Enhancements</t>
  </si>
  <si>
    <t>Effort to fix all Code SmellsUoM for Effort</t>
  </si>
  <si>
    <t>Effort towards Holidays &amp; Leaves</t>
  </si>
  <si>
    <t>Elapsed duration in Calender Months</t>
  </si>
  <si>
    <t>Elapsed Time in Days from Release Start date to till the completion of milestone of interest</t>
  </si>
  <si>
    <t>Engineering Effort spent for delivering the Story Points</t>
  </si>
  <si>
    <t>Engineering Effort for the Component</t>
  </si>
  <si>
    <t>Estimated or Actual Effort due to approved Change Requests</t>
  </si>
  <si>
    <t>Story Delivery Rate,Productivity,Unit Test Coverage,Testing Defect Density,Delivered Defect Density,Cost of Delivery</t>
  </si>
  <si>
    <t>Estimated or Actual Size expressed as "100 Units of Size"</t>
  </si>
  <si>
    <t>Estimated or Actual SizeUoM for Effort</t>
  </si>
  <si>
    <t>Estimated or Planned Effort in Person-days</t>
  </si>
  <si>
    <t>Expected number of sprints required for delivering remaining Release Scope</t>
  </si>
  <si>
    <t>Handling Time</t>
  </si>
  <si>
    <t>Hour</t>
  </si>
  <si>
    <t>Ideal Burn Down Effort</t>
  </si>
  <si>
    <t>Ideal Story Points burnup</t>
  </si>
  <si>
    <t>Items could be tickets or tasks or feature or components</t>
  </si>
  <si>
    <t>KLOC</t>
  </si>
  <si>
    <t>Lines of Code</t>
  </si>
  <si>
    <t>Lines to cover</t>
  </si>
  <si>
    <t>Minute</t>
  </si>
  <si>
    <t>No of Incidents not meeting SLA</t>
  </si>
  <si>
    <t>No of Test Scenarios or Spec rejected due to invalid defects</t>
  </si>
  <si>
    <t>Nonbillable Effort spent for delivery</t>
  </si>
  <si>
    <t>Number of automated Test script rejections</t>
  </si>
  <si>
    <t>Number of Calls handled</t>
  </si>
  <si>
    <t>Number of Calls offered</t>
  </si>
  <si>
    <t>Number of certified reusable assets by Competency team or Architect or Tech. Lead</t>
  </si>
  <si>
    <t>Number of clicks to access any screen or functionality or information in the system</t>
  </si>
  <si>
    <t>Number of Code Smells</t>
  </si>
  <si>
    <t>Number of defects reported by customer or business</t>
  </si>
  <si>
    <t>Number of defects reported from testing</t>
  </si>
  <si>
    <t>Number of disconnected parts of the flow graph</t>
  </si>
  <si>
    <t>Number of edges (transfers of control)</t>
  </si>
  <si>
    <t>Number of Functional Specifications(FS) Covered by test cases</t>
  </si>
  <si>
    <t>Number of items delivered to the customer</t>
  </si>
  <si>
    <t>Number of nodes (sequential group of statements containing only one transfer of control)</t>
  </si>
  <si>
    <t>Number of Operands</t>
  </si>
  <si>
    <t>Number of Operators</t>
  </si>
  <si>
    <t>Number of P1 tickets responded</t>
  </si>
  <si>
    <t>Number of P1 tickets responded within SLA</t>
  </si>
  <si>
    <t>Number of P2 tickets responded</t>
  </si>
  <si>
    <t>Number of P2 tickets responded within SLA</t>
  </si>
  <si>
    <t>Number of P3 tickets responded</t>
  </si>
  <si>
    <t>Number of P3 tickets responded within SLA</t>
  </si>
  <si>
    <t>Number of P4 tickets responded</t>
  </si>
  <si>
    <t>Number of P4 tickets responded within SLA</t>
  </si>
  <si>
    <t>Number of people at that competency level</t>
  </si>
  <si>
    <t>Number of people expected at Target competency level</t>
  </si>
  <si>
    <t>Number of Productive Hrs Per Day</t>
  </si>
  <si>
    <t>Number of requests completed ontime for activation or deactivation during a period</t>
  </si>
  <si>
    <t>Number of Requirements changed(Added or Modified or Removed) after work start</t>
  </si>
  <si>
    <t>Number of resolved Maintenance tickets of type Bug Fix</t>
  </si>
  <si>
    <t>Number of resolved Maintenance tickets of type Change Request</t>
  </si>
  <si>
    <t>Number of resolved Maintenance tickets of type Enhancements</t>
  </si>
  <si>
    <t>Number of resolved Maintenance tickets of type Service Request</t>
  </si>
  <si>
    <t>Number of resource profiles qualfied internally for the same position</t>
  </si>
  <si>
    <t xml:space="preserve">Number of resource profiles received for the same position </t>
  </si>
  <si>
    <t>Number of resources fulfilled as per Staffing Plan or SLA</t>
  </si>
  <si>
    <t>Number of resources fulfilled during a time period</t>
  </si>
  <si>
    <t>Number of resources not fulfilled as on date</t>
  </si>
  <si>
    <t>Number of resources quit in current month</t>
  </si>
  <si>
    <t>Number of resources rejected by customer for a position</t>
  </si>
  <si>
    <t>Number of resources rejected internally for a position</t>
  </si>
  <si>
    <t>Number of resources requests raised</t>
  </si>
  <si>
    <t>Number of resources required as per staffing plan or SLA</t>
  </si>
  <si>
    <t>Number of screens in the application</t>
  </si>
  <si>
    <t>Number of screens met the Response Time Target</t>
  </si>
  <si>
    <t>Number of screens or functionality or information in the System accessed within Target Number of ClicksTotal Number of screens or functionality or information in the System</t>
  </si>
  <si>
    <t>Number of Security Vulnerabilities as per applicable OWASP Requirements</t>
  </si>
  <si>
    <t>Number of Security Vulnerabilities complied by the system as per applicable OWASP Requirements</t>
  </si>
  <si>
    <t>Number of Sprints planned for delivering the commited release scope</t>
  </si>
  <si>
    <t>Number of Story Points completed till current sprint</t>
  </si>
  <si>
    <t>Number of Test Cases</t>
  </si>
  <si>
    <t>Number of test cases automated</t>
  </si>
  <si>
    <t>Number of test cases executed</t>
  </si>
  <si>
    <t>Number of Test Cases passed first time</t>
  </si>
  <si>
    <t>Number of tickets closed in a month</t>
  </si>
  <si>
    <t>Number of tickets in a time period</t>
  </si>
  <si>
    <t>Number of tickets reported in a month</t>
  </si>
  <si>
    <t>Number of tickets resolved</t>
  </si>
  <si>
    <t>Number of tickets resolved by Priority</t>
  </si>
  <si>
    <t>Number of tickets resolved right first time</t>
  </si>
  <si>
    <t>Number of tickets resolved within SLA by Priority</t>
  </si>
  <si>
    <t>Number of transactions handled</t>
  </si>
  <si>
    <t>Number of Unique Operands</t>
  </si>
  <si>
    <t>Number of Unique Operators</t>
  </si>
  <si>
    <t>Number of valid defects reported by testing team</t>
  </si>
  <si>
    <t xml:space="preserve">Number of WIP(Work In Progress) items </t>
  </si>
  <si>
    <t xml:space="preserve">or The sum of story points finished (Done) in a given time period </t>
  </si>
  <si>
    <t>Other Direct Cost</t>
  </si>
  <si>
    <t>Planned Effort</t>
  </si>
  <si>
    <t>Effort Variance,Reuse Saving</t>
  </si>
  <si>
    <t>Planned Engineering Effort for the Componnentt</t>
  </si>
  <si>
    <t>Planned Engineering Effort for the Work Product</t>
  </si>
  <si>
    <t>Planned Value(Budgeted Cost for Work Scheduled)</t>
  </si>
  <si>
    <t>Proportion of project's code or test script that is reviewed</t>
  </si>
  <si>
    <t>Proportion of project's code that is unit tested</t>
  </si>
  <si>
    <t>Unit Test Coverage</t>
  </si>
  <si>
    <t>Remaining Effort against Total Planned Effort</t>
  </si>
  <si>
    <t>Remaining Effort for completing the pending work</t>
  </si>
  <si>
    <t>Remaining Story Points for the Release</t>
  </si>
  <si>
    <t>Response Time Target</t>
  </si>
  <si>
    <t>Review Effort</t>
  </si>
  <si>
    <t>Rework Effort (Refers to effort spent towards Defect Fixes after Reviews and Testing both internally and externally</t>
  </si>
  <si>
    <t>Size of reusable assets used in the project</t>
  </si>
  <si>
    <t>Story Points for User Stories committed for the sprint</t>
  </si>
  <si>
    <t>Story Points for User Stories delivered and accepted by Product Owner in a sprint</t>
  </si>
  <si>
    <t>Sum of Elapsed time between the time the ticket is assigned and first responded for all tickets in a time period</t>
  </si>
  <si>
    <t>Sum of Elapsed time between the time the ticket is assigned and resolved for all tickets in a time period</t>
  </si>
  <si>
    <t>Target Competency level for that competency</t>
  </si>
  <si>
    <t>Target Number of Clicks</t>
  </si>
  <si>
    <t>The count of work items finished</t>
  </si>
  <si>
    <t>The sum of the story points for WIP(Work In Progress) items</t>
  </si>
  <si>
    <t>Total Actual Project Execution Effort or Total Projected Project Execution</t>
  </si>
  <si>
    <t>Total Capacity of team including backup resources</t>
  </si>
  <si>
    <t>Total cost  for the delivered work or product</t>
  </si>
  <si>
    <t>Total cost towards Advertising, Recruitment, Agency fees, Relocation and other operation costs during a time period</t>
  </si>
  <si>
    <t>Total Effort</t>
  </si>
  <si>
    <t>Total Effort in Person months</t>
  </si>
  <si>
    <t>Total Elapsed Time for till the milestone of interest</t>
  </si>
  <si>
    <t>Total Engineering Effort UoM for Effort</t>
  </si>
  <si>
    <t>Total No of Incidents</t>
  </si>
  <si>
    <t>Total number of  automated Test Scripts</t>
  </si>
  <si>
    <t>Total number of automatable test cases</t>
  </si>
  <si>
    <t>Total number of executable lines</t>
  </si>
  <si>
    <t>Total number of Functional Specifications(FS)</t>
  </si>
  <si>
    <t>Total number of items committed</t>
  </si>
  <si>
    <t>Total Number of requests raised for activation or deactivation during the period</t>
  </si>
  <si>
    <t>Total Number of Requirements</t>
  </si>
  <si>
    <t>Total number of reusable assets available for use</t>
  </si>
  <si>
    <t>Total number of Test cases planned for execution</t>
  </si>
  <si>
    <t>Total number of Test Scenarios or Specs</t>
  </si>
  <si>
    <t>Total number of testing defects</t>
  </si>
  <si>
    <t>Total Projected Project Execution</t>
  </si>
  <si>
    <t>Total Story Points for the Release</t>
  </si>
  <si>
    <t>Training Effort</t>
  </si>
  <si>
    <t>Ttotal number of conditions</t>
  </si>
  <si>
    <t>Uncovered lines</t>
  </si>
  <si>
    <t>Unit of Size</t>
  </si>
  <si>
    <t>UoM for Currency</t>
  </si>
  <si>
    <t>UoM for Currency:Estimated or Actual Size</t>
  </si>
  <si>
    <t>UoM for Effort</t>
  </si>
  <si>
    <t>UoM for Time</t>
  </si>
  <si>
    <t>UoM for Time (Second</t>
  </si>
  <si>
    <t>Weightage for Competency Level</t>
  </si>
  <si>
    <t>Weightage of Severity S1 Defects</t>
  </si>
  <si>
    <t>Testing Defect Density,Testing Defect Rate,Delivered Defect Density,Delivered Defect Rate</t>
  </si>
  <si>
    <t>Weightage of Severity S2 Defects</t>
  </si>
  <si>
    <t>Weightage of Severity S3 Defects</t>
  </si>
  <si>
    <t>Weightage of Severity S4 Defects</t>
  </si>
  <si>
    <t>Estimation Method</t>
  </si>
  <si>
    <t>ComplianceDirective</t>
  </si>
  <si>
    <t>Defect Leakage  %</t>
  </si>
  <si>
    <t>Revenue per employee</t>
  </si>
  <si>
    <t>Average Resource Cost</t>
  </si>
  <si>
    <t>Test Design Review Delivery Rate</t>
  </si>
  <si>
    <t>(All)</t>
  </si>
  <si>
    <t>Row Labels</t>
  </si>
  <si>
    <t xml:space="preserve"> Actual Value</t>
  </si>
  <si>
    <t xml:space="preserve"> USL</t>
  </si>
  <si>
    <t xml:space="preserve"> LSL</t>
  </si>
  <si>
    <t xml:space="preserve"> Target</t>
  </si>
  <si>
    <t>Grand Total</t>
  </si>
  <si>
    <t>Computation Type</t>
  </si>
  <si>
    <t>Changed</t>
  </si>
  <si>
    <t>Metrics Adaption Status</t>
  </si>
  <si>
    <t>Metric Tailored</t>
  </si>
  <si>
    <t>Reason for Tailoring</t>
  </si>
  <si>
    <t>((Actual or Expected Revenue - Actual or Expected Direct Human Resource cost+Other Direct Cost)/Actual or Expected Revenue)*100</t>
  </si>
  <si>
    <t>Fresh Development,Testing,Infrastructure Management Services,Re-Engineering,Migration,Package Rollout,Package implementation,Production Support,Application Build,Helpdesk Services,Upgrade,Professional Services,Maintenance &amp; Support</t>
  </si>
  <si>
    <t>SonataOne Whizible, D365, MIS Report</t>
  </si>
  <si>
    <t>All Projects</t>
  </si>
  <si>
    <t>Y</t>
  </si>
  <si>
    <t>Standard</t>
  </si>
  <si>
    <t>Total Revenue /Total Number of resources</t>
  </si>
  <si>
    <t>Total Cost /Total Number of resources</t>
  </si>
  <si>
    <t>(Effort billed to customer+Nonbillable Effort spent for delivery+Training Effort+Effort from Backup resources)/ (Total Capacity of team including backup resources - Effort towards Holidays and Leaves)*100</t>
  </si>
  <si>
    <t>SonataOne Whizible, Time Tracking System</t>
  </si>
  <si>
    <t xml:space="preserve">Process Health Index by Del-Ex </t>
  </si>
  <si>
    <t>Fresh Development,Testing,Re-Engineering,Migration,Package Rollout,Package implementation,Production Support,Application Build,Helpdesk Services,Upgrade,Professional Services,Maintenance &amp; Support</t>
  </si>
  <si>
    <t>Mandatory for FP Projects &amp; T&amp;M with cap projects</t>
  </si>
  <si>
    <t>((Actual End Date - Planned End Date) / (Planned End Date- Planned Start Date)) *100</t>
  </si>
  <si>
    <t xml:space="preserve">Total Weighted Defects Leaked to Customer /Delivered and Accepted Size
</t>
  </si>
  <si>
    <t>Fresh Development,Re-Engineering,Migration,Custom Enhancements,Package implementation,Upgrade,Maintenance &amp; Support</t>
  </si>
  <si>
    <t>Azure Devops,JIRA or Any Defect Tracking System, Size Estimation Sheets</t>
  </si>
  <si>
    <t>On completion of customer or User acceptance testing and at Retrospective point</t>
  </si>
  <si>
    <t xml:space="preserve">(Total Weighted Defects Leaked to Customer +Total Weighted defects from Internal testing)/Delivered and Accepted Size
</t>
  </si>
  <si>
    <t>Fresh Development,Re-Engineering,Migration,Custom Enhancements,Package implementation,Upgrade</t>
  </si>
  <si>
    <t xml:space="preserve">Number of transactions handled/Handling Time
</t>
  </si>
  <si>
    <t>Fresh Development,Testing,Re-Engineering,Migration,Custom Enhancements,Package implementation,Upgrade,Maintenance &amp; Support</t>
  </si>
  <si>
    <t>Fresh Development,Maintenance &amp; Support,Testing,Infrastructure Management Services,Re-Engineering,Migration,Package Rollout,Package implementation,Production Support,Application Build,Helpdesk Services,Upgrade,Professional Services</t>
  </si>
  <si>
    <t>Fresh Development,Maintenance &amp; Support,Testing,Re-Engineering,Migration,Custom Enhancements,Package implementation,Upgrade</t>
  </si>
  <si>
    <t xml:space="preserve">Delivered &amp; Accepted Size/Total Actual Effort in Person-day
</t>
  </si>
  <si>
    <t>Fresh Development,Testing,Re-Engineering,Migration,Package implementation,Upgrade,Maintenance &amp; Support</t>
  </si>
  <si>
    <t>Iterative,Incremental,Agile-Scrum,Agile-Kanban,Sure Step,Agile Sure Step,ASAP,Oracle AIM,Waterfall,ITIL based Service Delivery</t>
  </si>
  <si>
    <t xml:space="preserve">Total Actual Effort in Person-hours/Delivered and Accepted Size
</t>
  </si>
  <si>
    <t>Elapsed Time from Release Start date to till the completion of milestone of interest/Delivered and Accepted Size</t>
  </si>
  <si>
    <t>Elapsed Time in Days from Release Start date to till the completion of milestone of interest;
Estimated or Delivered and Accepted Size expressed as "100 Units of Size" (Function Points(FP),Complexity Points(CP), Use Case Points(UCP), Objects; Story Points(SP),Test Steps(TS),Test Units(TU),Design Test Units(DTU),Functional Test Units(FTU), Test Cases(TC),Test Scripts,Number of tickets);</t>
  </si>
  <si>
    <t>(Actual Effort saving through Re-use/Planned Effort)*100</t>
  </si>
  <si>
    <t>N</t>
  </si>
  <si>
    <t>Requirements Change %</t>
  </si>
  <si>
    <r>
      <t xml:space="preserve">Change Impact </t>
    </r>
    <r>
      <rPr>
        <b/>
        <sz val="10"/>
        <color theme="1"/>
        <rFont val="Calibri"/>
        <family val="2"/>
      </rPr>
      <t>%</t>
    </r>
  </si>
  <si>
    <r>
      <rPr>
        <sz val="10"/>
        <color theme="1"/>
        <rFont val="Calibri"/>
        <family val="2"/>
      </rPr>
      <t>Diiferential Effort</t>
    </r>
    <r>
      <rPr>
        <sz val="10"/>
        <rFont val="Calibri"/>
        <family val="2"/>
      </rPr>
      <t xml:space="preserve"> due to approved Change Requests/Planned Effort*100
</t>
    </r>
  </si>
  <si>
    <t>EVM Tracker, SonataOne Whizible, Re-estimation</t>
  </si>
  <si>
    <t>Fresh Development,Re-Engineering,Custom Enhancements,Package implementation,Upgrade,Migration,Maintenance &amp; Support</t>
  </si>
  <si>
    <t>Mandatory for FP Projects and T&amp;M with cap Projects</t>
  </si>
  <si>
    <t>(Effort spent on Code or Script Reviews/Total Engineering Effort ) * 100</t>
  </si>
  <si>
    <t>Remove</t>
  </si>
  <si>
    <t>Total weighted Review defects/Review Effort in Person day</t>
  </si>
  <si>
    <t xml:space="preserve">Total Weighted Defects Leaked to Customer /Effort for Test Execuion
</t>
  </si>
  <si>
    <t>Size of code that is unit tested/Delivered and Accepted Size</t>
  </si>
  <si>
    <t>Fresh Development,Re-Engineering,Custom Enhancements,Package implementation,Maintenance &amp; Support</t>
  </si>
  <si>
    <t>Size of code that is reviewed/Delivered and Accepted Size</t>
  </si>
  <si>
    <t>Number of Test Cases/Size Covered</t>
  </si>
  <si>
    <t>Total weighted Review defects/Total Size reviewed</t>
  </si>
  <si>
    <t xml:space="preserve">Total weighted defects from Testing/Size Tested
</t>
  </si>
  <si>
    <t xml:space="preserve">Effort spent for Requirements Analysis/Total Size 
</t>
  </si>
  <si>
    <t>Fresh Development,Re-Engineering,Custom Enhancements,Package implementation,Upgrade,Migration,Maintenance &amp; Support,Testing</t>
  </si>
  <si>
    <t xml:space="preserve">Effort spent for Design/Total Size
</t>
  </si>
  <si>
    <t xml:space="preserve">Effort spent for Coding/ Total Size;
</t>
  </si>
  <si>
    <t>Code Review Delivery Rate</t>
  </si>
  <si>
    <t xml:space="preserve">Effort spent for Code Review/Total Size
</t>
  </si>
  <si>
    <t>Effort Spent for Test Design/Total Size</t>
  </si>
  <si>
    <r>
      <t>Test Design</t>
    </r>
    <r>
      <rPr>
        <b/>
        <sz val="10"/>
        <color theme="8"/>
        <rFont val="Calibri"/>
        <family val="2"/>
      </rPr>
      <t xml:space="preserve"> </t>
    </r>
    <r>
      <rPr>
        <b/>
        <sz val="10"/>
        <color theme="1"/>
        <rFont val="Calibri"/>
        <family val="2"/>
      </rPr>
      <t>Review Delivery Rate</t>
    </r>
  </si>
  <si>
    <t>Effort Spent for Test Design Review/Total Size</t>
  </si>
  <si>
    <t>Effort Spent for Test Execution/Total Size</t>
  </si>
  <si>
    <t xml:space="preserve">(Delivered and Accepted Size / Size of Items committed) * 100
</t>
  </si>
  <si>
    <t>Release Delay %</t>
  </si>
  <si>
    <t>(Actual Number of sprints completed+Expected number of sprints required for remaining Release Scope-Number of Sprints planned for release scope)/Number of Sprints planned for release scope*100</t>
  </si>
  <si>
    <t>WIP</t>
  </si>
  <si>
    <t xml:space="preserve">The sum of the number of WIP items </t>
  </si>
  <si>
    <t>Fresh Development,Maintenance &amp; Support,Re-Engineering</t>
  </si>
  <si>
    <t xml:space="preserve">The Size of work items completed in a time period 
</t>
  </si>
  <si>
    <t>Cycle Time</t>
  </si>
  <si>
    <r>
      <t xml:space="preserve">Average Elapsed time </t>
    </r>
    <r>
      <rPr>
        <sz val="10"/>
        <color theme="1"/>
        <rFont val="Calibri"/>
        <family val="2"/>
      </rPr>
      <t xml:space="preserve">between request pickup and delivery to client </t>
    </r>
  </si>
  <si>
    <t>SLA Adherance % -  Resolution</t>
  </si>
  <si>
    <t>(# of  tickets resolved within SLA/# of  tickets resolved) *100</t>
  </si>
  <si>
    <t>Maintenance &amp; Support,Infrastructure Management Services,Production Support,Application Build,Helpdesk Services</t>
  </si>
  <si>
    <t>SLA Adherance % - P1 Resolution</t>
  </si>
  <si>
    <t>(# of P1 tickets resolved within SLA/# of P1 tickets resolved) *100</t>
  </si>
  <si>
    <t>SLA Adherance % - P2 Resolution</t>
  </si>
  <si>
    <t>(# of P2 tickets resolved within SLA/# of P2 tickets resolved) *100</t>
  </si>
  <si>
    <r>
      <t>SLA Adherance % - P3</t>
    </r>
    <r>
      <rPr>
        <b/>
        <sz val="10"/>
        <rFont val="Calibri"/>
        <family val="2"/>
      </rPr>
      <t xml:space="preserve"> Resolution</t>
    </r>
  </si>
  <si>
    <t>(# of P3 tickets resolved within SLA/# of P3 tickets resolved) *100</t>
  </si>
  <si>
    <t>SLA Adherance % - P4 Resolution</t>
  </si>
  <si>
    <t>(# of P4 tickets resolved within SLA/# of P4 tickets resolved) *100</t>
  </si>
  <si>
    <t>SLA Adherance % - P5 Resolution</t>
  </si>
  <si>
    <t>(# of P5 tickets resolved within SLA/# of P5 tickets resolved) *100</t>
  </si>
  <si>
    <t>(# of tickets responded within SLA /# of tickets responded) *100</t>
  </si>
  <si>
    <t>SLA Adherance % - P1 Response</t>
  </si>
  <si>
    <t>(# of P1 tickets responded within SLA /# of P1 tickets responded) *100</t>
  </si>
  <si>
    <t>SLA Adherance % - P2 Response</t>
  </si>
  <si>
    <t>(# of P2 tickets responded within SLA /# of P2 tickets responded) *100</t>
  </si>
  <si>
    <t>SLA Adherance % - P3 Response</t>
  </si>
  <si>
    <t>(# of P3 tickets responded within SLA /# of P3 tickets responded) *100</t>
  </si>
  <si>
    <t>SLA Adherance % - P4 Response</t>
  </si>
  <si>
    <t>(# of P4 tickets responded within SLA /# of P4 tickets responded) *100</t>
  </si>
  <si>
    <r>
      <t>SLA Adherance % - P5</t>
    </r>
    <r>
      <rPr>
        <b/>
        <sz val="10"/>
        <rFont val="Calibri"/>
        <family val="2"/>
      </rPr>
      <t xml:space="preserve"> Response</t>
    </r>
  </si>
  <si>
    <t>(# of P5 tickets responded within SLA /# of P5 tickets responded) *100</t>
  </si>
  <si>
    <t>Service Now  or any other Ticket Tracking System</t>
  </si>
  <si>
    <t>Monthly/ Agreed Frequency</t>
  </si>
  <si>
    <t>(# of items completed ontime/# items planned for completion)*100</t>
  </si>
  <si>
    <t>Traditional Maintenance &amp; Support,Waterfall,Iterative,Sure Step,Incremental</t>
  </si>
  <si>
    <t>Average Resolution Time</t>
  </si>
  <si>
    <r>
      <t xml:space="preserve">(Amount of time available /Amount of </t>
    </r>
    <r>
      <rPr>
        <sz val="10"/>
        <color theme="1"/>
        <rFont val="Calibri"/>
        <family val="2"/>
      </rPr>
      <t>uptime</t>
    </r>
    <r>
      <rPr>
        <sz val="10"/>
        <color theme="8"/>
        <rFont val="Calibri"/>
        <family val="2"/>
      </rPr>
      <t xml:space="preserve"> </t>
    </r>
    <r>
      <rPr>
        <sz val="10"/>
        <rFont val="Calibri"/>
        <family val="2"/>
      </rPr>
      <t xml:space="preserve">committed for as per agreement) *100;
</t>
    </r>
  </si>
  <si>
    <t>(Number of Abandoned Calls / Number of Incoming Calls )* 100</t>
  </si>
  <si>
    <t xml:space="preserve">Total Size/Effort spent for Test Design in Person-days
</t>
  </si>
  <si>
    <t xml:space="preserve">Total Size/Effort spent for Test Execution in Person-days
</t>
  </si>
  <si>
    <t>(Number of defects reported by customer or business/(Number of defects reported from testing+Number of defects reported by customer or business))*100</t>
  </si>
  <si>
    <t>Sprint / Release/Test Cycle on completion of User acceptance testing</t>
  </si>
  <si>
    <t>(Number of defects reported from testing/(Number of defects from testing+Number of defects reported by customer or business))*100</t>
  </si>
  <si>
    <t>Regression Incident %</t>
  </si>
  <si>
    <t>(Number of Regression Incidents/Total No of Incidents)*100</t>
  </si>
  <si>
    <t>Fresh Development,Re-Engineering,Custom Enhancements,Package implementation,Production Support,Migration,Maintenance,Upgrade,Infrastructure Management Services</t>
  </si>
  <si>
    <t>% of  unfulfilled Resource Requests</t>
  </si>
  <si>
    <t>(Number of resources rejected by customer for a position/Number of resource profiles qualfied internally for the same position) *100</t>
  </si>
  <si>
    <t>(Number of resources rejected internally for a position/Number of resource profiles received for the same position) *100</t>
  </si>
  <si>
    <t xml:space="preserve">Instructions </t>
  </si>
  <si>
    <t>DON’T's
 Do Not Tamper with grey coloured cells or hidden columns
 Do Not Delete any data from Metric Definition Data sheet 
 Do Not leave blank rows  between any rows with data in KPI Plan</t>
  </si>
  <si>
    <r>
      <rPr>
        <b/>
        <sz val="10"/>
        <rFont val="Arial"/>
        <family val="2"/>
      </rPr>
      <t>KPI PLAN</t>
    </r>
    <r>
      <rPr>
        <sz val="10"/>
        <rFont val="Arial"/>
        <family val="2"/>
      </rPr>
      <t xml:space="preserve">
• This Sheet is used to define the metrics for the project.
Steps to enter Data in KPI Plan
</t>
    </r>
    <r>
      <rPr>
        <b/>
        <sz val="10"/>
        <rFont val="Arial"/>
        <family val="2"/>
      </rPr>
      <t>Step1:</t>
    </r>
    <r>
      <rPr>
        <sz val="10"/>
        <rFont val="Arial"/>
        <family val="2"/>
      </rPr>
      <t xml:space="preserve">
• Prerequisite Data: Project Name,Project Type, Project Category , Delivery Process Model , Engagement Model  &amp; WorkSize unit .Should be selected . Based on the Project Type, Project Category , Delivery Process Model  , the Metric Category and Metric in the dropdown are listed based on these selected values.
• Select Metric Category. On Selection of Metric Category the Metric Dropdown is filled with list of Metrics applicable to the selected Metric Category and the selected Project  Type, Category and Delivery Process Model.
</t>
    </r>
    <r>
      <rPr>
        <b/>
        <sz val="10"/>
        <rFont val="Arial"/>
        <family val="2"/>
      </rPr>
      <t>Step 2:</t>
    </r>
    <r>
      <rPr>
        <sz val="10"/>
        <rFont val="Arial"/>
        <family val="2"/>
      </rPr>
      <t xml:space="preserve">
• Select Metric from the drop down. On selection of the Metric  the cells marked in Grey Colour are prefilled with data from the Metric Definition Sheet.
•The Cells Unit of Measurement, Data Source, Frequency of Analysis and Reporting, Analytic technique though prefilled can be overwritten as applicable to the project operation.
• All Mandatory metrics applicable to the selected Project Type, Category and Delivery Process Model have to be selected .
• The Cell D3  indicates if the Selection of all Mandatory Metrics is completed , if not the cell displays the Metric categories from which mandatory Metrics  is no yet selected
</t>
    </r>
    <r>
      <rPr>
        <b/>
        <sz val="10"/>
        <rFont val="Arial"/>
        <family val="2"/>
      </rPr>
      <t>Step 3:</t>
    </r>
    <r>
      <rPr>
        <sz val="10"/>
        <rFont val="Arial"/>
        <family val="2"/>
      </rPr>
      <t xml:space="preserve">
• Enter the data in all cells marked in white. Column headers having(*) are mandatory to be filled
• The Metric Category and Metric drop down lists the Category and Metrics for the selected Project Type, Project Category  and Delivery Process Model.
• The Cell D4 indicates if the Definition of Metrics is completed if all the mandatory data is provided for all the selected metrics.
• Get All Mandatory Metrics Button will fetch all the mandatory Metrics wrt the selected for Project Type, Project Category and Delivery Process Model. and display in the columns Metric Category and Metric
</t>
    </r>
    <r>
      <rPr>
        <b/>
        <sz val="10"/>
        <rFont val="Arial"/>
        <family val="2"/>
      </rPr>
      <t>Note:</t>
    </r>
    <r>
      <rPr>
        <sz val="10"/>
        <rFont val="Arial"/>
        <family val="2"/>
      </rPr>
      <t xml:space="preserve">
• If there is mismatch of data in the Metric Category and Metric, the cells are highlighted in Red.
To Delete a row in KPI Plan- Click on the Delete Row Button and enter the RowNo's to be deleted. The respective rows will be deleted from the KPI Plan, KPI report and KPI Trend Sheet.</t>
    </r>
  </si>
  <si>
    <r>
      <rPr>
        <b/>
        <sz val="10"/>
        <rFont val="Arial"/>
        <family val="2"/>
      </rPr>
      <t>Enabler Plan:</t>
    </r>
    <r>
      <rPr>
        <sz val="10"/>
        <rFont val="Arial"/>
        <family val="2"/>
      </rPr>
      <t xml:space="preserve">
Instruction for the Enabler Plan is provided in Enabler Plan sheet</t>
    </r>
  </si>
  <si>
    <r>
      <rPr>
        <b/>
        <sz val="10"/>
        <rFont val="Arial"/>
        <family val="2"/>
      </rPr>
      <t>KPI Measures-DataEntry:</t>
    </r>
    <r>
      <rPr>
        <sz val="10"/>
        <rFont val="Arial"/>
        <family val="2"/>
      </rPr>
      <t xml:space="preserve"> 
 • This sheet is used to capture the actual data for the Metrics defined in KPI Plan at the defined frequency.
•"</t>
    </r>
    <r>
      <rPr>
        <b/>
        <sz val="10"/>
        <rFont val="Arial"/>
        <family val="2"/>
      </rPr>
      <t>Get All Measures</t>
    </r>
    <r>
      <rPr>
        <sz val="10"/>
        <rFont val="Arial"/>
        <family val="2"/>
      </rPr>
      <t>" button when clicked will get all the measures for the Metrcis which are defined in KPI Plan. Once all Measures are displayed, the actual values are to be entered and the nameof the Frequency (eg if Frequency is mentioned in KPI Plan as Sprint then Frequency name should be the Sprint Number for which the actual data is being entered , similarly if frequency is mentioned as month then Month name to be given) . Once all the required data is entered click on the Submit button.
•"</t>
    </r>
    <r>
      <rPr>
        <b/>
        <sz val="10"/>
        <rFont val="Arial"/>
        <family val="2"/>
      </rPr>
      <t>Submit Data"</t>
    </r>
    <r>
      <rPr>
        <sz val="10"/>
        <rFont val="Arial"/>
        <family val="2"/>
      </rPr>
      <t xml:space="preserve"> button when clicked will calculate the values of each Metric from the data given agianst each respective measures and will be copied to </t>
    </r>
    <r>
      <rPr>
        <b/>
        <sz val="10"/>
        <rFont val="Arial"/>
        <family val="2"/>
      </rPr>
      <t xml:space="preserve">KPI tracker sheet </t>
    </r>
    <r>
      <rPr>
        <sz val="10"/>
        <rFont val="Arial"/>
        <family val="2"/>
      </rPr>
      <t>where all the Metrics data submitted till date will be displayed.
•"</t>
    </r>
    <r>
      <rPr>
        <b/>
        <sz val="10"/>
        <rFont val="Arial"/>
        <family val="2"/>
      </rPr>
      <t>Clear Data</t>
    </r>
    <r>
      <rPr>
        <sz val="10"/>
        <rFont val="Arial"/>
        <family val="2"/>
      </rPr>
      <t>" button when clicked will clear the data entered in all the white enabled cells for fresh entry of data again.</t>
    </r>
  </si>
  <si>
    <r>
      <rPr>
        <b/>
        <sz val="10"/>
        <rFont val="Arial"/>
        <family val="2"/>
      </rPr>
      <t>Metric Definition Sheet:</t>
    </r>
    <r>
      <rPr>
        <sz val="10"/>
        <rFont val="Arial"/>
        <family val="2"/>
      </rPr>
      <t xml:space="preserve"> 
 • This sheet contains all the Metrics defined at org level for different Project Types, Project Category and Delivery Process Model. This is only for view purpose and cannot be edited by the User.
•Metrics are organized by following: Common metrics applicable for all project types, Metrics for each project type such as Development and Major Enhancement, Agile Development, Managed Testing and Maintenance and Support are separately defined.
•For Development Projects, if the Function Point method is not used as a sizing technique, then alternate sizing methods with supporting definition available at project level or ODC level could be used. 
•For Agile Development Projects, the Story Point method or Function Point method should be used as a sizing technique. If they are not used, then alternate sizing methods with supporting definition available at project level or ODC level could be used. 
•"Mandatory" metrics within each project type are compulsory for the respective project type and for any deviation to this metric will need formal waiver and approval from Delivery Manager and DelEx
•"Optional" Metrics fall under the category of desirable metrics as it provides additional insight into project performance
</t>
    </r>
    <r>
      <rPr>
        <b/>
        <sz val="10"/>
        <rFont val="Arial"/>
        <family val="2"/>
      </rPr>
      <t xml:space="preserve">Metric Tailoring: 
Addition of New Metrics can be done for the below cases 
</t>
    </r>
    <r>
      <rPr>
        <sz val="10"/>
        <rFont val="Arial"/>
        <family val="2"/>
      </rPr>
      <t>	Client Mandate- Metric Mandated by Customer
	Formula/ Operational Definition- Change in the Formulae for computation or Operational Definition for Data Element
	Metric Level-Change in the Level of the Metrics which is tracked eg:  Schedule Variance : Project level/Milestone etc
	Metric Name: Change In the Name of the Metric 
In the last row of the Metric Definition the New Metric can be added for the above cases in consulation with CST  team. Metrics Adaption Status, Standard Metric Name on which Tailoring is done  to be selected and Reason for Tailoring has to be mentioned.</t>
    </r>
  </si>
  <si>
    <r>
      <rPr>
        <b/>
        <sz val="10"/>
        <rFont val="Arial"/>
        <family val="2"/>
      </rPr>
      <t xml:space="preserve">Objectives Flow Diagram Sheet: 
Show Objective Flow Diagram Button : </t>
    </r>
    <r>
      <rPr>
        <sz val="10"/>
        <rFont val="Arial"/>
        <family val="2"/>
      </rPr>
      <t>When clicked will update the Objective Flow diagram with data entered in KPI Plan. Objectives Flow down is mapped from Business objectives----Process Objectives-----Sub Process Objectives.</t>
    </r>
    <r>
      <rPr>
        <b/>
        <sz val="10"/>
        <rFont val="Arial"/>
        <family val="2"/>
      </rPr>
      <t xml:space="preserve">
Note: Boxes with Objectives where no metrics are defined and Empty Boxes have to be Deleted Manually
 </t>
    </r>
  </si>
  <si>
    <t>[Project Acronym]</t>
  </si>
  <si>
    <t>[Customer Name]</t>
  </si>
  <si>
    <t>Document Version Information</t>
  </si>
  <si>
    <t>Project Name:</t>
  </si>
  <si>
    <t>Project ID:</t>
  </si>
  <si>
    <t>Document Title :</t>
  </si>
  <si>
    <t>Document Issue No:</t>
  </si>
  <si>
    <t>Project Manager:</t>
  </si>
  <si>
    <t>Document Issue Date:</t>
  </si>
  <si>
    <t>Prepared By:</t>
  </si>
  <si>
    <t>Preparation Date:</t>
  </si>
  <si>
    <t>Reviewed By:</t>
  </si>
  <si>
    <t>Review Date:</t>
  </si>
  <si>
    <t>Document Version History</t>
  </si>
  <si>
    <t>Issue ID</t>
  </si>
  <si>
    <t>Issue Date</t>
  </si>
  <si>
    <t>Prepared By</t>
  </si>
  <si>
    <t>Reviewed By</t>
  </si>
  <si>
    <t>Description</t>
  </si>
  <si>
    <t>NSeqNo</t>
  </si>
  <si>
    <t>Noperator</t>
  </si>
  <si>
    <t>DSeqNo</t>
  </si>
  <si>
    <t>Doperator</t>
  </si>
  <si>
    <t>Count Measure</t>
  </si>
  <si>
    <t>Formula</t>
  </si>
  <si>
    <t>+</t>
  </si>
  <si>
    <t>-</t>
  </si>
  <si>
    <t>Actual End Date</t>
  </si>
  <si>
    <t>Date</t>
  </si>
  <si>
    <t>Total Weighted Defects Leaked to Customer</t>
  </si>
  <si>
    <t>Delivered and Accepted Size</t>
  </si>
  <si>
    <t>Total Weighted defects from Internal testing</t>
  </si>
  <si>
    <t>Total Actual Effort in Person day</t>
  </si>
  <si>
    <t>Total Actual Effort in Person-hours</t>
  </si>
  <si>
    <t>Rework Effort</t>
  </si>
  <si>
    <t>Actual Effort saving through Re-use</t>
  </si>
  <si>
    <t>Number of Requirements changed after work start</t>
  </si>
  <si>
    <t>Change Impact %</t>
  </si>
  <si>
    <t xml:space="preserve">Estimated or Actual Effort due to approved Change Requests/Planned Effort*100
</t>
  </si>
  <si>
    <t>Earned Value</t>
  </si>
  <si>
    <t>Planned Value</t>
  </si>
  <si>
    <t>Actual Cost</t>
  </si>
  <si>
    <t>Effort spent for implementing Change Requests</t>
  </si>
  <si>
    <t>Total Engineering Effort</t>
  </si>
  <si>
    <t>Total weighted Review defects</t>
  </si>
  <si>
    <t>Review Effort in Person day</t>
  </si>
  <si>
    <t>Effort for Test Execuion</t>
  </si>
  <si>
    <t>Size of code that is unit tested</t>
  </si>
  <si>
    <t>Size of code that is reviewed</t>
  </si>
  <si>
    <t>Size Covered</t>
  </si>
  <si>
    <t>Total Size reviewed</t>
  </si>
  <si>
    <t>Total weighted defects from Testing</t>
  </si>
  <si>
    <t>Size Tested</t>
  </si>
  <si>
    <t>Total Size</t>
  </si>
  <si>
    <t>Effort Spent for Test Design Review</t>
  </si>
  <si>
    <t>Size of Items committed</t>
  </si>
  <si>
    <t>Number of Sprints planned for release scope</t>
  </si>
  <si>
    <t>Number of Sprints planned for release scope/(Actual Number of sprints completed+Expected number of sprints required for remaining Release Scope)*100</t>
  </si>
  <si>
    <t>Expected number of sprints required for remaining Release Scope</t>
  </si>
  <si>
    <t>The sum of the number of WIP items</t>
  </si>
  <si>
    <t>Average Elapsed time from the moment when the request was picked up the team from the board to when all work on this item is completed</t>
  </si>
  <si>
    <t># of P1 tickets resolved within SLA</t>
  </si>
  <si>
    <t># of P1 tickets resolved</t>
  </si>
  <si>
    <t># of P2 tickets resolved within SLA</t>
  </si>
  <si>
    <t># of P2 tickets resolved</t>
  </si>
  <si>
    <t>SLA Adherance % - P3 Resolution</t>
  </si>
  <si>
    <t># of P3 tickets resolved within SLA</t>
  </si>
  <si>
    <t># of P3 tickets resolved</t>
  </si>
  <si>
    <t># of P4 tickets resolved within SLA</t>
  </si>
  <si>
    <t># of P4 tickets resolved</t>
  </si>
  <si>
    <t># of P5 tickets resolved within SLA</t>
  </si>
  <si>
    <t># of P5 tickets resolved</t>
  </si>
  <si>
    <t># of P1 tickets responded within SLA</t>
  </si>
  <si>
    <t># of P1 tickets responded</t>
  </si>
  <si>
    <t># of P2 tickets responded within SLA</t>
  </si>
  <si>
    <t># of P2 tickets responded</t>
  </si>
  <si>
    <t># of P3 tickets responded within SLA</t>
  </si>
  <si>
    <t># of P3 tickets responded</t>
  </si>
  <si>
    <t># of P4 tickets responded within SLA</t>
  </si>
  <si>
    <t># of P4 tickets responded</t>
  </si>
  <si>
    <t>SLA Adherance % - P5 Response</t>
  </si>
  <si>
    <t># of P5 tickets responded within SLA</t>
  </si>
  <si>
    <t># of P5 tickets responded</t>
  </si>
  <si>
    <t># of tickets resolved right first time</t>
  </si>
  <si>
    <t># of tickets resolved</t>
  </si>
  <si>
    <t># of items completed ontime</t>
  </si>
  <si>
    <t># items planned for completion</t>
  </si>
  <si>
    <t>Average Elapsed time between the time the ticket is assigned and resolved with a first response in a time period</t>
  </si>
  <si>
    <t xml:space="preserve">(Amount of time available /Amount of time committed for as per agreement) *100;
</t>
  </si>
  <si>
    <t>Number of Abandoned Calls</t>
  </si>
  <si>
    <t>Number of Incoming Calls</t>
  </si>
  <si>
    <t>Effort spent for Test Design in Person-days</t>
  </si>
  <si>
    <t>Effort spent for Test Execution in Person-days</t>
  </si>
  <si>
    <t>Number of test cases executed in a build or cycle</t>
  </si>
  <si>
    <t>Total no of automated Test Scripts</t>
  </si>
  <si>
    <t>Number of resource profiles received for the same position</t>
  </si>
  <si>
    <t>Number of Regression Incidents</t>
  </si>
  <si>
    <t>SLA Adherance % -  Resolution for Incidents</t>
  </si>
  <si>
    <t># of Incident tickets resolved within SLA</t>
  </si>
  <si>
    <t>(# of Incident tickets resolved within SLA/# of Incident tickets resolved) *100</t>
  </si>
  <si>
    <t># of Incident tickets resolved</t>
  </si>
  <si>
    <t>SLA Adherance % -  Resolution for Enhancements</t>
  </si>
  <si>
    <t># of Enhancement tickets resolved within SLA</t>
  </si>
  <si>
    <t>(# of Enhancement tickets resolved within SLA/# of Enhancement tickets resolved) *100</t>
  </si>
  <si>
    <t># of Enhancement tickets resolved</t>
  </si>
  <si>
    <t>SLA Adherance % Resolution for Incidents P2</t>
  </si>
  <si>
    <t># of P2 Incident tickets tickets resolved within SLA</t>
  </si>
  <si>
    <t>(# of P2 Incident tickets resolved within SLA/# of P2 Incident tickets resolved) *100</t>
  </si>
  <si>
    <t># of P2  Incident tickets resolved</t>
  </si>
  <si>
    <t>(# of P2  Incident tickets resolved within SLA/# of P2  Incident tickets resolved) *100</t>
  </si>
  <si>
    <t>SLA Adherance % Resolution for Incidents P3</t>
  </si>
  <si>
    <t># of P3  Incident tickets resolved within SLA</t>
  </si>
  <si>
    <t>(# of P3  Incident tickets resolved within SLA/# of P3  Incident tickets resolved) *100</t>
  </si>
  <si>
    <t># of P3 Incident tickets resolved</t>
  </si>
  <si>
    <t>SLA Adherance % Resolution for Incidents P4</t>
  </si>
  <si>
    <t># of P4 Incident tickets resolved within SLA</t>
  </si>
  <si>
    <t>(# of P4  Incident tickets resolved within SLA/# of P4  Incident tickets resolved) *100</t>
  </si>
  <si>
    <t># of P4 Incident tickets resolved</t>
  </si>
  <si>
    <t>SLA Adherance % Resolution for Enhancements P2</t>
  </si>
  <si>
    <t># of P2 Enhancement tickets tickets resolved within SLA</t>
  </si>
  <si>
    <t>(# of P2 Enhancement tickets resolved within SLA/# of P2 Enhancement tickets resolved) *100</t>
  </si>
  <si>
    <t># of P2  Enhancement tickets resolved</t>
  </si>
  <si>
    <t>(# of P2  Enhancement tickets resolved within SLA/# of P2  Enhancement tickets resolved) *100</t>
  </si>
  <si>
    <t>SLA Adherance % Resolution for Enhancements P3</t>
  </si>
  <si>
    <t># of P3  Enhancement tickets resolved within SLA</t>
  </si>
  <si>
    <t>(# of P3  Enhancement tickets resolved within SLA/# of P3  Enhancement tickets resolved) *100</t>
  </si>
  <si>
    <t># of P3 Enhancement tickets resolved</t>
  </si>
  <si>
    <t>SLA Adherance % Resolution for Enhancements P4</t>
  </si>
  <si>
    <t># of P4 Enhancement tickets resolved within SLA</t>
  </si>
  <si>
    <t>(# of P4  Enhancement tickets resolved within SLA/# of P4  Enhancement tickets resolved) *100</t>
  </si>
  <si>
    <t># of P4 Enhancement tickets resolved</t>
  </si>
  <si>
    <t>First Time Fit  % - Incidents</t>
  </si>
  <si>
    <t># of Incident tickets resolved right first time</t>
  </si>
  <si>
    <t># of Incident tickets resolved right first time/# of Incident tickets resolved *100</t>
  </si>
  <si>
    <t>First Time Fit  % - Enhancements</t>
  </si>
  <si>
    <t># of Enhancement tickets resolved right first time</t>
  </si>
  <si>
    <t># of Enhancement tickets resolved right first time/# of Enhancement tickets resolved *100</t>
  </si>
  <si>
    <r>
      <t xml:space="preserve">[Template Version History </t>
    </r>
    <r>
      <rPr>
        <b/>
        <sz val="10"/>
        <rFont val="Arial"/>
        <family val="2"/>
      </rPr>
      <t>(To be deleted before using the document for the first time)</t>
    </r>
    <r>
      <rPr>
        <b/>
        <sz val="14"/>
        <rFont val="Arial"/>
        <family val="2"/>
      </rPr>
      <t>]</t>
    </r>
  </si>
  <si>
    <t>Sivanantham M</t>
  </si>
  <si>
    <t>Sugavaneswaran S</t>
  </si>
  <si>
    <t>First Baseline</t>
  </si>
  <si>
    <t>Addressed the feedback from QAI implementation review on basis for sub-process selection and sub-process objectives</t>
  </si>
  <si>
    <t>SEPG</t>
  </si>
  <si>
    <t>Revised to add a note on sections that are mandatory and optional based on the size and type of projects. Also addressed SCAMPI A finding related to how quantitative Non-fuctional requirements are managed through sub-process approach of QPM Plan</t>
  </si>
  <si>
    <t>Parvathi V</t>
  </si>
  <si>
    <t>Sugaveneswaran S &amp; Sivanantham M</t>
  </si>
  <si>
    <t>Included sheets for Process Composition and Selection, KPI Report, KPI Trend. Merged the QPM Plan, Sub-process Management &amp; Data Management Plan sheets into a sheet namely KPI Plan</t>
  </si>
  <si>
    <t>Updated to address the pre-appraisal feedback on revising the threshold for selection of sub-process for statistical control . Renamed Process composition&amp;Selection sheet as EnablerPlan. Added comments to most of columns(Columns F to L, O&amp;P in KPI Plan sheet,  and Column C, F, K, Cell P16 &amp;P17 of  EnablerPlan sheet) &amp; Renamed few columns(J, K, P in KPI Plan sheet, Column L of EnablerPlan sheet) for better clarity and communication</t>
  </si>
  <si>
    <t>DelEx Team</t>
  </si>
  <si>
    <t xml:space="preserve">In Enabler Sheet Linked through column  data list has been updated to CAR,Innovation,PPM and None. </t>
  </si>
  <si>
    <t>Included NFR releated metrics in KPI Plan&amp;EnablerPlan-Sample</t>
  </si>
  <si>
    <t>Project Details Sheet, ObjectiveFLowDiagram,MetricsDefinition Sheet Added. KPI Plan sheet modified as per the Metrics definition.</t>
  </si>
  <si>
    <t>Associated Higher Level Metric Column added in KPI Plan Sheet and Weightage for calculation of Selection of Subprocess redefined(Enabler Plan sheet).</t>
  </si>
  <si>
    <t>Delete Button provide for deleting row in KPI Plan, Metrics Defintion Include few Metrics  and Updated with available Targets and Thresholds for some of the metrics</t>
  </si>
  <si>
    <t>CST Team</t>
  </si>
  <si>
    <t xml:space="preserve">Updated Mapping of Business Strategy to Business Goal </t>
  </si>
  <si>
    <t>Revisited the content, no changes done.</t>
  </si>
  <si>
    <t>Included KP-Measures Data Entry,KPI tracker and update KPI Plan sheet, Metrics Tailoring in Metric Definition Sheet</t>
  </si>
  <si>
    <t>CNT</t>
  </si>
  <si>
    <t>Objectives Flow Diagram</t>
  </si>
  <si>
    <t>Metric Type</t>
  </si>
  <si>
    <t>Number of Mandatory Metrics in each Category</t>
  </si>
  <si>
    <t>Operator for Metric Intent</t>
  </si>
  <si>
    <t>Data UoM</t>
  </si>
  <si>
    <t xml:space="preserve">Dependent Data </t>
  </si>
  <si>
    <t>Data Element</t>
  </si>
  <si>
    <t>Data Type</t>
  </si>
  <si>
    <t>Rationale for association with Higher Level Objective/Metric</t>
  </si>
  <si>
    <t>Location</t>
  </si>
  <si>
    <t>Location Type</t>
  </si>
  <si>
    <t>Project Status</t>
  </si>
  <si>
    <t>Service Line</t>
  </si>
  <si>
    <t>Vertical</t>
  </si>
  <si>
    <t xml:space="preserve">Technology </t>
  </si>
  <si>
    <t>Size</t>
  </si>
  <si>
    <t>Do Not Disurb the cells</t>
  </si>
  <si>
    <t>Process Objective Metrics</t>
  </si>
  <si>
    <t>Criteria for subprocess selection, Rating Values and Weightage</t>
  </si>
  <si>
    <t>Number of Mandatory Metrics Selected</t>
  </si>
  <si>
    <t>DistinctMetricCategory</t>
  </si>
  <si>
    <t>KPI Metric</t>
  </si>
  <si>
    <t>Business Strartegy</t>
  </si>
  <si>
    <t>Business Goal</t>
  </si>
  <si>
    <t>Waterfall</t>
  </si>
  <si>
    <t>Fresh Development</t>
  </si>
  <si>
    <t>$-USD</t>
  </si>
  <si>
    <t>Currency</t>
  </si>
  <si>
    <t>Correlation Analysis</t>
  </si>
  <si>
    <t>Weekly</t>
  </si>
  <si>
    <t>Head Office-Banglore</t>
  </si>
  <si>
    <t>Offshore</t>
  </si>
  <si>
    <t>Active</t>
  </si>
  <si>
    <t>Business Intelligence (BI)</t>
  </si>
  <si>
    <t>Distribution/CPG</t>
  </si>
  <si>
    <t>Ab Initio</t>
  </si>
  <si>
    <t>Story Point-SP</t>
  </si>
  <si>
    <t>No</t>
  </si>
  <si>
    <t>Weightage</t>
  </si>
  <si>
    <t>Drive Revenue Growth</t>
  </si>
  <si>
    <t>Achieve Customer Satisfaction target &amp; Improve</t>
  </si>
  <si>
    <t>Fixed Price</t>
  </si>
  <si>
    <t>Maintenance &amp; Support</t>
  </si>
  <si>
    <t>£-GBP</t>
  </si>
  <si>
    <t>Cost</t>
  </si>
  <si>
    <t>Regression Analysis</t>
  </si>
  <si>
    <t>Fornightly</t>
  </si>
  <si>
    <t>Global Village-Bangalore</t>
  </si>
  <si>
    <t>Onsite</t>
  </si>
  <si>
    <t>Completed</t>
  </si>
  <si>
    <t>Cloud (Cloud)</t>
  </si>
  <si>
    <t>ISV</t>
  </si>
  <si>
    <t>ABAP</t>
  </si>
  <si>
    <t>Complexity Points</t>
  </si>
  <si>
    <t>Meet Profitability Target</t>
  </si>
  <si>
    <t>Achieve Gross Margin  target &amp; Improve</t>
  </si>
  <si>
    <t>Incremental</t>
  </si>
  <si>
    <t>Time &amp; Material With Cap</t>
  </si>
  <si>
    <t>Delivery Director &amp; above</t>
  </si>
  <si>
    <t>€-Euro</t>
  </si>
  <si>
    <t>Revenue</t>
  </si>
  <si>
    <t>Logical Relationship</t>
  </si>
  <si>
    <t>Richmond Road-Banglore</t>
  </si>
  <si>
    <t>Both</t>
  </si>
  <si>
    <t>Hold</t>
  </si>
  <si>
    <t>E-Commerce (EC)</t>
  </si>
  <si>
    <t>Retail</t>
  </si>
  <si>
    <t>Actuate</t>
  </si>
  <si>
    <t>Linked through CAR,Innovation,PPM[P]</t>
  </si>
  <si>
    <t>Scope Fullfillment %</t>
  </si>
  <si>
    <t>Ensure Skill Fit &amp; Improve</t>
  </si>
  <si>
    <t>Build Talent &amp; Capabilities</t>
  </si>
  <si>
    <t>=</t>
  </si>
  <si>
    <t>Fixed Capacity</t>
  </si>
  <si>
    <t>Infrastructure Management Services</t>
  </si>
  <si>
    <t>CHF</t>
  </si>
  <si>
    <t>Effort</t>
  </si>
  <si>
    <t>Trend Analysis</t>
  </si>
  <si>
    <t>Hyderabad</t>
  </si>
  <si>
    <t>ERP Oracle EBS (ERP-OEBS)</t>
  </si>
  <si>
    <t>Travel, Transportation and Logistics</t>
  </si>
  <si>
    <t>AJAX</t>
  </si>
  <si>
    <t>Manual Test Units(MTU)</t>
  </si>
  <si>
    <t>High</t>
  </si>
  <si>
    <t>Medium</t>
  </si>
  <si>
    <t>Low</t>
  </si>
  <si>
    <t>Outcome based Fee</t>
  </si>
  <si>
    <t>Re-Engineering</t>
  </si>
  <si>
    <t>₹-INR</t>
  </si>
  <si>
    <t>Number of defects</t>
  </si>
  <si>
    <t>Integer</t>
  </si>
  <si>
    <t>Chi Square Analysis</t>
  </si>
  <si>
    <t>Half Yearly</t>
  </si>
  <si>
    <t>US (IBIS)</t>
  </si>
  <si>
    <t>ERP Others (ERP-Others)</t>
  </si>
  <si>
    <t>Banking and Financial Services</t>
  </si>
  <si>
    <t>ANT</t>
  </si>
  <si>
    <t>Automation Test Units(ATU)</t>
  </si>
  <si>
    <t>Sure Step</t>
  </si>
  <si>
    <t>Custom Enhancements</t>
  </si>
  <si>
    <t>AUD</t>
  </si>
  <si>
    <t>Date and Time</t>
  </si>
  <si>
    <t>Release</t>
  </si>
  <si>
    <t>Sydney</t>
  </si>
  <si>
    <t>ERP SAP (ERP-SAP)</t>
  </si>
  <si>
    <t>Energy, Resources and Utilities</t>
  </si>
  <si>
    <t>Apache Web Server</t>
  </si>
  <si>
    <t>Test Scripts</t>
  </si>
  <si>
    <t>Amenability for repeititive dat and control [C]</t>
  </si>
  <si>
    <t>Agile Sure Step</t>
  </si>
  <si>
    <t>Migration</t>
  </si>
  <si>
    <t>Dirham</t>
  </si>
  <si>
    <t>Number of resources</t>
  </si>
  <si>
    <t>Sprint</t>
  </si>
  <si>
    <t>Singapore</t>
  </si>
  <si>
    <t>Infrastructure Management Services (IMS)</t>
  </si>
  <si>
    <t>Healthcare and Life Sciences</t>
  </si>
  <si>
    <t>AS 400</t>
  </si>
  <si>
    <t>Test Cases-TC</t>
  </si>
  <si>
    <t>ASAP</t>
  </si>
  <si>
    <t>Package Rollout</t>
  </si>
  <si>
    <t>Function Point-FP</t>
  </si>
  <si>
    <t>Elapsed Time</t>
  </si>
  <si>
    <t>Milestone</t>
  </si>
  <si>
    <t>Microsoft ADM (MS-ADM)</t>
  </si>
  <si>
    <t>High Technology</t>
  </si>
  <si>
    <t>ASP</t>
  </si>
  <si>
    <t>Tickets</t>
  </si>
  <si>
    <t>Rule for selecting the appropriate type of process control</t>
  </si>
  <si>
    <t>Oracle AIM</t>
  </si>
  <si>
    <t>Package implementation</t>
  </si>
  <si>
    <t>Compleixity Point-CP</t>
  </si>
  <si>
    <t>Skill Rating</t>
  </si>
  <si>
    <t>Improve System Availability</t>
  </si>
  <si>
    <t>Phase</t>
  </si>
  <si>
    <t>Microsoft Axapta (MS-AX)</t>
  </si>
  <si>
    <t>Telecom</t>
  </si>
  <si>
    <t>ASP Dot Net</t>
  </si>
  <si>
    <t>Person-month</t>
  </si>
  <si>
    <t>ITIL based Service Delivery</t>
  </si>
  <si>
    <t>Production Support</t>
  </si>
  <si>
    <t>Use Case Point-UCP</t>
  </si>
  <si>
    <t>CSAT Rating</t>
  </si>
  <si>
    <t>Project</t>
  </si>
  <si>
    <t>Mobility (MOB)</t>
  </si>
  <si>
    <t>Information, Media and Entertainment</t>
  </si>
  <si>
    <t>Basic</t>
  </si>
  <si>
    <t>Person-day</t>
  </si>
  <si>
    <t>Traditional Maintenance &amp; Support</t>
  </si>
  <si>
    <t>Application Build</t>
  </si>
  <si>
    <t>Object</t>
  </si>
  <si>
    <t>Open Source ADM (OS-ADM)</t>
  </si>
  <si>
    <t>Insurance</t>
  </si>
  <si>
    <t>Person-hour</t>
  </si>
  <si>
    <t>Helpdesk Services</t>
  </si>
  <si>
    <t>Number of incidents</t>
  </si>
  <si>
    <t>Testing (TEST)</t>
  </si>
  <si>
    <t>Manufacturing</t>
  </si>
  <si>
    <t>C Sharp</t>
  </si>
  <si>
    <t>Upgrade</t>
  </si>
  <si>
    <t>Number of requirements</t>
  </si>
  <si>
    <t>Others</t>
  </si>
  <si>
    <t>Cobol</t>
  </si>
  <si>
    <t>Number of tasks</t>
  </si>
  <si>
    <t>COM</t>
  </si>
  <si>
    <t>Number of reusable assets</t>
  </si>
  <si>
    <t>CORBA</t>
  </si>
  <si>
    <t>Number of weighted defects</t>
  </si>
  <si>
    <t>Crystal Reports</t>
  </si>
  <si>
    <t>DB2 UDB 5.0 Database</t>
  </si>
  <si>
    <t>DB2 UDB 7.2 Database</t>
  </si>
  <si>
    <t>DB2 UDB 8.x Database</t>
  </si>
  <si>
    <t>DB2 UDB 9.x Database</t>
  </si>
  <si>
    <t>DCOM</t>
  </si>
  <si>
    <t>Weighted Defects</t>
  </si>
  <si>
    <t>Defect</t>
  </si>
  <si>
    <t>Delphi</t>
  </si>
  <si>
    <t>Un-weighted Defects</t>
  </si>
  <si>
    <t>Documentum</t>
  </si>
  <si>
    <t>Seconds</t>
  </si>
  <si>
    <t>Time</t>
  </si>
  <si>
    <t>Drupal</t>
  </si>
  <si>
    <t>Minutes</t>
  </si>
  <si>
    <t>Enfinity</t>
  </si>
  <si>
    <t>Hours</t>
  </si>
  <si>
    <t>Free Language</t>
  </si>
  <si>
    <t>Google Maps</t>
  </si>
  <si>
    <t>Week</t>
  </si>
  <si>
    <t>HP Business Process Testing software</t>
  </si>
  <si>
    <t>Fortnight</t>
  </si>
  <si>
    <t>HP Functional Testing software</t>
  </si>
  <si>
    <t>Month</t>
  </si>
  <si>
    <t>HP LoadRunner</t>
  </si>
  <si>
    <t>Quarter</t>
  </si>
  <si>
    <t>HP Open View</t>
  </si>
  <si>
    <t>HP Quality Center software</t>
  </si>
  <si>
    <t>HP Quick Test Professional</t>
  </si>
  <si>
    <t>IBM Cognos 8 BI</t>
  </si>
  <si>
    <t>IBM Cognos 8 Business Viewpoint</t>
  </si>
  <si>
    <t>IBM Content Manager</t>
  </si>
  <si>
    <t>IBM Filenet</t>
  </si>
  <si>
    <t>IBM Lotus Domino Administration Client</t>
  </si>
  <si>
    <t>IBM Lotus Domino Designer</t>
  </si>
  <si>
    <t>IBM Lotus Domino Server 5x</t>
  </si>
  <si>
    <t>IBM Lotus Domino Server 7x</t>
  </si>
  <si>
    <t>IBM Lotus Domino Server 8x</t>
  </si>
  <si>
    <t>IBM Lotus Workflow</t>
  </si>
  <si>
    <t>IBM Mainframe</t>
  </si>
  <si>
    <t>IBM MQ Series</t>
  </si>
  <si>
    <t>IBM Tivoli</t>
  </si>
  <si>
    <t>IBM Websphere Application Server</t>
  </si>
  <si>
    <t>IBM Websphere Commerce Server</t>
  </si>
  <si>
    <t>IBM Websphere Portal Server</t>
  </si>
  <si>
    <t>Informatica</t>
  </si>
  <si>
    <t>Intellij IDEA</t>
  </si>
  <si>
    <t>Interbase</t>
  </si>
  <si>
    <t>iPlanet Application Server</t>
  </si>
  <si>
    <t>J2EE</t>
  </si>
  <si>
    <t>JavaScript</t>
  </si>
  <si>
    <t>Jboss Application Server</t>
  </si>
  <si>
    <t>Jbuilder</t>
  </si>
  <si>
    <t>Jscript</t>
  </si>
  <si>
    <t>Linux</t>
  </si>
  <si>
    <t>LotusScript</t>
  </si>
  <si>
    <t>Mac OS X</t>
  </si>
  <si>
    <t>MFGPRO</t>
  </si>
  <si>
    <t>MS ADO Dot Net</t>
  </si>
  <si>
    <t>MS Biztalk Server</t>
  </si>
  <si>
    <t>MS Commerce Server</t>
  </si>
  <si>
    <t>MS Dot Net</t>
  </si>
  <si>
    <t>MS Dynamics AX</t>
  </si>
  <si>
    <t>MS Dynamics CRM</t>
  </si>
  <si>
    <t>MS Dynamics GP</t>
  </si>
  <si>
    <t>MS Dynamics NAV</t>
  </si>
  <si>
    <t>MS Dynamics POS</t>
  </si>
  <si>
    <t>MS Dynamics RMS</t>
  </si>
  <si>
    <t>MS Dynamics SL</t>
  </si>
  <si>
    <t>MS Exchange Server 2003</t>
  </si>
  <si>
    <t>MS Exchange Server 2007</t>
  </si>
  <si>
    <t>MS IIS</t>
  </si>
  <si>
    <t>MS Infopath</t>
  </si>
  <si>
    <t>MS Office Access 2003</t>
  </si>
  <si>
    <t>MS Office Access 2007</t>
  </si>
  <si>
    <t>MS SharePoint Foundation</t>
  </si>
  <si>
    <t>MS Office Sharepoint Server</t>
  </si>
  <si>
    <t>MS SharePoint  2007</t>
  </si>
  <si>
    <t>MS SharePoint  2010</t>
  </si>
  <si>
    <t>MS SharePoint  2010 Enterprise</t>
  </si>
  <si>
    <t>MS SQL Server 2000 Database</t>
  </si>
  <si>
    <t>MS SQL Server 2003 Database</t>
  </si>
  <si>
    <t>MS SQL Server 2005 Database</t>
  </si>
  <si>
    <t>MS SQL Server 2008 Database</t>
  </si>
  <si>
    <t>MS SQL Server Analysis Services</t>
  </si>
  <si>
    <t>MS SQL Server Integration Services</t>
  </si>
  <si>
    <t>MS SQL Server Reporting Services</t>
  </si>
  <si>
    <t>MS Visual Studio</t>
  </si>
  <si>
    <t>MS Windows 2000</t>
  </si>
  <si>
    <t>MS Windows 2003 Client</t>
  </si>
  <si>
    <t>MS Windows 2003 Server</t>
  </si>
  <si>
    <t>MS Windows 2008 Client</t>
  </si>
  <si>
    <t>MS Windows 2008 Server</t>
  </si>
  <si>
    <t>MS Windows NT</t>
  </si>
  <si>
    <t>MS Windows Vista</t>
  </si>
  <si>
    <t>MS Windows XP</t>
  </si>
  <si>
    <t>MySQL</t>
  </si>
  <si>
    <t>Open STA</t>
  </si>
  <si>
    <t>Oracle 10g Database</t>
  </si>
  <si>
    <t>Oracle 11g Database</t>
  </si>
  <si>
    <t>Oracle 8i Database</t>
  </si>
  <si>
    <t>Oracle 9i Database</t>
  </si>
  <si>
    <t>Oracle BI</t>
  </si>
  <si>
    <t>Oracle BI Publisher</t>
  </si>
  <si>
    <t>Oracle CRM On Demand</t>
  </si>
  <si>
    <t>Oracle Discoverer</t>
  </si>
  <si>
    <t>Oracle EBS 11i</t>
  </si>
  <si>
    <t>Oracle EBS 12</t>
  </si>
  <si>
    <t>Oracle Express</t>
  </si>
  <si>
    <t>Oracle Forms 6i</t>
  </si>
  <si>
    <t>Oracle Forms 9i</t>
  </si>
  <si>
    <t>Oracle Fusion Middleware</t>
  </si>
  <si>
    <t>Oracle Hyperion</t>
  </si>
  <si>
    <t>Oracle J D Edwards Enterprise One</t>
  </si>
  <si>
    <t>Oracle J D Edwards World</t>
  </si>
  <si>
    <t>Oracle Jdeveloper</t>
  </si>
  <si>
    <t>Oracle People Soft Enterprise</t>
  </si>
  <si>
    <t>Oracle Portal 11g</t>
  </si>
  <si>
    <t>Oracle Primavera</t>
  </si>
  <si>
    <t>Oracle Reports</t>
  </si>
  <si>
    <t>Oracle Reports 6i</t>
  </si>
  <si>
    <t>Oracle Reports 9i</t>
  </si>
  <si>
    <t>Oracle SCM</t>
  </si>
  <si>
    <t>Oracle SQL Developer</t>
  </si>
  <si>
    <t>Oracle Sun One Application Server</t>
  </si>
  <si>
    <t>Oracle Web Server</t>
  </si>
  <si>
    <t>Oracle WebCenter Suite 11g</t>
  </si>
  <si>
    <t>Oracle Weblogic Server</t>
  </si>
  <si>
    <t>Oracle Workflow</t>
  </si>
  <si>
    <t>Pascal</t>
  </si>
  <si>
    <t>Perl</t>
  </si>
  <si>
    <t>PHP</t>
  </si>
  <si>
    <t>PL/SQL</t>
  </si>
  <si>
    <t>PowerBuilder</t>
  </si>
  <si>
    <t>Progress</t>
  </si>
  <si>
    <t>QlikView</t>
  </si>
  <si>
    <t>Rational robot</t>
  </si>
  <si>
    <t>Rational Test Manager</t>
  </si>
  <si>
    <t>SAP Business Objects BI</t>
  </si>
  <si>
    <t>SAP Business Objects IM</t>
  </si>
  <si>
    <t>SAP CRM</t>
  </si>
  <si>
    <t>SAP ERP</t>
  </si>
  <si>
    <t>SAP NetWeaver</t>
  </si>
  <si>
    <t>SAP SCM</t>
  </si>
  <si>
    <t>SAP SRM</t>
  </si>
  <si>
    <t>SH2 Assembler</t>
  </si>
  <si>
    <t>SilkTest</t>
  </si>
  <si>
    <t>Silverlight</t>
  </si>
  <si>
    <t>SOA</t>
  </si>
  <si>
    <t>Solaris</t>
  </si>
  <si>
    <t>SQL</t>
  </si>
  <si>
    <t>StarTeam</t>
  </si>
  <si>
    <t>Sybase</t>
  </si>
  <si>
    <t>Test Director</t>
  </si>
  <si>
    <t>TIBCO</t>
  </si>
  <si>
    <t>TOAD</t>
  </si>
  <si>
    <t>Tomcat Application Server</t>
  </si>
  <si>
    <t>T-SQL</t>
  </si>
  <si>
    <t>Tuxedo</t>
  </si>
  <si>
    <t>Unix</t>
  </si>
  <si>
    <t>VB</t>
  </si>
  <si>
    <t>VB Dot Net</t>
  </si>
  <si>
    <t>VBScript</t>
  </si>
  <si>
    <t>Veritas Backup S/W</t>
  </si>
  <si>
    <t>Visual C ++</t>
  </si>
  <si>
    <t>VisualCafe</t>
  </si>
  <si>
    <t>VSS</t>
  </si>
  <si>
    <t>Windows Forms &amp; WPF</t>
  </si>
  <si>
    <t>WinRunner</t>
  </si>
  <si>
    <t>XHTML</t>
  </si>
  <si>
    <t>XML</t>
  </si>
  <si>
    <t>XSL</t>
  </si>
  <si>
    <t>XSLT</t>
  </si>
  <si>
    <t>Hybris</t>
  </si>
  <si>
    <t>phonegap</t>
  </si>
  <si>
    <t>halosys</t>
  </si>
  <si>
    <t>Mobility ( Android, IOS)</t>
  </si>
  <si>
    <t>Offbiz</t>
  </si>
  <si>
    <t>Key Performance Indicator(KPI) Plan</t>
  </si>
  <si>
    <t>Measurable Objectives and Key Performance Indicators</t>
  </si>
  <si>
    <t>Data Collection and KPI Analysis Plan</t>
  </si>
  <si>
    <t>Plan for predicting and meeting the Objectives</t>
  </si>
  <si>
    <t>Goal/Objective*</t>
  </si>
  <si>
    <t>Lower Specification Limit</t>
  </si>
  <si>
    <t>Upper Specification Limit</t>
  </si>
  <si>
    <t>To improve profitability</t>
  </si>
  <si>
    <t>Ultra High-1</t>
  </si>
  <si>
    <t>Organization Objective</t>
  </si>
  <si>
    <t>Total Revenue for Completed Month and Total Actual Cost for completed month</t>
  </si>
  <si>
    <t>Orbit MIS Report, TFS</t>
  </si>
  <si>
    <t xml:space="preserve">Run chart </t>
  </si>
  <si>
    <t>None</t>
  </si>
  <si>
    <t xml:space="preserve">To deliver the product in accordance with the planned efforts             </t>
  </si>
  <si>
    <t xml:space="preserve">Effort Variance </t>
  </si>
  <si>
    <t>(Actual or Projected Effort-Planned Effort)/Planned Effort*100</t>
  </si>
  <si>
    <t>Very High-2</t>
  </si>
  <si>
    <t xml:space="preserve">Delivering within budget is second priority for Sonata. Objective set with 15% Strech improvement  from current baseline
 </t>
  </si>
  <si>
    <t>Planned Project Effort-The planned effort for all SDLC Phases, Project Management Phases and Support activities, Actual Project Effort-The effort consumed in all SDLC Phases, Project Management Phases and Support activities</t>
  </si>
  <si>
    <t>Microsoft Schedule, ABTS</t>
  </si>
  <si>
    <t xml:space="preserve">To deliver on time                     </t>
  </si>
  <si>
    <t xml:space="preserve">Actual or Projected End date – Estimated End Date)/ Estimated elapsed calendar days*100
</t>
  </si>
  <si>
    <t>Ontime Delivery is top priority. Objective set with 10% Strech improvement  from current baseline</t>
  </si>
  <si>
    <t>Actual or Projected End date-The actual/planned date on which the final product is signed off or deemed signed off by the customer. Estimated End Date, Estimated Start Date</t>
  </si>
  <si>
    <t>Gaant Chart &amp; Run Chart</t>
  </si>
  <si>
    <t>To achieve higher producitivity</t>
  </si>
  <si>
    <t xml:space="preserve">Project Productivity </t>
  </si>
  <si>
    <t>Projected or Actual Project Size/Projected or Actual Project Effort</t>
  </si>
  <si>
    <t>FP/ Person-day</t>
  </si>
  <si>
    <t>Not applicable</t>
  </si>
  <si>
    <t>Delivering within budget is second priority for Sonata. Values are set based on Organization  Objective</t>
  </si>
  <si>
    <t>Feature Size and Project Size in FP-Project Size counted in FP as per FP Counting Guideline, The effort consumed in all SDLC Phases, Project Management Phases and Support activitie</t>
  </si>
  <si>
    <t>ABTS, Size Estimation Sheet &amp; Actual Size Tracking Sheet</t>
  </si>
  <si>
    <t>On feature/ phase completion for the build</t>
  </si>
  <si>
    <t>Forecast graph from Simulation Model</t>
  </si>
  <si>
    <t xml:space="preserve">ODC1- Simulation Model for Effort Prediction </t>
  </si>
  <si>
    <t>To meet the customer expectation</t>
  </si>
  <si>
    <t>C-Sat</t>
  </si>
  <si>
    <t>Average Customer Rating on a scale of 1 to 5 for questions using standard customer feedback form</t>
  </si>
  <si>
    <t>Index</t>
  </si>
  <si>
    <t>High-3</t>
  </si>
  <si>
    <t>This is aggregate goal dependent on various other goals and given third priority (High-3)
Values are set based on Organization  Objective</t>
  </si>
  <si>
    <t>Parameter-wise CSAT Score</t>
  </si>
  <si>
    <t>C-SAT Survey Reports</t>
  </si>
  <si>
    <t>Once in Six month or on completion of C-SAT Survey</t>
  </si>
  <si>
    <t>Bar Graph</t>
  </si>
  <si>
    <t xml:space="preserve">To deliver a high quality product </t>
  </si>
  <si>
    <t xml:space="preserve">Delivered Defect Density </t>
  </si>
  <si>
    <t>Number of defects reported by customer in Acceptance Testing/Total Project Size</t>
  </si>
  <si>
    <t>Defects/ FP</t>
  </si>
  <si>
    <t>Quality of Delivery is important and is first priority(Ultra High-1) for customer and Sonata
Current baseline performance for LCL is set as Target and Customer defined Objective is set as USL</t>
  </si>
  <si>
    <t>Feature Size and Project Size in FP, Count of Customer reported Defects</t>
  </si>
  <si>
    <t>Bugzilla</t>
  </si>
  <si>
    <t>On completion of Acceptance Testing</t>
  </si>
  <si>
    <t xml:space="preserve">ODC1- Regression Model for Delivered Defect Density Prediction </t>
  </si>
  <si>
    <t xml:space="preserve">Response Time </t>
  </si>
  <si>
    <t>Time taken to load home page and selected main pages</t>
  </si>
  <si>
    <t xml:space="preserve">Response Time is a Critical Product Quality Requirement and is first priority(Ultra High-1)  for customer  Agreed as a part of Software Requirement Specification </t>
  </si>
  <si>
    <t>Enaber</t>
  </si>
  <si>
    <t>Time taken to load home page and selected main pages under specified hardware configurations and estimated volume of user base</t>
  </si>
  <si>
    <t>Performance Test Reports</t>
  </si>
  <si>
    <t>On Project Completion</t>
  </si>
  <si>
    <t xml:space="preserve">Total Defect Density </t>
  </si>
  <si>
    <t>Number of defects reported by across Software Development Lifecycle Phases/Total Project Size</t>
  </si>
  <si>
    <t>This is aggregate goal dependent on various other goals and given third priority (High-3)
Objective set with 20% strech improvement from UCL of current baseline</t>
  </si>
  <si>
    <t xml:space="preserve">Feature Size and Project Size in FP, Count of Internal Defects from Reviews,
Count of Testing Defects,
Count of Customer reported Defects from UAT </t>
  </si>
  <si>
    <t>Code Creation Effort spent for the feature/Size of the feature</t>
  </si>
  <si>
    <t>Person-hours/FP</t>
  </si>
  <si>
    <t>Sensivity Analysis &amp; PPB Values</t>
  </si>
  <si>
    <t>Code Creation</t>
  </si>
  <si>
    <t>Coding Effort-Actual Effort taken for coding for each feature, Feature Size in FP</t>
  </si>
  <si>
    <t>On completion of each feature</t>
  </si>
  <si>
    <t>Iindividial Control Chart (I Chart)</t>
  </si>
  <si>
    <t>Code Review Effort spent for the feature/Size of the feature</t>
  </si>
  <si>
    <t>Using Defect Prediction PPM</t>
  </si>
  <si>
    <t>Code Review</t>
  </si>
  <si>
    <t>Code Review Effort-Actual  Effort taken for code review for each feature, Feature Size in FP</t>
  </si>
  <si>
    <t>Test Case Creation  Delivery Rate</t>
  </si>
  <si>
    <t>Actual Effort spent in Test Case Creation in Person hours/ Component Size in FP</t>
  </si>
  <si>
    <t>PPB Values</t>
  </si>
  <si>
    <t>Test Case Creation</t>
  </si>
  <si>
    <t>Test Case Creation Effort-Actual  Effort taken for Test case creation for each feature, Feature Size in FP</t>
  </si>
  <si>
    <t>On completion of Phase</t>
  </si>
  <si>
    <t>Bar Chart</t>
  </si>
  <si>
    <t>Actual Effort spent in Test Execution in Person hours/ Component Size in FP</t>
  </si>
  <si>
    <t xml:space="preserve">Test Execution </t>
  </si>
  <si>
    <t>Test Execution Effort-Actual  Effort taken for Test execution for each feature, Feature Size in FP</t>
  </si>
  <si>
    <t>Optimize Your Web Servers &amp; Database
Optimize Caches improve Page Load Time.
Avoid Redirects and Improve Website Speed.
Reduce the number of HTTP requests.
Adopt cloud-based website monitoring.</t>
  </si>
  <si>
    <t xml:space="preserve">Application Throughpute is a Critical Product Quality Requirement and is High priority for customer  Agreed as a part of Software Requirement Specification </t>
  </si>
  <si>
    <t>Number of transactions handled; Handling Time;
UoM for Time;</t>
  </si>
  <si>
    <t>Eliminate Throughput Bottlenecks.
Reduce the Parts Rejection Rate.
Improve Employee Training.
Use Factory Automation.
Minimize Physical Prototyping Where Possible.</t>
  </si>
  <si>
    <t>Improve Product Security</t>
  </si>
  <si>
    <t xml:space="preserve">OWASP Compliance is a  Product Security Requirement and is High priority for customer  Agreed as a part of Software Requirement Specification </t>
  </si>
  <si>
    <t>Train the employees in OWASP development,Tetsing, Code review and security guidelines.</t>
  </si>
  <si>
    <t>Ensure Secure Access to Systems</t>
  </si>
  <si>
    <t xml:space="preserve">Ontime activation and deactivation % is a  Product Security Requirement and is High priority for customer  Agreed as a part of Software Requirement Specification </t>
  </si>
  <si>
    <t xml:space="preserve">Usability is a  Product USaability Requirement and is High priority for customer  Agreed as a part of Software Requirement Specification </t>
  </si>
  <si>
    <t>Reduce page loading times.
Maintain consistency across your site
Make your site responsive.
Use a familiar navigation layout. 
Use headings and subheadings with your content.</t>
  </si>
  <si>
    <t>Improve Maintainability</t>
  </si>
  <si>
    <t xml:space="preserve">Technical Debt  is a  Product Maintainability Requirement and is High priority for customer  Agreed as a part of Software Requirement Specification </t>
  </si>
  <si>
    <t>Plan Architecht reviews
Refactor technical debt away.
Regression test continuously.
Automate code/schema analysis.
Measure technical debt
Explicitly govern technical debt.</t>
  </si>
  <si>
    <t xml:space="preserve">Cyclomatic Complexity is a  Product Maintainability Requirement and is High priority for customer  Agreed as a part of Software Requirement Specification </t>
  </si>
  <si>
    <t>Optimize Code Complexity through simple design. 
Monitor Code Complexity through Sonar</t>
  </si>
  <si>
    <t xml:space="preserve">Halstead Volume is a  Product Maintainability Requirement and is High priority for customer  Agreed as a part of Software Requirement Specification </t>
  </si>
  <si>
    <t xml:space="preserve">Maintainability Rating is a  Product Maintainability Requirement and is High priority for customer  Agreed as a part of Software Requirement Specification </t>
  </si>
  <si>
    <t xml:space="preserve">Code Coverage is a  Product Maintainability Requirement and is High priority for customer  Agreed as a part of Software Requirement Specification </t>
  </si>
  <si>
    <t>Write More Tests.
Generate Tests Automatically.
Remove Dead/Zombie Code.
Remove Redundant/Cloned Code.
Write/Execute More Sophisticated Test</t>
  </si>
  <si>
    <t>Project Objective(s)</t>
  </si>
  <si>
    <t>Project Productivity</t>
  </si>
  <si>
    <t>Contribution to KPI</t>
  </si>
  <si>
    <t>Sub-process Factor and Alternate Options</t>
  </si>
  <si>
    <t>Requirement Elicitation</t>
  </si>
  <si>
    <t>Requirement Elicitation Delivery Rate</t>
  </si>
  <si>
    <t/>
  </si>
  <si>
    <t>Requirement Analysis</t>
  </si>
  <si>
    <t>Requirement Analysis Delivery Rate</t>
  </si>
  <si>
    <t>PPM</t>
  </si>
  <si>
    <t>Functional walkthrough (Yes/No)</t>
  </si>
  <si>
    <t>Requirement Review</t>
  </si>
  <si>
    <t>Requirement Review Delivery Rate</t>
  </si>
  <si>
    <t>Architecture Design</t>
  </si>
  <si>
    <t>Architecture Design Delivery Rate</t>
  </si>
  <si>
    <t>Detailed Design</t>
  </si>
  <si>
    <t>Detailed Design Delivery Rate</t>
  </si>
  <si>
    <t>Coding</t>
  </si>
  <si>
    <t>Developer Skill with option of Beginner, Proficient, Advanced, Expert</t>
  </si>
  <si>
    <t>Unit Testing</t>
  </si>
  <si>
    <t>Unit Testing Delivery Rate</t>
  </si>
  <si>
    <t>Test case Creation</t>
  </si>
  <si>
    <t>Test case Creation Delivery Rate</t>
  </si>
  <si>
    <t>Test Execution</t>
  </si>
  <si>
    <t>UAT Support</t>
  </si>
  <si>
    <t>UAT Support Rate</t>
  </si>
  <si>
    <t>Yearly</t>
  </si>
  <si>
    <t>Performance Level</t>
  </si>
  <si>
    <t>Quality and Process Performance Objective-QPPO</t>
  </si>
  <si>
    <t>Measurement and Performance Objective-MPO</t>
  </si>
  <si>
    <t>Sub-Process Metric</t>
  </si>
  <si>
    <t>CSAT Score received from CSAT Survey on a scale of 1-5 .</t>
  </si>
  <si>
    <t>PHA Score % rated in PHA audit reports</t>
  </si>
  <si>
    <t>Effort billed to customer; Nonbillable Effort spent for delivery;Training Effort;Effort from Backup resources;Total Capacity of team including backup resources; Effort towards Holidays &amp; Leaves;
UoM for Effort in Person-hours;</t>
  </si>
  <si>
    <t>Effort billed to customer;Total Capacity of team including backup resources;
UoM for Effort in Person-hours;</t>
  </si>
  <si>
    <t>Actual Effort for the Work till date;
Remaining Effort for completing the pending work in agreed scope;
Planned Effort;
UoM for Effort in Person-hours;</t>
  </si>
  <si>
    <t>Response Time Target; 
Number of screens met the Response Time Target;
Number of screens in the application;
UoM for Time (Second; Minute; Hour; Day)</t>
  </si>
  <si>
    <t>Number of Code Smells;
Effort to fix all Code Smells
UoM for Effort in Person-hours;</t>
  </si>
  <si>
    <t xml:space="preserve">Actual Effort saving through Re-use in Person-hours;
Planned Effort in Person Hours;
</t>
  </si>
  <si>
    <t>Actual Effort due to approved Change Requests;
Planned Effort;
UoM for Effort in Person-hours;</t>
  </si>
  <si>
    <t>Effort billed to customer towards Change Requests;
Effort spent for implementing Change Requests
UoM for Effort in Person-hours;</t>
  </si>
  <si>
    <t>Actual Revenue in currency; 
Actual  Direct Human Resource cost  in currency;
Other Direct Cost  in currency;
UoM for Currency($-USD;£-GBP;€-Euro;CHF;₹-INR;AUD;Dirham);</t>
  </si>
  <si>
    <t>Actual End Date;
Planned End Date;
Planned Start Date</t>
  </si>
  <si>
    <t>Rework Effort (Refers to effort spent towards Defect Fixes after Reviews and Testing both internally and externally) at Metric Tracking level;
Total Effort (Sum of all efforts  spent in Development, Review, Testing and Defect Fixing  ) at Metric Tracking level
UoM for Effort in Person-hours</t>
  </si>
  <si>
    <t>Proportion of project's code that is unit tested at Metric Tracking level;
Delivered and Accepted Size at Metric Tracking level;
Unit of Size;(KLOC)
Metric Tracking level : Sprint, Release, Phase,Project, Month , Week
Unit of Size , Metric Tracking Level  to be specified in Project level operational Definition</t>
  </si>
  <si>
    <t>Proportion of project's code or test script that is reviewed at Metric Tracking level;
Delivered and Accepted Size at Metric Tracking level;
Unit of Size;(KLOC)
Metric Tracking level : Sprint, Release, Phase,Project, Month , Week
Unit of Size , Metric Tracking Level  to be specified in Project level operational Definition</t>
  </si>
  <si>
    <t>Number of Test Cases at Metric Tracking level
Delivered and Accepted Size at Metric Tracking level;
Unit of Size; (Function Points(FP),Complexity Points(CP), Use Case Points(UCP), Objects; Story Points(SP));
Metric Tracking level : Sprint, Release, Phase, Testing Phase (SIT, UAT, Prod, ),Project, Month , Week
Unit of Size , Metric Tracking Level  to be specified in Project level operational Definition</t>
  </si>
  <si>
    <t>Count of Review Defects for each Severity at Metric Tracking level; 
Defect Severity;
Weightage for each Severity of Defects;
 Delivered and Accepted Size at Metric Tracking level; 
Unit of Size (Function Point-FP;Compleixity Point-CP;Use Case Point-UCP;Object;Story Points(SP))
Metric Tracking level : Sprint, Release, Phase,Project, Month , Week
Unit of Size , Metric Tracking Level  to be specified in Project level operational Definition</t>
  </si>
  <si>
    <t xml:space="preserve"># of tickets resolved within SLA at Metric Tracking level
# of tickets resolved  at Metric Tracking level
Metric Tracking level : Phase, Project, Month , Week
</t>
  </si>
  <si>
    <t># of tickets responded within  SLA  at Metric Tracking level
# of tickets responded at Metric Tracking level
Metric Tracking level :Phase, Project, Month, Week</t>
  </si>
  <si>
    <t># of  P1 tickets resolved within SLA  at Metric Tracking level
# of P1 tickets resolved  at Metric Tracking level
Metric Tracking level :  Phase, Project, Month , Week</t>
  </si>
  <si>
    <t># of  P2 tickets resolved within SLA  at Metric Tracking level
# of P2 tickets resolved  at Metric Tracking level
Metric Tracking level :  Phase, Project, Month , Week</t>
  </si>
  <si>
    <t># of  P3 tickets resolved within SLA  at Metric Tracking level
# of P3 tickets resolved  at Metric Tracking level
Metric Tracking level :  Phase, Project, Month , Week</t>
  </si>
  <si>
    <t># of  P4 tickets resolved within SLA  at Metric Tracking level
# of P4 tickets resolved  at Metric Tracking level
Metric Tracking level :  Phase, Project, Month , Week</t>
  </si>
  <si>
    <t># of  P5 tickets resolved within SLA  at Metric Tracking level
# of P5 tickets resolved  at Metric Tracking level
Metric Tracking level :  Phase, Project, Month , Week</t>
  </si>
  <si>
    <t># of  P1 tickets responded within SLA  at Metric Tracking level
# of P4 tickets responded  at Metric Tracking level
Metric Tracking level :  Phase, Project, Month , Week</t>
  </si>
  <si>
    <t># of  P2 tickets responded within SLA  at Metric Tracking level
# of P2 tickets responded  at Metric Tracking level
Metric Tracking level :  Phase, Project, Month , Week</t>
  </si>
  <si>
    <t># of  P3 tickets responded within SLA  at Metric Tracking level
# of P3 tickets responded  at Metric Tracking level
Metric Tracking level :  Phase, Project, Month , Week</t>
  </si>
  <si>
    <t># of  P4 tickets responded within SLA  at Metric Tracking level
# of P4 tickets responded  at Metric Tracking level
Metric Tracking level :  Phase, Project, Month , Week</t>
  </si>
  <si>
    <t># of  P5 tickets responded within SLA  at Metric Tracking level
# of P5 tickets responded  at Metric Tracking level
Metric Tracking level :  Phase, Project, Month , Week</t>
  </si>
  <si>
    <t># of tickets resolved right first time at Metric tracking level
# of tickets resolved at Metric tracking level
Metric Tracking level :  Phase, Project, Month , Week</t>
  </si>
  <si>
    <t># of items completed ontime  at Metric Tracking level ;
# items planned for completion at Metric Tracking level ;
Items could be tickets or tasks or feature or components
Metric Tracking level :  Phase, Project, Month , Week</t>
  </si>
  <si>
    <t xml:space="preserve">Number of test cases executed at Metric Tracking Level
Total number of Test cases planned for execution  at Metric Tracking Level
</t>
  </si>
  <si>
    <t>Earned Value(Budgeted Cost for Work completed)  in currency
Planned Value(Budgeted Cost for Work Scheduled); in currency
UoM for Currency; 
UoM for Currency($-USD;£-GBP;€-Euro;CHF;₹-INR;AUD;Dirham);</t>
  </si>
  <si>
    <t xml:space="preserve">Earned Value(Budgeted Cost for Work completed) in Currency;
Actual Cost(Actual Cost for Work completed) in Currency;
UoM for Currency;
UoM for Currency($-USD;£-GBP;€-Euro;CHF;₹-INR;AUD;Dirham);
</t>
  </si>
  <si>
    <t>Actual  Direct Human Resource cost; Other Direct Cost; Actual  Effort;
UoM for Currency($-USD;£-GBP;€-Euro;CHF;₹-INR;AUD;Dirham);
UoM for Effort in Person-hours;
Unit of currency &amp; Unit of effort to be mentioned at Project level Operational Definition</t>
  </si>
  <si>
    <t xml:space="preserve">Actual Revenue  in currency; 
Actual Effort in Person-Hours;
UoM for Currency($-USD;£-GBP;€-Euro;CHF;₹-INR;AUD;Dirham);
Unit of currency &amp; Unit of effort to be mentioned at Project level Operational Definition
</t>
  </si>
  <si>
    <t>Amount of time available; 
Amount of time committed for as per agreement;
UoM for Time (Second; Minute; Hour; Day)</t>
  </si>
  <si>
    <t>Count of leaked defects  to customer for each Severity at Metric Tracking level; 
Defect Severity;
Weightage for each Severity of Defects;
Delivered and Accepted Size at Metric Tracking level;  
Unit of Size (Function Point-FP;Complexity Point-CP;Use Case Point-UCP;Object;
Story Point-SP)
Metric Tracking level : Sprint, Release, Phase, Testing Phase (SIT, UAT, Prod, ),Project, Month , Week
Unit of Size , Metric Tracking Level &amp; Severity to be specified in Project level operational Definition</t>
  </si>
  <si>
    <t>Count of leaked defects  to customer for each Severity at Metric Tracking Level; 
Count of defects  reported from internal reviews and testing for each Severity at  Metric Tracking level; 
Defect Severity;
Weightage for each Severity of Defects;
Delivered and Accepted Size at Metric Tracking level;  
Unit of Size (Function Point-FP;Compleixity Point-CP;Use Case Point-UCP;Object; Story Point-SP)
Metric Tracking level : Sprint, Release, Phase, Testing Phase (SIT, UAT, Prod, ),Project, Month , Week
Unit of Size , Metric Tracking Level &amp; Severity to be specified in Project level operational Definition</t>
  </si>
  <si>
    <t xml:space="preserve">Delivered and Accepted Size at the  Metric Tracking Level 
(Unit of Size  :Function Points(FP),Complexity Points(CP), Use Case Points(UCP), Objects; Story Points(SP),Test Steps(TS),Test Units(TU),Design Test Units(DTU),Functional Test Units(FTU), Test Cases(TC),Test Scripts,Number of tickets);
Total Actual Effort (Sum of efforts from subprocess activities) Spent  for delivering  the Size of the work   at the  Metric Tracking Level  in Person -days
(Metric Tracking level : Sprint, Release, Phase, Project, Month , Week)
Unit of Size,Subprocess &amp; Metric Tracking level  to be specified at Project level operational definition
</t>
  </si>
  <si>
    <t xml:space="preserve">Total Actual Effort (Sum of efforts from subprocess activities) Spent  for delivering the Size of  Work   at the  Metric Tracking Level  in Person -hours
Delivered and Accepted Size at the  Metric Tracking Level 
Unit of Size (Function Points(FP),Complexity Points(CP), Use Case Points(UCP), Objects; Story Points(SP),Test Steps(TS),Test Units(TU),Design Test Units(DTU),Functional Test Units(FTU), Test Cases(TC),Test Scripts,Number of tickets);
Metric Tracking level : Sprint, Release, Phase, Project, Month , Week
Size,Subprocess &amp; Metric Tracking level  to be specified at Project level operational definition
</t>
  </si>
  <si>
    <t>Effort spent on Code or Script Reviews at Metric Tracking Level
Total Engineering Effort  at Metric Tracking Level
UoM for Effort Person-Hours
Metric Tracking level : Sprint, Release, Phase, Project, Month , Week
Size,UoM &amp; Metric Tracking level  to be specified at Project level operational definition</t>
  </si>
  <si>
    <t xml:space="preserve">Count of Review Defects for each Severity at Metrics Tracking level
Defect Severity;
Weightage for each Severity of Defects;
Review Effort at Metric Tracking level;
UoM for Effort in Person Hours;
Metric Tracking level : Sprint, Release, Phase, Testing Phase (SIT, UAT, Prod, ),Project, Month , Week
</t>
  </si>
  <si>
    <t>Count of Testing Defects for each Severity at Metric Tracking level; 
Defect Severity;
Weightage for each Severity of Defects;
Testing Effort at Metric Tracking level;
UoM for Effort in Person-hours ;
Metric Tracking level : Sprint, Release, Phase, Testing Phase (SIT, UAT, Prod, ),Project, Month , Week
Unit of Size , Metric Tracking Level &amp; Severity to be specified in Project level operational Definition</t>
  </si>
  <si>
    <t>Count of Testing Defects for each Severity at Metric tracking level; 
Defect Severity;
Weightage for each Severity of Defects;
Delivered and Accepted Size at Metric Tracking level;
Engineering Effort for the Component at Metric Tracking level;
UoM for Effort in Person -hours;
Unit of Size(Function Point-FP;Compleixity Point-CP;Use Case Point-UCP;Object;Story Points(SP))
Metric Tracking level : Sprint, Release, Phase, Testing Phase (SIT, UAT, Prod, ),Project, Month , Week
Unit of Size , Metric Tracking Level  to be specified in Project level operational Definition
Metric Tracking level : Sprint, Release, Phase, Testing Phase (SIT, UAT, Prod),Project, Month , Week
Unit of Size , Metric Tracking Level  to be specified in Project level operational Definition</t>
  </si>
  <si>
    <t xml:space="preserve">Effort spent for Requirements Analysis at Metric Tracking level;
Delivered and Accepted Size at Metric Tracking level;
UoM for Effort in Person Hours;
Unit of Size; (Function Points(FP), Story Points(SP),Complexity Points(CP), Use Case Points(UCP), Objects,Test Steps(TS),Design Test Units(DTU),Test Cases(TC),Number of tickets)
Metric Tracking level : Sprint, Release, Phase, Project, Month , Week
Unit of  Size,UoM &amp; Metric Tracking level  to be specified at Project level operational definition
</t>
  </si>
  <si>
    <t>Effort spent for Design at the Metric Tracking Level;
Delivered and Accepted Size  at the Metric Tracking Level;
UoM for Effort in Person-hours;
Unit of Size;(Function Points(FP),Story Points(SP),Complexity Points(CP), Use Case Points(UCP), Objects)
Metric Tracking level : Sprint, Release, Phase, Project, Month , Week
Unit of  Size,UoM &amp; Metric Tracking level  to be specified at Project level operational definition</t>
  </si>
  <si>
    <t>Effort spent for Coding at Metric tracking level
 Delivered and Accepted Size at Metric Tracking level;
UoM for Effort in Person Hours;
Unit of Size;(Function Points(FP),Story Points(SP),Complexity Points(CP), Use Case Points(UCP), Objects)
Metric Tracking level : Sprint, Release, Phase, Project, Month , Week
Unit of  Size,UoM &amp; Metric Tracking level  to be specified at Project level operational definition</t>
  </si>
  <si>
    <t>Effort spent for Code Review at Metric tracking level
 Delivered and Accepted Size at Metric Tracking level;
UoM for Effort in Person Hours;
Unit of Size;(Function Points(FP),Story Points(SP),Complexity Points(CP), Use Case Points(UCP), Objects)
Metric Tracking level : Sprint, Release, Phase, Project, Month , Week
Unit of  Size,UoM &amp; Metric Tracking level  to be specified at Project level operational definition</t>
  </si>
  <si>
    <t>Effort spent for Test Design at Metric tracking level
 Delivered and Accepted Size at Metric Tracking level;
UoM for Effort in Person Hours;
Unit of Size;(Function Points(FP),Story Points(SP),Complexity Points(CP), Use Case Points(UCP), Objects)
Metric Tracking level : Sprint, Release, Phase, Project, Month , Week
Unit of  Size,UoM &amp; Metric Tracking level  to be specified at Project level operational definition</t>
  </si>
  <si>
    <t>Effort spent for Test Design Review at Metric tracking level
 Delivered and Accepted Size at Metric Tracking level;
UoM for Effort in Person Hours;
Unit of Size;(Function Points(FP),Story Points(SP),Complexity Points(CP), Use Case Points(UCP), Objects)
Metric Tracking level : Sprint, Release, Phase, Project, Month , Week
Unit of  Size,UoM &amp; Metric Tracking level  to be specified at Project level operational definition</t>
  </si>
  <si>
    <t>Effort spent for Test Execution at Metric tracking level
 Delivered and Accepted Size at Metric Tracking level;
UoM for Effort in Person Hours;
Unit of Size;(Function Points(FP),Story Points(SP),Complexity Points(CP), Use Case Points(UCP), Objects)
Metric Tracking level : Sprint, Release, Phase, Project, Month , Week
Unit of  Size,UoM &amp; Metric Tracking level  to be specified at Project level operational definition</t>
  </si>
  <si>
    <t>Number of Sprints planned for delivering the committed release scope;
Actual Number of sprints completed;
Expected number of sprints required for delivering remaining Release Scope</t>
  </si>
  <si>
    <t>Effort Spent for Test Design at Metric tracking level;
Delivered and Accepted Size  at Metric tracking level;
UoM for Effort in Person Hours;
Unit of Size; (Unit of Size can be
Test Steps(TS),Test Units(TU),Test Cases(TC), Test Scripts)
Metric Tracking level : Sprint, Release, Phase, Project, Month , Week
Unit of  Size,UoM &amp; Metric Tracking level  to be specified at Project level operational definition</t>
  </si>
  <si>
    <t>Effort Spent for Test Execution at Metric tracking level;
Delivered and Accepted Size  at Metric tracking level;
UoM for Effort in Person Hours;
Unit of Size; (Unit of Size can be
Test Steps(TS),Test Units(TU),Test Cases(TC), Test Scripts)
Metric Tracking level : Sprint, Release, Phase, Project, Month , Week
Unit of  Size,UoM &amp; Metric Tracking level  to be specified at Project level operational definition</t>
  </si>
  <si>
    <t>Number of valid defects reported by testing team at Metric tracking level
Total number of testing defects at Metric tracking level
Metric Tracking level : Sprint, Release, Phase, Testing Phase(SIT,UAT,Prod) , Project, Month , Week
Metric Tracking level  to be specified at Project level operational definition</t>
  </si>
  <si>
    <t>Number of automated Test script rejections at Metric Tracking level
Total number of  automated Test Scripts   at Metric Tracking level
Metric Tracking level : Sprint, Release, Phase, Testing Phase(SIT,UAT,Prod) , Project, Month , Week
Metric Tracking level  to be specified at Project level operational definition</t>
  </si>
  <si>
    <t>Number of defects reported from testing at Metric Tracking level;
Number of defects reported by customer or business at Metric Tracking level;
Metric Tracking level : Sprint, Release, Phase, Testing Phase(SIT,UAT,Prod) , Project, Month , Week
Metric Tracking level  to be specified at Project level operational definition</t>
  </si>
  <si>
    <t>Number of resources rejected by customer for a position;
Number of resource profiles qualified internally for the same position</t>
  </si>
  <si>
    <t xml:space="preserve">Included a Column Performance Level in KPI Plan as per the feedback of External audit. </t>
  </si>
  <si>
    <t>Tailoring Details</t>
  </si>
  <si>
    <t>Reviewed &amp; Approved By</t>
  </si>
  <si>
    <t>Cost-Plus</t>
  </si>
  <si>
    <t>Fixed Price,Time &amp; Material With Cap,Time &amp; Material,Fixed Capacity,Outcome based Fee,Cost-Plus</t>
  </si>
  <si>
    <t>Time &amp; Material,Fixed Capacity,Cost-Plus</t>
  </si>
  <si>
    <t>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</si>
</sst>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 #,##0.00_);_(* \(#,##0.00\);_(* &quot;-&quot;??_);_(@_)"/>
    <numFmt numFmtId="165" formatCode="General_)"/>
    <numFmt numFmtId="166" formatCode=".\-\-\-00000000000000000000000;0000000000000000000000000000000000000000000000000000000000000000000000000000000000"/>
    <numFmt numFmtId="167" formatCode="[$-409]d\-mmm\-yy;@"/>
    <numFmt numFmtId="168" formatCode="0.0"/>
    <numFmt numFmtId="169" formatCode="0.0###"/>
  </numFmts>
  <fonts count="9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b/>
      <sz val="10"/>
      <name val="Arial"/>
      <family val="2"/>
    </font>
    <font>
      <sz val="8"/>
      <name val="Arial"/>
      <family val="2"/>
    </font>
    <font>
      <sz val="10"/>
      <name val="Arial"/>
      <family val="2"/>
    </font>
    <font>
      <b/>
      <sz val="10"/>
      <name val="Calibri"/>
      <family val="2"/>
    </font>
    <font>
      <b/>
      <sz val="14"/>
      <name val="Arial"/>
      <family val="2"/>
    </font>
    <font>
      <b/>
      <sz val="11"/>
      <color indexed="8"/>
      <name val="Calibri"/>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20"/>
      <name val="HP Logo LG"/>
      <charset val="2"/>
    </font>
    <font>
      <u/>
      <sz val="10"/>
      <color indexed="12"/>
      <name val="Arial"/>
      <family val="2"/>
    </font>
    <font>
      <sz val="11"/>
      <color indexed="62"/>
      <name val="Calibri"/>
      <family val="2"/>
    </font>
    <font>
      <i/>
      <sz val="9"/>
      <name val="Arial"/>
      <family val="2"/>
    </font>
    <font>
      <sz val="11"/>
      <color indexed="52"/>
      <name val="Calibri"/>
      <family val="2"/>
    </font>
    <font>
      <sz val="11"/>
      <color indexed="60"/>
      <name val="Calibri"/>
      <family val="2"/>
    </font>
    <font>
      <sz val="10"/>
      <name val="Geneva"/>
    </font>
    <font>
      <b/>
      <sz val="11"/>
      <color indexed="63"/>
      <name val="Calibri"/>
      <family val="2"/>
    </font>
    <font>
      <b/>
      <sz val="11"/>
      <name val="Arial"/>
      <family val="2"/>
    </font>
    <font>
      <b/>
      <sz val="18"/>
      <color indexed="56"/>
      <name val="Cambria"/>
      <family val="2"/>
    </font>
    <font>
      <b/>
      <sz val="10"/>
      <color indexed="12"/>
      <name val="Times New Roman"/>
      <family val="1"/>
    </font>
    <font>
      <sz val="10"/>
      <color indexed="12"/>
      <name val="Arial"/>
      <family val="2"/>
    </font>
    <font>
      <b/>
      <sz val="8"/>
      <name val="Arial"/>
      <family val="2"/>
    </font>
    <font>
      <sz val="11"/>
      <color indexed="10"/>
      <name val="Calibri"/>
      <family val="2"/>
    </font>
    <font>
      <sz val="11"/>
      <color theme="1"/>
      <name val="Calibri"/>
      <family val="2"/>
      <scheme val="minor"/>
    </font>
    <font>
      <sz val="10"/>
      <color theme="1"/>
      <name val="Calibri"/>
      <family val="2"/>
      <scheme val="minor"/>
    </font>
    <font>
      <sz val="9"/>
      <color indexed="81"/>
      <name val="Tahoma"/>
      <family val="2"/>
    </font>
    <font>
      <b/>
      <sz val="9"/>
      <color indexed="81"/>
      <name val="Tahoma"/>
      <family val="2"/>
    </font>
    <font>
      <b/>
      <sz val="9"/>
      <name val="Arial"/>
      <family val="2"/>
    </font>
    <font>
      <sz val="10"/>
      <color theme="1"/>
      <name val="Arial"/>
      <family val="2"/>
    </font>
    <font>
      <b/>
      <sz val="10"/>
      <color rgb="FFFF0000"/>
      <name val="Arial"/>
      <family val="2"/>
    </font>
    <font>
      <b/>
      <sz val="8"/>
      <color indexed="81"/>
      <name val="Tahoma"/>
      <family val="2"/>
    </font>
    <font>
      <sz val="8"/>
      <color indexed="81"/>
      <name val="Tahoma"/>
      <family val="2"/>
    </font>
    <font>
      <b/>
      <sz val="10"/>
      <color theme="1"/>
      <name val="Arial"/>
      <family val="2"/>
    </font>
    <font>
      <sz val="11"/>
      <color theme="1"/>
      <name val="Arial"/>
      <family val="2"/>
    </font>
    <font>
      <b/>
      <sz val="11"/>
      <color theme="1"/>
      <name val="Arial"/>
      <family val="2"/>
    </font>
    <font>
      <sz val="8"/>
      <color theme="1"/>
      <name val="Arial"/>
      <family val="2"/>
    </font>
    <font>
      <b/>
      <sz val="8"/>
      <color theme="1"/>
      <name val="Arial"/>
      <family val="2"/>
    </font>
    <font>
      <i/>
      <sz val="9"/>
      <color indexed="81"/>
      <name val="Tahoma"/>
      <family val="2"/>
    </font>
    <font>
      <sz val="10"/>
      <name val="Calibri"/>
      <family val="2"/>
    </font>
    <font>
      <b/>
      <sz val="10"/>
      <color theme="1"/>
      <name val="Calibri"/>
      <family val="2"/>
    </font>
    <font>
      <sz val="10"/>
      <color indexed="12"/>
      <name val="Calibri"/>
      <family val="2"/>
    </font>
    <font>
      <sz val="10"/>
      <color indexed="8"/>
      <name val="Calibri"/>
      <family val="2"/>
    </font>
    <font>
      <sz val="10"/>
      <color theme="1"/>
      <name val="Calibri"/>
      <family val="2"/>
    </font>
    <font>
      <b/>
      <sz val="10"/>
      <color theme="1"/>
      <name val="Calibri"/>
      <family val="2"/>
      <scheme val="minor"/>
    </font>
    <font>
      <b/>
      <sz val="8"/>
      <color theme="5" tint="-0.249977111117893"/>
      <name val="Arial"/>
      <family val="2"/>
    </font>
    <font>
      <b/>
      <sz val="11"/>
      <color theme="5" tint="-0.249977111117893"/>
      <name val="Arial"/>
      <family val="2"/>
    </font>
    <font>
      <b/>
      <sz val="10"/>
      <color theme="5" tint="-0.249977111117893"/>
      <name val="Arial"/>
      <family val="2"/>
    </font>
    <font>
      <sz val="10"/>
      <color theme="5" tint="-0.249977111117893"/>
      <name val="Arial"/>
      <family val="2"/>
    </font>
    <font>
      <b/>
      <sz val="14"/>
      <color theme="4" tint="-0.249977111117893"/>
      <name val="Arial"/>
      <family val="2"/>
    </font>
    <font>
      <sz val="10"/>
      <name val="Helv"/>
    </font>
    <font>
      <b/>
      <sz val="14"/>
      <name val="Futura Bk"/>
      <family val="2"/>
    </font>
    <font>
      <sz val="10"/>
      <name val="Futura Bk"/>
      <family val="2"/>
    </font>
    <font>
      <b/>
      <sz val="8"/>
      <color indexed="23"/>
      <name val="Arial"/>
      <family val="2"/>
    </font>
    <font>
      <b/>
      <sz val="9"/>
      <name val="Futura Bk"/>
      <family val="2"/>
    </font>
    <font>
      <sz val="8"/>
      <name val="Calibri"/>
      <family val="2"/>
    </font>
    <font>
      <u/>
      <sz val="10"/>
      <color theme="10"/>
      <name val="Arial"/>
      <family val="2"/>
    </font>
    <font>
      <b/>
      <sz val="11"/>
      <color theme="1"/>
      <name val="Calibri"/>
      <family val="2"/>
      <scheme val="minor"/>
    </font>
    <font>
      <b/>
      <sz val="11"/>
      <color theme="0"/>
      <name val="Calibri"/>
      <family val="2"/>
      <scheme val="minor"/>
    </font>
    <font>
      <sz val="11"/>
      <color theme="1"/>
      <name val="Calibri"/>
      <family val="2"/>
    </font>
    <font>
      <b/>
      <sz val="11"/>
      <color theme="1"/>
      <name val="Calibri"/>
      <family val="2"/>
    </font>
    <font>
      <b/>
      <sz val="11"/>
      <color theme="7" tint="0.59999389629810485"/>
      <name val="Calibri"/>
      <family val="2"/>
      <scheme val="minor"/>
    </font>
    <font>
      <b/>
      <sz val="9"/>
      <color rgb="FFFFFF00"/>
      <name val="Arial"/>
      <family val="2"/>
    </font>
    <font>
      <sz val="10"/>
      <color theme="8"/>
      <name val="Calibri"/>
      <family val="2"/>
    </font>
    <font>
      <b/>
      <sz val="10"/>
      <color theme="8"/>
      <name val="Calibri"/>
      <family val="2"/>
    </font>
    <font>
      <sz val="8"/>
      <color theme="1"/>
      <name val="Calibri"/>
      <family val="2"/>
      <scheme val="minor"/>
    </font>
  </fonts>
  <fills count="7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31"/>
        <bgColor indexed="31"/>
      </patternFill>
    </fill>
    <fill>
      <patternFill patternType="solid">
        <fgColor indexed="44"/>
        <bgColor indexed="44"/>
      </patternFill>
    </fill>
    <fill>
      <patternFill patternType="solid">
        <fgColor indexed="30"/>
        <bgColor indexed="30"/>
      </patternFill>
    </fill>
    <fill>
      <patternFill patternType="solid">
        <fgColor indexed="10"/>
      </patternFill>
    </fill>
    <fill>
      <patternFill patternType="solid">
        <fgColor indexed="45"/>
        <bgColor indexed="45"/>
      </patternFill>
    </fill>
    <fill>
      <patternFill patternType="solid">
        <fgColor indexed="29"/>
        <bgColor indexed="29"/>
      </patternFill>
    </fill>
    <fill>
      <patternFill patternType="solid">
        <fgColor indexed="57"/>
      </patternFill>
    </fill>
    <fill>
      <patternFill patternType="solid">
        <fgColor indexed="42"/>
        <bgColor indexed="42"/>
      </patternFill>
    </fill>
    <fill>
      <patternFill patternType="solid">
        <fgColor indexed="11"/>
        <bgColor indexed="11"/>
      </patternFill>
    </fill>
    <fill>
      <patternFill patternType="solid">
        <fgColor indexed="46"/>
        <bgColor indexed="46"/>
      </patternFill>
    </fill>
    <fill>
      <patternFill patternType="solid">
        <fgColor indexed="36"/>
        <bgColor indexed="36"/>
      </patternFill>
    </fill>
    <fill>
      <patternFill patternType="solid">
        <fgColor indexed="27"/>
        <bgColor indexed="27"/>
      </patternFill>
    </fill>
    <fill>
      <patternFill patternType="solid">
        <fgColor indexed="49"/>
        <bgColor indexed="49"/>
      </patternFill>
    </fill>
    <fill>
      <patternFill patternType="solid">
        <fgColor indexed="53"/>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22"/>
      </patternFill>
    </fill>
    <fill>
      <patternFill patternType="solid">
        <fgColor indexed="55"/>
      </patternFill>
    </fill>
    <fill>
      <patternFill patternType="lightUp">
        <fgColor indexed="9"/>
        <bgColor indexed="49"/>
      </patternFill>
    </fill>
    <fill>
      <patternFill patternType="lightUp">
        <fgColor indexed="9"/>
        <bgColor indexed="10"/>
      </patternFill>
    </fill>
    <fill>
      <patternFill patternType="lightUp">
        <fgColor indexed="9"/>
        <bgColor indexed="57"/>
      </patternFill>
    </fill>
    <fill>
      <patternFill patternType="solid">
        <fgColor indexed="9"/>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theme="2"/>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indexed="41"/>
        <bgColor indexed="64"/>
      </patternFill>
    </fill>
    <fill>
      <patternFill patternType="solid">
        <fgColor theme="6"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theme="9" tint="0.79998168889431442"/>
        <bgColor indexed="29"/>
      </patternFill>
    </fill>
    <fill>
      <patternFill patternType="solid">
        <fgColor theme="4" tint="0.79998168889431442"/>
        <bgColor indexed="29"/>
      </patternFill>
    </fill>
    <fill>
      <patternFill patternType="solid">
        <fgColor theme="8" tint="0.79998168889431442"/>
        <bgColor indexed="64"/>
      </patternFill>
    </fill>
    <fill>
      <patternFill patternType="solid">
        <fgColor theme="3" tint="0.79998168889431442"/>
        <bgColor indexed="64"/>
      </patternFill>
    </fill>
    <fill>
      <patternFill patternType="solid">
        <fgColor rgb="FFFF0000"/>
        <bgColor indexed="64"/>
      </patternFill>
    </fill>
    <fill>
      <patternFill patternType="solid">
        <fgColor theme="5" tint="0.79998168889431442"/>
        <bgColor indexed="29"/>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FF"/>
        <bgColor indexed="64"/>
      </patternFill>
    </fill>
    <fill>
      <patternFill patternType="solid">
        <fgColor theme="7"/>
        <bgColor indexed="64"/>
      </patternFill>
    </fill>
    <fill>
      <patternFill patternType="solid">
        <fgColor rgb="FFF8FEFE"/>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3" tint="0.79998168889431442"/>
        <bgColor indexed="29"/>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29"/>
      </patternFill>
    </fill>
    <fill>
      <patternFill patternType="solid">
        <fgColor theme="0" tint="-4.9989318521683403E-2"/>
        <bgColor indexed="29"/>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top style="double">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62"/>
      </top>
      <bottom style="double">
        <color indexed="62"/>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style="thin">
        <color indexed="8"/>
      </left>
      <right style="thin">
        <color indexed="8"/>
      </right>
      <top style="thin">
        <color indexed="8"/>
      </top>
      <bottom/>
      <diagonal/>
    </border>
    <border>
      <left style="medium">
        <color indexed="64"/>
      </left>
      <right/>
      <top/>
      <bottom style="medium">
        <color indexed="64"/>
      </bottom>
      <diagonal/>
    </border>
    <border>
      <left style="thin">
        <color indexed="8"/>
      </left>
      <right style="thin">
        <color indexed="8"/>
      </right>
      <top/>
      <bottom/>
      <diagonal/>
    </border>
    <border>
      <left style="medium">
        <color indexed="64"/>
      </left>
      <right style="thin">
        <color indexed="64"/>
      </right>
      <top/>
      <bottom/>
      <diagonal/>
    </border>
    <border>
      <left/>
      <right style="medium">
        <color indexed="64"/>
      </right>
      <top style="medium">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double">
        <color indexed="64"/>
      </top>
      <bottom style="thin">
        <color indexed="64"/>
      </bottom>
      <diagonal/>
    </border>
    <border>
      <left/>
      <right/>
      <top/>
      <bottom style="thin">
        <color indexed="64"/>
      </bottom>
      <diagonal/>
    </border>
    <border>
      <left/>
      <right style="thin">
        <color indexed="64"/>
      </right>
      <top style="medium">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style="thin">
        <color indexed="8"/>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10743">
    <xf numFmtId="0" fontId="0" fillId="0" borderId="0"/>
    <xf numFmtId="0" fontId="2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5"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2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5"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2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5"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23"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5"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4" fillId="0" borderId="0"/>
    <xf numFmtId="0" fontId="12" fillId="0" borderId="0"/>
    <xf numFmtId="0" fontId="11"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0" fillId="0" borderId="0"/>
    <xf numFmtId="0" fontId="9" fillId="0" borderId="0"/>
    <xf numFmtId="0" fontId="10" fillId="0" borderId="0"/>
    <xf numFmtId="0" fontId="9" fillId="0" borderId="0"/>
    <xf numFmtId="0" fontId="9" fillId="0" borderId="0"/>
    <xf numFmtId="0" fontId="10" fillId="0" borderId="0"/>
    <xf numFmtId="0" fontId="9" fillId="0" borderId="0"/>
    <xf numFmtId="0" fontId="13" fillId="0" borderId="0"/>
    <xf numFmtId="0" fontId="10" fillId="0" borderId="0"/>
    <xf numFmtId="0" fontId="10" fillId="0" borderId="0"/>
    <xf numFmtId="0" fontId="9" fillId="0" borderId="0"/>
    <xf numFmtId="0" fontId="10" fillId="0" borderId="0"/>
    <xf numFmtId="0" fontId="13" fillId="0" borderId="0"/>
    <xf numFmtId="0" fontId="10" fillId="0" borderId="0"/>
    <xf numFmtId="0" fontId="10" fillId="0" borderId="0"/>
    <xf numFmtId="0" fontId="10" fillId="0" borderId="0"/>
    <xf numFmtId="0" fontId="13"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5"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3"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5"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4"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3" fillId="0" borderId="0"/>
    <xf numFmtId="0" fontId="10" fillId="0" borderId="0"/>
    <xf numFmtId="0" fontId="10" fillId="0" borderId="0"/>
    <xf numFmtId="0" fontId="10" fillId="0" borderId="0"/>
    <xf numFmtId="0" fontId="13" fillId="0" borderId="0"/>
    <xf numFmtId="0" fontId="12"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8" fillId="0" borderId="0"/>
    <xf numFmtId="0" fontId="22" fillId="0" borderId="0"/>
    <xf numFmtId="0" fontId="18" fillId="0" borderId="0"/>
    <xf numFmtId="0" fontId="18" fillId="0" borderId="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23" fillId="2" borderId="0" applyNumberFormat="0" applyBorder="0" applyAlignment="0" applyProtection="0"/>
    <xf numFmtId="0" fontId="12" fillId="2" borderId="0" applyNumberFormat="0" applyBorder="0" applyAlignment="0" applyProtection="0"/>
    <xf numFmtId="0" fontId="23" fillId="2"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12" fillId="3"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12" fillId="4"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23" fillId="6" borderId="0" applyNumberFormat="0" applyBorder="0" applyAlignment="0" applyProtection="0"/>
    <xf numFmtId="0" fontId="12" fillId="6"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23" fillId="7" borderId="0" applyNumberFormat="0" applyBorder="0" applyAlignment="0" applyProtection="0"/>
    <xf numFmtId="0" fontId="12" fillId="7"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23" fillId="9" borderId="0" applyNumberFormat="0" applyBorder="0" applyAlignment="0" applyProtection="0"/>
    <xf numFmtId="0" fontId="12" fillId="9"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23" fillId="10" borderId="0" applyNumberFormat="0" applyBorder="0" applyAlignment="0" applyProtection="0"/>
    <xf numFmtId="0" fontId="12" fillId="10" borderId="0" applyNumberFormat="0" applyBorder="0" applyAlignment="0" applyProtection="0"/>
    <xf numFmtId="0" fontId="23" fillId="10"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12" fillId="5" borderId="0" applyNumberFormat="0" applyBorder="0" applyAlignment="0" applyProtection="0"/>
    <xf numFmtId="0" fontId="23" fillId="5"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23" fillId="8" borderId="0" applyNumberFormat="0" applyBorder="0" applyAlignment="0" applyProtection="0"/>
    <xf numFmtId="0" fontId="12" fillId="8"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2" fillId="11" borderId="0" applyNumberFormat="0" applyBorder="0" applyAlignment="0" applyProtection="0"/>
    <xf numFmtId="0" fontId="23" fillId="11"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4" fillId="15"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4" fillId="19"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4" fillId="16"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4" fillId="22"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4" fillId="20"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5"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4" fillId="27"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3" fillId="28" borderId="0" applyNumberFormat="0" applyBorder="0" applyAlignment="0" applyProtection="0"/>
    <xf numFmtId="0" fontId="23" fillId="18" borderId="0" applyNumberFormat="0" applyBorder="0" applyAlignment="0" applyProtection="0"/>
    <xf numFmtId="0" fontId="24" fillId="29"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3" fillId="31" borderId="0" applyNumberFormat="0" applyBorder="0" applyAlignment="0" applyProtection="0"/>
    <xf numFmtId="0" fontId="23" fillId="32" borderId="0" applyNumberFormat="0" applyBorder="0" applyAlignment="0" applyProtection="0"/>
    <xf numFmtId="0" fontId="24" fillId="33"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17" fillId="0" borderId="0" applyNumberFormat="0" applyAlignment="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6" fillId="34" borderId="1"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0" fontId="27" fillId="35" borderId="2"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1" fillId="36" borderId="0" applyNumberFormat="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0" fontId="29" fillId="4" borderId="0" applyNumberFormat="0" applyBorder="0" applyAlignment="0" applyProtection="0"/>
    <xf numFmtId="38" fontId="17" fillId="39" borderId="0" applyNumberFormat="0" applyBorder="0" applyAlignment="0" applyProtection="0"/>
    <xf numFmtId="0" fontId="16" fillId="0" borderId="3" applyFill="0" applyBorder="0"/>
    <xf numFmtId="0" fontId="17" fillId="0" borderId="3" applyBorder="0">
      <alignment horizontal="center" vertical="center"/>
    </xf>
    <xf numFmtId="0" fontId="20" fillId="0" borderId="3" applyBorder="0">
      <alignment horizontal="center" vertical="center"/>
    </xf>
    <xf numFmtId="0" fontId="30" fillId="0" borderId="4" applyNumberFormat="0" applyAlignment="0" applyProtection="0">
      <alignment horizontal="left" vertical="center"/>
    </xf>
    <xf numFmtId="0" fontId="30" fillId="0" borderId="5">
      <alignment horizontal="left" vertical="center"/>
    </xf>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2" fillId="0" borderId="7"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8"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4" fillId="0" borderId="3" applyBorder="0">
      <alignment horizontal="center" vertical="center"/>
    </xf>
    <xf numFmtId="0" fontId="35" fillId="0" borderId="0" applyNumberFormat="0" applyFill="0" applyBorder="0" applyAlignment="0" applyProtection="0">
      <alignment vertical="top"/>
      <protection locked="0"/>
    </xf>
    <xf numFmtId="10" fontId="17" fillId="39" borderId="9" applyNumberFormat="0" applyBorder="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0" fontId="36" fillId="7" borderId="1" applyNumberFormat="0" applyAlignment="0" applyProtection="0"/>
    <xf numFmtId="165" fontId="37" fillId="0" borderId="0">
      <alignment vertical="top" wrapText="1"/>
    </xf>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8" fillId="0" borderId="10" applyNumberFormat="0" applyFill="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39" fillId="40" borderId="0" applyNumberFormat="0" applyBorder="0" applyAlignment="0" applyProtection="0"/>
    <xf numFmtId="0" fontId="18" fillId="0" borderId="0"/>
    <xf numFmtId="166"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4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2"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23"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3" fillId="0" borderId="0"/>
    <xf numFmtId="0" fontId="23" fillId="0" borderId="0"/>
    <xf numFmtId="0" fontId="23" fillId="0" borderId="0"/>
    <xf numFmtId="0" fontId="18" fillId="0" borderId="0"/>
    <xf numFmtId="0" fontId="18" fillId="0" borderId="0"/>
    <xf numFmtId="0" fontId="18" fillId="0" borderId="0"/>
    <xf numFmtId="0" fontId="48" fillId="0" borderId="0"/>
    <xf numFmtId="0" fontId="4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18" fillId="41" borderId="11" applyNumberFormat="0" applyFon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0" fontId="41" fillId="34" borderId="12" applyNumberFormat="0" applyAlignment="0" applyProtection="0"/>
    <xf numFmtId="10"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40"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165" fontId="42" fillId="42" borderId="4" applyBorder="0">
      <alignment horizontal="centerContinuous" vertical="center"/>
    </xf>
    <xf numFmtId="0" fontId="43" fillId="0" borderId="0" applyNumberFormat="0" applyFill="0" applyBorder="0" applyAlignment="0" applyProtection="0"/>
    <xf numFmtId="0" fontId="18" fillId="0" borderId="0"/>
    <xf numFmtId="0" fontId="44" fillId="0" borderId="13" applyNumberFormat="0" applyFill="0" applyBorder="0">
      <alignment horizontal="centerContinuous" vertical="center" wrapText="1"/>
      <protection locked="0"/>
    </xf>
    <xf numFmtId="0" fontId="16" fillId="24" borderId="14" applyFill="0" applyBorder="0">
      <alignment horizontal="left" vertical="center"/>
    </xf>
    <xf numFmtId="0" fontId="16" fillId="24" borderId="14" applyFill="0" applyBorder="0">
      <alignment horizontal="center" vertical="center"/>
    </xf>
    <xf numFmtId="0" fontId="16" fillId="24" borderId="15" applyNumberFormat="0" applyFill="0" applyBorder="0" applyProtection="0">
      <alignment horizontal="centerContinuous"/>
    </xf>
    <xf numFmtId="0" fontId="45" fillId="0" borderId="13" applyFill="0" applyBorder="0" applyProtection="0">
      <alignment vertical="center"/>
      <protection locked="0"/>
    </xf>
    <xf numFmtId="0" fontId="17" fillId="0" borderId="0" applyFill="0" applyBorder="0">
      <alignment vertical="center"/>
    </xf>
    <xf numFmtId="0" fontId="46" fillId="24" borderId="16" applyFill="0" applyBorder="0" applyAlignment="0">
      <alignment horizontal="center" vertical="center"/>
    </xf>
    <xf numFmtId="0" fontId="17" fillId="0" borderId="0" applyFill="0" applyBorder="0">
      <alignment horizontal="centerContinuous" vertical="center"/>
    </xf>
    <xf numFmtId="0" fontId="16" fillId="0" borderId="0" applyNumberFormat="0" applyFill="0" applyBorder="0">
      <alignment vertical="center"/>
    </xf>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0" fontId="21" fillId="0" borderId="17" applyNumberFormat="0" applyFill="0" applyAlignment="0" applyProtection="0"/>
    <xf numFmtId="165" fontId="16" fillId="42" borderId="18" applyNumberFormat="0" applyBorder="0">
      <alignment horizontal="left"/>
    </xf>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1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1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1"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8" borderId="0" applyNumberFormat="0" applyBorder="0" applyAlignment="0" applyProtection="0"/>
    <xf numFmtId="0" fontId="9" fillId="1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18" fillId="0" borderId="0"/>
    <xf numFmtId="0" fontId="18" fillId="0" borderId="0"/>
    <xf numFmtId="0" fontId="18" fillId="0" borderId="0"/>
    <xf numFmtId="0" fontId="18" fillId="0" borderId="0"/>
    <xf numFmtId="0" fontId="22" fillId="0" borderId="0"/>
    <xf numFmtId="0" fontId="7" fillId="0" borderId="0"/>
    <xf numFmtId="0" fontId="9" fillId="0" borderId="0"/>
    <xf numFmtId="0" fontId="49" fillId="0" borderId="0"/>
    <xf numFmtId="0" fontId="74" fillId="0" borderId="0"/>
    <xf numFmtId="43" fontId="18" fillId="0" borderId="0" applyFont="0" applyFill="0" applyBorder="0" applyAlignment="0" applyProtection="0"/>
    <xf numFmtId="0" fontId="18" fillId="0" borderId="0" applyFill="0" applyBorder="0">
      <alignment vertical="center"/>
    </xf>
    <xf numFmtId="0" fontId="6" fillId="0" borderId="0"/>
    <xf numFmtId="0" fontId="80" fillId="0" borderId="0" applyNumberFormat="0" applyFill="0" applyBorder="0" applyAlignment="0" applyProtection="0">
      <alignment vertical="top"/>
      <protection locked="0"/>
    </xf>
    <xf numFmtId="0" fontId="5" fillId="0" borderId="0"/>
    <xf numFmtId="0" fontId="4" fillId="0" borderId="0"/>
    <xf numFmtId="0" fontId="3" fillId="0" borderId="0"/>
  </cellStyleXfs>
  <cellXfs count="515">
    <xf numFmtId="0" fontId="0" fillId="0" borderId="0" xfId="0"/>
    <xf numFmtId="0" fontId="0" fillId="0" borderId="9" xfId="0" applyBorder="1"/>
    <xf numFmtId="0" fontId="18" fillId="0" borderId="0" xfId="2834"/>
    <xf numFmtId="0" fontId="17" fillId="0" borderId="0" xfId="10731" applyFont="1" applyAlignment="1">
      <alignment vertical="top"/>
    </xf>
    <xf numFmtId="0" fontId="17" fillId="0" borderId="20" xfId="10731" applyFont="1" applyBorder="1" applyAlignment="1">
      <alignment horizontal="left" vertical="top" wrapText="1"/>
    </xf>
    <xf numFmtId="1" fontId="17" fillId="0" borderId="20" xfId="10731" applyNumberFormat="1" applyFont="1" applyBorder="1" applyAlignment="1">
      <alignment horizontal="left" vertical="top" wrapText="1"/>
    </xf>
    <xf numFmtId="0" fontId="17" fillId="0" borderId="54" xfId="10731" applyFont="1" applyBorder="1" applyAlignment="1">
      <alignment horizontal="center" vertical="top" wrapText="1"/>
    </xf>
    <xf numFmtId="0" fontId="58" fillId="0" borderId="0" xfId="10732" applyFont="1" applyAlignment="1">
      <alignment vertical="top" wrapText="1"/>
    </xf>
    <xf numFmtId="0" fontId="46" fillId="42" borderId="52" xfId="10731" applyFont="1" applyFill="1" applyBorder="1" applyAlignment="1">
      <alignment horizontal="center" vertical="top" wrapText="1"/>
    </xf>
    <xf numFmtId="0" fontId="46" fillId="42" borderId="32" xfId="10731" applyFont="1" applyFill="1" applyBorder="1" applyAlignment="1">
      <alignment horizontal="center" vertical="top" wrapText="1"/>
    </xf>
    <xf numFmtId="0" fontId="46" fillId="42" borderId="44" xfId="10731" applyFont="1" applyFill="1" applyBorder="1" applyAlignment="1">
      <alignment horizontal="center" vertical="top" wrapText="1"/>
    </xf>
    <xf numFmtId="0" fontId="46" fillId="42" borderId="21" xfId="10731" applyFont="1" applyFill="1" applyBorder="1" applyAlignment="1">
      <alignment horizontal="center" vertical="top" wrapText="1"/>
    </xf>
    <xf numFmtId="0" fontId="46" fillId="42" borderId="32" xfId="10731" applyFont="1" applyFill="1" applyBorder="1" applyAlignment="1">
      <alignment horizontal="left" vertical="top" wrapText="1"/>
    </xf>
    <xf numFmtId="0" fontId="46" fillId="42" borderId="39" xfId="10731" applyFont="1" applyFill="1" applyBorder="1" applyAlignment="1">
      <alignment horizontal="center" vertical="top" wrapText="1"/>
    </xf>
    <xf numFmtId="0" fontId="18" fillId="0" borderId="9" xfId="0" applyFont="1" applyBorder="1"/>
    <xf numFmtId="0" fontId="17" fillId="0" borderId="0" xfId="10731" applyFont="1" applyAlignment="1">
      <alignment horizontal="center" vertical="top"/>
    </xf>
    <xf numFmtId="0" fontId="49" fillId="0" borderId="0" xfId="10734"/>
    <xf numFmtId="0" fontId="63" fillId="47" borderId="9" xfId="10734" applyFont="1" applyFill="1" applyBorder="1" applyAlignment="1" applyProtection="1">
      <alignment horizontal="left" vertical="top" wrapText="1"/>
      <protection locked="0"/>
    </xf>
    <xf numFmtId="0" fontId="49" fillId="0" borderId="0" xfId="10734" applyAlignment="1">
      <alignment vertical="top"/>
    </xf>
    <xf numFmtId="0" fontId="17" fillId="0" borderId="9" xfId="10731" applyFont="1" applyBorder="1" applyAlignment="1">
      <alignment vertical="top"/>
    </xf>
    <xf numFmtId="0" fontId="59" fillId="49" borderId="58" xfId="10732" applyFont="1" applyFill="1" applyBorder="1" applyAlignment="1">
      <alignment horizontal="center" vertical="center" wrapText="1"/>
    </xf>
    <xf numFmtId="0" fontId="59" fillId="49" borderId="4" xfId="10732" applyFont="1" applyFill="1" applyBorder="1" applyAlignment="1">
      <alignment horizontal="center" vertical="center" wrapText="1"/>
    </xf>
    <xf numFmtId="0" fontId="59" fillId="49" borderId="24" xfId="10732" applyFont="1" applyFill="1" applyBorder="1" applyAlignment="1">
      <alignment horizontal="center" vertical="center" wrapText="1"/>
    </xf>
    <xf numFmtId="9" fontId="69" fillId="45" borderId="48" xfId="10732" applyNumberFormat="1" applyFont="1" applyFill="1" applyBorder="1" applyAlignment="1">
      <alignment vertical="top" wrapText="1"/>
    </xf>
    <xf numFmtId="0" fontId="70" fillId="45" borderId="9" xfId="10732" applyFont="1" applyFill="1" applyBorder="1" applyAlignment="1">
      <alignment horizontal="center" vertical="center" wrapText="1"/>
    </xf>
    <xf numFmtId="9" fontId="69" fillId="45" borderId="37" xfId="10732" applyNumberFormat="1" applyFont="1" applyFill="1" applyBorder="1" applyAlignment="1">
      <alignment vertical="top" wrapText="1"/>
    </xf>
    <xf numFmtId="9" fontId="69" fillId="45" borderId="47" xfId="10732" applyNumberFormat="1" applyFont="1" applyFill="1" applyBorder="1" applyAlignment="1">
      <alignment vertical="top" wrapText="1"/>
    </xf>
    <xf numFmtId="0" fontId="70" fillId="45" borderId="29" xfId="10732" applyFont="1" applyFill="1" applyBorder="1" applyAlignment="1">
      <alignment horizontal="center" vertical="center" wrapText="1"/>
    </xf>
    <xf numFmtId="9" fontId="69" fillId="45" borderId="62" xfId="10732" applyNumberFormat="1" applyFont="1" applyFill="1" applyBorder="1" applyAlignment="1">
      <alignment vertical="top" wrapText="1"/>
    </xf>
    <xf numFmtId="0" fontId="59" fillId="49" borderId="63" xfId="10732" applyFont="1" applyFill="1" applyBorder="1" applyAlignment="1">
      <alignment horizontal="center" vertical="center" wrapText="1"/>
    </xf>
    <xf numFmtId="0" fontId="17" fillId="50" borderId="9" xfId="10731" applyFont="1" applyFill="1" applyBorder="1" applyAlignment="1">
      <alignment horizontal="left" vertical="top" wrapText="1"/>
    </xf>
    <xf numFmtId="0" fontId="49" fillId="0" borderId="0" xfId="10734" applyAlignment="1">
      <alignment horizontal="left" vertical="top"/>
    </xf>
    <xf numFmtId="0" fontId="59" fillId="55" borderId="58" xfId="10732" applyFont="1" applyFill="1" applyBorder="1" applyAlignment="1">
      <alignment horizontal="center" vertical="center" wrapText="1"/>
    </xf>
    <xf numFmtId="0" fontId="17" fillId="42" borderId="39" xfId="10731" applyFont="1" applyFill="1" applyBorder="1" applyAlignment="1">
      <alignment horizontal="center" vertical="top" wrapText="1"/>
    </xf>
    <xf numFmtId="0" fontId="17" fillId="42" borderId="32" xfId="10731" applyFont="1" applyFill="1" applyBorder="1" applyAlignment="1">
      <alignment horizontal="center" vertical="top" wrapText="1"/>
    </xf>
    <xf numFmtId="0" fontId="17" fillId="42" borderId="39" xfId="1044" applyFont="1" applyFill="1" applyBorder="1" applyAlignment="1" applyProtection="1">
      <alignment horizontal="left" vertical="top" wrapText="1"/>
      <protection locked="0"/>
    </xf>
    <xf numFmtId="0" fontId="17" fillId="42" borderId="24" xfId="10731" applyFont="1" applyFill="1" applyBorder="1" applyAlignment="1">
      <alignment horizontal="center" vertical="top" wrapText="1"/>
    </xf>
    <xf numFmtId="0" fontId="17" fillId="42" borderId="44" xfId="1044" applyFont="1" applyFill="1" applyBorder="1" applyAlignment="1" applyProtection="1">
      <alignment horizontal="left" vertical="top" wrapText="1"/>
      <protection locked="0"/>
    </xf>
    <xf numFmtId="0" fontId="17" fillId="42" borderId="44" xfId="10731" applyFont="1" applyFill="1" applyBorder="1" applyAlignment="1">
      <alignment horizontal="center" vertical="top" wrapText="1"/>
    </xf>
    <xf numFmtId="0" fontId="17" fillId="42" borderId="24" xfId="1044" applyFont="1" applyFill="1" applyBorder="1" applyAlignment="1" applyProtection="1">
      <alignment horizontal="left" vertical="top" wrapText="1"/>
      <protection locked="0"/>
    </xf>
    <xf numFmtId="0" fontId="17" fillId="42" borderId="21" xfId="1044" applyFont="1" applyFill="1" applyBorder="1" applyAlignment="1" applyProtection="1">
      <alignment horizontal="left" vertical="top" wrapText="1"/>
      <protection locked="0"/>
    </xf>
    <xf numFmtId="0" fontId="20" fillId="0" borderId="0" xfId="10735" applyFont="1"/>
    <xf numFmtId="0" fontId="18" fillId="0" borderId="0" xfId="10735" applyFont="1"/>
    <xf numFmtId="0" fontId="52" fillId="0" borderId="9" xfId="10735" applyFont="1" applyBorder="1" applyAlignment="1">
      <alignment horizontal="center"/>
    </xf>
    <xf numFmtId="0" fontId="52" fillId="0" borderId="9" xfId="10735" applyFont="1" applyBorder="1" applyAlignment="1">
      <alignment horizontal="center" wrapText="1"/>
    </xf>
    <xf numFmtId="168" fontId="18" fillId="0" borderId="9" xfId="10736" applyNumberFormat="1" applyFont="1" applyBorder="1" applyAlignment="1">
      <alignment horizontal="left" vertical="top"/>
    </xf>
    <xf numFmtId="167" fontId="18" fillId="0" borderId="9" xfId="10736" applyNumberFormat="1" applyFont="1" applyBorder="1" applyAlignment="1">
      <alignment horizontal="left" vertical="top" wrapText="1"/>
    </xf>
    <xf numFmtId="0" fontId="18" fillId="0" borderId="9" xfId="10735" applyFont="1" applyBorder="1" applyAlignment="1">
      <alignment horizontal="left" vertical="top" wrapText="1"/>
    </xf>
    <xf numFmtId="168" fontId="18" fillId="0" borderId="9" xfId="10736" applyNumberFormat="1" applyFont="1" applyBorder="1" applyAlignment="1">
      <alignment horizontal="left" vertical="top" wrapText="1"/>
    </xf>
    <xf numFmtId="167" fontId="18" fillId="0" borderId="9" xfId="10735" applyNumberFormat="1" applyFont="1" applyBorder="1" applyAlignment="1">
      <alignment horizontal="left" vertical="top" wrapText="1"/>
    </xf>
    <xf numFmtId="0" fontId="20" fillId="0" borderId="64" xfId="2497" applyBorder="1" applyAlignment="1">
      <alignment horizontal="center"/>
    </xf>
    <xf numFmtId="0" fontId="18" fillId="0" borderId="64" xfId="10737" applyBorder="1" applyAlignment="1"/>
    <xf numFmtId="0" fontId="18" fillId="0" borderId="65" xfId="2695" applyFont="1" applyBorder="1" applyAlignment="1">
      <alignment horizontal="right"/>
    </xf>
    <xf numFmtId="0" fontId="18" fillId="0" borderId="66" xfId="10737" applyBorder="1" applyAlignment="1">
      <alignment horizontal="left" vertical="top" wrapText="1"/>
    </xf>
    <xf numFmtId="0" fontId="18" fillId="0" borderId="0" xfId="10737" applyBorder="1" applyAlignment="1">
      <alignment horizontal="left" vertical="top" wrapText="1"/>
    </xf>
    <xf numFmtId="0" fontId="20" fillId="0" borderId="0" xfId="2497" applyBorder="1" applyAlignment="1">
      <alignment horizontal="center"/>
    </xf>
    <xf numFmtId="0" fontId="18" fillId="0" borderId="0" xfId="10737" applyBorder="1" applyAlignment="1"/>
    <xf numFmtId="0" fontId="18" fillId="0" borderId="0" xfId="2695" applyFont="1" applyBorder="1" applyAlignment="1">
      <alignment horizontal="right"/>
    </xf>
    <xf numFmtId="0" fontId="18" fillId="0" borderId="67" xfId="2695" applyFont="1" applyBorder="1" applyAlignment="1">
      <alignment horizontal="right"/>
    </xf>
    <xf numFmtId="0" fontId="46" fillId="0" borderId="69" xfId="2496" applyFont="1" applyBorder="1" applyAlignment="1">
      <alignment horizontal="right" vertical="top"/>
    </xf>
    <xf numFmtId="0" fontId="46" fillId="0" borderId="69" xfId="2496" applyFont="1" applyBorder="1" applyAlignment="1">
      <alignment horizontal="left" vertical="top"/>
    </xf>
    <xf numFmtId="0" fontId="20" fillId="0" borderId="71" xfId="10735" applyFont="1" applyBorder="1"/>
    <xf numFmtId="0" fontId="20" fillId="0" borderId="5" xfId="10735" applyFont="1" applyBorder="1"/>
    <xf numFmtId="0" fontId="18" fillId="0" borderId="5" xfId="10735" applyFont="1" applyBorder="1" applyAlignment="1">
      <alignment horizontal="left"/>
    </xf>
    <xf numFmtId="0" fontId="18" fillId="0" borderId="5" xfId="10735" applyFont="1" applyBorder="1"/>
    <xf numFmtId="0" fontId="18" fillId="0" borderId="72" xfId="10735" applyFont="1" applyBorder="1"/>
    <xf numFmtId="0" fontId="52" fillId="0" borderId="9" xfId="10735" applyFont="1" applyBorder="1" applyAlignment="1">
      <alignment horizontal="right"/>
    </xf>
    <xf numFmtId="15" fontId="18" fillId="0" borderId="0" xfId="10735" applyNumberFormat="1" applyFont="1" applyAlignment="1">
      <alignment horizontal="left"/>
    </xf>
    <xf numFmtId="0" fontId="18" fillId="0" borderId="0" xfId="10735" applyFont="1" applyAlignment="1">
      <alignment horizontal="left"/>
    </xf>
    <xf numFmtId="167" fontId="18" fillId="0" borderId="9" xfId="10735" applyNumberFormat="1" applyFont="1" applyBorder="1" applyAlignment="1">
      <alignment horizontal="left" vertical="top"/>
    </xf>
    <xf numFmtId="0" fontId="18" fillId="0" borderId="9" xfId="10735" applyFont="1" applyBorder="1" applyAlignment="1">
      <alignment horizontal="left" vertical="top"/>
    </xf>
    <xf numFmtId="0" fontId="16" fillId="0" borderId="0" xfId="10735" applyFont="1"/>
    <xf numFmtId="0" fontId="17" fillId="42" borderId="73" xfId="10731" applyFont="1" applyFill="1" applyBorder="1" applyAlignment="1">
      <alignment horizontal="center" vertical="top" wrapText="1"/>
    </xf>
    <xf numFmtId="0" fontId="17" fillId="0" borderId="9" xfId="10731" applyFont="1" applyBorder="1" applyAlignment="1">
      <alignment horizontal="left" vertical="top" wrapText="1"/>
    </xf>
    <xf numFmtId="0" fontId="79" fillId="39" borderId="9" xfId="2834" applyFont="1" applyFill="1" applyBorder="1" applyAlignment="1">
      <alignment horizontal="left" vertical="top" wrapText="1"/>
    </xf>
    <xf numFmtId="1" fontId="17" fillId="0" borderId="9" xfId="10731" applyNumberFormat="1" applyFont="1" applyBorder="1" applyAlignment="1">
      <alignment horizontal="left" vertical="top" wrapText="1"/>
    </xf>
    <xf numFmtId="2" fontId="17" fillId="0" borderId="9" xfId="10731" applyNumberFormat="1" applyFont="1" applyBorder="1" applyAlignment="1">
      <alignment horizontal="left" vertical="top" wrapText="1"/>
    </xf>
    <xf numFmtId="0" fontId="17" fillId="0" borderId="9" xfId="2834" applyFont="1" applyBorder="1" applyAlignment="1">
      <alignment horizontal="left" vertical="top" wrapText="1"/>
    </xf>
    <xf numFmtId="0" fontId="17" fillId="0" borderId="72" xfId="10731" applyFont="1" applyBorder="1" applyAlignment="1">
      <alignment horizontal="left" vertical="top" wrapText="1"/>
    </xf>
    <xf numFmtId="0" fontId="17" fillId="0" borderId="9" xfId="3336" applyNumberFormat="1" applyFont="1" applyBorder="1" applyAlignment="1">
      <alignment horizontal="center" vertical="top" wrapText="1"/>
    </xf>
    <xf numFmtId="0" fontId="17" fillId="0" borderId="42" xfId="10731" applyFont="1" applyBorder="1" applyAlignment="1">
      <alignment horizontal="left" vertical="top" wrapText="1"/>
    </xf>
    <xf numFmtId="2" fontId="17" fillId="0" borderId="19" xfId="10731" applyNumberFormat="1" applyFont="1" applyBorder="1" applyAlignment="1">
      <alignment horizontal="left" vertical="top" wrapText="1"/>
    </xf>
    <xf numFmtId="0" fontId="17" fillId="0" borderId="20" xfId="2834" applyFont="1" applyBorder="1" applyAlignment="1">
      <alignment horizontal="left" vertical="top" wrapText="1"/>
    </xf>
    <xf numFmtId="0" fontId="17" fillId="0" borderId="42" xfId="3336" applyNumberFormat="1" applyFont="1" applyBorder="1" applyAlignment="1">
      <alignment horizontal="left" vertical="top" wrapText="1"/>
    </xf>
    <xf numFmtId="0" fontId="17" fillId="0" borderId="20" xfId="3336" applyNumberFormat="1" applyFont="1" applyBorder="1" applyAlignment="1">
      <alignment horizontal="left" vertical="top" wrapText="1"/>
    </xf>
    <xf numFmtId="0" fontId="17" fillId="0" borderId="51" xfId="10731" applyFont="1" applyBorder="1" applyAlignment="1">
      <alignment horizontal="left" vertical="top" wrapText="1"/>
    </xf>
    <xf numFmtId="2" fontId="17" fillId="0" borderId="29" xfId="10731" applyNumberFormat="1" applyFont="1" applyBorder="1" applyAlignment="1">
      <alignment horizontal="left" vertical="top" wrapText="1"/>
    </xf>
    <xf numFmtId="0" fontId="17" fillId="0" borderId="25" xfId="10731" applyFont="1" applyBorder="1" applyAlignment="1">
      <alignment horizontal="left" vertical="top" wrapText="1"/>
    </xf>
    <xf numFmtId="0" fontId="17" fillId="0" borderId="55" xfId="10731" applyFont="1" applyBorder="1" applyAlignment="1">
      <alignment horizontal="center" vertical="top" wrapText="1"/>
    </xf>
    <xf numFmtId="1" fontId="17" fillId="0" borderId="29" xfId="10731" applyNumberFormat="1" applyFont="1" applyBorder="1" applyAlignment="1">
      <alignment horizontal="left" vertical="top" wrapText="1"/>
    </xf>
    <xf numFmtId="2" fontId="17" fillId="0" borderId="9" xfId="3336" applyNumberFormat="1" applyFont="1" applyBorder="1" applyAlignment="1">
      <alignment horizontal="left" vertical="top" wrapText="1"/>
    </xf>
    <xf numFmtId="0" fontId="17" fillId="0" borderId="5" xfId="10731" applyFont="1" applyBorder="1" applyAlignment="1">
      <alignment horizontal="left" vertical="top" wrapText="1"/>
    </xf>
    <xf numFmtId="0" fontId="17" fillId="0" borderId="9" xfId="3336" applyNumberFormat="1" applyFont="1" applyBorder="1" applyAlignment="1">
      <alignment horizontal="left" vertical="top" wrapText="1"/>
    </xf>
    <xf numFmtId="0" fontId="17" fillId="0" borderId="35" xfId="10731" applyFont="1" applyBorder="1" applyAlignment="1">
      <alignment horizontal="left" vertical="top" wrapText="1"/>
    </xf>
    <xf numFmtId="0" fontId="17" fillId="0" borderId="29" xfId="10731" applyFont="1" applyBorder="1" applyAlignment="1">
      <alignment horizontal="left" vertical="top" wrapText="1"/>
    </xf>
    <xf numFmtId="2" fontId="17" fillId="0" borderId="20" xfId="3336" applyNumberFormat="1" applyFont="1" applyBorder="1" applyAlignment="1">
      <alignment horizontal="left" vertical="top" wrapText="1"/>
    </xf>
    <xf numFmtId="2" fontId="17" fillId="0" borderId="20" xfId="10731" applyNumberFormat="1" applyFont="1" applyBorder="1" applyAlignment="1">
      <alignment horizontal="left" vertical="top" wrapText="1"/>
    </xf>
    <xf numFmtId="0" fontId="17" fillId="0" borderId="28" xfId="10731" applyFont="1" applyBorder="1" applyAlignment="1">
      <alignment horizontal="left" vertical="top" wrapText="1"/>
    </xf>
    <xf numFmtId="0" fontId="17" fillId="0" borderId="25" xfId="10731" applyFont="1" applyBorder="1" applyAlignment="1">
      <alignment horizontal="center" vertical="top" wrapText="1"/>
    </xf>
    <xf numFmtId="2" fontId="17" fillId="0" borderId="25" xfId="10731" applyNumberFormat="1" applyFont="1" applyBorder="1" applyAlignment="1">
      <alignment horizontal="left" vertical="top" wrapText="1"/>
    </xf>
    <xf numFmtId="0" fontId="17" fillId="0" borderId="36" xfId="10731" applyFont="1" applyBorder="1" applyAlignment="1">
      <alignment horizontal="left" vertical="top" wrapText="1"/>
    </xf>
    <xf numFmtId="0" fontId="17" fillId="0" borderId="22" xfId="10731" applyFont="1" applyBorder="1" applyAlignment="1">
      <alignment horizontal="left" vertical="top" wrapText="1"/>
    </xf>
    <xf numFmtId="1" fontId="17" fillId="0" borderId="22" xfId="10731" applyNumberFormat="1" applyFont="1" applyBorder="1" applyAlignment="1">
      <alignment horizontal="left" vertical="top" wrapText="1"/>
    </xf>
    <xf numFmtId="2" fontId="17" fillId="0" borderId="22" xfId="3336" applyNumberFormat="1" applyFont="1" applyBorder="1" applyAlignment="1">
      <alignment horizontal="center" vertical="top" wrapText="1"/>
    </xf>
    <xf numFmtId="0" fontId="17" fillId="0" borderId="22" xfId="2834" applyFont="1" applyBorder="1" applyAlignment="1">
      <alignment horizontal="left" vertical="top" wrapText="1"/>
    </xf>
    <xf numFmtId="0" fontId="17" fillId="0" borderId="22" xfId="10731" applyFont="1" applyBorder="1" applyAlignment="1">
      <alignment horizontal="center" vertical="top" wrapText="1"/>
    </xf>
    <xf numFmtId="0" fontId="17" fillId="0" borderId="74" xfId="10731" applyFont="1" applyBorder="1" applyAlignment="1">
      <alignment horizontal="left" vertical="top" wrapText="1"/>
    </xf>
    <xf numFmtId="2" fontId="17" fillId="0" borderId="36" xfId="3336" applyNumberFormat="1" applyFont="1" applyBorder="1" applyAlignment="1">
      <alignment horizontal="center" vertical="top" wrapText="1"/>
    </xf>
    <xf numFmtId="0" fontId="17" fillId="0" borderId="56" xfId="10731" applyFont="1" applyBorder="1" applyAlignment="1">
      <alignment horizontal="left" vertical="top" wrapText="1"/>
    </xf>
    <xf numFmtId="0" fontId="17" fillId="0" borderId="75" xfId="10731" applyFont="1" applyBorder="1" applyAlignment="1">
      <alignment horizontal="center" vertical="top" wrapText="1"/>
    </xf>
    <xf numFmtId="0" fontId="17" fillId="0" borderId="50" xfId="10731" applyFont="1" applyBorder="1" applyAlignment="1">
      <alignment horizontal="center" vertical="top" wrapText="1"/>
    </xf>
    <xf numFmtId="0" fontId="17" fillId="0" borderId="0" xfId="10731" applyFont="1" applyAlignment="1">
      <alignment horizontal="left" vertical="top" wrapText="1"/>
    </xf>
    <xf numFmtId="1" fontId="17" fillId="0" borderId="0" xfId="10731" applyNumberFormat="1" applyFont="1" applyAlignment="1">
      <alignment horizontal="left" vertical="top" wrapText="1"/>
    </xf>
    <xf numFmtId="2" fontId="17" fillId="0" borderId="0" xfId="3336" applyNumberFormat="1" applyFont="1" applyBorder="1" applyAlignment="1">
      <alignment horizontal="center" vertical="top" wrapText="1"/>
    </xf>
    <xf numFmtId="0" fontId="17" fillId="0" borderId="0" xfId="2834" applyFont="1" applyAlignment="1">
      <alignment horizontal="left" vertical="top" wrapText="1"/>
    </xf>
    <xf numFmtId="0" fontId="17" fillId="0" borderId="0" xfId="10731" applyFont="1" applyAlignment="1">
      <alignment horizontal="center" vertical="top" wrapText="1"/>
    </xf>
    <xf numFmtId="0" fontId="57" fillId="55" borderId="39" xfId="10738" applyFont="1" applyFill="1" applyBorder="1" applyAlignment="1">
      <alignment vertical="top" wrapText="1"/>
    </xf>
    <xf numFmtId="0" fontId="53" fillId="0" borderId="33" xfId="10738" applyFont="1" applyBorder="1" applyAlignment="1">
      <alignment vertical="top" wrapText="1"/>
    </xf>
    <xf numFmtId="0" fontId="46" fillId="42" borderId="33" xfId="10731" applyFont="1" applyFill="1" applyBorder="1" applyAlignment="1">
      <alignment horizontal="center" vertical="top" wrapText="1"/>
    </xf>
    <xf numFmtId="0" fontId="53" fillId="0" borderId="37" xfId="10738" applyFont="1" applyBorder="1" applyAlignment="1">
      <alignment horizontal="left" vertical="top" wrapText="1"/>
    </xf>
    <xf numFmtId="0" fontId="53" fillId="0" borderId="31" xfId="10738" applyFont="1" applyBorder="1" applyAlignment="1">
      <alignment horizontal="left" vertical="top" wrapText="1"/>
    </xf>
    <xf numFmtId="0" fontId="53" fillId="0" borderId="31" xfId="10738" applyFont="1" applyBorder="1" applyAlignment="1">
      <alignment horizontal="center" vertical="center" wrapText="1"/>
    </xf>
    <xf numFmtId="0" fontId="53" fillId="0" borderId="9" xfId="10738" applyFont="1" applyBorder="1" applyAlignment="1" applyProtection="1">
      <alignment horizontal="center" vertical="center" wrapText="1"/>
      <protection locked="0"/>
    </xf>
    <xf numFmtId="0" fontId="53" fillId="0" borderId="76" xfId="10738" applyFont="1" applyBorder="1" applyAlignment="1">
      <alignment horizontal="center" vertical="center" wrapText="1"/>
    </xf>
    <xf numFmtId="9" fontId="53" fillId="0" borderId="31" xfId="10738" applyNumberFormat="1" applyFont="1" applyBorder="1" applyAlignment="1">
      <alignment horizontal="center" vertical="center" wrapText="1"/>
    </xf>
    <xf numFmtId="0" fontId="53" fillId="0" borderId="31" xfId="10738" applyFont="1" applyBorder="1" applyAlignment="1">
      <alignment vertical="center" wrapText="1"/>
    </xf>
    <xf numFmtId="0" fontId="53" fillId="0" borderId="57" xfId="10738" applyFont="1" applyBorder="1" applyAlignment="1">
      <alignment vertical="center" wrapText="1"/>
    </xf>
    <xf numFmtId="0" fontId="53" fillId="0" borderId="25" xfId="10738" applyFont="1" applyBorder="1" applyAlignment="1">
      <alignment horizontal="left" vertical="top" wrapText="1"/>
    </xf>
    <xf numFmtId="0" fontId="53" fillId="0" borderId="9" xfId="10738" applyFont="1" applyBorder="1" applyAlignment="1">
      <alignment horizontal="left" vertical="top" wrapText="1"/>
    </xf>
    <xf numFmtId="0" fontId="53" fillId="0" borderId="20" xfId="10738" applyFont="1" applyBorder="1" applyAlignment="1">
      <alignment horizontal="center" vertical="center" wrapText="1"/>
    </xf>
    <xf numFmtId="0" fontId="53" fillId="0" borderId="9" xfId="10738" applyFont="1" applyBorder="1" applyAlignment="1">
      <alignment horizontal="center" vertical="center" wrapText="1"/>
    </xf>
    <xf numFmtId="0" fontId="53" fillId="0" borderId="51" xfId="10738" applyFont="1" applyBorder="1" applyAlignment="1">
      <alignment horizontal="center" vertical="center" wrapText="1"/>
    </xf>
    <xf numFmtId="9" fontId="53" fillId="0" borderId="20" xfId="10738" applyNumberFormat="1" applyFont="1" applyBorder="1" applyAlignment="1">
      <alignment horizontal="center" vertical="center" wrapText="1"/>
    </xf>
    <xf numFmtId="0" fontId="53" fillId="0" borderId="20" xfId="10738" applyFont="1" applyBorder="1" applyAlignment="1">
      <alignment vertical="center" wrapText="1"/>
    </xf>
    <xf numFmtId="0" fontId="53" fillId="0" borderId="9" xfId="10738" applyFont="1" applyBorder="1" applyAlignment="1">
      <alignment vertical="center" wrapText="1"/>
    </xf>
    <xf numFmtId="0" fontId="53" fillId="0" borderId="55" xfId="10738" applyFont="1" applyBorder="1" applyAlignment="1">
      <alignment vertical="center" wrapText="1"/>
    </xf>
    <xf numFmtId="0" fontId="53" fillId="0" borderId="36" xfId="10738" applyFont="1" applyBorder="1" applyAlignment="1">
      <alignment horizontal="left" vertical="top" wrapText="1"/>
    </xf>
    <xf numFmtId="0" fontId="53" fillId="0" borderId="22" xfId="10738" applyFont="1" applyBorder="1" applyAlignment="1">
      <alignment horizontal="left" vertical="top" wrapText="1"/>
    </xf>
    <xf numFmtId="0" fontId="53" fillId="0" borderId="34" xfId="10738" applyFont="1" applyBorder="1" applyAlignment="1">
      <alignment horizontal="center" vertical="center" wrapText="1"/>
    </xf>
    <xf numFmtId="0" fontId="53" fillId="0" borderId="22" xfId="10738" applyFont="1" applyBorder="1" applyAlignment="1">
      <alignment horizontal="center" vertical="center" wrapText="1"/>
    </xf>
    <xf numFmtId="0" fontId="53" fillId="0" borderId="77" xfId="10738" applyFont="1" applyBorder="1" applyAlignment="1">
      <alignment horizontal="center" vertical="center" wrapText="1"/>
    </xf>
    <xf numFmtId="9" fontId="53" fillId="0" borderId="34" xfId="10738" applyNumberFormat="1" applyFont="1" applyBorder="1" applyAlignment="1">
      <alignment horizontal="center" vertical="center" wrapText="1"/>
    </xf>
    <xf numFmtId="0" fontId="53" fillId="0" borderId="34" xfId="10738" applyFont="1" applyBorder="1" applyAlignment="1">
      <alignment vertical="center" wrapText="1"/>
    </xf>
    <xf numFmtId="0" fontId="53" fillId="0" borderId="22" xfId="10738" applyFont="1" applyBorder="1" applyAlignment="1">
      <alignment vertical="center" wrapText="1"/>
    </xf>
    <xf numFmtId="0" fontId="53" fillId="0" borderId="50" xfId="10738" applyFont="1" applyBorder="1" applyAlignment="1">
      <alignment vertical="center" wrapText="1"/>
    </xf>
    <xf numFmtId="0" fontId="58" fillId="0" borderId="0" xfId="10738" applyFont="1" applyAlignment="1">
      <alignment vertical="top" wrapText="1"/>
    </xf>
    <xf numFmtId="0" fontId="53" fillId="0" borderId="33" xfId="10738" applyFont="1" applyBorder="1" applyAlignment="1" applyProtection="1">
      <alignment vertical="top" wrapText="1"/>
      <protection locked="0"/>
    </xf>
    <xf numFmtId="0" fontId="46" fillId="42" borderId="53" xfId="10731" applyFont="1" applyFill="1" applyBorder="1" applyAlignment="1">
      <alignment horizontal="center" vertical="top" wrapText="1"/>
    </xf>
    <xf numFmtId="0" fontId="46" fillId="42" borderId="46" xfId="10731" applyFont="1" applyFill="1" applyBorder="1" applyAlignment="1">
      <alignment horizontal="center" vertical="top" wrapText="1"/>
    </xf>
    <xf numFmtId="0" fontId="53" fillId="56" borderId="9" xfId="10738" applyFont="1" applyFill="1" applyBorder="1" applyAlignment="1">
      <alignment horizontal="center" vertical="center" wrapText="1"/>
    </xf>
    <xf numFmtId="9" fontId="53" fillId="56" borderId="31" xfId="10738" applyNumberFormat="1" applyFont="1" applyFill="1" applyBorder="1" applyAlignment="1">
      <alignment horizontal="center" vertical="center" wrapText="1"/>
    </xf>
    <xf numFmtId="9" fontId="53" fillId="56" borderId="52" xfId="10738" applyNumberFormat="1" applyFont="1" applyFill="1" applyBorder="1" applyAlignment="1">
      <alignment horizontal="center" vertical="center" wrapText="1"/>
    </xf>
    <xf numFmtId="0" fontId="53" fillId="0" borderId="31" xfId="10738" applyFont="1" applyBorder="1" applyAlignment="1" applyProtection="1">
      <alignment vertical="center" wrapText="1"/>
      <protection locked="0"/>
    </xf>
    <xf numFmtId="0" fontId="53" fillId="0" borderId="57" xfId="10738" applyFont="1" applyBorder="1" applyAlignment="1" applyProtection="1">
      <alignment vertical="center" wrapText="1"/>
      <protection locked="0"/>
    </xf>
    <xf numFmtId="0" fontId="53" fillId="56" borderId="9" xfId="10738" applyFont="1" applyFill="1" applyBorder="1" applyAlignment="1">
      <alignment horizontal="center" vertical="top" wrapText="1"/>
    </xf>
    <xf numFmtId="0" fontId="53" fillId="0" borderId="9" xfId="10738" applyFont="1" applyBorder="1" applyAlignment="1" applyProtection="1">
      <alignment vertical="top" wrapText="1"/>
      <protection locked="0"/>
    </xf>
    <xf numFmtId="0" fontId="53" fillId="0" borderId="55" xfId="10738" applyFont="1" applyBorder="1" applyAlignment="1" applyProtection="1">
      <alignment vertical="center" wrapText="1"/>
      <protection locked="0"/>
    </xf>
    <xf numFmtId="9" fontId="53" fillId="56" borderId="20" xfId="10738" applyNumberFormat="1" applyFont="1" applyFill="1" applyBorder="1" applyAlignment="1">
      <alignment horizontal="center" vertical="center" wrapText="1"/>
    </xf>
    <xf numFmtId="0" fontId="53" fillId="0" borderId="9" xfId="10738" applyFont="1" applyBorder="1" applyAlignment="1" applyProtection="1">
      <alignment vertical="center" wrapText="1"/>
      <protection locked="0"/>
    </xf>
    <xf numFmtId="0" fontId="53" fillId="0" borderId="25" xfId="10738" applyFont="1" applyBorder="1" applyAlignment="1" applyProtection="1">
      <alignment horizontal="left" vertical="top" wrapText="1"/>
      <protection locked="0"/>
    </xf>
    <xf numFmtId="0" fontId="53" fillId="0" borderId="9" xfId="10738" applyFont="1" applyBorder="1" applyAlignment="1" applyProtection="1">
      <alignment horizontal="left" vertical="top" wrapText="1"/>
      <protection locked="0"/>
    </xf>
    <xf numFmtId="0" fontId="53" fillId="0" borderId="36" xfId="10738" applyFont="1" applyBorder="1" applyAlignment="1" applyProtection="1">
      <alignment horizontal="left" vertical="top" wrapText="1"/>
      <protection locked="0"/>
    </xf>
    <xf numFmtId="0" fontId="53" fillId="0" borderId="22" xfId="10738" applyFont="1" applyBorder="1" applyAlignment="1" applyProtection="1">
      <alignment horizontal="left" vertical="top" wrapText="1"/>
      <protection locked="0"/>
    </xf>
    <xf numFmtId="0" fontId="53" fillId="0" borderId="22" xfId="10738" applyFont="1" applyBorder="1" applyAlignment="1" applyProtection="1">
      <alignment horizontal="center" vertical="center" wrapText="1"/>
      <protection locked="0"/>
    </xf>
    <xf numFmtId="0" fontId="53" fillId="56" borderId="22" xfId="10738" applyFont="1" applyFill="1" applyBorder="1" applyAlignment="1">
      <alignment horizontal="center" vertical="center" wrapText="1"/>
    </xf>
    <xf numFmtId="9" fontId="53" fillId="56" borderId="34" xfId="10738" applyNumberFormat="1" applyFont="1" applyFill="1" applyBorder="1" applyAlignment="1">
      <alignment horizontal="center" vertical="center" wrapText="1"/>
    </xf>
    <xf numFmtId="9" fontId="53" fillId="56" borderId="32" xfId="10738" applyNumberFormat="1" applyFont="1" applyFill="1" applyBorder="1" applyAlignment="1">
      <alignment horizontal="center" vertical="center" wrapText="1"/>
    </xf>
    <xf numFmtId="0" fontId="53" fillId="0" borderId="22" xfId="10738" applyFont="1" applyBorder="1" applyAlignment="1" applyProtection="1">
      <alignment vertical="center" wrapText="1"/>
      <protection locked="0"/>
    </xf>
    <xf numFmtId="0" fontId="53" fillId="0" borderId="50" xfId="10738" applyFont="1" applyBorder="1" applyAlignment="1" applyProtection="1">
      <alignment vertical="center" wrapText="1"/>
      <protection locked="0"/>
    </xf>
    <xf numFmtId="0" fontId="53" fillId="56" borderId="20" xfId="10738" applyFont="1" applyFill="1" applyBorder="1" applyAlignment="1">
      <alignment vertical="center" wrapText="1"/>
    </xf>
    <xf numFmtId="0" fontId="53" fillId="56" borderId="34" xfId="10738" applyFont="1" applyFill="1" applyBorder="1" applyAlignment="1">
      <alignment vertical="center" wrapText="1"/>
    </xf>
    <xf numFmtId="0" fontId="58" fillId="0" borderId="0" xfId="10738" applyFont="1" applyAlignment="1" applyProtection="1">
      <alignment vertical="top" wrapText="1"/>
      <protection locked="0"/>
    </xf>
    <xf numFmtId="0" fontId="17" fillId="56" borderId="9" xfId="10731" applyFont="1" applyFill="1" applyBorder="1" applyAlignment="1">
      <alignment vertical="top"/>
    </xf>
    <xf numFmtId="0" fontId="54" fillId="46" borderId="27" xfId="2834" applyFont="1" applyFill="1" applyBorder="1" applyAlignment="1">
      <alignment vertical="top"/>
    </xf>
    <xf numFmtId="0" fontId="18" fillId="46" borderId="27" xfId="2834" applyFill="1" applyBorder="1" applyAlignment="1">
      <alignment vertical="top" wrapText="1"/>
    </xf>
    <xf numFmtId="0" fontId="18" fillId="46" borderId="27" xfId="2834" applyFill="1" applyBorder="1" applyAlignment="1">
      <alignment vertical="top"/>
    </xf>
    <xf numFmtId="0" fontId="18" fillId="46" borderId="23" xfId="2834" applyFill="1" applyBorder="1" applyAlignment="1">
      <alignment vertical="top"/>
    </xf>
    <xf numFmtId="0" fontId="18" fillId="0" borderId="0" xfId="2834" applyAlignment="1">
      <alignment vertical="top"/>
    </xf>
    <xf numFmtId="0" fontId="18" fillId="0" borderId="0" xfId="2834" applyAlignment="1">
      <alignment horizontal="center" vertical="top"/>
    </xf>
    <xf numFmtId="0" fontId="19" fillId="57" borderId="59" xfId="10733" applyFont="1" applyFill="1" applyBorder="1" applyAlignment="1">
      <alignment horizontal="left" vertical="top" wrapText="1"/>
    </xf>
    <xf numFmtId="0" fontId="65" fillId="47" borderId="9" xfId="10734" applyFont="1" applyFill="1" applyBorder="1" applyAlignment="1" applyProtection="1">
      <alignment horizontal="left" vertical="top" wrapText="1"/>
      <protection locked="0"/>
    </xf>
    <xf numFmtId="0" fontId="66" fillId="47" borderId="9" xfId="10734" applyFont="1" applyFill="1" applyBorder="1" applyAlignment="1" applyProtection="1">
      <alignment vertical="top" wrapText="1"/>
      <protection locked="0"/>
    </xf>
    <xf numFmtId="0" fontId="53" fillId="0" borderId="31" xfId="10738" applyFont="1" applyBorder="1" applyAlignment="1" applyProtection="1">
      <alignment horizontal="center" vertical="center" wrapText="1"/>
      <protection locked="0"/>
    </xf>
    <xf numFmtId="0" fontId="53" fillId="0" borderId="76" xfId="10738" applyFont="1" applyBorder="1" applyAlignment="1" applyProtection="1">
      <alignment horizontal="center" vertical="center" wrapText="1"/>
      <protection locked="0"/>
    </xf>
    <xf numFmtId="0" fontId="53" fillId="56" borderId="52" xfId="10738" applyFont="1" applyFill="1" applyBorder="1" applyAlignment="1">
      <alignment vertical="center" wrapText="1"/>
    </xf>
    <xf numFmtId="9" fontId="53" fillId="56" borderId="20" xfId="10738" applyNumberFormat="1" applyFont="1" applyFill="1" applyBorder="1" applyAlignment="1">
      <alignment horizontal="center" vertical="top" wrapText="1"/>
    </xf>
    <xf numFmtId="0" fontId="53" fillId="56" borderId="9" xfId="10738" applyFont="1" applyFill="1" applyBorder="1" applyAlignment="1">
      <alignment vertical="center" wrapText="1"/>
    </xf>
    <xf numFmtId="0" fontId="19" fillId="58" borderId="53" xfId="10733" applyFont="1" applyFill="1" applyBorder="1" applyAlignment="1">
      <alignment horizontal="left" vertical="top" wrapText="1"/>
    </xf>
    <xf numFmtId="0" fontId="19" fillId="58" borderId="52" xfId="10733" applyFont="1" applyFill="1" applyBorder="1" applyAlignment="1">
      <alignment horizontal="left" vertical="top" wrapText="1"/>
    </xf>
    <xf numFmtId="0" fontId="46" fillId="48" borderId="32" xfId="10731" applyFont="1" applyFill="1" applyBorder="1" applyAlignment="1">
      <alignment horizontal="center" vertical="top" wrapText="1"/>
    </xf>
    <xf numFmtId="0" fontId="46" fillId="48" borderId="32" xfId="1044" applyFont="1" applyFill="1" applyBorder="1" applyAlignment="1">
      <alignment horizontal="left" vertical="top" wrapText="1"/>
    </xf>
    <xf numFmtId="0" fontId="46" fillId="48" borderId="33" xfId="1044" applyFont="1" applyFill="1" applyBorder="1" applyAlignment="1">
      <alignment horizontal="left" vertical="top" wrapText="1"/>
    </xf>
    <xf numFmtId="0" fontId="17" fillId="61" borderId="0" xfId="10731" applyFont="1" applyFill="1" applyAlignment="1">
      <alignment vertical="top" wrapText="1"/>
    </xf>
    <xf numFmtId="0" fontId="17" fillId="0" borderId="26" xfId="10731" applyFont="1" applyBorder="1" applyAlignment="1" applyProtection="1">
      <alignment horizontal="left" vertical="top" wrapText="1"/>
      <protection locked="0"/>
    </xf>
    <xf numFmtId="0" fontId="17" fillId="0" borderId="20" xfId="10731" applyFont="1" applyBorder="1" applyAlignment="1" applyProtection="1">
      <alignment horizontal="left" vertical="top" wrapText="1"/>
      <protection locked="0"/>
    </xf>
    <xf numFmtId="0" fontId="17" fillId="50" borderId="9" xfId="10731" applyFont="1" applyFill="1" applyBorder="1" applyAlignment="1" applyProtection="1">
      <alignment horizontal="left" vertical="top" wrapText="1"/>
      <protection locked="0"/>
    </xf>
    <xf numFmtId="1" fontId="17" fillId="0" borderId="20" xfId="10731" applyNumberFormat="1" applyFont="1" applyBorder="1" applyAlignment="1" applyProtection="1">
      <alignment horizontal="left" vertical="top" wrapText="1"/>
      <protection locked="0"/>
    </xf>
    <xf numFmtId="2" fontId="17" fillId="0" borderId="20" xfId="10731" applyNumberFormat="1" applyFont="1" applyBorder="1" applyAlignment="1" applyProtection="1">
      <alignment horizontal="left" vertical="top" wrapText="1"/>
      <protection locked="0"/>
    </xf>
    <xf numFmtId="0" fontId="17" fillId="0" borderId="20" xfId="0" applyFont="1" applyBorder="1" applyAlignment="1" applyProtection="1">
      <alignment horizontal="left" vertical="top" wrapText="1"/>
      <protection locked="0"/>
    </xf>
    <xf numFmtId="0" fontId="17" fillId="0" borderId="20" xfId="10731" applyFont="1" applyBorder="1" applyAlignment="1" applyProtection="1">
      <alignment horizontal="center" vertical="top" wrapText="1"/>
      <protection locked="0"/>
    </xf>
    <xf numFmtId="0" fontId="17" fillId="43" borderId="9" xfId="10731" applyFont="1" applyFill="1" applyBorder="1" applyAlignment="1" applyProtection="1">
      <alignment horizontal="left" vertical="top" wrapText="1"/>
      <protection locked="0"/>
    </xf>
    <xf numFmtId="0" fontId="17" fillId="0" borderId="42" xfId="10731" applyFont="1" applyBorder="1" applyAlignment="1" applyProtection="1">
      <alignment horizontal="center" vertical="top" wrapText="1"/>
      <protection locked="0"/>
    </xf>
    <xf numFmtId="0" fontId="17" fillId="0" borderId="54" xfId="10731" applyFont="1" applyBorder="1" applyAlignment="1" applyProtection="1">
      <alignment horizontal="center" vertical="top" wrapText="1"/>
      <protection locked="0"/>
    </xf>
    <xf numFmtId="0" fontId="49" fillId="43" borderId="9" xfId="10734" applyFill="1" applyBorder="1" applyAlignment="1">
      <alignment horizontal="left" vertical="top"/>
    </xf>
    <xf numFmtId="0" fontId="19" fillId="57" borderId="61" xfId="10733" applyFont="1" applyFill="1" applyBorder="1" applyAlignment="1">
      <alignment horizontal="left" vertical="top" wrapText="1"/>
    </xf>
    <xf numFmtId="0" fontId="68" fillId="44" borderId="29" xfId="10734" applyFont="1" applyFill="1" applyBorder="1" applyAlignment="1">
      <alignment horizontal="left" vertical="top"/>
    </xf>
    <xf numFmtId="0" fontId="68" fillId="44" borderId="9" xfId="10734" applyFont="1" applyFill="1" applyBorder="1" applyAlignment="1">
      <alignment horizontal="left" vertical="top"/>
    </xf>
    <xf numFmtId="0" fontId="19" fillId="62" borderId="9" xfId="10733" applyFont="1" applyFill="1" applyBorder="1" applyAlignment="1">
      <alignment horizontal="left" vertical="top" wrapText="1"/>
    </xf>
    <xf numFmtId="0" fontId="46" fillId="43" borderId="39" xfId="10731" applyFont="1" applyFill="1" applyBorder="1" applyAlignment="1">
      <alignment horizontal="center" vertical="top" wrapText="1"/>
    </xf>
    <xf numFmtId="0" fontId="46" fillId="43" borderId="32" xfId="10731" applyFont="1" applyFill="1" applyBorder="1" applyAlignment="1">
      <alignment horizontal="center" vertical="top" wrapText="1"/>
    </xf>
    <xf numFmtId="0" fontId="19" fillId="62" borderId="32" xfId="10733" applyFont="1" applyFill="1" applyBorder="1" applyAlignment="1">
      <alignment horizontal="left" vertical="top" wrapText="1"/>
    </xf>
    <xf numFmtId="0" fontId="19" fillId="62" borderId="33" xfId="10733" applyFont="1" applyFill="1" applyBorder="1" applyAlignment="1">
      <alignment horizontal="left" vertical="top" wrapText="1"/>
    </xf>
    <xf numFmtId="0" fontId="49" fillId="61" borderId="0" xfId="10734" applyFill="1" applyAlignment="1">
      <alignment horizontal="left" vertical="top"/>
    </xf>
    <xf numFmtId="0" fontId="49" fillId="46" borderId="9" xfId="10734" applyFill="1" applyBorder="1" applyAlignment="1">
      <alignment horizontal="left" vertical="top" wrapText="1"/>
    </xf>
    <xf numFmtId="0" fontId="49" fillId="59" borderId="9" xfId="10734" applyFill="1" applyBorder="1" applyAlignment="1">
      <alignment horizontal="left" vertical="top" wrapText="1"/>
    </xf>
    <xf numFmtId="0" fontId="49" fillId="46" borderId="9" xfId="10734" applyFill="1" applyBorder="1" applyAlignment="1">
      <alignment horizontal="left" vertical="top"/>
    </xf>
    <xf numFmtId="0" fontId="63" fillId="46" borderId="9" xfId="10734" applyFont="1" applyFill="1" applyBorder="1" applyAlignment="1">
      <alignment horizontal="left" vertical="top" wrapText="1"/>
    </xf>
    <xf numFmtId="0" fontId="49" fillId="46" borderId="35" xfId="10734" applyFill="1" applyBorder="1" applyAlignment="1">
      <alignment horizontal="left" vertical="top"/>
    </xf>
    <xf numFmtId="0" fontId="58" fillId="0" borderId="42" xfId="10738" applyFont="1" applyBorder="1" applyAlignment="1">
      <alignment vertical="top" wrapText="1"/>
    </xf>
    <xf numFmtId="0" fontId="60" fillId="43" borderId="20" xfId="10738" applyFont="1" applyFill="1" applyBorder="1" applyAlignment="1">
      <alignment vertical="top" wrapText="1"/>
    </xf>
    <xf numFmtId="0" fontId="58" fillId="43" borderId="20" xfId="10738" applyFont="1" applyFill="1" applyBorder="1" applyAlignment="1">
      <alignment vertical="top" wrapText="1"/>
    </xf>
    <xf numFmtId="0" fontId="60" fillId="43" borderId="41" xfId="10738" applyFont="1" applyFill="1" applyBorder="1" applyAlignment="1">
      <alignment vertical="top" wrapText="1"/>
    </xf>
    <xf numFmtId="0" fontId="49" fillId="43" borderId="20" xfId="10734" applyFill="1" applyBorder="1" applyAlignment="1">
      <alignment horizontal="left" vertical="top"/>
    </xf>
    <xf numFmtId="0" fontId="46" fillId="42" borderId="25" xfId="10731" applyFont="1" applyFill="1" applyBorder="1" applyAlignment="1">
      <alignment horizontal="left" vertical="top" wrapText="1"/>
    </xf>
    <xf numFmtId="0" fontId="60" fillId="0" borderId="9" xfId="10738" applyFont="1" applyBorder="1" applyAlignment="1">
      <alignment vertical="top" wrapText="1"/>
    </xf>
    <xf numFmtId="0" fontId="53" fillId="0" borderId="27" xfId="10738" applyFont="1" applyBorder="1" applyAlignment="1">
      <alignment vertical="top" wrapText="1"/>
    </xf>
    <xf numFmtId="0" fontId="49" fillId="59" borderId="9" xfId="10734" applyFill="1" applyBorder="1" applyAlignment="1">
      <alignment horizontal="left" vertical="top"/>
    </xf>
    <xf numFmtId="0" fontId="49" fillId="46" borderId="0" xfId="10734" applyFill="1" applyAlignment="1">
      <alignment horizontal="left" vertical="top"/>
    </xf>
    <xf numFmtId="0" fontId="58" fillId="0" borderId="9" xfId="10738" applyFont="1" applyBorder="1" applyAlignment="1">
      <alignment vertical="top" wrapText="1"/>
    </xf>
    <xf numFmtId="0" fontId="59" fillId="0" borderId="25" xfId="10738" applyFont="1" applyBorder="1" applyAlignment="1">
      <alignment vertical="top" wrapText="1"/>
    </xf>
    <xf numFmtId="0" fontId="60" fillId="43" borderId="9" xfId="10738" applyFont="1" applyFill="1" applyBorder="1" applyAlignment="1">
      <alignment vertical="top" wrapText="1"/>
    </xf>
    <xf numFmtId="2" fontId="49" fillId="46" borderId="0" xfId="10734" applyNumberFormat="1" applyFill="1" applyAlignment="1">
      <alignment horizontal="left" vertical="top"/>
    </xf>
    <xf numFmtId="0" fontId="46" fillId="42" borderId="36" xfId="10731" applyFont="1" applyFill="1" applyBorder="1" applyAlignment="1">
      <alignment horizontal="left" vertical="top" wrapText="1"/>
    </xf>
    <xf numFmtId="0" fontId="60" fillId="0" borderId="22" xfId="10738" applyFont="1" applyBorder="1" applyAlignment="1">
      <alignment vertical="top" wrapText="1"/>
    </xf>
    <xf numFmtId="0" fontId="53" fillId="0" borderId="23" xfId="10738" applyFont="1" applyBorder="1" applyAlignment="1">
      <alignment vertical="top" wrapText="1"/>
    </xf>
    <xf numFmtId="0" fontId="46" fillId="42" borderId="39" xfId="10731" applyFont="1" applyFill="1" applyBorder="1" applyAlignment="1">
      <alignment horizontal="left" vertical="top" wrapText="1"/>
    </xf>
    <xf numFmtId="0" fontId="46" fillId="42" borderId="21" xfId="10731" applyFont="1" applyFill="1" applyBorder="1" applyAlignment="1">
      <alignment horizontal="left" vertical="top" wrapText="1"/>
    </xf>
    <xf numFmtId="9" fontId="60" fillId="0" borderId="37" xfId="10738" applyNumberFormat="1" applyFont="1" applyBorder="1" applyAlignment="1">
      <alignment vertical="top" wrapText="1"/>
    </xf>
    <xf numFmtId="9" fontId="60" fillId="0" borderId="48" xfId="10738" applyNumberFormat="1" applyFont="1" applyBorder="1" applyAlignment="1">
      <alignment vertical="top" wrapText="1"/>
    </xf>
    <xf numFmtId="9" fontId="61" fillId="43" borderId="21" xfId="3336" applyFont="1" applyFill="1" applyBorder="1" applyAlignment="1" applyProtection="1">
      <alignment vertical="top" wrapText="1"/>
    </xf>
    <xf numFmtId="9" fontId="60" fillId="0" borderId="38" xfId="10738" applyNumberFormat="1" applyFont="1" applyBorder="1" applyAlignment="1">
      <alignment vertical="top" wrapText="1"/>
    </xf>
    <xf numFmtId="9" fontId="60" fillId="0" borderId="43" xfId="10738" applyNumberFormat="1" applyFont="1" applyBorder="1" applyAlignment="1">
      <alignment vertical="top" wrapText="1"/>
    </xf>
    <xf numFmtId="0" fontId="17" fillId="0" borderId="9" xfId="2834" applyFont="1" applyBorder="1" applyAlignment="1" applyProtection="1">
      <alignment horizontal="left" vertical="top" wrapText="1"/>
      <protection locked="0"/>
    </xf>
    <xf numFmtId="0" fontId="46" fillId="48" borderId="52" xfId="10731" applyFont="1" applyFill="1" applyBorder="1" applyAlignment="1">
      <alignment horizontal="center" vertical="top" wrapText="1"/>
    </xf>
    <xf numFmtId="0" fontId="49" fillId="49" borderId="9" xfId="10734" applyFill="1" applyBorder="1" applyAlignment="1">
      <alignment horizontal="left" vertical="top"/>
    </xf>
    <xf numFmtId="0" fontId="46" fillId="48" borderId="32" xfId="10731" applyFont="1" applyFill="1" applyBorder="1" applyAlignment="1" applyProtection="1">
      <alignment horizontal="center" vertical="top" wrapText="1"/>
      <protection locked="0"/>
    </xf>
    <xf numFmtId="0" fontId="17" fillId="47" borderId="9" xfId="10731" applyFont="1" applyFill="1" applyBorder="1" applyAlignment="1" applyProtection="1">
      <alignment horizontal="left" vertical="top" wrapText="1"/>
      <protection locked="0"/>
    </xf>
    <xf numFmtId="0" fontId="19" fillId="57" borderId="78" xfId="10733" applyFont="1" applyFill="1" applyBorder="1" applyAlignment="1" applyProtection="1">
      <alignment horizontal="left" vertical="top" wrapText="1"/>
      <protection locked="0"/>
    </xf>
    <xf numFmtId="0" fontId="19" fillId="57" borderId="59" xfId="10733" applyFont="1" applyFill="1" applyBorder="1" applyAlignment="1" applyProtection="1">
      <alignment horizontal="left" vertical="top" wrapText="1"/>
      <protection locked="0"/>
    </xf>
    <xf numFmtId="0" fontId="19" fillId="57" borderId="78" xfId="10733" applyFont="1" applyFill="1" applyBorder="1" applyAlignment="1" applyProtection="1">
      <alignment vertical="top" wrapText="1"/>
      <protection locked="0"/>
    </xf>
    <xf numFmtId="0" fontId="19" fillId="57" borderId="79" xfId="10733" applyFont="1" applyFill="1" applyBorder="1" applyAlignment="1" applyProtection="1">
      <alignment horizontal="left" vertical="top" wrapText="1"/>
      <protection locked="0"/>
    </xf>
    <xf numFmtId="0" fontId="19" fillId="57" borderId="9" xfId="10733" applyFont="1" applyFill="1" applyBorder="1" applyAlignment="1" applyProtection="1">
      <alignment horizontal="left" vertical="top" wrapText="1"/>
      <protection locked="0"/>
    </xf>
    <xf numFmtId="0" fontId="19" fillId="57" borderId="0" xfId="10733" applyFont="1" applyFill="1" applyAlignment="1" applyProtection="1">
      <alignment horizontal="left" vertical="top" wrapText="1"/>
      <protection locked="0"/>
    </xf>
    <xf numFmtId="0" fontId="63" fillId="39" borderId="9" xfId="10734" applyFont="1" applyFill="1" applyBorder="1" applyAlignment="1" applyProtection="1">
      <alignment horizontal="left" vertical="top" wrapText="1"/>
      <protection locked="0"/>
    </xf>
    <xf numFmtId="0" fontId="64" fillId="46" borderId="9" xfId="10734" applyFont="1" applyFill="1" applyBorder="1" applyAlignment="1">
      <alignment horizontal="left" vertical="top" wrapText="1"/>
    </xf>
    <xf numFmtId="0" fontId="65" fillId="46" borderId="9" xfId="10734" applyFont="1" applyFill="1" applyBorder="1" applyAlignment="1">
      <alignment horizontal="left" vertical="top" wrapText="1"/>
    </xf>
    <xf numFmtId="0" fontId="66" fillId="46" borderId="9" xfId="10734" applyFont="1" applyFill="1" applyBorder="1" applyAlignment="1">
      <alignment vertical="top" wrapText="1"/>
    </xf>
    <xf numFmtId="0" fontId="63" fillId="46" borderId="35" xfId="10734" applyFont="1" applyFill="1" applyBorder="1" applyAlignment="1">
      <alignment horizontal="left" vertical="top" wrapText="1"/>
    </xf>
    <xf numFmtId="0" fontId="66" fillId="46" borderId="5" xfId="10734" applyFont="1" applyFill="1" applyBorder="1" applyAlignment="1">
      <alignment horizontal="left" vertical="top" wrapText="1"/>
    </xf>
    <xf numFmtId="0" fontId="66" fillId="46" borderId="9" xfId="10734" applyFont="1" applyFill="1" applyBorder="1" applyAlignment="1">
      <alignment vertical="center" wrapText="1"/>
    </xf>
    <xf numFmtId="0" fontId="66" fillId="46" borderId="9" xfId="10734" applyFont="1" applyFill="1" applyBorder="1" applyAlignment="1">
      <alignment horizontal="left" vertical="top" wrapText="1"/>
    </xf>
    <xf numFmtId="0" fontId="19" fillId="46" borderId="9" xfId="10734" applyFont="1" applyFill="1" applyBorder="1" applyAlignment="1">
      <alignment horizontal="left" vertical="top" wrapText="1"/>
    </xf>
    <xf numFmtId="0" fontId="66" fillId="46" borderId="28" xfId="10734" applyFont="1" applyFill="1" applyBorder="1" applyAlignment="1">
      <alignment horizontal="left" vertical="top" wrapText="1"/>
    </xf>
    <xf numFmtId="0" fontId="67" fillId="46" borderId="9" xfId="10734" applyFont="1" applyFill="1" applyBorder="1" applyAlignment="1">
      <alignment horizontal="left" vertical="top" wrapText="1"/>
    </xf>
    <xf numFmtId="0" fontId="64" fillId="46" borderId="19" xfId="10734" applyFont="1" applyFill="1" applyBorder="1" applyAlignment="1">
      <alignment horizontal="left" vertical="top" wrapText="1"/>
    </xf>
    <xf numFmtId="0" fontId="63" fillId="46" borderId="19" xfId="10734" applyFont="1" applyFill="1" applyBorder="1" applyAlignment="1">
      <alignment horizontal="left" vertical="top" wrapText="1"/>
    </xf>
    <xf numFmtId="0" fontId="65" fillId="46" borderId="19" xfId="10734" applyFont="1" applyFill="1" applyBorder="1" applyAlignment="1">
      <alignment horizontal="left" vertical="top" wrapText="1"/>
    </xf>
    <xf numFmtId="0" fontId="64" fillId="39" borderId="9" xfId="10734" applyFont="1" applyFill="1" applyBorder="1" applyAlignment="1" applyProtection="1">
      <alignment horizontal="left" vertical="top" wrapText="1"/>
      <protection locked="0"/>
    </xf>
    <xf numFmtId="0" fontId="63" fillId="39" borderId="35" xfId="10734" applyFont="1" applyFill="1" applyBorder="1" applyAlignment="1" applyProtection="1">
      <alignment horizontal="left" vertical="top" wrapText="1"/>
      <protection locked="0"/>
    </xf>
    <xf numFmtId="0" fontId="49" fillId="0" borderId="9" xfId="10734" applyBorder="1" applyAlignment="1" applyProtection="1">
      <alignment horizontal="left" vertical="top"/>
      <protection locked="0"/>
    </xf>
    <xf numFmtId="0" fontId="66" fillId="39" borderId="5" xfId="10734" applyFont="1" applyFill="1" applyBorder="1" applyAlignment="1" applyProtection="1">
      <alignment horizontal="left" vertical="top" wrapText="1"/>
      <protection locked="0"/>
    </xf>
    <xf numFmtId="0" fontId="49" fillId="0" borderId="0" xfId="10734" applyProtection="1">
      <protection locked="0"/>
    </xf>
    <xf numFmtId="0" fontId="19" fillId="58" borderId="9" xfId="10733" applyFont="1" applyFill="1" applyBorder="1" applyAlignment="1">
      <alignment horizontal="left" vertical="top" wrapText="1"/>
    </xf>
    <xf numFmtId="0" fontId="46" fillId="48" borderId="9" xfId="10731" applyFont="1" applyFill="1" applyBorder="1" applyAlignment="1">
      <alignment horizontal="center" vertical="top" wrapText="1"/>
    </xf>
    <xf numFmtId="0" fontId="64" fillId="50" borderId="9" xfId="10734" applyFont="1" applyFill="1" applyBorder="1" applyAlignment="1" applyProtection="1">
      <alignment horizontal="left" vertical="top" wrapText="1"/>
      <protection locked="0"/>
    </xf>
    <xf numFmtId="0" fontId="63" fillId="43" borderId="9" xfId="10734" applyFont="1" applyFill="1" applyBorder="1" applyAlignment="1" applyProtection="1">
      <alignment horizontal="left" vertical="top" wrapText="1"/>
      <protection locked="0"/>
    </xf>
    <xf numFmtId="0" fontId="19" fillId="57" borderId="80" xfId="10733" applyFont="1" applyFill="1" applyBorder="1" applyAlignment="1" applyProtection="1">
      <alignment horizontal="left" vertical="top" wrapText="1"/>
      <protection locked="0"/>
    </xf>
    <xf numFmtId="0" fontId="64" fillId="46" borderId="35" xfId="10734" applyFont="1" applyFill="1" applyBorder="1" applyAlignment="1">
      <alignment horizontal="left" vertical="top" wrapText="1"/>
    </xf>
    <xf numFmtId="0" fontId="64" fillId="50" borderId="35" xfId="10734" applyFont="1" applyFill="1" applyBorder="1" applyAlignment="1" applyProtection="1">
      <alignment horizontal="left" vertical="top" wrapText="1"/>
      <protection locked="0"/>
    </xf>
    <xf numFmtId="0" fontId="49" fillId="60" borderId="9" xfId="10734" applyFill="1" applyBorder="1"/>
    <xf numFmtId="2" fontId="17" fillId="60" borderId="9" xfId="10731" applyNumberFormat="1" applyFont="1" applyFill="1" applyBorder="1" applyAlignment="1" applyProtection="1">
      <alignment horizontal="left" vertical="top" wrapText="1"/>
      <protection locked="0"/>
    </xf>
    <xf numFmtId="0" fontId="49" fillId="60" borderId="9" xfId="10734" applyFill="1" applyBorder="1" applyAlignment="1">
      <alignment wrapText="1"/>
    </xf>
    <xf numFmtId="0" fontId="49" fillId="60" borderId="9" xfId="10734" applyFill="1" applyBorder="1" applyProtection="1">
      <protection locked="0"/>
    </xf>
    <xf numFmtId="0" fontId="19" fillId="58" borderId="73" xfId="10733" applyFont="1" applyFill="1" applyBorder="1" applyAlignment="1">
      <alignment horizontal="left" vertical="top" wrapText="1"/>
    </xf>
    <xf numFmtId="0" fontId="5" fillId="0" borderId="0" xfId="10740" applyAlignment="1" applyProtection="1">
      <alignment wrapText="1"/>
      <protection locked="0"/>
    </xf>
    <xf numFmtId="0" fontId="5" fillId="0" borderId="0" xfId="10740" applyProtection="1">
      <protection locked="0"/>
    </xf>
    <xf numFmtId="0" fontId="81" fillId="63" borderId="0" xfId="10740" applyFont="1" applyFill="1"/>
    <xf numFmtId="0" fontId="5" fillId="0" borderId="0" xfId="10740" applyAlignment="1">
      <alignment wrapText="1"/>
    </xf>
    <xf numFmtId="0" fontId="5" fillId="0" borderId="0" xfId="10740"/>
    <xf numFmtId="0" fontId="81" fillId="50" borderId="30" xfId="10740" applyFont="1" applyFill="1" applyBorder="1" applyAlignment="1">
      <alignment wrapText="1"/>
    </xf>
    <xf numFmtId="0" fontId="81" fillId="50" borderId="58" xfId="10740" applyFont="1" applyFill="1" applyBorder="1"/>
    <xf numFmtId="0" fontId="81" fillId="50" borderId="58" xfId="10740" applyFont="1" applyFill="1" applyBorder="1" applyProtection="1">
      <protection locked="0"/>
    </xf>
    <xf numFmtId="0" fontId="81" fillId="50" borderId="63" xfId="10740" applyFont="1" applyFill="1" applyBorder="1" applyProtection="1">
      <protection locked="0"/>
    </xf>
    <xf numFmtId="0" fontId="5" fillId="46" borderId="25" xfId="10740" applyFill="1" applyBorder="1" applyAlignment="1">
      <alignment wrapText="1"/>
    </xf>
    <xf numFmtId="0" fontId="5" fillId="46" borderId="9" xfId="10740" applyFill="1" applyBorder="1"/>
    <xf numFmtId="0" fontId="81" fillId="64" borderId="35" xfId="10740" applyFont="1" applyFill="1" applyBorder="1" applyAlignment="1">
      <alignment wrapText="1"/>
    </xf>
    <xf numFmtId="0" fontId="81" fillId="64" borderId="28" xfId="10740" applyFont="1" applyFill="1" applyBorder="1"/>
    <xf numFmtId="0" fontId="5" fillId="0" borderId="35" xfId="10740" applyBorder="1" applyAlignment="1">
      <alignment wrapText="1"/>
    </xf>
    <xf numFmtId="0" fontId="5" fillId="0" borderId="9" xfId="10740" applyBorder="1"/>
    <xf numFmtId="0" fontId="5" fillId="0" borderId="28" xfId="10740" applyBorder="1"/>
    <xf numFmtId="0" fontId="81" fillId="50" borderId="37" xfId="10740" applyFont="1" applyFill="1" applyBorder="1"/>
    <xf numFmtId="0" fontId="81" fillId="50" borderId="31" xfId="10740" applyFont="1" applyFill="1" applyBorder="1"/>
    <xf numFmtId="0" fontId="81" fillId="50" borderId="48" xfId="10740" applyFont="1" applyFill="1" applyBorder="1" applyAlignment="1">
      <alignment horizontal="center" vertical="center"/>
    </xf>
    <xf numFmtId="0" fontId="81" fillId="50" borderId="0" xfId="10740" applyFont="1" applyFill="1" applyAlignment="1">
      <alignment horizontal="center" vertical="center"/>
    </xf>
    <xf numFmtId="0" fontId="81" fillId="50" borderId="0" xfId="10740" applyFont="1" applyFill="1"/>
    <xf numFmtId="0" fontId="5" fillId="65" borderId="9" xfId="10740" applyFill="1" applyBorder="1"/>
    <xf numFmtId="0" fontId="0" fillId="47" borderId="0" xfId="0" applyFill="1"/>
    <xf numFmtId="0" fontId="5" fillId="0" borderId="0" xfId="10740" applyAlignment="1">
      <alignment horizontal="left" vertical="top" wrapText="1"/>
    </xf>
    <xf numFmtId="0" fontId="5" fillId="0" borderId="0" xfId="10740" applyAlignment="1">
      <alignment horizontal="left" vertical="top"/>
    </xf>
    <xf numFmtId="0" fontId="5" fillId="65" borderId="9" xfId="10740" applyFill="1" applyBorder="1" applyAlignment="1">
      <alignment horizontal="left" vertical="top" wrapText="1"/>
    </xf>
    <xf numFmtId="0" fontId="5" fillId="65" borderId="9" xfId="10740" applyFill="1" applyBorder="1" applyAlignment="1">
      <alignment horizontal="left"/>
    </xf>
    <xf numFmtId="0" fontId="81" fillId="0" borderId="32" xfId="10740" applyFont="1" applyBorder="1"/>
    <xf numFmtId="0" fontId="5" fillId="67" borderId="20" xfId="10740" applyFill="1" applyBorder="1"/>
    <xf numFmtId="0" fontId="81" fillId="68" borderId="39" xfId="10740" applyFont="1" applyFill="1" applyBorder="1" applyAlignment="1">
      <alignment horizontal="left" vertical="top"/>
    </xf>
    <xf numFmtId="0" fontId="81" fillId="68" borderId="32" xfId="10740" applyFont="1" applyFill="1" applyBorder="1" applyAlignment="1">
      <alignment horizontal="left" vertical="top"/>
    </xf>
    <xf numFmtId="0" fontId="81" fillId="68" borderId="32" xfId="10740" applyFont="1" applyFill="1" applyBorder="1" applyAlignment="1">
      <alignment horizontal="left" vertical="top" wrapText="1"/>
    </xf>
    <xf numFmtId="0" fontId="46" fillId="48" borderId="32" xfId="10731" applyFont="1" applyFill="1" applyBorder="1" applyAlignment="1">
      <alignment horizontal="left" vertical="top" wrapText="1"/>
    </xf>
    <xf numFmtId="0" fontId="52" fillId="68" borderId="38" xfId="10731" applyFont="1" applyFill="1" applyBorder="1" applyAlignment="1">
      <alignment horizontal="left" wrapText="1"/>
    </xf>
    <xf numFmtId="0" fontId="52" fillId="68" borderId="34" xfId="10731" applyFont="1" applyFill="1" applyBorder="1" applyAlignment="1">
      <alignment horizontal="left" wrapText="1"/>
    </xf>
    <xf numFmtId="0" fontId="24" fillId="51" borderId="37" xfId="10741" applyFont="1" applyFill="1" applyBorder="1" applyAlignment="1">
      <alignment vertical="center" wrapText="1"/>
    </xf>
    <xf numFmtId="0" fontId="4" fillId="0" borderId="0" xfId="10741"/>
    <xf numFmtId="0" fontId="4" fillId="0" borderId="9" xfId="10741" applyBorder="1"/>
    <xf numFmtId="0" fontId="19" fillId="70" borderId="19" xfId="10733" applyFont="1" applyFill="1" applyBorder="1" applyAlignment="1">
      <alignment horizontal="left" vertical="top" wrapText="1"/>
    </xf>
    <xf numFmtId="0" fontId="81" fillId="60" borderId="19" xfId="10741" applyFont="1" applyFill="1" applyBorder="1"/>
    <xf numFmtId="0" fontId="83" fillId="47" borderId="39" xfId="0" applyFont="1" applyFill="1" applyBorder="1" applyAlignment="1" applyProtection="1">
      <alignment vertical="center" wrapText="1"/>
      <protection locked="0"/>
    </xf>
    <xf numFmtId="0" fontId="83" fillId="47" borderId="82" xfId="0" applyFont="1" applyFill="1" applyBorder="1" applyAlignment="1" applyProtection="1">
      <alignment vertical="center" wrapText="1"/>
      <protection locked="0"/>
    </xf>
    <xf numFmtId="0" fontId="83" fillId="47" borderId="81" xfId="0" applyFont="1" applyFill="1" applyBorder="1" applyAlignment="1" applyProtection="1">
      <alignment vertical="center" wrapText="1"/>
      <protection locked="0"/>
    </xf>
    <xf numFmtId="0" fontId="5" fillId="0" borderId="0" xfId="10740" applyAlignment="1" applyProtection="1">
      <alignment horizontal="left" vertical="top"/>
      <protection locked="0"/>
    </xf>
    <xf numFmtId="0" fontId="81" fillId="50" borderId="58" xfId="10740" applyFont="1" applyFill="1" applyBorder="1" applyAlignment="1" applyProtection="1">
      <alignment horizontal="left" vertical="top"/>
      <protection locked="0"/>
    </xf>
    <xf numFmtId="0" fontId="18" fillId="0" borderId="0" xfId="0" applyFont="1"/>
    <xf numFmtId="0" fontId="0" fillId="0" borderId="0" xfId="0" applyAlignment="1">
      <alignment wrapText="1"/>
    </xf>
    <xf numFmtId="0" fontId="18" fillId="0" borderId="9" xfId="0" applyFont="1" applyBorder="1" applyAlignment="1">
      <alignment wrapText="1"/>
    </xf>
    <xf numFmtId="0" fontId="18" fillId="61" borderId="0" xfId="0" applyFont="1" applyFill="1"/>
    <xf numFmtId="0" fontId="18" fillId="71" borderId="0" xfId="0" applyFont="1" applyFill="1" applyAlignment="1">
      <alignment wrapText="1"/>
    </xf>
    <xf numFmtId="0" fontId="18" fillId="72" borderId="0" xfId="0" applyFont="1" applyFill="1"/>
    <xf numFmtId="0" fontId="19" fillId="70" borderId="59" xfId="10733" applyFont="1" applyFill="1" applyBorder="1" applyAlignment="1">
      <alignment horizontal="left" vertical="top" wrapText="1"/>
    </xf>
    <xf numFmtId="0" fontId="49" fillId="60" borderId="9" xfId="10734" applyFill="1" applyBorder="1" applyAlignment="1">
      <alignment horizontal="left" vertical="top" wrapText="1"/>
    </xf>
    <xf numFmtId="0" fontId="49" fillId="60" borderId="9" xfId="10734" applyFill="1" applyBorder="1" applyAlignment="1">
      <alignment horizontal="left" vertical="top"/>
    </xf>
    <xf numFmtId="49" fontId="49" fillId="60" borderId="9" xfId="10734" applyNumberFormat="1" applyFill="1" applyBorder="1" applyAlignment="1">
      <alignment horizontal="left" vertical="top" wrapText="1"/>
    </xf>
    <xf numFmtId="49" fontId="19" fillId="70" borderId="59" xfId="10733" applyNumberFormat="1" applyFont="1" applyFill="1" applyBorder="1" applyAlignment="1">
      <alignment horizontal="left" vertical="top" wrapText="1"/>
    </xf>
    <xf numFmtId="49" fontId="49" fillId="60" borderId="9" xfId="10734" applyNumberFormat="1" applyFill="1" applyBorder="1" applyAlignment="1">
      <alignment horizontal="left" vertical="top"/>
    </xf>
    <xf numFmtId="49" fontId="49" fillId="46" borderId="9" xfId="10734" applyNumberFormat="1" applyFill="1" applyBorder="1" applyAlignment="1">
      <alignment horizontal="left" vertical="top"/>
    </xf>
    <xf numFmtId="49" fontId="49" fillId="0" borderId="0" xfId="10734" applyNumberFormat="1" applyAlignment="1">
      <alignment horizontal="left" vertical="top"/>
    </xf>
    <xf numFmtId="169" fontId="5" fillId="0" borderId="0" xfId="10740" applyNumberFormat="1" applyAlignment="1">
      <alignment horizontal="center" vertical="top" wrapText="1"/>
    </xf>
    <xf numFmtId="169" fontId="81" fillId="68" borderId="32" xfId="10740" applyNumberFormat="1" applyFont="1" applyFill="1" applyBorder="1" applyAlignment="1">
      <alignment horizontal="center" vertical="top"/>
    </xf>
    <xf numFmtId="169" fontId="5" fillId="65" borderId="9" xfId="10740" applyNumberFormat="1" applyFill="1" applyBorder="1" applyAlignment="1">
      <alignment horizontal="center" vertical="top" wrapText="1"/>
    </xf>
    <xf numFmtId="0" fontId="5" fillId="0" borderId="0" xfId="10740" applyAlignment="1" applyProtection="1">
      <alignment horizontal="left" wrapText="1"/>
      <protection locked="0"/>
    </xf>
    <xf numFmtId="0" fontId="82" fillId="66" borderId="32" xfId="10740" applyFont="1" applyFill="1" applyBorder="1" applyAlignment="1" applyProtection="1">
      <alignment horizontal="left" vertical="top"/>
      <protection locked="0"/>
    </xf>
    <xf numFmtId="0" fontId="5" fillId="47" borderId="20" xfId="10740" applyFill="1" applyBorder="1" applyAlignment="1" applyProtection="1">
      <alignment horizontal="left" wrapText="1"/>
      <protection locked="0"/>
    </xf>
    <xf numFmtId="0" fontId="5" fillId="47" borderId="20" xfId="10740" applyFill="1" applyBorder="1" applyProtection="1">
      <protection locked="0"/>
    </xf>
    <xf numFmtId="14" fontId="0" fillId="60" borderId="9" xfId="0" applyNumberFormat="1" applyFill="1" applyBorder="1" applyProtection="1">
      <protection locked="0"/>
    </xf>
    <xf numFmtId="0" fontId="81" fillId="68" borderId="81" xfId="10740" applyFont="1" applyFill="1" applyBorder="1" applyAlignment="1">
      <alignment horizontal="center" vertical="top"/>
    </xf>
    <xf numFmtId="0" fontId="85" fillId="68" borderId="44" xfId="10740" applyFont="1" applyFill="1" applyBorder="1" applyAlignment="1">
      <alignment horizontal="center" vertical="top"/>
    </xf>
    <xf numFmtId="0" fontId="81" fillId="0" borderId="32" xfId="10740" applyFont="1" applyBorder="1" applyProtection="1">
      <protection locked="0"/>
    </xf>
    <xf numFmtId="0" fontId="5" fillId="67" borderId="20" xfId="10740" applyFill="1" applyBorder="1" applyProtection="1">
      <protection locked="0"/>
    </xf>
    <xf numFmtId="0" fontId="5" fillId="65" borderId="9" xfId="10740" applyFill="1" applyBorder="1" applyProtection="1">
      <protection locked="0"/>
    </xf>
    <xf numFmtId="0" fontId="0" fillId="0" borderId="0" xfId="0" pivotButton="1" applyProtection="1">
      <protection locked="0"/>
    </xf>
    <xf numFmtId="0" fontId="0" fillId="0" borderId="0" xfId="0" applyProtection="1">
      <protection locked="0"/>
    </xf>
    <xf numFmtId="0" fontId="0" fillId="0" borderId="0" xfId="0" applyAlignment="1" applyProtection="1">
      <alignment horizontal="left"/>
      <protection locked="0"/>
    </xf>
    <xf numFmtId="0" fontId="84" fillId="69" borderId="39" xfId="0" applyFont="1" applyFill="1" applyBorder="1" applyAlignment="1">
      <alignment vertical="center" wrapText="1"/>
    </xf>
    <xf numFmtId="0" fontId="84" fillId="69" borderId="32" xfId="0" applyFont="1" applyFill="1" applyBorder="1" applyAlignment="1">
      <alignment vertical="center" wrapText="1"/>
    </xf>
    <xf numFmtId="0" fontId="49" fillId="0" borderId="9" xfId="10734" applyBorder="1"/>
    <xf numFmtId="0" fontId="49" fillId="60" borderId="35" xfId="10734" applyFill="1" applyBorder="1"/>
    <xf numFmtId="2" fontId="17" fillId="60" borderId="35" xfId="10731" applyNumberFormat="1" applyFont="1" applyFill="1" applyBorder="1" applyAlignment="1" applyProtection="1">
      <alignment horizontal="left" vertical="top" wrapText="1"/>
      <protection locked="0"/>
    </xf>
    <xf numFmtId="0" fontId="49" fillId="60" borderId="35" xfId="10734" applyFill="1" applyBorder="1" applyProtection="1">
      <protection locked="0"/>
    </xf>
    <xf numFmtId="0" fontId="19" fillId="73" borderId="9" xfId="10733" applyFont="1" applyFill="1" applyBorder="1" applyAlignment="1" applyProtection="1">
      <alignment horizontal="left" vertical="top" wrapText="1"/>
      <protection locked="0"/>
    </xf>
    <xf numFmtId="0" fontId="49" fillId="0" borderId="9" xfId="10734" applyBorder="1" applyProtection="1">
      <protection locked="0"/>
    </xf>
    <xf numFmtId="0" fontId="3" fillId="0" borderId="9" xfId="10742" applyBorder="1"/>
    <xf numFmtId="0" fontId="3" fillId="0" borderId="9" xfId="10742" applyBorder="1" applyAlignment="1">
      <alignment wrapText="1"/>
    </xf>
    <xf numFmtId="49" fontId="3" fillId="0" borderId="9" xfId="10742" applyNumberFormat="1" applyBorder="1"/>
    <xf numFmtId="0" fontId="3" fillId="0" borderId="0" xfId="10742"/>
    <xf numFmtId="0" fontId="3" fillId="47" borderId="9" xfId="10742" applyFill="1" applyBorder="1"/>
    <xf numFmtId="0" fontId="89" fillId="0" borderId="9" xfId="10742" applyFont="1" applyBorder="1"/>
    <xf numFmtId="0" fontId="3" fillId="0" borderId="0" xfId="10742" applyAlignment="1">
      <alignment wrapText="1"/>
    </xf>
    <xf numFmtId="49" fontId="3" fillId="0" borderId="0" xfId="10742" applyNumberFormat="1"/>
    <xf numFmtId="0" fontId="5" fillId="0" borderId="9" xfId="10740" applyBorder="1" applyAlignment="1" applyProtection="1">
      <alignment horizontal="left" vertical="top"/>
      <protection locked="0"/>
    </xf>
    <xf numFmtId="0" fontId="19" fillId="74" borderId="78" xfId="10733" applyFont="1" applyFill="1" applyBorder="1" applyAlignment="1" applyProtection="1">
      <alignment horizontal="left" vertical="top" wrapText="1"/>
      <protection locked="0"/>
    </xf>
    <xf numFmtId="0" fontId="19" fillId="74" borderId="59" xfId="10733" applyFont="1" applyFill="1" applyBorder="1" applyAlignment="1" applyProtection="1">
      <alignment horizontal="left" vertical="top" wrapText="1"/>
      <protection locked="0"/>
    </xf>
    <xf numFmtId="0" fontId="19" fillId="74" borderId="78" xfId="10733" applyFont="1" applyFill="1" applyBorder="1" applyAlignment="1" applyProtection="1">
      <alignment vertical="top" wrapText="1"/>
      <protection locked="0"/>
    </xf>
    <xf numFmtId="0" fontId="19" fillId="74" borderId="79" xfId="10733" applyFont="1" applyFill="1" applyBorder="1" applyAlignment="1" applyProtection="1">
      <alignment horizontal="left" vertical="top" wrapText="1"/>
      <protection locked="0"/>
    </xf>
    <xf numFmtId="0" fontId="19" fillId="74" borderId="9" xfId="10733" applyFont="1" applyFill="1" applyBorder="1" applyAlignment="1" applyProtection="1">
      <alignment horizontal="left" vertical="top" wrapText="1"/>
      <protection locked="0"/>
    </xf>
    <xf numFmtId="0" fontId="19" fillId="74" borderId="0" xfId="10733" applyFont="1" applyFill="1" applyAlignment="1" applyProtection="1">
      <alignment horizontal="left" vertical="top" wrapText="1"/>
      <protection locked="0"/>
    </xf>
    <xf numFmtId="0" fontId="19" fillId="74" borderId="80" xfId="10733" applyFont="1" applyFill="1" applyBorder="1" applyAlignment="1" applyProtection="1">
      <alignment horizontal="left" vertical="top" wrapText="1"/>
      <protection locked="0"/>
    </xf>
    <xf numFmtId="0" fontId="49" fillId="46" borderId="9" xfId="10734" applyFill="1" applyBorder="1"/>
    <xf numFmtId="0" fontId="49" fillId="46" borderId="35" xfId="10734" applyFill="1" applyBorder="1"/>
    <xf numFmtId="0" fontId="49" fillId="46" borderId="9" xfId="10734" applyFill="1" applyBorder="1" applyAlignment="1">
      <alignment wrapText="1"/>
    </xf>
    <xf numFmtId="0" fontId="87" fillId="46" borderId="9" xfId="10734" applyFont="1" applyFill="1" applyBorder="1" applyAlignment="1">
      <alignment horizontal="left" vertical="top" wrapText="1"/>
    </xf>
    <xf numFmtId="0" fontId="0" fillId="0" borderId="0" xfId="0" applyAlignment="1">
      <alignment vertical="top"/>
    </xf>
    <xf numFmtId="0" fontId="0" fillId="48" borderId="9" xfId="0" applyFill="1" applyBorder="1" applyAlignment="1">
      <alignment vertical="top"/>
    </xf>
    <xf numFmtId="0" fontId="49" fillId="48" borderId="9" xfId="10734" applyFill="1" applyBorder="1"/>
    <xf numFmtId="0" fontId="49" fillId="60" borderId="20" xfId="10734" applyFill="1" applyBorder="1"/>
    <xf numFmtId="0" fontId="49" fillId="60" borderId="51" xfId="10734" applyFill="1" applyBorder="1"/>
    <xf numFmtId="0" fontId="49" fillId="0" borderId="20" xfId="10734" applyBorder="1"/>
    <xf numFmtId="0" fontId="49" fillId="47" borderId="9" xfId="10734" applyFill="1" applyBorder="1" applyProtection="1">
      <protection locked="0"/>
    </xf>
    <xf numFmtId="0" fontId="49" fillId="47" borderId="9" xfId="10734" applyFill="1" applyBorder="1" applyAlignment="1" applyProtection="1">
      <alignment vertical="top"/>
      <protection locked="0"/>
    </xf>
    <xf numFmtId="0" fontId="49" fillId="47" borderId="9" xfId="10734" applyFill="1" applyBorder="1" applyAlignment="1" applyProtection="1">
      <alignment horizontal="left" vertical="top"/>
      <protection locked="0"/>
    </xf>
    <xf numFmtId="0" fontId="0" fillId="47" borderId="9" xfId="0" applyFill="1" applyBorder="1" applyAlignment="1" applyProtection="1">
      <alignment vertical="top"/>
      <protection locked="0"/>
    </xf>
    <xf numFmtId="0" fontId="64" fillId="47" borderId="9" xfId="10734" applyFont="1" applyFill="1" applyBorder="1" applyAlignment="1" applyProtection="1">
      <alignment horizontal="left" vertical="top" wrapText="1"/>
      <protection locked="0"/>
    </xf>
    <xf numFmtId="0" fontId="66" fillId="47" borderId="9" xfId="10734" applyFont="1" applyFill="1" applyBorder="1" applyAlignment="1" applyProtection="1">
      <alignment horizontal="left" vertical="top" wrapText="1"/>
      <protection locked="0"/>
    </xf>
    <xf numFmtId="0" fontId="49" fillId="47" borderId="35" xfId="10734" applyFill="1" applyBorder="1" applyAlignment="1" applyProtection="1">
      <alignment horizontal="left" vertical="top" wrapText="1"/>
      <protection locked="0"/>
    </xf>
    <xf numFmtId="0" fontId="49" fillId="47" borderId="9" xfId="10734" applyFill="1" applyBorder="1" applyAlignment="1" applyProtection="1">
      <alignment horizontal="left" vertical="top" wrapText="1"/>
      <protection locked="0"/>
    </xf>
    <xf numFmtId="0" fontId="66" fillId="47" borderId="5" xfId="10734" applyFont="1" applyFill="1" applyBorder="1" applyAlignment="1" applyProtection="1">
      <alignment horizontal="left" vertical="top" wrapText="1"/>
      <protection locked="0"/>
    </xf>
    <xf numFmtId="0" fontId="64" fillId="47" borderId="35" xfId="10734" applyFont="1" applyFill="1" applyBorder="1" applyAlignment="1" applyProtection="1">
      <alignment horizontal="left" vertical="top" wrapText="1"/>
      <protection locked="0"/>
    </xf>
    <xf numFmtId="0" fontId="49" fillId="47" borderId="9" xfId="10734" applyFill="1" applyBorder="1" applyAlignment="1" applyProtection="1">
      <alignment vertical="top" wrapText="1"/>
      <protection locked="0"/>
    </xf>
    <xf numFmtId="0" fontId="49" fillId="47" borderId="35" xfId="10734" applyFill="1" applyBorder="1" applyAlignment="1" applyProtection="1">
      <alignment vertical="top" wrapText="1"/>
      <protection locked="0"/>
    </xf>
    <xf numFmtId="0" fontId="0" fillId="47" borderId="9" xfId="0" applyFill="1" applyBorder="1" applyAlignment="1" applyProtection="1">
      <alignment vertical="top" wrapText="1"/>
      <protection locked="0"/>
    </xf>
    <xf numFmtId="0" fontId="2" fillId="0" borderId="9" xfId="10742" applyFont="1" applyBorder="1"/>
    <xf numFmtId="0" fontId="2" fillId="0" borderId="9" xfId="10742" applyFont="1" applyBorder="1" applyAlignment="1">
      <alignment wrapText="1"/>
    </xf>
    <xf numFmtId="0" fontId="63" fillId="47" borderId="9" xfId="10734" applyFont="1" applyFill="1" applyBorder="1" applyAlignment="1">
      <alignment horizontal="left" vertical="top" wrapText="1"/>
    </xf>
    <xf numFmtId="0" fontId="2" fillId="0" borderId="9" xfId="10740" applyFont="1" applyBorder="1" applyProtection="1">
      <protection locked="0"/>
    </xf>
    <xf numFmtId="0" fontId="2" fillId="67" borderId="20" xfId="10740" applyFont="1" applyFill="1" applyBorder="1" applyAlignment="1">
      <alignment horizontal="left" vertical="top" wrapText="1"/>
    </xf>
    <xf numFmtId="0" fontId="2" fillId="67" borderId="20" xfId="10740" applyFont="1" applyFill="1" applyBorder="1" applyAlignment="1">
      <alignment horizontal="left" vertical="top"/>
    </xf>
    <xf numFmtId="169" fontId="2" fillId="67" borderId="20" xfId="10740" applyNumberFormat="1" applyFont="1" applyFill="1" applyBorder="1" applyAlignment="1">
      <alignment horizontal="center" vertical="top" wrapText="1"/>
    </xf>
    <xf numFmtId="14" fontId="2" fillId="67" borderId="20" xfId="10740" applyNumberFormat="1" applyFont="1" applyFill="1" applyBorder="1" applyAlignment="1">
      <alignment horizontal="left" vertical="top"/>
    </xf>
    <xf numFmtId="0" fontId="2" fillId="0" borderId="35" xfId="10740" applyFont="1" applyBorder="1" applyAlignment="1">
      <alignment wrapText="1"/>
    </xf>
    <xf numFmtId="0" fontId="17" fillId="47" borderId="9" xfId="10731" applyFont="1" applyFill="1" applyBorder="1" applyAlignment="1">
      <alignment horizontal="left" vertical="top" wrapText="1"/>
    </xf>
    <xf numFmtId="0" fontId="46" fillId="48" borderId="34" xfId="10731" applyFont="1" applyFill="1" applyBorder="1" applyAlignment="1">
      <alignment horizontal="left" vertical="top" wrapText="1"/>
    </xf>
    <xf numFmtId="0" fontId="83" fillId="47" borderId="9" xfId="0" applyFont="1" applyFill="1" applyBorder="1" applyAlignment="1" applyProtection="1">
      <alignment vertical="center" wrapText="1"/>
      <protection locked="0"/>
    </xf>
    <xf numFmtId="0" fontId="52" fillId="68" borderId="9" xfId="10731" applyFont="1" applyFill="1" applyBorder="1" applyAlignment="1">
      <alignment horizontal="left" wrapText="1"/>
    </xf>
    <xf numFmtId="0" fontId="49" fillId="0" borderId="28" xfId="10734" applyBorder="1"/>
    <xf numFmtId="0" fontId="17" fillId="0" borderId="9" xfId="10731" applyFont="1" applyBorder="1" applyAlignment="1" applyProtection="1">
      <alignment vertical="top"/>
      <protection locked="0"/>
    </xf>
    <xf numFmtId="0" fontId="0" fillId="47" borderId="9" xfId="0" applyFill="1" applyBorder="1" applyProtection="1">
      <protection locked="0"/>
    </xf>
    <xf numFmtId="0" fontId="49" fillId="47" borderId="9" xfId="10734" applyFill="1" applyBorder="1"/>
    <xf numFmtId="0" fontId="1" fillId="0" borderId="9" xfId="10740" applyFont="1" applyBorder="1" applyProtection="1">
      <protection locked="0"/>
    </xf>
    <xf numFmtId="0" fontId="46" fillId="48" borderId="44" xfId="10731" applyFont="1" applyFill="1" applyBorder="1" applyAlignment="1">
      <alignment horizontal="center" vertical="top" wrapText="1"/>
    </xf>
    <xf numFmtId="0" fontId="46" fillId="48" borderId="81" xfId="10731" applyFont="1" applyFill="1" applyBorder="1" applyAlignment="1">
      <alignment horizontal="center" vertical="top" wrapText="1"/>
    </xf>
    <xf numFmtId="0" fontId="86" fillId="47" borderId="60" xfId="0" applyFont="1" applyFill="1" applyBorder="1" applyAlignment="1">
      <alignment horizontal="center" vertical="top" wrapText="1"/>
    </xf>
    <xf numFmtId="0" fontId="86" fillId="47" borderId="49" xfId="0" applyFont="1" applyFill="1" applyBorder="1" applyAlignment="1">
      <alignment horizontal="center" vertical="top" wrapText="1"/>
    </xf>
    <xf numFmtId="0" fontId="59" fillId="55" borderId="39" xfId="10738" applyFont="1" applyFill="1" applyBorder="1" applyAlignment="1">
      <alignment horizontal="center" vertical="top" wrapText="1"/>
    </xf>
    <xf numFmtId="0" fontId="59" fillId="55" borderId="32" xfId="10738" applyFont="1" applyFill="1" applyBorder="1" applyAlignment="1">
      <alignment horizontal="center" vertical="top" wrapText="1"/>
    </xf>
    <xf numFmtId="0" fontId="59" fillId="55" borderId="33" xfId="10738" applyFont="1" applyFill="1" applyBorder="1" applyAlignment="1">
      <alignment horizontal="center" vertical="top" wrapText="1"/>
    </xf>
    <xf numFmtId="0" fontId="59" fillId="55" borderId="45" xfId="10738" applyFont="1" applyFill="1" applyBorder="1" applyAlignment="1">
      <alignment horizontal="center" vertical="top" wrapText="1"/>
    </xf>
    <xf numFmtId="0" fontId="59" fillId="55" borderId="0" xfId="10738" applyFont="1" applyFill="1" applyAlignment="1">
      <alignment horizontal="center" vertical="top" wrapText="1"/>
    </xf>
    <xf numFmtId="0" fontId="59" fillId="55" borderId="4" xfId="10738" applyFont="1" applyFill="1" applyBorder="1" applyAlignment="1">
      <alignment horizontal="center" vertical="center" wrapText="1"/>
    </xf>
    <xf numFmtId="0" fontId="59" fillId="55" borderId="24" xfId="10738" applyFont="1" applyFill="1" applyBorder="1" applyAlignment="1">
      <alignment horizontal="center" vertical="center" wrapText="1"/>
    </xf>
    <xf numFmtId="0" fontId="71" fillId="49" borderId="30" xfId="10732" applyFont="1" applyFill="1" applyBorder="1" applyAlignment="1">
      <alignment horizontal="center" vertical="center" wrapText="1"/>
    </xf>
    <xf numFmtId="0" fontId="72" fillId="0" borderId="58" xfId="0" applyFont="1" applyBorder="1" applyAlignment="1">
      <alignment horizontal="center" vertical="center" wrapText="1"/>
    </xf>
    <xf numFmtId="0" fontId="72" fillId="0" borderId="45" xfId="0" applyFont="1" applyBorder="1" applyAlignment="1">
      <alignment horizontal="center" vertical="center" wrapText="1"/>
    </xf>
    <xf numFmtId="0" fontId="72" fillId="0" borderId="0" xfId="0" applyFont="1" applyAlignment="1">
      <alignment horizontal="center" vertical="center" wrapText="1"/>
    </xf>
    <xf numFmtId="0" fontId="16" fillId="53" borderId="18" xfId="10731" applyFont="1" applyFill="1" applyBorder="1" applyAlignment="1">
      <alignment horizontal="center" vertical="top"/>
    </xf>
    <xf numFmtId="0" fontId="16" fillId="53" borderId="4" xfId="10731" applyFont="1" applyFill="1" applyBorder="1" applyAlignment="1">
      <alignment horizontal="center" vertical="top"/>
    </xf>
    <xf numFmtId="0" fontId="16" fillId="53" borderId="24" xfId="10731" applyFont="1" applyFill="1" applyBorder="1" applyAlignment="1">
      <alignment horizontal="center" vertical="top"/>
    </xf>
    <xf numFmtId="0" fontId="16" fillId="54" borderId="18" xfId="10731" applyFont="1" applyFill="1" applyBorder="1" applyAlignment="1">
      <alignment horizontal="left" vertical="top" wrapText="1"/>
    </xf>
    <xf numFmtId="0" fontId="16" fillId="54" borderId="4" xfId="10731" applyFont="1" applyFill="1" applyBorder="1" applyAlignment="1">
      <alignment horizontal="left" vertical="top" wrapText="1"/>
    </xf>
    <xf numFmtId="0" fontId="16" fillId="54" borderId="24" xfId="10731" applyFont="1" applyFill="1" applyBorder="1" applyAlignment="1">
      <alignment horizontal="left" vertical="top" wrapText="1"/>
    </xf>
    <xf numFmtId="0" fontId="52" fillId="43" borderId="18" xfId="10731" applyFont="1" applyFill="1" applyBorder="1" applyAlignment="1">
      <alignment horizontal="left" vertical="top" wrapText="1"/>
    </xf>
    <xf numFmtId="0" fontId="52" fillId="43" borderId="4" xfId="10731" applyFont="1" applyFill="1" applyBorder="1" applyAlignment="1">
      <alignment horizontal="left" vertical="top" wrapText="1"/>
    </xf>
    <xf numFmtId="0" fontId="52" fillId="43" borderId="24" xfId="10731" applyFont="1" applyFill="1" applyBorder="1" applyAlignment="1">
      <alignment horizontal="left" vertical="top" wrapText="1"/>
    </xf>
    <xf numFmtId="0" fontId="18" fillId="60" borderId="25" xfId="2834" applyFill="1" applyBorder="1" applyAlignment="1">
      <alignment horizontal="left" vertical="top" wrapText="1"/>
    </xf>
    <xf numFmtId="0" fontId="18" fillId="60" borderId="9" xfId="2834" applyFill="1" applyBorder="1" applyAlignment="1">
      <alignment horizontal="left" vertical="top"/>
    </xf>
    <xf numFmtId="0" fontId="16" fillId="44" borderId="37" xfId="2834" applyFont="1" applyFill="1" applyBorder="1" applyAlignment="1">
      <alignment horizontal="center" vertical="top"/>
    </xf>
    <xf numFmtId="0" fontId="16" fillId="44" borderId="31" xfId="2834" applyFont="1" applyFill="1" applyBorder="1" applyAlignment="1">
      <alignment vertical="top"/>
    </xf>
    <xf numFmtId="0" fontId="16" fillId="44" borderId="48" xfId="2834" applyFont="1" applyFill="1" applyBorder="1" applyAlignment="1">
      <alignment vertical="top"/>
    </xf>
    <xf numFmtId="0" fontId="18" fillId="46" borderId="25" xfId="2834" applyFill="1" applyBorder="1" applyAlignment="1">
      <alignment horizontal="left" vertical="top"/>
    </xf>
    <xf numFmtId="0" fontId="18" fillId="46" borderId="9" xfId="2834" applyFill="1" applyBorder="1" applyAlignment="1">
      <alignment horizontal="left" vertical="top"/>
    </xf>
    <xf numFmtId="0" fontId="54" fillId="46" borderId="35" xfId="2834" applyFont="1" applyFill="1" applyBorder="1" applyAlignment="1">
      <alignment horizontal="left" vertical="top" wrapText="1"/>
    </xf>
    <xf numFmtId="0" fontId="54" fillId="46" borderId="5" xfId="2834" applyFont="1" applyFill="1" applyBorder="1" applyAlignment="1">
      <alignment horizontal="left" vertical="top" wrapText="1"/>
    </xf>
    <xf numFmtId="0" fontId="54" fillId="46" borderId="28" xfId="2834" applyFont="1" applyFill="1" applyBorder="1" applyAlignment="1">
      <alignment horizontal="left" vertical="top" wrapText="1"/>
    </xf>
    <xf numFmtId="0" fontId="18" fillId="46" borderId="25" xfId="2834" applyFill="1" applyBorder="1" applyAlignment="1">
      <alignment horizontal="left" vertical="top" wrapText="1"/>
    </xf>
    <xf numFmtId="0" fontId="18" fillId="0" borderId="0" xfId="2834" applyAlignment="1">
      <alignment horizontal="center" vertical="top"/>
    </xf>
    <xf numFmtId="0" fontId="18" fillId="0" borderId="0" xfId="2834" applyAlignment="1">
      <alignment vertical="top"/>
    </xf>
    <xf numFmtId="0" fontId="18" fillId="60" borderId="36" xfId="2834" applyFill="1" applyBorder="1" applyAlignment="1">
      <alignment horizontal="left" vertical="top" wrapText="1"/>
    </xf>
    <xf numFmtId="0" fontId="18" fillId="60" borderId="22" xfId="2834" applyFill="1" applyBorder="1" applyAlignment="1">
      <alignment horizontal="left" vertical="top" wrapText="1"/>
    </xf>
    <xf numFmtId="0" fontId="20" fillId="0" borderId="3" xfId="2495" applyFont="1" applyBorder="1" applyAlignment="1">
      <alignment horizontal="left" vertical="top"/>
    </xf>
    <xf numFmtId="0" fontId="75" fillId="0" borderId="64" xfId="2495" applyFont="1" applyBorder="1" applyAlignment="1">
      <alignment horizontal="left" vertical="top"/>
    </xf>
    <xf numFmtId="0" fontId="30" fillId="0" borderId="68" xfId="10737" applyFont="1" applyBorder="1" applyAlignment="1">
      <alignment horizontal="left" wrapText="1"/>
    </xf>
    <xf numFmtId="0" fontId="76" fillId="0" borderId="69" xfId="10735" applyFont="1" applyBorder="1"/>
    <xf numFmtId="0" fontId="77" fillId="0" borderId="69" xfId="10737" applyFont="1" applyBorder="1" applyAlignment="1">
      <alignment horizontal="right"/>
    </xf>
    <xf numFmtId="0" fontId="77" fillId="0" borderId="70" xfId="10737" applyFont="1" applyBorder="1" applyAlignment="1">
      <alignment horizontal="right"/>
    </xf>
    <xf numFmtId="0" fontId="52" fillId="0" borderId="35" xfId="10735" applyFont="1" applyBorder="1" applyAlignment="1">
      <alignment horizontal="right"/>
    </xf>
    <xf numFmtId="0" fontId="18" fillId="0" borderId="28" xfId="10735" applyFont="1" applyBorder="1" applyAlignment="1">
      <alignment horizontal="right"/>
    </xf>
    <xf numFmtId="0" fontId="18" fillId="0" borderId="35" xfId="10735" applyFont="1" applyBorder="1" applyAlignment="1">
      <alignment horizontal="left" wrapText="1"/>
    </xf>
    <xf numFmtId="0" fontId="18" fillId="0" borderId="28" xfId="10735" applyFont="1" applyBorder="1" applyAlignment="1">
      <alignment horizontal="left" wrapText="1"/>
    </xf>
    <xf numFmtId="49" fontId="18" fillId="0" borderId="35" xfId="10735" applyNumberFormat="1" applyFont="1" applyBorder="1" applyAlignment="1">
      <alignment horizontal="left" wrapText="1"/>
    </xf>
    <xf numFmtId="49" fontId="76" fillId="0" borderId="28" xfId="10735" applyNumberFormat="1" applyFont="1" applyBorder="1" applyAlignment="1">
      <alignment horizontal="left" wrapText="1"/>
    </xf>
    <xf numFmtId="0" fontId="76" fillId="0" borderId="28" xfId="10735" applyFont="1" applyBorder="1" applyAlignment="1">
      <alignment horizontal="left" wrapText="1"/>
    </xf>
    <xf numFmtId="168" fontId="18" fillId="0" borderId="35" xfId="10735" applyNumberFormat="1" applyFont="1" applyBorder="1" applyAlignment="1">
      <alignment horizontal="left" wrapText="1"/>
    </xf>
    <xf numFmtId="168" fontId="76" fillId="0" borderId="28" xfId="10735" applyNumberFormat="1" applyFont="1" applyBorder="1" applyAlignment="1">
      <alignment horizontal="left" wrapText="1"/>
    </xf>
    <xf numFmtId="167" fontId="18" fillId="0" borderId="35" xfId="10736" applyNumberFormat="1" applyFont="1" applyBorder="1" applyAlignment="1">
      <alignment horizontal="left" wrapText="1"/>
    </xf>
    <xf numFmtId="167" fontId="76" fillId="0" borderId="28" xfId="10736" applyNumberFormat="1" applyFont="1" applyBorder="1" applyAlignment="1">
      <alignment horizontal="left" wrapText="1"/>
    </xf>
    <xf numFmtId="0" fontId="76" fillId="0" borderId="5" xfId="10735" applyFont="1" applyBorder="1" applyAlignment="1">
      <alignment horizontal="left" wrapText="1"/>
    </xf>
    <xf numFmtId="167" fontId="18" fillId="0" borderId="35" xfId="10735" applyNumberFormat="1" applyFont="1" applyBorder="1" applyAlignment="1">
      <alignment horizontal="left" wrapText="1"/>
    </xf>
    <xf numFmtId="167" fontId="76" fillId="0" borderId="28" xfId="10735" applyNumberFormat="1" applyFont="1" applyBorder="1" applyAlignment="1">
      <alignment horizontal="left" wrapText="1"/>
    </xf>
    <xf numFmtId="0" fontId="52" fillId="0" borderId="9" xfId="10735" applyFont="1" applyBorder="1" applyAlignment="1">
      <alignment horizontal="right"/>
    </xf>
    <xf numFmtId="0" fontId="18" fillId="0" borderId="9" xfId="10735" applyFont="1" applyBorder="1" applyAlignment="1">
      <alignment horizontal="right"/>
    </xf>
    <xf numFmtId="0" fontId="18" fillId="0" borderId="9" xfId="10735" applyFont="1" applyBorder="1" applyAlignment="1">
      <alignment horizontal="left" wrapText="1"/>
    </xf>
    <xf numFmtId="0" fontId="76" fillId="0" borderId="9" xfId="10735" applyFont="1" applyBorder="1" applyAlignment="1">
      <alignment horizontal="left" wrapText="1"/>
    </xf>
    <xf numFmtId="0" fontId="18" fillId="0" borderId="0" xfId="10735" applyFont="1" applyAlignment="1">
      <alignment horizontal="left"/>
    </xf>
    <xf numFmtId="0" fontId="76" fillId="0" borderId="0" xfId="10735" applyFont="1" applyAlignment="1">
      <alignment horizontal="left"/>
    </xf>
    <xf numFmtId="0" fontId="52" fillId="0" borderId="35" xfId="10735" applyFont="1" applyBorder="1" applyAlignment="1">
      <alignment horizontal="center" wrapText="1"/>
    </xf>
    <xf numFmtId="0" fontId="78" fillId="0" borderId="5" xfId="10735" applyFont="1" applyBorder="1" applyAlignment="1">
      <alignment horizontal="center" wrapText="1"/>
    </xf>
    <xf numFmtId="0" fontId="78" fillId="0" borderId="28" xfId="10735" applyFont="1" applyBorder="1" applyAlignment="1">
      <alignment horizontal="center" wrapText="1"/>
    </xf>
    <xf numFmtId="0" fontId="73" fillId="50" borderId="30" xfId="0" applyFont="1" applyFill="1" applyBorder="1" applyAlignment="1">
      <alignment horizontal="center" wrapText="1"/>
    </xf>
    <xf numFmtId="0" fontId="73" fillId="50" borderId="58" xfId="0" applyFont="1" applyFill="1" applyBorder="1" applyAlignment="1">
      <alignment horizontal="center" wrapText="1"/>
    </xf>
    <xf numFmtId="0" fontId="73" fillId="50" borderId="63" xfId="0" applyFont="1" applyFill="1" applyBorder="1" applyAlignment="1">
      <alignment horizontal="center" wrapText="1"/>
    </xf>
    <xf numFmtId="0" fontId="73" fillId="50" borderId="60" xfId="0" applyFont="1" applyFill="1" applyBorder="1" applyAlignment="1">
      <alignment horizontal="center" wrapText="1"/>
    </xf>
    <xf numFmtId="0" fontId="73" fillId="50" borderId="49" xfId="0" applyFont="1" applyFill="1" applyBorder="1" applyAlignment="1">
      <alignment horizontal="center" wrapText="1"/>
    </xf>
    <xf numFmtId="0" fontId="73" fillId="50" borderId="40" xfId="0" applyFont="1" applyFill="1" applyBorder="1" applyAlignment="1">
      <alignment horizontal="center" wrapText="1"/>
    </xf>
    <xf numFmtId="0" fontId="18" fillId="0" borderId="4" xfId="2834" applyBorder="1" applyAlignment="1">
      <alignment horizontal="center" vertical="top"/>
    </xf>
    <xf numFmtId="0" fontId="18" fillId="0" borderId="24" xfId="2834" applyBorder="1" applyAlignment="1">
      <alignment horizontal="center" vertical="top"/>
    </xf>
    <xf numFmtId="0" fontId="59" fillId="55" borderId="18" xfId="10738" applyFont="1" applyFill="1" applyBorder="1" applyAlignment="1">
      <alignment horizontal="center" vertical="center" wrapText="1"/>
    </xf>
    <xf numFmtId="0" fontId="18" fillId="0" borderId="4" xfId="2834" applyBorder="1" applyAlignment="1">
      <alignment horizontal="center"/>
    </xf>
    <xf numFmtId="0" fontId="18" fillId="0" borderId="24" xfId="2834" applyBorder="1" applyAlignment="1">
      <alignment horizontal="center"/>
    </xf>
    <xf numFmtId="0" fontId="16" fillId="53" borderId="18" xfId="10731" applyFont="1" applyFill="1" applyBorder="1" applyAlignment="1">
      <alignment horizontal="left" vertical="top"/>
    </xf>
    <xf numFmtId="0" fontId="16" fillId="53" borderId="4" xfId="10731" applyFont="1" applyFill="1" applyBorder="1" applyAlignment="1">
      <alignment horizontal="left" vertical="top"/>
    </xf>
    <xf numFmtId="0" fontId="16" fillId="53" borderId="24" xfId="10731" applyFont="1" applyFill="1" applyBorder="1" applyAlignment="1">
      <alignment horizontal="left" vertical="top"/>
    </xf>
    <xf numFmtId="0" fontId="17" fillId="52" borderId="18" xfId="1044" applyFont="1" applyFill="1" applyBorder="1" applyAlignment="1" applyProtection="1">
      <alignment horizontal="center" vertical="top" wrapText="1"/>
      <protection locked="0"/>
    </xf>
    <xf numFmtId="0" fontId="17" fillId="52" borderId="4" xfId="1044" applyFont="1" applyFill="1" applyBorder="1" applyAlignment="1" applyProtection="1">
      <alignment horizontal="center" vertical="top" wrapText="1"/>
      <protection locked="0"/>
    </xf>
    <xf numFmtId="0" fontId="17" fillId="52" borderId="24" xfId="1044" applyFont="1" applyFill="1" applyBorder="1" applyAlignment="1" applyProtection="1">
      <alignment horizontal="center" vertical="top" wrapText="1"/>
      <protection locked="0"/>
    </xf>
    <xf numFmtId="0" fontId="17" fillId="44" borderId="18" xfId="1044" applyFont="1" applyFill="1" applyBorder="1" applyAlignment="1" applyProtection="1">
      <alignment horizontal="center" vertical="top" wrapText="1"/>
      <protection locked="0"/>
    </xf>
    <xf numFmtId="0" fontId="17" fillId="44" borderId="4" xfId="1044" applyFont="1" applyFill="1" applyBorder="1" applyAlignment="1" applyProtection="1">
      <alignment horizontal="center" vertical="top" wrapText="1"/>
      <protection locked="0"/>
    </xf>
    <xf numFmtId="0" fontId="17" fillId="44" borderId="24" xfId="1044" applyFont="1" applyFill="1" applyBorder="1" applyAlignment="1" applyProtection="1">
      <alignment horizontal="center" vertical="top" wrapText="1"/>
      <protection locked="0"/>
    </xf>
    <xf numFmtId="0" fontId="17" fillId="43" borderId="18" xfId="10731" applyFont="1" applyFill="1" applyBorder="1" applyAlignment="1">
      <alignment horizontal="center" vertical="top"/>
    </xf>
    <xf numFmtId="0" fontId="17" fillId="43" borderId="4" xfId="10731" applyFont="1" applyFill="1" applyBorder="1" applyAlignment="1">
      <alignment horizontal="center" vertical="top"/>
    </xf>
    <xf numFmtId="0" fontId="17" fillId="43" borderId="24" xfId="10731" applyFont="1" applyFill="1" applyBorder="1" applyAlignment="1">
      <alignment horizontal="center" vertical="top"/>
    </xf>
  </cellXfs>
  <cellStyles count="10743">
    <cellStyle name="%" xfId="1" xr:uid="{00000000-0005-0000-0000-000000000000}"/>
    <cellStyle name="% 2" xfId="9529" xr:uid="{00000000-0005-0000-0000-000001000000}"/>
    <cellStyle name="% 3" xfId="8331" xr:uid="{00000000-0005-0000-0000-000002000000}"/>
    <cellStyle name="% 4" xfId="7133" xr:uid="{00000000-0005-0000-0000-000003000000}"/>
    <cellStyle name="% 5" xfId="5935" xr:uid="{00000000-0005-0000-0000-000004000000}"/>
    <cellStyle name="% 6" xfId="4736" xr:uid="{00000000-0005-0000-0000-000005000000}"/>
    <cellStyle name="% 7" xfId="3537" xr:uid="{00000000-0005-0000-0000-000006000000}"/>
    <cellStyle name="%_2" xfId="2" xr:uid="{00000000-0005-0000-0000-000007000000}"/>
    <cellStyle name="%_2 2" xfId="9530" xr:uid="{00000000-0005-0000-0000-000008000000}"/>
    <cellStyle name="%_2 3" xfId="8332" xr:uid="{00000000-0005-0000-0000-000009000000}"/>
    <cellStyle name="%_2 4" xfId="7134" xr:uid="{00000000-0005-0000-0000-00000A000000}"/>
    <cellStyle name="%_2 5" xfId="5936" xr:uid="{00000000-0005-0000-0000-00000B000000}"/>
    <cellStyle name="%_2 6" xfId="4737" xr:uid="{00000000-0005-0000-0000-00000C000000}"/>
    <cellStyle name="%_2 7" xfId="3538" xr:uid="{00000000-0005-0000-0000-00000D000000}"/>
    <cellStyle name="%_2_1" xfId="3" xr:uid="{00000000-0005-0000-0000-00000E000000}"/>
    <cellStyle name="%_2_1 2" xfId="9531" xr:uid="{00000000-0005-0000-0000-00000F000000}"/>
    <cellStyle name="%_2_1 3" xfId="8333" xr:uid="{00000000-0005-0000-0000-000010000000}"/>
    <cellStyle name="%_2_1 4" xfId="7135" xr:uid="{00000000-0005-0000-0000-000011000000}"/>
    <cellStyle name="%_2_1 5" xfId="5937" xr:uid="{00000000-0005-0000-0000-000012000000}"/>
    <cellStyle name="%_2_1 6" xfId="4738" xr:uid="{00000000-0005-0000-0000-000013000000}"/>
    <cellStyle name="%_2_1 7" xfId="3539" xr:uid="{00000000-0005-0000-0000-000014000000}"/>
    <cellStyle name="%_2_1_Business Excellence Dashboard-Aug2012-ERP HU (OracleApps)" xfId="4" xr:uid="{00000000-0005-0000-0000-000015000000}"/>
    <cellStyle name="%_2_1_Business Excellence Dashboard-Aug2012-ERP HU (OracleApps) 2" xfId="9532" xr:uid="{00000000-0005-0000-0000-000016000000}"/>
    <cellStyle name="%_2_1_Business Excellence Dashboard-Aug2012-ERP HU (OracleApps) 3" xfId="8334" xr:uid="{00000000-0005-0000-0000-000017000000}"/>
    <cellStyle name="%_2_1_Business Excellence Dashboard-Aug2012-ERP HU (OracleApps) 4" xfId="7136" xr:uid="{00000000-0005-0000-0000-000018000000}"/>
    <cellStyle name="%_2_1_Business Excellence Dashboard-Aug2012-ERP HU (OracleApps) 5" xfId="5938" xr:uid="{00000000-0005-0000-0000-000019000000}"/>
    <cellStyle name="%_2_1_Business Excellence Dashboard-Aug2012-ERP HU (OracleApps) 6" xfId="4739" xr:uid="{00000000-0005-0000-0000-00001A000000}"/>
    <cellStyle name="%_2_1_Business Excellence Dashboard-Aug2012-ERP HU (OracleApps) 7" xfId="3540" xr:uid="{00000000-0005-0000-0000-00001B000000}"/>
    <cellStyle name="%_2_1_Business Excellence Dashboard-Aug2012-ERP HU (OracleApps)_BusinessExcellenceDashboard_OCt2012_MS HU-ERased" xfId="5" xr:uid="{00000000-0005-0000-0000-00001C000000}"/>
    <cellStyle name="%_2_1_BusinessExcellenceDashboard_OCt2012_MS HU-ERased" xfId="6" xr:uid="{00000000-0005-0000-0000-00001D000000}"/>
    <cellStyle name="%_2_2" xfId="7" xr:uid="{00000000-0005-0000-0000-00001E000000}"/>
    <cellStyle name="%_2_2 2" xfId="9533" xr:uid="{00000000-0005-0000-0000-00001F000000}"/>
    <cellStyle name="%_2_2 3" xfId="8335" xr:uid="{00000000-0005-0000-0000-000020000000}"/>
    <cellStyle name="%_2_2 4" xfId="7137" xr:uid="{00000000-0005-0000-0000-000021000000}"/>
    <cellStyle name="%_2_2 5" xfId="5939" xr:uid="{00000000-0005-0000-0000-000022000000}"/>
    <cellStyle name="%_2_2 6" xfId="4740" xr:uid="{00000000-0005-0000-0000-000023000000}"/>
    <cellStyle name="%_2_2 7" xfId="3541" xr:uid="{00000000-0005-0000-0000-000024000000}"/>
    <cellStyle name="%_2_2_BusinessExcellenceDashboard_OCt2012_MS HU-ERased" xfId="8" xr:uid="{00000000-0005-0000-0000-000025000000}"/>
    <cellStyle name="%_2_Business Excellence Dashboard-Aug2012-ERP HU (OracleApps)" xfId="9" xr:uid="{00000000-0005-0000-0000-000026000000}"/>
    <cellStyle name="%_2_Business Excellence Dashboard-Aug2012-ERP HU (OracleApps) 2" xfId="9534" xr:uid="{00000000-0005-0000-0000-000027000000}"/>
    <cellStyle name="%_2_Business Excellence Dashboard-Aug2012-ERP HU (OracleApps) 3" xfId="8336" xr:uid="{00000000-0005-0000-0000-000028000000}"/>
    <cellStyle name="%_2_Business Excellence Dashboard-Aug2012-ERP HU (OracleApps) 4" xfId="7138" xr:uid="{00000000-0005-0000-0000-000029000000}"/>
    <cellStyle name="%_2_Business Excellence Dashboard-Aug2012-ERP HU (OracleApps) 5" xfId="5940" xr:uid="{00000000-0005-0000-0000-00002A000000}"/>
    <cellStyle name="%_2_Business Excellence Dashboard-Aug2012-ERP HU (OracleApps) 6" xfId="4741" xr:uid="{00000000-0005-0000-0000-00002B000000}"/>
    <cellStyle name="%_2_Business Excellence Dashboard-Aug2012-ERP HU (OracleApps) 7" xfId="3542" xr:uid="{00000000-0005-0000-0000-00002C000000}"/>
    <cellStyle name="%_2_Business Excellence Dashboard-Aug2012-ERP HU (OracleApps)_BusinessExcellenceDashboard_OCt2012_MS HU-ERased" xfId="10" xr:uid="{00000000-0005-0000-0000-00002D000000}"/>
    <cellStyle name="%_2_Business Excellence Dashboard-Jul2012-ERP HU (OracleApps)-consolidated" xfId="11" xr:uid="{00000000-0005-0000-0000-00002E000000}"/>
    <cellStyle name="%_2_Business Excellence Dashboard-Jul2012-ERP HU (OracleApps)-consolidated 2" xfId="9535" xr:uid="{00000000-0005-0000-0000-00002F000000}"/>
    <cellStyle name="%_2_Business Excellence Dashboard-Jul2012-ERP HU (OracleApps)-consolidated 3" xfId="8337" xr:uid="{00000000-0005-0000-0000-000030000000}"/>
    <cellStyle name="%_2_Business Excellence Dashboard-Jul2012-ERP HU (OracleApps)-consolidated 4" xfId="7139" xr:uid="{00000000-0005-0000-0000-000031000000}"/>
    <cellStyle name="%_2_Business Excellence Dashboard-Jul2012-ERP HU (OracleApps)-consolidated 5" xfId="5941" xr:uid="{00000000-0005-0000-0000-000032000000}"/>
    <cellStyle name="%_2_Business Excellence Dashboard-Jul2012-ERP HU (OracleApps)-consolidated 6" xfId="4742" xr:uid="{00000000-0005-0000-0000-000033000000}"/>
    <cellStyle name="%_2_Business Excellence Dashboard-Jul2012-ERP HU (OracleApps)-consolidated 7" xfId="3543" xr:uid="{00000000-0005-0000-0000-000034000000}"/>
    <cellStyle name="%_2_Business Excellence Dashboard-Jul2012-ERP HU (OracleApps)-consolidated_BusinessExcellenceDashboard_OCt2012_MS HU-ERased" xfId="12" xr:uid="{00000000-0005-0000-0000-000035000000}"/>
    <cellStyle name="%_2_BusinessExcellenceDashboard_OCt2012_MS HU-ERased" xfId="13" xr:uid="{00000000-0005-0000-0000-000036000000}"/>
    <cellStyle name="%_2_copydatamacro" xfId="14" xr:uid="{00000000-0005-0000-0000-000037000000}"/>
    <cellStyle name="%_2_copydatamacro 2" xfId="9536" xr:uid="{00000000-0005-0000-0000-000038000000}"/>
    <cellStyle name="%_2_copydatamacro 3" xfId="8338" xr:uid="{00000000-0005-0000-0000-000039000000}"/>
    <cellStyle name="%_2_copydatamacro 4" xfId="7140" xr:uid="{00000000-0005-0000-0000-00003A000000}"/>
    <cellStyle name="%_2_copydatamacro 5" xfId="5942" xr:uid="{00000000-0005-0000-0000-00003B000000}"/>
    <cellStyle name="%_2_copydatamacro 6" xfId="4743" xr:uid="{00000000-0005-0000-0000-00003C000000}"/>
    <cellStyle name="%_2_copydatamacro 7" xfId="3544" xr:uid="{00000000-0005-0000-0000-00003D000000}"/>
    <cellStyle name="%_2_copydatamacro_BusinessExcellenceDashboard_OCt2012_MS HU-ERased" xfId="15" xr:uid="{00000000-0005-0000-0000-00003E000000}"/>
    <cellStyle name="%_Book1" xfId="16" xr:uid="{00000000-0005-0000-0000-00003F000000}"/>
    <cellStyle name="%_Book1 2" xfId="9537" xr:uid="{00000000-0005-0000-0000-000040000000}"/>
    <cellStyle name="%_Book1 3" xfId="8339" xr:uid="{00000000-0005-0000-0000-000041000000}"/>
    <cellStyle name="%_Book1 4" xfId="7141" xr:uid="{00000000-0005-0000-0000-000042000000}"/>
    <cellStyle name="%_Book1 5" xfId="5943" xr:uid="{00000000-0005-0000-0000-000043000000}"/>
    <cellStyle name="%_Book1 6" xfId="4744" xr:uid="{00000000-0005-0000-0000-000044000000}"/>
    <cellStyle name="%_Book1 7" xfId="3545" xr:uid="{00000000-0005-0000-0000-000045000000}"/>
    <cellStyle name="%_Book1_Business Excellence Dashboard-Aug2012-ERP HU (OracleApps)" xfId="17" xr:uid="{00000000-0005-0000-0000-000046000000}"/>
    <cellStyle name="%_Book1_Business Excellence Dashboard-Aug2012-ERP HU (OracleApps) 2" xfId="9538" xr:uid="{00000000-0005-0000-0000-000047000000}"/>
    <cellStyle name="%_Book1_Business Excellence Dashboard-Aug2012-ERP HU (OracleApps) 3" xfId="8340" xr:uid="{00000000-0005-0000-0000-000048000000}"/>
    <cellStyle name="%_Book1_Business Excellence Dashboard-Aug2012-ERP HU (OracleApps) 4" xfId="7142" xr:uid="{00000000-0005-0000-0000-000049000000}"/>
    <cellStyle name="%_Book1_Business Excellence Dashboard-Aug2012-ERP HU (OracleApps) 5" xfId="5944" xr:uid="{00000000-0005-0000-0000-00004A000000}"/>
    <cellStyle name="%_Book1_Business Excellence Dashboard-Aug2012-ERP HU (OracleApps) 6" xfId="4745" xr:uid="{00000000-0005-0000-0000-00004B000000}"/>
    <cellStyle name="%_Book1_Business Excellence Dashboard-Aug2012-ERP HU (OracleApps) 7" xfId="3546" xr:uid="{00000000-0005-0000-0000-00004C000000}"/>
    <cellStyle name="%_Book1_Business Excellence Dashboard-Aug2012-ERP HU (OracleApps)_BusinessExcellenceDashboard_OCt2012_MS HU-ERased" xfId="18" xr:uid="{00000000-0005-0000-0000-00004D000000}"/>
    <cellStyle name="%_Book1_Business Excellence Dashboard-Jul2012-ERP HU (OracleApps)-consolidated" xfId="19" xr:uid="{00000000-0005-0000-0000-00004E000000}"/>
    <cellStyle name="%_Book1_Business Excellence Dashboard-Jul2012-ERP HU (OracleApps)-consolidated 2" xfId="9539" xr:uid="{00000000-0005-0000-0000-00004F000000}"/>
    <cellStyle name="%_Book1_Business Excellence Dashboard-Jul2012-ERP HU (OracleApps)-consolidated 3" xfId="8341" xr:uid="{00000000-0005-0000-0000-000050000000}"/>
    <cellStyle name="%_Book1_Business Excellence Dashboard-Jul2012-ERP HU (OracleApps)-consolidated 4" xfId="7143" xr:uid="{00000000-0005-0000-0000-000051000000}"/>
    <cellStyle name="%_Book1_Business Excellence Dashboard-Jul2012-ERP HU (OracleApps)-consolidated 5" xfId="5945" xr:uid="{00000000-0005-0000-0000-000052000000}"/>
    <cellStyle name="%_Book1_Business Excellence Dashboard-Jul2012-ERP HU (OracleApps)-consolidated 6" xfId="4746" xr:uid="{00000000-0005-0000-0000-000053000000}"/>
    <cellStyle name="%_Book1_Business Excellence Dashboard-Jul2012-ERP HU (OracleApps)-consolidated 7" xfId="3547" xr:uid="{00000000-0005-0000-0000-000054000000}"/>
    <cellStyle name="%_Book1_Business Excellence Dashboard-Jul2012-ERP HU (OracleApps)-consolidated_BusinessExcellenceDashboard_OCt2012_MS HU-ERased" xfId="20" xr:uid="{00000000-0005-0000-0000-000055000000}"/>
    <cellStyle name="%_Book1_BusinessExcellenceDashboard_OCt2012_MS HU-ERased" xfId="21" xr:uid="{00000000-0005-0000-0000-000056000000}"/>
    <cellStyle name="%_Book1_copydatamacro" xfId="22" xr:uid="{00000000-0005-0000-0000-000057000000}"/>
    <cellStyle name="%_Book1_copydatamacro 2" xfId="9540" xr:uid="{00000000-0005-0000-0000-000058000000}"/>
    <cellStyle name="%_Book1_copydatamacro 3" xfId="8342" xr:uid="{00000000-0005-0000-0000-000059000000}"/>
    <cellStyle name="%_Book1_copydatamacro 4" xfId="7144" xr:uid="{00000000-0005-0000-0000-00005A000000}"/>
    <cellStyle name="%_Book1_copydatamacro 5" xfId="5946" xr:uid="{00000000-0005-0000-0000-00005B000000}"/>
    <cellStyle name="%_Book1_copydatamacro 6" xfId="4747" xr:uid="{00000000-0005-0000-0000-00005C000000}"/>
    <cellStyle name="%_Book1_copydatamacro 7" xfId="3548" xr:uid="{00000000-0005-0000-0000-00005D000000}"/>
    <cellStyle name="%_Book1_copydatamacro_BusinessExcellenceDashboard_OCt2012_MS HU-ERased" xfId="23" xr:uid="{00000000-0005-0000-0000-00005E000000}"/>
    <cellStyle name="%_Business Excellence Dashboard-Aug2012-ERP HU (OracleApps)" xfId="24" xr:uid="{00000000-0005-0000-0000-00005F000000}"/>
    <cellStyle name="%_Business Excellence Dashboard-Aug2012-ERP HU (OracleApps) 2" xfId="9541" xr:uid="{00000000-0005-0000-0000-000060000000}"/>
    <cellStyle name="%_Business Excellence Dashboard-Aug2012-ERP HU (OracleApps) 3" xfId="8343" xr:uid="{00000000-0005-0000-0000-000061000000}"/>
    <cellStyle name="%_Business Excellence Dashboard-Aug2012-ERP HU (OracleApps) 4" xfId="7145" xr:uid="{00000000-0005-0000-0000-000062000000}"/>
    <cellStyle name="%_Business Excellence Dashboard-Aug2012-ERP HU (OracleApps) 5" xfId="5947" xr:uid="{00000000-0005-0000-0000-000063000000}"/>
    <cellStyle name="%_Business Excellence Dashboard-Aug2012-ERP HU (OracleApps) 6" xfId="4748" xr:uid="{00000000-0005-0000-0000-000064000000}"/>
    <cellStyle name="%_Business Excellence Dashboard-Aug2012-ERP HU (OracleApps) 7" xfId="3549" xr:uid="{00000000-0005-0000-0000-000065000000}"/>
    <cellStyle name="%_Business Excellence Dashboard-Aug2012-ERP HU (OracleApps)_BusinessExcellenceDashboard_OCt2012_MS HU-ERased" xfId="25" xr:uid="{00000000-0005-0000-0000-000066000000}"/>
    <cellStyle name="%_Business Excellence Dashboard-Jul2012-ERP HU (OracleApps)-consolidated" xfId="26" xr:uid="{00000000-0005-0000-0000-000067000000}"/>
    <cellStyle name="%_Business Excellence Dashboard-Jul2012-ERP HU (OracleApps)-consolidated 2" xfId="9542" xr:uid="{00000000-0005-0000-0000-000068000000}"/>
    <cellStyle name="%_Business Excellence Dashboard-Jul2012-ERP HU (OracleApps)-consolidated 3" xfId="8344" xr:uid="{00000000-0005-0000-0000-000069000000}"/>
    <cellStyle name="%_Business Excellence Dashboard-Jul2012-ERP HU (OracleApps)-consolidated 4" xfId="7146" xr:uid="{00000000-0005-0000-0000-00006A000000}"/>
    <cellStyle name="%_Business Excellence Dashboard-Jul2012-ERP HU (OracleApps)-consolidated 5" xfId="5948" xr:uid="{00000000-0005-0000-0000-00006B000000}"/>
    <cellStyle name="%_Business Excellence Dashboard-Jul2012-ERP HU (OracleApps)-consolidated 6" xfId="4749" xr:uid="{00000000-0005-0000-0000-00006C000000}"/>
    <cellStyle name="%_Business Excellence Dashboard-Jul2012-ERP HU (OracleApps)-consolidated 7" xfId="3550" xr:uid="{00000000-0005-0000-0000-00006D000000}"/>
    <cellStyle name="%_Business Excellence Dashboard-Jul2012-ERP HU (OracleApps)-consolidated_BusinessExcellenceDashboard_OCt2012_MS HU-ERased" xfId="27" xr:uid="{00000000-0005-0000-0000-00006E000000}"/>
    <cellStyle name="%_BusinessExcellenceDashboard_OCt2012_MS HU-ERased" xfId="28" xr:uid="{00000000-0005-0000-0000-00006F000000}"/>
    <cellStyle name="%_copydatamacro" xfId="29" xr:uid="{00000000-0005-0000-0000-000070000000}"/>
    <cellStyle name="%_copydatamacro 2" xfId="9543" xr:uid="{00000000-0005-0000-0000-000071000000}"/>
    <cellStyle name="%_copydatamacro 3" xfId="8345" xr:uid="{00000000-0005-0000-0000-000072000000}"/>
    <cellStyle name="%_copydatamacro 4" xfId="7147" xr:uid="{00000000-0005-0000-0000-000073000000}"/>
    <cellStyle name="%_copydatamacro 5" xfId="5949" xr:uid="{00000000-0005-0000-0000-000074000000}"/>
    <cellStyle name="%_copydatamacro 6" xfId="4750" xr:uid="{00000000-0005-0000-0000-000075000000}"/>
    <cellStyle name="%_copydatamacro 7" xfId="3551" xr:uid="{00000000-0005-0000-0000-000076000000}"/>
    <cellStyle name="%_copydatamacro_BusinessExcellenceDashboard_OCt2012_MS HU-ERased" xfId="30" xr:uid="{00000000-0005-0000-0000-000077000000}"/>
    <cellStyle name="%_HU Risk dashboard_Apr2012-1-macro" xfId="31" xr:uid="{00000000-0005-0000-0000-000078000000}"/>
    <cellStyle name="%_HU Risk dashboard_Apr2012-1-macro 2" xfId="9544" xr:uid="{00000000-0005-0000-0000-000079000000}"/>
    <cellStyle name="%_HU Risk dashboard_Apr2012-1-macro 3" xfId="8346" xr:uid="{00000000-0005-0000-0000-00007A000000}"/>
    <cellStyle name="%_HU Risk dashboard_Apr2012-1-macro 4" xfId="7148" xr:uid="{00000000-0005-0000-0000-00007B000000}"/>
    <cellStyle name="%_HU Risk dashboard_Apr2012-1-macro 5" xfId="5950" xr:uid="{00000000-0005-0000-0000-00007C000000}"/>
    <cellStyle name="%_HU Risk dashboard_Apr2012-1-macro 6" xfId="4751" xr:uid="{00000000-0005-0000-0000-00007D000000}"/>
    <cellStyle name="%_HU Risk dashboard_Apr2012-1-macro 7" xfId="3552" xr:uid="{00000000-0005-0000-0000-00007E000000}"/>
    <cellStyle name="%_HU Risk dashboard_Apr2012-1-macro_2" xfId="32" xr:uid="{00000000-0005-0000-0000-00007F000000}"/>
    <cellStyle name="%_HU Risk dashboard_Apr2012-1-macro_2 2" xfId="9545" xr:uid="{00000000-0005-0000-0000-000080000000}"/>
    <cellStyle name="%_HU Risk dashboard_Apr2012-1-macro_2 3" xfId="8347" xr:uid="{00000000-0005-0000-0000-000081000000}"/>
    <cellStyle name="%_HU Risk dashboard_Apr2012-1-macro_2 4" xfId="7149" xr:uid="{00000000-0005-0000-0000-000082000000}"/>
    <cellStyle name="%_HU Risk dashboard_Apr2012-1-macro_2 5" xfId="5951" xr:uid="{00000000-0005-0000-0000-000083000000}"/>
    <cellStyle name="%_HU Risk dashboard_Apr2012-1-macro_2 6" xfId="4752" xr:uid="{00000000-0005-0000-0000-000084000000}"/>
    <cellStyle name="%_HU Risk dashboard_Apr2012-1-macro_2 7" xfId="3553" xr:uid="{00000000-0005-0000-0000-000085000000}"/>
    <cellStyle name="%_HU Risk dashboard_Apr2012-1-macro_2_1" xfId="33" xr:uid="{00000000-0005-0000-0000-000086000000}"/>
    <cellStyle name="%_HU Risk dashboard_Apr2012-1-macro_2_1 2" xfId="9546" xr:uid="{00000000-0005-0000-0000-000087000000}"/>
    <cellStyle name="%_HU Risk dashboard_Apr2012-1-macro_2_1 3" xfId="8348" xr:uid="{00000000-0005-0000-0000-000088000000}"/>
    <cellStyle name="%_HU Risk dashboard_Apr2012-1-macro_2_1 4" xfId="7150" xr:uid="{00000000-0005-0000-0000-000089000000}"/>
    <cellStyle name="%_HU Risk dashboard_Apr2012-1-macro_2_1 5" xfId="5952" xr:uid="{00000000-0005-0000-0000-00008A000000}"/>
    <cellStyle name="%_HU Risk dashboard_Apr2012-1-macro_2_1 6" xfId="4753" xr:uid="{00000000-0005-0000-0000-00008B000000}"/>
    <cellStyle name="%_HU Risk dashboard_Apr2012-1-macro_2_1 7" xfId="3554" xr:uid="{00000000-0005-0000-0000-00008C000000}"/>
    <cellStyle name="%_HU Risk dashboard_Apr2012-1-macro_2_1_Business Excellence Dashboard-Aug2012-ERP HU (OracleApps)" xfId="34" xr:uid="{00000000-0005-0000-0000-00008D000000}"/>
    <cellStyle name="%_HU Risk dashboard_Apr2012-1-macro_2_1_Business Excellence Dashboard-Aug2012-ERP HU (OracleApps) 2" xfId="9547" xr:uid="{00000000-0005-0000-0000-00008E000000}"/>
    <cellStyle name="%_HU Risk dashboard_Apr2012-1-macro_2_1_Business Excellence Dashboard-Aug2012-ERP HU (OracleApps) 3" xfId="8349" xr:uid="{00000000-0005-0000-0000-00008F000000}"/>
    <cellStyle name="%_HU Risk dashboard_Apr2012-1-macro_2_1_Business Excellence Dashboard-Aug2012-ERP HU (OracleApps) 4" xfId="7151" xr:uid="{00000000-0005-0000-0000-000090000000}"/>
    <cellStyle name="%_HU Risk dashboard_Apr2012-1-macro_2_1_Business Excellence Dashboard-Aug2012-ERP HU (OracleApps) 5" xfId="5953" xr:uid="{00000000-0005-0000-0000-000091000000}"/>
    <cellStyle name="%_HU Risk dashboard_Apr2012-1-macro_2_1_Business Excellence Dashboard-Aug2012-ERP HU (OracleApps) 6" xfId="4754" xr:uid="{00000000-0005-0000-0000-000092000000}"/>
    <cellStyle name="%_HU Risk dashboard_Apr2012-1-macro_2_1_Business Excellence Dashboard-Aug2012-ERP HU (OracleApps) 7" xfId="3555" xr:uid="{00000000-0005-0000-0000-000093000000}"/>
    <cellStyle name="%_HU Risk dashboard_Apr2012-1-macro_2_1_Business Excellence Dashboard-Aug2012-ERP HU (OracleApps)_BusinessExcellenceDashboard_OCt2012_MS HU-ERased" xfId="35" xr:uid="{00000000-0005-0000-0000-000094000000}"/>
    <cellStyle name="%_HU Risk dashboard_Apr2012-1-macro_2_1_BusinessExcellenceDashboard_OCt2012_MS HU-ERased" xfId="36" xr:uid="{00000000-0005-0000-0000-000095000000}"/>
    <cellStyle name="%_HU Risk dashboard_Apr2012-1-macro_2_2" xfId="37" xr:uid="{00000000-0005-0000-0000-000096000000}"/>
    <cellStyle name="%_HU Risk dashboard_Apr2012-1-macro_2_2 2" xfId="9548" xr:uid="{00000000-0005-0000-0000-000097000000}"/>
    <cellStyle name="%_HU Risk dashboard_Apr2012-1-macro_2_2 3" xfId="8350" xr:uid="{00000000-0005-0000-0000-000098000000}"/>
    <cellStyle name="%_HU Risk dashboard_Apr2012-1-macro_2_2 4" xfId="7152" xr:uid="{00000000-0005-0000-0000-000099000000}"/>
    <cellStyle name="%_HU Risk dashboard_Apr2012-1-macro_2_2 5" xfId="5954" xr:uid="{00000000-0005-0000-0000-00009A000000}"/>
    <cellStyle name="%_HU Risk dashboard_Apr2012-1-macro_2_2 6" xfId="4755" xr:uid="{00000000-0005-0000-0000-00009B000000}"/>
    <cellStyle name="%_HU Risk dashboard_Apr2012-1-macro_2_2 7" xfId="3556" xr:uid="{00000000-0005-0000-0000-00009C000000}"/>
    <cellStyle name="%_HU Risk dashboard_Apr2012-1-macro_2_2_BusinessExcellenceDashboard_OCt2012_MS HU-ERased" xfId="38" xr:uid="{00000000-0005-0000-0000-00009D000000}"/>
    <cellStyle name="%_HU Risk dashboard_Apr2012-1-macro_2_Business Excellence Dashboard-Aug2012-ERP HU (OracleApps)" xfId="39" xr:uid="{00000000-0005-0000-0000-00009E000000}"/>
    <cellStyle name="%_HU Risk dashboard_Apr2012-1-macro_2_Business Excellence Dashboard-Aug2012-ERP HU (OracleApps) 2" xfId="9549" xr:uid="{00000000-0005-0000-0000-00009F000000}"/>
    <cellStyle name="%_HU Risk dashboard_Apr2012-1-macro_2_Business Excellence Dashboard-Aug2012-ERP HU (OracleApps) 3" xfId="8351" xr:uid="{00000000-0005-0000-0000-0000A0000000}"/>
    <cellStyle name="%_HU Risk dashboard_Apr2012-1-macro_2_Business Excellence Dashboard-Aug2012-ERP HU (OracleApps) 4" xfId="7153" xr:uid="{00000000-0005-0000-0000-0000A1000000}"/>
    <cellStyle name="%_HU Risk dashboard_Apr2012-1-macro_2_Business Excellence Dashboard-Aug2012-ERP HU (OracleApps) 5" xfId="5955" xr:uid="{00000000-0005-0000-0000-0000A2000000}"/>
    <cellStyle name="%_HU Risk dashboard_Apr2012-1-macro_2_Business Excellence Dashboard-Aug2012-ERP HU (OracleApps) 6" xfId="4756" xr:uid="{00000000-0005-0000-0000-0000A3000000}"/>
    <cellStyle name="%_HU Risk dashboard_Apr2012-1-macro_2_Business Excellence Dashboard-Aug2012-ERP HU (OracleApps) 7" xfId="3557" xr:uid="{00000000-0005-0000-0000-0000A4000000}"/>
    <cellStyle name="%_HU Risk dashboard_Apr2012-1-macro_2_Business Excellence Dashboard-Aug2012-ERP HU (OracleApps)_BusinessExcellenceDashboard_OCt2012_MS HU-ERased" xfId="40" xr:uid="{00000000-0005-0000-0000-0000A5000000}"/>
    <cellStyle name="%_HU Risk dashboard_Apr2012-1-macro_2_Business Excellence Dashboard-Jul2012-ERP HU (OracleApps)-consolidated" xfId="41" xr:uid="{00000000-0005-0000-0000-0000A6000000}"/>
    <cellStyle name="%_HU Risk dashboard_Apr2012-1-macro_2_Business Excellence Dashboard-Jul2012-ERP HU (OracleApps)-consolidated 2" xfId="9550" xr:uid="{00000000-0005-0000-0000-0000A7000000}"/>
    <cellStyle name="%_HU Risk dashboard_Apr2012-1-macro_2_Business Excellence Dashboard-Jul2012-ERP HU (OracleApps)-consolidated 3" xfId="8352" xr:uid="{00000000-0005-0000-0000-0000A8000000}"/>
    <cellStyle name="%_HU Risk dashboard_Apr2012-1-macro_2_Business Excellence Dashboard-Jul2012-ERP HU (OracleApps)-consolidated 4" xfId="7154" xr:uid="{00000000-0005-0000-0000-0000A9000000}"/>
    <cellStyle name="%_HU Risk dashboard_Apr2012-1-macro_2_Business Excellence Dashboard-Jul2012-ERP HU (OracleApps)-consolidated 5" xfId="5956" xr:uid="{00000000-0005-0000-0000-0000AA000000}"/>
    <cellStyle name="%_HU Risk dashboard_Apr2012-1-macro_2_Business Excellence Dashboard-Jul2012-ERP HU (OracleApps)-consolidated 6" xfId="4757" xr:uid="{00000000-0005-0000-0000-0000AB000000}"/>
    <cellStyle name="%_HU Risk dashboard_Apr2012-1-macro_2_Business Excellence Dashboard-Jul2012-ERP HU (OracleApps)-consolidated 7" xfId="3558" xr:uid="{00000000-0005-0000-0000-0000AC000000}"/>
    <cellStyle name="%_HU Risk dashboard_Apr2012-1-macro_2_Business Excellence Dashboard-Jul2012-ERP HU (OracleApps)-consolidated_BusinessExcellenceDashboard_OCt2012_MS HU-ERased" xfId="42" xr:uid="{00000000-0005-0000-0000-0000AD000000}"/>
    <cellStyle name="%_HU Risk dashboard_Apr2012-1-macro_2_BusinessExcellenceDashboard_OCt2012_MS HU-ERased" xfId="43" xr:uid="{00000000-0005-0000-0000-0000AE000000}"/>
    <cellStyle name="%_HU Risk dashboard_Apr2012-1-macro_2_copydatamacro" xfId="44" xr:uid="{00000000-0005-0000-0000-0000AF000000}"/>
    <cellStyle name="%_HU Risk dashboard_Apr2012-1-macro_2_copydatamacro 2" xfId="9551" xr:uid="{00000000-0005-0000-0000-0000B0000000}"/>
    <cellStyle name="%_HU Risk dashboard_Apr2012-1-macro_2_copydatamacro 3" xfId="8353" xr:uid="{00000000-0005-0000-0000-0000B1000000}"/>
    <cellStyle name="%_HU Risk dashboard_Apr2012-1-macro_2_copydatamacro 4" xfId="7155" xr:uid="{00000000-0005-0000-0000-0000B2000000}"/>
    <cellStyle name="%_HU Risk dashboard_Apr2012-1-macro_2_copydatamacro 5" xfId="5957" xr:uid="{00000000-0005-0000-0000-0000B3000000}"/>
    <cellStyle name="%_HU Risk dashboard_Apr2012-1-macro_2_copydatamacro 6" xfId="4758" xr:uid="{00000000-0005-0000-0000-0000B4000000}"/>
    <cellStyle name="%_HU Risk dashboard_Apr2012-1-macro_2_copydatamacro 7" xfId="3559" xr:uid="{00000000-0005-0000-0000-0000B5000000}"/>
    <cellStyle name="%_HU Risk dashboard_Apr2012-1-macro_2_copydatamacro_BusinessExcellenceDashboard_OCt2012_MS HU-ERased" xfId="45" xr:uid="{00000000-0005-0000-0000-0000B6000000}"/>
    <cellStyle name="%_HU Risk dashboard_Apr2012-1-macro_Book1" xfId="46" xr:uid="{00000000-0005-0000-0000-0000B7000000}"/>
    <cellStyle name="%_HU Risk dashboard_Apr2012-1-macro_Book1 2" xfId="9552" xr:uid="{00000000-0005-0000-0000-0000B8000000}"/>
    <cellStyle name="%_HU Risk dashboard_Apr2012-1-macro_Book1 3" xfId="8354" xr:uid="{00000000-0005-0000-0000-0000B9000000}"/>
    <cellStyle name="%_HU Risk dashboard_Apr2012-1-macro_Book1 4" xfId="7156" xr:uid="{00000000-0005-0000-0000-0000BA000000}"/>
    <cellStyle name="%_HU Risk dashboard_Apr2012-1-macro_Book1 5" xfId="5958" xr:uid="{00000000-0005-0000-0000-0000BB000000}"/>
    <cellStyle name="%_HU Risk dashboard_Apr2012-1-macro_Book1 6" xfId="4759" xr:uid="{00000000-0005-0000-0000-0000BC000000}"/>
    <cellStyle name="%_HU Risk dashboard_Apr2012-1-macro_Book1 7" xfId="3560" xr:uid="{00000000-0005-0000-0000-0000BD000000}"/>
    <cellStyle name="%_HU Risk dashboard_Apr2012-1-macro_Book1_Business Excellence Dashboard-Aug2012-ERP HU (OracleApps)" xfId="47" xr:uid="{00000000-0005-0000-0000-0000BE000000}"/>
    <cellStyle name="%_HU Risk dashboard_Apr2012-1-macro_Book1_Business Excellence Dashboard-Aug2012-ERP HU (OracleApps) 2" xfId="9553" xr:uid="{00000000-0005-0000-0000-0000BF000000}"/>
    <cellStyle name="%_HU Risk dashboard_Apr2012-1-macro_Book1_Business Excellence Dashboard-Aug2012-ERP HU (OracleApps) 3" xfId="8355" xr:uid="{00000000-0005-0000-0000-0000C0000000}"/>
    <cellStyle name="%_HU Risk dashboard_Apr2012-1-macro_Book1_Business Excellence Dashboard-Aug2012-ERP HU (OracleApps) 4" xfId="7157" xr:uid="{00000000-0005-0000-0000-0000C1000000}"/>
    <cellStyle name="%_HU Risk dashboard_Apr2012-1-macro_Book1_Business Excellence Dashboard-Aug2012-ERP HU (OracleApps) 5" xfId="5959" xr:uid="{00000000-0005-0000-0000-0000C2000000}"/>
    <cellStyle name="%_HU Risk dashboard_Apr2012-1-macro_Book1_Business Excellence Dashboard-Aug2012-ERP HU (OracleApps) 6" xfId="4760" xr:uid="{00000000-0005-0000-0000-0000C3000000}"/>
    <cellStyle name="%_HU Risk dashboard_Apr2012-1-macro_Book1_Business Excellence Dashboard-Aug2012-ERP HU (OracleApps) 7" xfId="3561" xr:uid="{00000000-0005-0000-0000-0000C4000000}"/>
    <cellStyle name="%_HU Risk dashboard_Apr2012-1-macro_Book1_Business Excellence Dashboard-Aug2012-ERP HU (OracleApps)_BusinessExcellenceDashboard_OCt2012_MS HU-ERased" xfId="48" xr:uid="{00000000-0005-0000-0000-0000C5000000}"/>
    <cellStyle name="%_HU Risk dashboard_Apr2012-1-macro_Book1_Business Excellence Dashboard-Jul2012-ERP HU (OracleApps)-consolidated" xfId="49" xr:uid="{00000000-0005-0000-0000-0000C6000000}"/>
    <cellStyle name="%_HU Risk dashboard_Apr2012-1-macro_Book1_Business Excellence Dashboard-Jul2012-ERP HU (OracleApps)-consolidated 2" xfId="9554" xr:uid="{00000000-0005-0000-0000-0000C7000000}"/>
    <cellStyle name="%_HU Risk dashboard_Apr2012-1-macro_Book1_Business Excellence Dashboard-Jul2012-ERP HU (OracleApps)-consolidated 3" xfId="8356" xr:uid="{00000000-0005-0000-0000-0000C8000000}"/>
    <cellStyle name="%_HU Risk dashboard_Apr2012-1-macro_Book1_Business Excellence Dashboard-Jul2012-ERP HU (OracleApps)-consolidated 4" xfId="7158" xr:uid="{00000000-0005-0000-0000-0000C9000000}"/>
    <cellStyle name="%_HU Risk dashboard_Apr2012-1-macro_Book1_Business Excellence Dashboard-Jul2012-ERP HU (OracleApps)-consolidated 5" xfId="5960" xr:uid="{00000000-0005-0000-0000-0000CA000000}"/>
    <cellStyle name="%_HU Risk dashboard_Apr2012-1-macro_Book1_Business Excellence Dashboard-Jul2012-ERP HU (OracleApps)-consolidated 6" xfId="4761" xr:uid="{00000000-0005-0000-0000-0000CB000000}"/>
    <cellStyle name="%_HU Risk dashboard_Apr2012-1-macro_Book1_Business Excellence Dashboard-Jul2012-ERP HU (OracleApps)-consolidated 7" xfId="3562" xr:uid="{00000000-0005-0000-0000-0000CC000000}"/>
    <cellStyle name="%_HU Risk dashboard_Apr2012-1-macro_Book1_Business Excellence Dashboard-Jul2012-ERP HU (OracleApps)-consolidated_BusinessExcellenceDashboard_OCt2012_MS HU-ERased" xfId="50" xr:uid="{00000000-0005-0000-0000-0000CD000000}"/>
    <cellStyle name="%_HU Risk dashboard_Apr2012-1-macro_Book1_BusinessExcellenceDashboard_OCt2012_MS HU-ERased" xfId="51" xr:uid="{00000000-0005-0000-0000-0000CE000000}"/>
    <cellStyle name="%_HU Risk dashboard_Apr2012-1-macro_Book1_copydatamacro" xfId="52" xr:uid="{00000000-0005-0000-0000-0000CF000000}"/>
    <cellStyle name="%_HU Risk dashboard_Apr2012-1-macro_Book1_copydatamacro 2" xfId="9555" xr:uid="{00000000-0005-0000-0000-0000D0000000}"/>
    <cellStyle name="%_HU Risk dashboard_Apr2012-1-macro_Book1_copydatamacro 3" xfId="8357" xr:uid="{00000000-0005-0000-0000-0000D1000000}"/>
    <cellStyle name="%_HU Risk dashboard_Apr2012-1-macro_Book1_copydatamacro 4" xfId="7159" xr:uid="{00000000-0005-0000-0000-0000D2000000}"/>
    <cellStyle name="%_HU Risk dashboard_Apr2012-1-macro_Book1_copydatamacro 5" xfId="5961" xr:uid="{00000000-0005-0000-0000-0000D3000000}"/>
    <cellStyle name="%_HU Risk dashboard_Apr2012-1-macro_Book1_copydatamacro 6" xfId="4762" xr:uid="{00000000-0005-0000-0000-0000D4000000}"/>
    <cellStyle name="%_HU Risk dashboard_Apr2012-1-macro_Book1_copydatamacro 7" xfId="3563" xr:uid="{00000000-0005-0000-0000-0000D5000000}"/>
    <cellStyle name="%_HU Risk dashboard_Apr2012-1-macro_Book1_copydatamacro_BusinessExcellenceDashboard_OCt2012_MS HU-ERased" xfId="53" xr:uid="{00000000-0005-0000-0000-0000D6000000}"/>
    <cellStyle name="%_HU Risk dashboard_Apr2012-1-macro_Business Excellence Dashboard-Aug2012-ERP HU (OracleApps)" xfId="54" xr:uid="{00000000-0005-0000-0000-0000D7000000}"/>
    <cellStyle name="%_HU Risk dashboard_Apr2012-1-macro_Business Excellence Dashboard-Aug2012-ERP HU (OracleApps) 2" xfId="9556" xr:uid="{00000000-0005-0000-0000-0000D8000000}"/>
    <cellStyle name="%_HU Risk dashboard_Apr2012-1-macro_Business Excellence Dashboard-Aug2012-ERP HU (OracleApps) 3" xfId="8358" xr:uid="{00000000-0005-0000-0000-0000D9000000}"/>
    <cellStyle name="%_HU Risk dashboard_Apr2012-1-macro_Business Excellence Dashboard-Aug2012-ERP HU (OracleApps) 4" xfId="7160" xr:uid="{00000000-0005-0000-0000-0000DA000000}"/>
    <cellStyle name="%_HU Risk dashboard_Apr2012-1-macro_Business Excellence Dashboard-Aug2012-ERP HU (OracleApps) 5" xfId="5962" xr:uid="{00000000-0005-0000-0000-0000DB000000}"/>
    <cellStyle name="%_HU Risk dashboard_Apr2012-1-macro_Business Excellence Dashboard-Aug2012-ERP HU (OracleApps) 6" xfId="4763" xr:uid="{00000000-0005-0000-0000-0000DC000000}"/>
    <cellStyle name="%_HU Risk dashboard_Apr2012-1-macro_Business Excellence Dashboard-Aug2012-ERP HU (OracleApps) 7" xfId="3564" xr:uid="{00000000-0005-0000-0000-0000DD000000}"/>
    <cellStyle name="%_HU Risk dashboard_Apr2012-1-macro_Business Excellence Dashboard-Aug2012-ERP HU (OracleApps)_BusinessExcellenceDashboard_OCt2012_MS HU-ERased" xfId="55" xr:uid="{00000000-0005-0000-0000-0000DE000000}"/>
    <cellStyle name="%_HU Risk dashboard_Apr2012-1-macro_Business Excellence Dashboard-Jul2012-ERP HU (OracleApps)-consolidated" xfId="56" xr:uid="{00000000-0005-0000-0000-0000DF000000}"/>
    <cellStyle name="%_HU Risk dashboard_Apr2012-1-macro_Business Excellence Dashboard-Jul2012-ERP HU (OracleApps)-consolidated 2" xfId="9557" xr:uid="{00000000-0005-0000-0000-0000E0000000}"/>
    <cellStyle name="%_HU Risk dashboard_Apr2012-1-macro_Business Excellence Dashboard-Jul2012-ERP HU (OracleApps)-consolidated 3" xfId="8359" xr:uid="{00000000-0005-0000-0000-0000E1000000}"/>
    <cellStyle name="%_HU Risk dashboard_Apr2012-1-macro_Business Excellence Dashboard-Jul2012-ERP HU (OracleApps)-consolidated 4" xfId="7161" xr:uid="{00000000-0005-0000-0000-0000E2000000}"/>
    <cellStyle name="%_HU Risk dashboard_Apr2012-1-macro_Business Excellence Dashboard-Jul2012-ERP HU (OracleApps)-consolidated 5" xfId="5963" xr:uid="{00000000-0005-0000-0000-0000E3000000}"/>
    <cellStyle name="%_HU Risk dashboard_Apr2012-1-macro_Business Excellence Dashboard-Jul2012-ERP HU (OracleApps)-consolidated 6" xfId="4764" xr:uid="{00000000-0005-0000-0000-0000E4000000}"/>
    <cellStyle name="%_HU Risk dashboard_Apr2012-1-macro_Business Excellence Dashboard-Jul2012-ERP HU (OracleApps)-consolidated 7" xfId="3565" xr:uid="{00000000-0005-0000-0000-0000E5000000}"/>
    <cellStyle name="%_HU Risk dashboard_Apr2012-1-macro_Business Excellence Dashboard-Jul2012-ERP HU (OracleApps)-consolidated_BusinessExcellenceDashboard_OCt2012_MS HU-ERased" xfId="57" xr:uid="{00000000-0005-0000-0000-0000E6000000}"/>
    <cellStyle name="%_HU Risk dashboard_Apr2012-1-macro_BusinessExcellenceDashboard_OCt2012_MS HU-ERased" xfId="58" xr:uid="{00000000-0005-0000-0000-0000E7000000}"/>
    <cellStyle name="%_HU Risk dashboard_Apr2012-1-macro_copydatamacro" xfId="59" xr:uid="{00000000-0005-0000-0000-0000E8000000}"/>
    <cellStyle name="%_HU Risk dashboard_Apr2012-1-macro_copydatamacro 2" xfId="9558" xr:uid="{00000000-0005-0000-0000-0000E9000000}"/>
    <cellStyle name="%_HU Risk dashboard_Apr2012-1-macro_copydatamacro 3" xfId="8360" xr:uid="{00000000-0005-0000-0000-0000EA000000}"/>
    <cellStyle name="%_HU Risk dashboard_Apr2012-1-macro_copydatamacro 4" xfId="7162" xr:uid="{00000000-0005-0000-0000-0000EB000000}"/>
    <cellStyle name="%_HU Risk dashboard_Apr2012-1-macro_copydatamacro 5" xfId="5964" xr:uid="{00000000-0005-0000-0000-0000EC000000}"/>
    <cellStyle name="%_HU Risk dashboard_Apr2012-1-macro_copydatamacro 6" xfId="4765" xr:uid="{00000000-0005-0000-0000-0000ED000000}"/>
    <cellStyle name="%_HU Risk dashboard_Apr2012-1-macro_copydatamacro 7" xfId="3566" xr:uid="{00000000-0005-0000-0000-0000EE000000}"/>
    <cellStyle name="%_HU Risk dashboard_Apr2012-1-macro_copydatamacro_BusinessExcellenceDashboard_OCt2012_MS HU-ERased" xfId="60" xr:uid="{00000000-0005-0000-0000-0000EF000000}"/>
    <cellStyle name="%_HU Risk dashboard_Apr2012-1-macro_MSHU_BusinessExcellenceDashboardV2.2-May2012-3" xfId="61" xr:uid="{00000000-0005-0000-0000-0000F0000000}"/>
    <cellStyle name="%_HU Risk dashboard_Apr2012-1-macro_MSHU_BusinessExcellenceDashboardV2.2-May2012-3 2" xfId="9559" xr:uid="{00000000-0005-0000-0000-0000F1000000}"/>
    <cellStyle name="%_HU Risk dashboard_Apr2012-1-macro_MSHU_BusinessExcellenceDashboardV2.2-May2012-3 3" xfId="8361" xr:uid="{00000000-0005-0000-0000-0000F2000000}"/>
    <cellStyle name="%_HU Risk dashboard_Apr2012-1-macro_MSHU_BusinessExcellenceDashboardV2.2-May2012-3 4" xfId="7163" xr:uid="{00000000-0005-0000-0000-0000F3000000}"/>
    <cellStyle name="%_HU Risk dashboard_Apr2012-1-macro_MSHU_BusinessExcellenceDashboardV2.2-May2012-3 5" xfId="5965" xr:uid="{00000000-0005-0000-0000-0000F4000000}"/>
    <cellStyle name="%_HU Risk dashboard_Apr2012-1-macro_MSHU_BusinessExcellenceDashboardV2.2-May2012-3 6" xfId="4766" xr:uid="{00000000-0005-0000-0000-0000F5000000}"/>
    <cellStyle name="%_HU Risk dashboard_Apr2012-1-macro_MSHU_BusinessExcellenceDashboardV2.2-May2012-3 7" xfId="3567" xr:uid="{00000000-0005-0000-0000-0000F6000000}"/>
    <cellStyle name="%_HU Risk dashboard_Apr2012-1-macro_MSHU_BusinessExcellenceDashboardV2.2-May2012-3_Business Excellence Dashboard-Aug2012-ERP HU (OracleApps)" xfId="62" xr:uid="{00000000-0005-0000-0000-0000F7000000}"/>
    <cellStyle name="%_HU Risk dashboard_Apr2012-1-macro_MSHU_BusinessExcellenceDashboardV2.2-May2012-3_Business Excellence Dashboard-Aug2012-ERP HU (OracleApps) 2" xfId="9560" xr:uid="{00000000-0005-0000-0000-0000F8000000}"/>
    <cellStyle name="%_HU Risk dashboard_Apr2012-1-macro_MSHU_BusinessExcellenceDashboardV2.2-May2012-3_Business Excellence Dashboard-Aug2012-ERP HU (OracleApps) 3" xfId="8362" xr:uid="{00000000-0005-0000-0000-0000F9000000}"/>
    <cellStyle name="%_HU Risk dashboard_Apr2012-1-macro_MSHU_BusinessExcellenceDashboardV2.2-May2012-3_Business Excellence Dashboard-Aug2012-ERP HU (OracleApps) 4" xfId="7164" xr:uid="{00000000-0005-0000-0000-0000FA000000}"/>
    <cellStyle name="%_HU Risk dashboard_Apr2012-1-macro_MSHU_BusinessExcellenceDashboardV2.2-May2012-3_Business Excellence Dashboard-Aug2012-ERP HU (OracleApps) 5" xfId="5966" xr:uid="{00000000-0005-0000-0000-0000FB000000}"/>
    <cellStyle name="%_HU Risk dashboard_Apr2012-1-macro_MSHU_BusinessExcellenceDashboardV2.2-May2012-3_Business Excellence Dashboard-Aug2012-ERP HU (OracleApps) 6" xfId="4767" xr:uid="{00000000-0005-0000-0000-0000FC000000}"/>
    <cellStyle name="%_HU Risk dashboard_Apr2012-1-macro_MSHU_BusinessExcellenceDashboardV2.2-May2012-3_Business Excellence Dashboard-Aug2012-ERP HU (OracleApps) 7" xfId="3568" xr:uid="{00000000-0005-0000-0000-0000FD000000}"/>
    <cellStyle name="%_HU Risk dashboard_Apr2012-1-macro_MSHU_BusinessExcellenceDashboardV2.2-May2012-3_Business Excellence Dashboard-Aug2012-ERP HU (OracleApps)_BusinessExcellenceDashboard_OCt2012_MS HU-ERased" xfId="63" xr:uid="{00000000-0005-0000-0000-0000FE000000}"/>
    <cellStyle name="%_HU Risk dashboard_Apr2012-1-macro_MSHU_BusinessExcellenceDashboardV2.2-May2012-3_Business Excellence Dashboard-Jul2012-ERP HU (OracleApps)-consolidated" xfId="64" xr:uid="{00000000-0005-0000-0000-0000FF000000}"/>
    <cellStyle name="%_HU Risk dashboard_Apr2012-1-macro_MSHU_BusinessExcellenceDashboardV2.2-May2012-3_Business Excellence Dashboard-Jul2012-ERP HU (OracleApps)-consolidated 2" xfId="9561" xr:uid="{00000000-0005-0000-0000-000000010000}"/>
    <cellStyle name="%_HU Risk dashboard_Apr2012-1-macro_MSHU_BusinessExcellenceDashboardV2.2-May2012-3_Business Excellence Dashboard-Jul2012-ERP HU (OracleApps)-consolidated 3" xfId="8363" xr:uid="{00000000-0005-0000-0000-000001010000}"/>
    <cellStyle name="%_HU Risk dashboard_Apr2012-1-macro_MSHU_BusinessExcellenceDashboardV2.2-May2012-3_Business Excellence Dashboard-Jul2012-ERP HU (OracleApps)-consolidated 4" xfId="7165" xr:uid="{00000000-0005-0000-0000-000002010000}"/>
    <cellStyle name="%_HU Risk dashboard_Apr2012-1-macro_MSHU_BusinessExcellenceDashboardV2.2-May2012-3_Business Excellence Dashboard-Jul2012-ERP HU (OracleApps)-consolidated 5" xfId="5967" xr:uid="{00000000-0005-0000-0000-000003010000}"/>
    <cellStyle name="%_HU Risk dashboard_Apr2012-1-macro_MSHU_BusinessExcellenceDashboardV2.2-May2012-3_Business Excellence Dashboard-Jul2012-ERP HU (OracleApps)-consolidated 6" xfId="4768" xr:uid="{00000000-0005-0000-0000-000004010000}"/>
    <cellStyle name="%_HU Risk dashboard_Apr2012-1-macro_MSHU_BusinessExcellenceDashboardV2.2-May2012-3_Business Excellence Dashboard-Jul2012-ERP HU (OracleApps)-consolidated 7" xfId="3569" xr:uid="{00000000-0005-0000-0000-000005010000}"/>
    <cellStyle name="%_HU Risk dashboard_Apr2012-1-macro_MSHU_BusinessExcellenceDashboardV2.2-May2012-3_Business Excellence Dashboard-Jul2012-ERP HU (OracleApps)-consolidated_BusinessExcellenceDashboard_OCt2012_MS HU-ERased" xfId="65" xr:uid="{00000000-0005-0000-0000-000006010000}"/>
    <cellStyle name="%_HU Risk dashboard_Apr2012-1-macro_MSHU_BusinessExcellenceDashboardV2.2-May2012-3_BusinessExcellenceDashboard_OCt2012_MS HU-ERased" xfId="66" xr:uid="{00000000-0005-0000-0000-000007010000}"/>
    <cellStyle name="%_HU Risk dashboard_Apr2012-1-macro_MSHU_BusinessExcellenceDashboardV2.2-May2012-3_copydatamacro" xfId="67" xr:uid="{00000000-0005-0000-0000-000008010000}"/>
    <cellStyle name="%_HU Risk dashboard_Apr2012-1-macro_MSHU_BusinessExcellenceDashboardV2.2-May2012-3_copydatamacro 2" xfId="9562" xr:uid="{00000000-0005-0000-0000-000009010000}"/>
    <cellStyle name="%_HU Risk dashboard_Apr2012-1-macro_MSHU_BusinessExcellenceDashboardV2.2-May2012-3_copydatamacro 3" xfId="8364" xr:uid="{00000000-0005-0000-0000-00000A010000}"/>
    <cellStyle name="%_HU Risk dashboard_Apr2012-1-macro_MSHU_BusinessExcellenceDashboardV2.2-May2012-3_copydatamacro 4" xfId="7166" xr:uid="{00000000-0005-0000-0000-00000B010000}"/>
    <cellStyle name="%_HU Risk dashboard_Apr2012-1-macro_MSHU_BusinessExcellenceDashboardV2.2-May2012-3_copydatamacro 5" xfId="5968" xr:uid="{00000000-0005-0000-0000-00000C010000}"/>
    <cellStyle name="%_HU Risk dashboard_Apr2012-1-macro_MSHU_BusinessExcellenceDashboardV2.2-May2012-3_copydatamacro 6" xfId="4769" xr:uid="{00000000-0005-0000-0000-00000D010000}"/>
    <cellStyle name="%_HU Risk dashboard_Apr2012-1-macro_MSHU_BusinessExcellenceDashboardV2.2-May2012-3_copydatamacro 7" xfId="3570" xr:uid="{00000000-0005-0000-0000-00000E010000}"/>
    <cellStyle name="%_HU Risk dashboard_Apr2012-1-macro_MSHU_BusinessExcellenceDashboardV2.2-May2012-3_copydatamacro_BusinessExcellenceDashboard_OCt2012_MS HU-ERased" xfId="68" xr:uid="{00000000-0005-0000-0000-00000F010000}"/>
    <cellStyle name="%_HU Risk dashboard_Apr2012-1-macro-7MAY2012-1" xfId="69" xr:uid="{00000000-0005-0000-0000-000010010000}"/>
    <cellStyle name="%_HU Risk dashboard_Apr2012-1-macro-7MAY2012-1 2" xfId="9563" xr:uid="{00000000-0005-0000-0000-000011010000}"/>
    <cellStyle name="%_HU Risk dashboard_Apr2012-1-macro-7MAY2012-1 3" xfId="8365" xr:uid="{00000000-0005-0000-0000-000012010000}"/>
    <cellStyle name="%_HU Risk dashboard_Apr2012-1-macro-7MAY2012-1 4" xfId="7167" xr:uid="{00000000-0005-0000-0000-000013010000}"/>
    <cellStyle name="%_HU Risk dashboard_Apr2012-1-macro-7MAY2012-1 5" xfId="5969" xr:uid="{00000000-0005-0000-0000-000014010000}"/>
    <cellStyle name="%_HU Risk dashboard_Apr2012-1-macro-7MAY2012-1 6" xfId="4770" xr:uid="{00000000-0005-0000-0000-000015010000}"/>
    <cellStyle name="%_HU Risk dashboard_Apr2012-1-macro-7MAY2012-1 7" xfId="3571" xr:uid="{00000000-0005-0000-0000-000016010000}"/>
    <cellStyle name="%_HU Risk dashboard_Apr2012-1-macro-7MAY2012-1_2" xfId="70" xr:uid="{00000000-0005-0000-0000-000017010000}"/>
    <cellStyle name="%_HU Risk dashboard_Apr2012-1-macro-7MAY2012-1_2 2" xfId="9564" xr:uid="{00000000-0005-0000-0000-000018010000}"/>
    <cellStyle name="%_HU Risk dashboard_Apr2012-1-macro-7MAY2012-1_2 3" xfId="8366" xr:uid="{00000000-0005-0000-0000-000019010000}"/>
    <cellStyle name="%_HU Risk dashboard_Apr2012-1-macro-7MAY2012-1_2 4" xfId="7168" xr:uid="{00000000-0005-0000-0000-00001A010000}"/>
    <cellStyle name="%_HU Risk dashboard_Apr2012-1-macro-7MAY2012-1_2 5" xfId="5970" xr:uid="{00000000-0005-0000-0000-00001B010000}"/>
    <cellStyle name="%_HU Risk dashboard_Apr2012-1-macro-7MAY2012-1_2 6" xfId="4771" xr:uid="{00000000-0005-0000-0000-00001C010000}"/>
    <cellStyle name="%_HU Risk dashboard_Apr2012-1-macro-7MAY2012-1_2 7" xfId="3572" xr:uid="{00000000-0005-0000-0000-00001D010000}"/>
    <cellStyle name="%_HU Risk dashboard_Apr2012-1-macro-7MAY2012-1_2_1" xfId="71" xr:uid="{00000000-0005-0000-0000-00001E010000}"/>
    <cellStyle name="%_HU Risk dashboard_Apr2012-1-macro-7MAY2012-1_2_1 2" xfId="9565" xr:uid="{00000000-0005-0000-0000-00001F010000}"/>
    <cellStyle name="%_HU Risk dashboard_Apr2012-1-macro-7MAY2012-1_2_1 3" xfId="8367" xr:uid="{00000000-0005-0000-0000-000020010000}"/>
    <cellStyle name="%_HU Risk dashboard_Apr2012-1-macro-7MAY2012-1_2_1 4" xfId="7169" xr:uid="{00000000-0005-0000-0000-000021010000}"/>
    <cellStyle name="%_HU Risk dashboard_Apr2012-1-macro-7MAY2012-1_2_1 5" xfId="5971" xr:uid="{00000000-0005-0000-0000-000022010000}"/>
    <cellStyle name="%_HU Risk dashboard_Apr2012-1-macro-7MAY2012-1_2_1 6" xfId="4772" xr:uid="{00000000-0005-0000-0000-000023010000}"/>
    <cellStyle name="%_HU Risk dashboard_Apr2012-1-macro-7MAY2012-1_2_1 7" xfId="3573" xr:uid="{00000000-0005-0000-0000-000024010000}"/>
    <cellStyle name="%_HU Risk dashboard_Apr2012-1-macro-7MAY2012-1_2_1_Business Excellence Dashboard-Aug2012-ERP HU (OracleApps)" xfId="72" xr:uid="{00000000-0005-0000-0000-000025010000}"/>
    <cellStyle name="%_HU Risk dashboard_Apr2012-1-macro-7MAY2012-1_2_1_Business Excellence Dashboard-Aug2012-ERP HU (OracleApps) 2" xfId="9566" xr:uid="{00000000-0005-0000-0000-000026010000}"/>
    <cellStyle name="%_HU Risk dashboard_Apr2012-1-macro-7MAY2012-1_2_1_Business Excellence Dashboard-Aug2012-ERP HU (OracleApps) 3" xfId="8368" xr:uid="{00000000-0005-0000-0000-000027010000}"/>
    <cellStyle name="%_HU Risk dashboard_Apr2012-1-macro-7MAY2012-1_2_1_Business Excellence Dashboard-Aug2012-ERP HU (OracleApps) 4" xfId="7170" xr:uid="{00000000-0005-0000-0000-000028010000}"/>
    <cellStyle name="%_HU Risk dashboard_Apr2012-1-macro-7MAY2012-1_2_1_Business Excellence Dashboard-Aug2012-ERP HU (OracleApps) 5" xfId="5972" xr:uid="{00000000-0005-0000-0000-000029010000}"/>
    <cellStyle name="%_HU Risk dashboard_Apr2012-1-macro-7MAY2012-1_2_1_Business Excellence Dashboard-Aug2012-ERP HU (OracleApps) 6" xfId="4773" xr:uid="{00000000-0005-0000-0000-00002A010000}"/>
    <cellStyle name="%_HU Risk dashboard_Apr2012-1-macro-7MAY2012-1_2_1_Business Excellence Dashboard-Aug2012-ERP HU (OracleApps) 7" xfId="3574" xr:uid="{00000000-0005-0000-0000-00002B010000}"/>
    <cellStyle name="%_HU Risk dashboard_Apr2012-1-macro-7MAY2012-1_2_1_Business Excellence Dashboard-Aug2012-ERP HU (OracleApps)_BusinessExcellenceDashboard_OCt2012_MS HU-ERased" xfId="73" xr:uid="{00000000-0005-0000-0000-00002C010000}"/>
    <cellStyle name="%_HU Risk dashboard_Apr2012-1-macro-7MAY2012-1_2_1_BusinessExcellenceDashboard_OCt2012_MS HU-ERased" xfId="74" xr:uid="{00000000-0005-0000-0000-00002D010000}"/>
    <cellStyle name="%_HU Risk dashboard_Apr2012-1-macro-7MAY2012-1_2_2" xfId="75" xr:uid="{00000000-0005-0000-0000-00002E010000}"/>
    <cellStyle name="%_HU Risk dashboard_Apr2012-1-macro-7MAY2012-1_2_2 2" xfId="9567" xr:uid="{00000000-0005-0000-0000-00002F010000}"/>
    <cellStyle name="%_HU Risk dashboard_Apr2012-1-macro-7MAY2012-1_2_2 3" xfId="8369" xr:uid="{00000000-0005-0000-0000-000030010000}"/>
    <cellStyle name="%_HU Risk dashboard_Apr2012-1-macro-7MAY2012-1_2_2 4" xfId="7171" xr:uid="{00000000-0005-0000-0000-000031010000}"/>
    <cellStyle name="%_HU Risk dashboard_Apr2012-1-macro-7MAY2012-1_2_2 5" xfId="5973" xr:uid="{00000000-0005-0000-0000-000032010000}"/>
    <cellStyle name="%_HU Risk dashboard_Apr2012-1-macro-7MAY2012-1_2_2 6" xfId="4774" xr:uid="{00000000-0005-0000-0000-000033010000}"/>
    <cellStyle name="%_HU Risk dashboard_Apr2012-1-macro-7MAY2012-1_2_2 7" xfId="3575" xr:uid="{00000000-0005-0000-0000-000034010000}"/>
    <cellStyle name="%_HU Risk dashboard_Apr2012-1-macro-7MAY2012-1_2_2_BusinessExcellenceDashboard_OCt2012_MS HU-ERased" xfId="76" xr:uid="{00000000-0005-0000-0000-000035010000}"/>
    <cellStyle name="%_HU Risk dashboard_Apr2012-1-macro-7MAY2012-1_2_Business Excellence Dashboard-Aug2012-ERP HU (OracleApps)" xfId="77" xr:uid="{00000000-0005-0000-0000-000036010000}"/>
    <cellStyle name="%_HU Risk dashboard_Apr2012-1-macro-7MAY2012-1_2_Business Excellence Dashboard-Aug2012-ERP HU (OracleApps) 2" xfId="9568" xr:uid="{00000000-0005-0000-0000-000037010000}"/>
    <cellStyle name="%_HU Risk dashboard_Apr2012-1-macro-7MAY2012-1_2_Business Excellence Dashboard-Aug2012-ERP HU (OracleApps) 3" xfId="8370" xr:uid="{00000000-0005-0000-0000-000038010000}"/>
    <cellStyle name="%_HU Risk dashboard_Apr2012-1-macro-7MAY2012-1_2_Business Excellence Dashboard-Aug2012-ERP HU (OracleApps) 4" xfId="7172" xr:uid="{00000000-0005-0000-0000-000039010000}"/>
    <cellStyle name="%_HU Risk dashboard_Apr2012-1-macro-7MAY2012-1_2_Business Excellence Dashboard-Aug2012-ERP HU (OracleApps) 5" xfId="5974" xr:uid="{00000000-0005-0000-0000-00003A010000}"/>
    <cellStyle name="%_HU Risk dashboard_Apr2012-1-macro-7MAY2012-1_2_Business Excellence Dashboard-Aug2012-ERP HU (OracleApps) 6" xfId="4775" xr:uid="{00000000-0005-0000-0000-00003B010000}"/>
    <cellStyle name="%_HU Risk dashboard_Apr2012-1-macro-7MAY2012-1_2_Business Excellence Dashboard-Aug2012-ERP HU (OracleApps) 7" xfId="3576" xr:uid="{00000000-0005-0000-0000-00003C010000}"/>
    <cellStyle name="%_HU Risk dashboard_Apr2012-1-macro-7MAY2012-1_2_Business Excellence Dashboard-Aug2012-ERP HU (OracleApps)_BusinessExcellenceDashboard_OCt2012_MS HU-ERased" xfId="78" xr:uid="{00000000-0005-0000-0000-00003D010000}"/>
    <cellStyle name="%_HU Risk dashboard_Apr2012-1-macro-7MAY2012-1_2_Business Excellence Dashboard-Jul2012-ERP HU (OracleApps)-consolidated" xfId="79" xr:uid="{00000000-0005-0000-0000-00003E010000}"/>
    <cellStyle name="%_HU Risk dashboard_Apr2012-1-macro-7MAY2012-1_2_Business Excellence Dashboard-Jul2012-ERP HU (OracleApps)-consolidated 2" xfId="9569" xr:uid="{00000000-0005-0000-0000-00003F010000}"/>
    <cellStyle name="%_HU Risk dashboard_Apr2012-1-macro-7MAY2012-1_2_Business Excellence Dashboard-Jul2012-ERP HU (OracleApps)-consolidated 3" xfId="8371" xr:uid="{00000000-0005-0000-0000-000040010000}"/>
    <cellStyle name="%_HU Risk dashboard_Apr2012-1-macro-7MAY2012-1_2_Business Excellence Dashboard-Jul2012-ERP HU (OracleApps)-consolidated 4" xfId="7173" xr:uid="{00000000-0005-0000-0000-000041010000}"/>
    <cellStyle name="%_HU Risk dashboard_Apr2012-1-macro-7MAY2012-1_2_Business Excellence Dashboard-Jul2012-ERP HU (OracleApps)-consolidated 5" xfId="5975" xr:uid="{00000000-0005-0000-0000-000042010000}"/>
    <cellStyle name="%_HU Risk dashboard_Apr2012-1-macro-7MAY2012-1_2_Business Excellence Dashboard-Jul2012-ERP HU (OracleApps)-consolidated 6" xfId="4776" xr:uid="{00000000-0005-0000-0000-000043010000}"/>
    <cellStyle name="%_HU Risk dashboard_Apr2012-1-macro-7MAY2012-1_2_Business Excellence Dashboard-Jul2012-ERP HU (OracleApps)-consolidated 7" xfId="3577" xr:uid="{00000000-0005-0000-0000-000044010000}"/>
    <cellStyle name="%_HU Risk dashboard_Apr2012-1-macro-7MAY2012-1_2_Business Excellence Dashboard-Jul2012-ERP HU (OracleApps)-consolidated_BusinessExcellenceDashboard_OCt2012_MS HU-ERased" xfId="80" xr:uid="{00000000-0005-0000-0000-000045010000}"/>
    <cellStyle name="%_HU Risk dashboard_Apr2012-1-macro-7MAY2012-1_2_BusinessExcellenceDashboard_OCt2012_MS HU-ERased" xfId="81" xr:uid="{00000000-0005-0000-0000-000046010000}"/>
    <cellStyle name="%_HU Risk dashboard_Apr2012-1-macro-7MAY2012-1_2_copydatamacro" xfId="82" xr:uid="{00000000-0005-0000-0000-000047010000}"/>
    <cellStyle name="%_HU Risk dashboard_Apr2012-1-macro-7MAY2012-1_2_copydatamacro 2" xfId="9570" xr:uid="{00000000-0005-0000-0000-000048010000}"/>
    <cellStyle name="%_HU Risk dashboard_Apr2012-1-macro-7MAY2012-1_2_copydatamacro 3" xfId="8372" xr:uid="{00000000-0005-0000-0000-000049010000}"/>
    <cellStyle name="%_HU Risk dashboard_Apr2012-1-macro-7MAY2012-1_2_copydatamacro 4" xfId="7174" xr:uid="{00000000-0005-0000-0000-00004A010000}"/>
    <cellStyle name="%_HU Risk dashboard_Apr2012-1-macro-7MAY2012-1_2_copydatamacro 5" xfId="5976" xr:uid="{00000000-0005-0000-0000-00004B010000}"/>
    <cellStyle name="%_HU Risk dashboard_Apr2012-1-macro-7MAY2012-1_2_copydatamacro 6" xfId="4777" xr:uid="{00000000-0005-0000-0000-00004C010000}"/>
    <cellStyle name="%_HU Risk dashboard_Apr2012-1-macro-7MAY2012-1_2_copydatamacro 7" xfId="3578" xr:uid="{00000000-0005-0000-0000-00004D010000}"/>
    <cellStyle name="%_HU Risk dashboard_Apr2012-1-macro-7MAY2012-1_2_copydatamacro_BusinessExcellenceDashboard_OCt2012_MS HU-ERased" xfId="83" xr:uid="{00000000-0005-0000-0000-00004E010000}"/>
    <cellStyle name="%_HU Risk dashboard_Apr2012-1-macro-7MAY2012-1_Book1" xfId="84" xr:uid="{00000000-0005-0000-0000-00004F010000}"/>
    <cellStyle name="%_HU Risk dashboard_Apr2012-1-macro-7MAY2012-1_Book1 2" xfId="9571" xr:uid="{00000000-0005-0000-0000-000050010000}"/>
    <cellStyle name="%_HU Risk dashboard_Apr2012-1-macro-7MAY2012-1_Book1 3" xfId="8373" xr:uid="{00000000-0005-0000-0000-000051010000}"/>
    <cellStyle name="%_HU Risk dashboard_Apr2012-1-macro-7MAY2012-1_Book1 4" xfId="7175" xr:uid="{00000000-0005-0000-0000-000052010000}"/>
    <cellStyle name="%_HU Risk dashboard_Apr2012-1-macro-7MAY2012-1_Book1 5" xfId="5977" xr:uid="{00000000-0005-0000-0000-000053010000}"/>
    <cellStyle name="%_HU Risk dashboard_Apr2012-1-macro-7MAY2012-1_Book1 6" xfId="4778" xr:uid="{00000000-0005-0000-0000-000054010000}"/>
    <cellStyle name="%_HU Risk dashboard_Apr2012-1-macro-7MAY2012-1_Book1 7" xfId="3579" xr:uid="{00000000-0005-0000-0000-000055010000}"/>
    <cellStyle name="%_HU Risk dashboard_Apr2012-1-macro-7MAY2012-1_Book1_Business Excellence Dashboard-Aug2012-ERP HU (OracleApps)" xfId="85" xr:uid="{00000000-0005-0000-0000-000056010000}"/>
    <cellStyle name="%_HU Risk dashboard_Apr2012-1-macro-7MAY2012-1_Book1_Business Excellence Dashboard-Aug2012-ERP HU (OracleApps) 2" xfId="9572" xr:uid="{00000000-0005-0000-0000-000057010000}"/>
    <cellStyle name="%_HU Risk dashboard_Apr2012-1-macro-7MAY2012-1_Book1_Business Excellence Dashboard-Aug2012-ERP HU (OracleApps) 3" xfId="8374" xr:uid="{00000000-0005-0000-0000-000058010000}"/>
    <cellStyle name="%_HU Risk dashboard_Apr2012-1-macro-7MAY2012-1_Book1_Business Excellence Dashboard-Aug2012-ERP HU (OracleApps) 4" xfId="7176" xr:uid="{00000000-0005-0000-0000-000059010000}"/>
    <cellStyle name="%_HU Risk dashboard_Apr2012-1-macro-7MAY2012-1_Book1_Business Excellence Dashboard-Aug2012-ERP HU (OracleApps) 5" xfId="5978" xr:uid="{00000000-0005-0000-0000-00005A010000}"/>
    <cellStyle name="%_HU Risk dashboard_Apr2012-1-macro-7MAY2012-1_Book1_Business Excellence Dashboard-Aug2012-ERP HU (OracleApps) 6" xfId="4779" xr:uid="{00000000-0005-0000-0000-00005B010000}"/>
    <cellStyle name="%_HU Risk dashboard_Apr2012-1-macro-7MAY2012-1_Book1_Business Excellence Dashboard-Aug2012-ERP HU (OracleApps) 7" xfId="3580" xr:uid="{00000000-0005-0000-0000-00005C010000}"/>
    <cellStyle name="%_HU Risk dashboard_Apr2012-1-macro-7MAY2012-1_Book1_Business Excellence Dashboard-Aug2012-ERP HU (OracleApps)_BusinessExcellenceDashboard_OCt2012_MS HU-ERased" xfId="86" xr:uid="{00000000-0005-0000-0000-00005D010000}"/>
    <cellStyle name="%_HU Risk dashboard_Apr2012-1-macro-7MAY2012-1_Book1_Business Excellence Dashboard-Jul2012-ERP HU (OracleApps)-consolidated" xfId="87" xr:uid="{00000000-0005-0000-0000-00005E010000}"/>
    <cellStyle name="%_HU Risk dashboard_Apr2012-1-macro-7MAY2012-1_Book1_Business Excellence Dashboard-Jul2012-ERP HU (OracleApps)-consolidated 2" xfId="9573" xr:uid="{00000000-0005-0000-0000-00005F010000}"/>
    <cellStyle name="%_HU Risk dashboard_Apr2012-1-macro-7MAY2012-1_Book1_Business Excellence Dashboard-Jul2012-ERP HU (OracleApps)-consolidated 3" xfId="8375" xr:uid="{00000000-0005-0000-0000-000060010000}"/>
    <cellStyle name="%_HU Risk dashboard_Apr2012-1-macro-7MAY2012-1_Book1_Business Excellence Dashboard-Jul2012-ERP HU (OracleApps)-consolidated 4" xfId="7177" xr:uid="{00000000-0005-0000-0000-000061010000}"/>
    <cellStyle name="%_HU Risk dashboard_Apr2012-1-macro-7MAY2012-1_Book1_Business Excellence Dashboard-Jul2012-ERP HU (OracleApps)-consolidated 5" xfId="5979" xr:uid="{00000000-0005-0000-0000-000062010000}"/>
    <cellStyle name="%_HU Risk dashboard_Apr2012-1-macro-7MAY2012-1_Book1_Business Excellence Dashboard-Jul2012-ERP HU (OracleApps)-consolidated 6" xfId="4780" xr:uid="{00000000-0005-0000-0000-000063010000}"/>
    <cellStyle name="%_HU Risk dashboard_Apr2012-1-macro-7MAY2012-1_Book1_Business Excellence Dashboard-Jul2012-ERP HU (OracleApps)-consolidated 7" xfId="3581" xr:uid="{00000000-0005-0000-0000-000064010000}"/>
    <cellStyle name="%_HU Risk dashboard_Apr2012-1-macro-7MAY2012-1_Book1_Business Excellence Dashboard-Jul2012-ERP HU (OracleApps)-consolidated_BusinessExcellenceDashboard_OCt2012_MS HU-ERased" xfId="88" xr:uid="{00000000-0005-0000-0000-000065010000}"/>
    <cellStyle name="%_HU Risk dashboard_Apr2012-1-macro-7MAY2012-1_Book1_BusinessExcellenceDashboard_OCt2012_MS HU-ERased" xfId="89" xr:uid="{00000000-0005-0000-0000-000066010000}"/>
    <cellStyle name="%_HU Risk dashboard_Apr2012-1-macro-7MAY2012-1_Book1_copydatamacro" xfId="90" xr:uid="{00000000-0005-0000-0000-000067010000}"/>
    <cellStyle name="%_HU Risk dashboard_Apr2012-1-macro-7MAY2012-1_Book1_copydatamacro 2" xfId="9574" xr:uid="{00000000-0005-0000-0000-000068010000}"/>
    <cellStyle name="%_HU Risk dashboard_Apr2012-1-macro-7MAY2012-1_Book1_copydatamacro 3" xfId="8376" xr:uid="{00000000-0005-0000-0000-000069010000}"/>
    <cellStyle name="%_HU Risk dashboard_Apr2012-1-macro-7MAY2012-1_Book1_copydatamacro 4" xfId="7178" xr:uid="{00000000-0005-0000-0000-00006A010000}"/>
    <cellStyle name="%_HU Risk dashboard_Apr2012-1-macro-7MAY2012-1_Book1_copydatamacro 5" xfId="5980" xr:uid="{00000000-0005-0000-0000-00006B010000}"/>
    <cellStyle name="%_HU Risk dashboard_Apr2012-1-macro-7MAY2012-1_Book1_copydatamacro 6" xfId="4781" xr:uid="{00000000-0005-0000-0000-00006C010000}"/>
    <cellStyle name="%_HU Risk dashboard_Apr2012-1-macro-7MAY2012-1_Book1_copydatamacro 7" xfId="3582" xr:uid="{00000000-0005-0000-0000-00006D010000}"/>
    <cellStyle name="%_HU Risk dashboard_Apr2012-1-macro-7MAY2012-1_Book1_copydatamacro_BusinessExcellenceDashboard_OCt2012_MS HU-ERased" xfId="91" xr:uid="{00000000-0005-0000-0000-00006E010000}"/>
    <cellStyle name="%_HU Risk dashboard_Apr2012-1-macro-7MAY2012-1_Business Excellence Dashboard-Aug2012-ERP HU (OracleApps)" xfId="92" xr:uid="{00000000-0005-0000-0000-00006F010000}"/>
    <cellStyle name="%_HU Risk dashboard_Apr2012-1-macro-7MAY2012-1_Business Excellence Dashboard-Aug2012-ERP HU (OracleApps) 2" xfId="9575" xr:uid="{00000000-0005-0000-0000-000070010000}"/>
    <cellStyle name="%_HU Risk dashboard_Apr2012-1-macro-7MAY2012-1_Business Excellence Dashboard-Aug2012-ERP HU (OracleApps) 3" xfId="8377" xr:uid="{00000000-0005-0000-0000-000071010000}"/>
    <cellStyle name="%_HU Risk dashboard_Apr2012-1-macro-7MAY2012-1_Business Excellence Dashboard-Aug2012-ERP HU (OracleApps) 4" xfId="7179" xr:uid="{00000000-0005-0000-0000-000072010000}"/>
    <cellStyle name="%_HU Risk dashboard_Apr2012-1-macro-7MAY2012-1_Business Excellence Dashboard-Aug2012-ERP HU (OracleApps) 5" xfId="5981" xr:uid="{00000000-0005-0000-0000-000073010000}"/>
    <cellStyle name="%_HU Risk dashboard_Apr2012-1-macro-7MAY2012-1_Business Excellence Dashboard-Aug2012-ERP HU (OracleApps) 6" xfId="4782" xr:uid="{00000000-0005-0000-0000-000074010000}"/>
    <cellStyle name="%_HU Risk dashboard_Apr2012-1-macro-7MAY2012-1_Business Excellence Dashboard-Aug2012-ERP HU (OracleApps) 7" xfId="3583" xr:uid="{00000000-0005-0000-0000-000075010000}"/>
    <cellStyle name="%_HU Risk dashboard_Apr2012-1-macro-7MAY2012-1_Business Excellence Dashboard-Aug2012-ERP HU (OracleApps)_BusinessExcellenceDashboard_OCt2012_MS HU-ERased" xfId="93" xr:uid="{00000000-0005-0000-0000-000076010000}"/>
    <cellStyle name="%_HU Risk dashboard_Apr2012-1-macro-7MAY2012-1_Business Excellence Dashboard-Jul2012-ERP HU (OracleApps)-consolidated" xfId="94" xr:uid="{00000000-0005-0000-0000-000077010000}"/>
    <cellStyle name="%_HU Risk dashboard_Apr2012-1-macro-7MAY2012-1_Business Excellence Dashboard-Jul2012-ERP HU (OracleApps)-consolidated 2" xfId="9576" xr:uid="{00000000-0005-0000-0000-000078010000}"/>
    <cellStyle name="%_HU Risk dashboard_Apr2012-1-macro-7MAY2012-1_Business Excellence Dashboard-Jul2012-ERP HU (OracleApps)-consolidated 3" xfId="8378" xr:uid="{00000000-0005-0000-0000-000079010000}"/>
    <cellStyle name="%_HU Risk dashboard_Apr2012-1-macro-7MAY2012-1_Business Excellence Dashboard-Jul2012-ERP HU (OracleApps)-consolidated 4" xfId="7180" xr:uid="{00000000-0005-0000-0000-00007A010000}"/>
    <cellStyle name="%_HU Risk dashboard_Apr2012-1-macro-7MAY2012-1_Business Excellence Dashboard-Jul2012-ERP HU (OracleApps)-consolidated 5" xfId="5982" xr:uid="{00000000-0005-0000-0000-00007B010000}"/>
    <cellStyle name="%_HU Risk dashboard_Apr2012-1-macro-7MAY2012-1_Business Excellence Dashboard-Jul2012-ERP HU (OracleApps)-consolidated 6" xfId="4783" xr:uid="{00000000-0005-0000-0000-00007C010000}"/>
    <cellStyle name="%_HU Risk dashboard_Apr2012-1-macro-7MAY2012-1_Business Excellence Dashboard-Jul2012-ERP HU (OracleApps)-consolidated 7" xfId="3584" xr:uid="{00000000-0005-0000-0000-00007D010000}"/>
    <cellStyle name="%_HU Risk dashboard_Apr2012-1-macro-7MAY2012-1_Business Excellence Dashboard-Jul2012-ERP HU (OracleApps)-consolidated_BusinessExcellenceDashboard_OCt2012_MS HU-ERased" xfId="95" xr:uid="{00000000-0005-0000-0000-00007E010000}"/>
    <cellStyle name="%_HU Risk dashboard_Apr2012-1-macro-7MAY2012-1_BusinessExcellenceDashboard_OCt2012_MS HU-ERased" xfId="96" xr:uid="{00000000-0005-0000-0000-00007F010000}"/>
    <cellStyle name="%_HU Risk dashboard_Apr2012-1-macro-7MAY2012-1_copydatamacro" xfId="97" xr:uid="{00000000-0005-0000-0000-000080010000}"/>
    <cellStyle name="%_HU Risk dashboard_Apr2012-1-macro-7MAY2012-1_copydatamacro 2" xfId="9577" xr:uid="{00000000-0005-0000-0000-000081010000}"/>
    <cellStyle name="%_HU Risk dashboard_Apr2012-1-macro-7MAY2012-1_copydatamacro 3" xfId="8379" xr:uid="{00000000-0005-0000-0000-000082010000}"/>
    <cellStyle name="%_HU Risk dashboard_Apr2012-1-macro-7MAY2012-1_copydatamacro 4" xfId="7181" xr:uid="{00000000-0005-0000-0000-000083010000}"/>
    <cellStyle name="%_HU Risk dashboard_Apr2012-1-macro-7MAY2012-1_copydatamacro 5" xfId="5983" xr:uid="{00000000-0005-0000-0000-000084010000}"/>
    <cellStyle name="%_HU Risk dashboard_Apr2012-1-macro-7MAY2012-1_copydatamacro 6" xfId="4784" xr:uid="{00000000-0005-0000-0000-000085010000}"/>
    <cellStyle name="%_HU Risk dashboard_Apr2012-1-macro-7MAY2012-1_copydatamacro 7" xfId="3585" xr:uid="{00000000-0005-0000-0000-000086010000}"/>
    <cellStyle name="%_HU Risk dashboard_Apr2012-1-macro-7MAY2012-1_copydatamacro_BusinessExcellenceDashboard_OCt2012_MS HU-ERased" xfId="98" xr:uid="{00000000-0005-0000-0000-000087010000}"/>
    <cellStyle name="%_HU Risk dashboard_Apr2012-1-macro-7MAY2012-1_MSHU_BusinessExcellenceDashboardV2.2-May2012-3" xfId="99" xr:uid="{00000000-0005-0000-0000-000088010000}"/>
    <cellStyle name="%_HU Risk dashboard_Apr2012-1-macro-7MAY2012-1_MSHU_BusinessExcellenceDashboardV2.2-May2012-3 2" xfId="9578" xr:uid="{00000000-0005-0000-0000-000089010000}"/>
    <cellStyle name="%_HU Risk dashboard_Apr2012-1-macro-7MAY2012-1_MSHU_BusinessExcellenceDashboardV2.2-May2012-3 3" xfId="8380" xr:uid="{00000000-0005-0000-0000-00008A010000}"/>
    <cellStyle name="%_HU Risk dashboard_Apr2012-1-macro-7MAY2012-1_MSHU_BusinessExcellenceDashboardV2.2-May2012-3 4" xfId="7182" xr:uid="{00000000-0005-0000-0000-00008B010000}"/>
    <cellStyle name="%_HU Risk dashboard_Apr2012-1-macro-7MAY2012-1_MSHU_BusinessExcellenceDashboardV2.2-May2012-3 5" xfId="5984" xr:uid="{00000000-0005-0000-0000-00008C010000}"/>
    <cellStyle name="%_HU Risk dashboard_Apr2012-1-macro-7MAY2012-1_MSHU_BusinessExcellenceDashboardV2.2-May2012-3 6" xfId="4785" xr:uid="{00000000-0005-0000-0000-00008D010000}"/>
    <cellStyle name="%_HU Risk dashboard_Apr2012-1-macro-7MAY2012-1_MSHU_BusinessExcellenceDashboardV2.2-May2012-3 7" xfId="3586" xr:uid="{00000000-0005-0000-0000-00008E010000}"/>
    <cellStyle name="%_HU Risk dashboard_Apr2012-1-macro-7MAY2012-1_MSHU_BusinessExcellenceDashboardV2.2-May2012-3_Business Excellence Dashboard-Aug2012-ERP HU (OracleApps)" xfId="100" xr:uid="{00000000-0005-0000-0000-00008F010000}"/>
    <cellStyle name="%_HU Risk dashboard_Apr2012-1-macro-7MAY2012-1_MSHU_BusinessExcellenceDashboardV2.2-May2012-3_Business Excellence Dashboard-Aug2012-ERP HU (OracleApps) 2" xfId="9579" xr:uid="{00000000-0005-0000-0000-000090010000}"/>
    <cellStyle name="%_HU Risk dashboard_Apr2012-1-macro-7MAY2012-1_MSHU_BusinessExcellenceDashboardV2.2-May2012-3_Business Excellence Dashboard-Aug2012-ERP HU (OracleApps) 3" xfId="8381" xr:uid="{00000000-0005-0000-0000-000091010000}"/>
    <cellStyle name="%_HU Risk dashboard_Apr2012-1-macro-7MAY2012-1_MSHU_BusinessExcellenceDashboardV2.2-May2012-3_Business Excellence Dashboard-Aug2012-ERP HU (OracleApps) 4" xfId="7183" xr:uid="{00000000-0005-0000-0000-000092010000}"/>
    <cellStyle name="%_HU Risk dashboard_Apr2012-1-macro-7MAY2012-1_MSHU_BusinessExcellenceDashboardV2.2-May2012-3_Business Excellence Dashboard-Aug2012-ERP HU (OracleApps) 5" xfId="5985" xr:uid="{00000000-0005-0000-0000-000093010000}"/>
    <cellStyle name="%_HU Risk dashboard_Apr2012-1-macro-7MAY2012-1_MSHU_BusinessExcellenceDashboardV2.2-May2012-3_Business Excellence Dashboard-Aug2012-ERP HU (OracleApps) 6" xfId="4786" xr:uid="{00000000-0005-0000-0000-000094010000}"/>
    <cellStyle name="%_HU Risk dashboard_Apr2012-1-macro-7MAY2012-1_MSHU_BusinessExcellenceDashboardV2.2-May2012-3_Business Excellence Dashboard-Aug2012-ERP HU (OracleApps) 7" xfId="3587" xr:uid="{00000000-0005-0000-0000-000095010000}"/>
    <cellStyle name="%_HU Risk dashboard_Apr2012-1-macro-7MAY2012-1_MSHU_BusinessExcellenceDashboardV2.2-May2012-3_Business Excellence Dashboard-Aug2012-ERP HU (OracleApps)_BusinessExcellenceDashboard_OCt2012_MS HU-ERased" xfId="101" xr:uid="{00000000-0005-0000-0000-000096010000}"/>
    <cellStyle name="%_HU Risk dashboard_Apr2012-1-macro-7MAY2012-1_MSHU_BusinessExcellenceDashboardV2.2-May2012-3_Business Excellence Dashboard-Jul2012-ERP HU (OracleApps)-consolidated" xfId="102" xr:uid="{00000000-0005-0000-0000-000097010000}"/>
    <cellStyle name="%_HU Risk dashboard_Apr2012-1-macro-7MAY2012-1_MSHU_BusinessExcellenceDashboardV2.2-May2012-3_Business Excellence Dashboard-Jul2012-ERP HU (OracleApps)-consolidated 2" xfId="9580" xr:uid="{00000000-0005-0000-0000-000098010000}"/>
    <cellStyle name="%_HU Risk dashboard_Apr2012-1-macro-7MAY2012-1_MSHU_BusinessExcellenceDashboardV2.2-May2012-3_Business Excellence Dashboard-Jul2012-ERP HU (OracleApps)-consolidated 3" xfId="8382" xr:uid="{00000000-0005-0000-0000-000099010000}"/>
    <cellStyle name="%_HU Risk dashboard_Apr2012-1-macro-7MAY2012-1_MSHU_BusinessExcellenceDashboardV2.2-May2012-3_Business Excellence Dashboard-Jul2012-ERP HU (OracleApps)-consolidated 4" xfId="7184" xr:uid="{00000000-0005-0000-0000-00009A010000}"/>
    <cellStyle name="%_HU Risk dashboard_Apr2012-1-macro-7MAY2012-1_MSHU_BusinessExcellenceDashboardV2.2-May2012-3_Business Excellence Dashboard-Jul2012-ERP HU (OracleApps)-consolidated 5" xfId="5986" xr:uid="{00000000-0005-0000-0000-00009B010000}"/>
    <cellStyle name="%_HU Risk dashboard_Apr2012-1-macro-7MAY2012-1_MSHU_BusinessExcellenceDashboardV2.2-May2012-3_Business Excellence Dashboard-Jul2012-ERP HU (OracleApps)-consolidated 6" xfId="4787" xr:uid="{00000000-0005-0000-0000-00009C010000}"/>
    <cellStyle name="%_HU Risk dashboard_Apr2012-1-macro-7MAY2012-1_MSHU_BusinessExcellenceDashboardV2.2-May2012-3_Business Excellence Dashboard-Jul2012-ERP HU (OracleApps)-consolidated 7" xfId="3588" xr:uid="{00000000-0005-0000-0000-00009D010000}"/>
    <cellStyle name="%_HU Risk dashboard_Apr2012-1-macro-7MAY2012-1_MSHU_BusinessExcellenceDashboardV2.2-May2012-3_Business Excellence Dashboard-Jul2012-ERP HU (OracleApps)-consolidated_BusinessExcellenceDashboard_OCt2012_MS HU-ERased" xfId="103" xr:uid="{00000000-0005-0000-0000-00009E010000}"/>
    <cellStyle name="%_HU Risk dashboard_Apr2012-1-macro-7MAY2012-1_MSHU_BusinessExcellenceDashboardV2.2-May2012-3_BusinessExcellenceDashboard_OCt2012_MS HU-ERased" xfId="104" xr:uid="{00000000-0005-0000-0000-00009F010000}"/>
    <cellStyle name="%_HU Risk dashboard_Apr2012-1-macro-7MAY2012-1_MSHU_BusinessExcellenceDashboardV2.2-May2012-3_copydatamacro" xfId="105" xr:uid="{00000000-0005-0000-0000-0000A0010000}"/>
    <cellStyle name="%_HU Risk dashboard_Apr2012-1-macro-7MAY2012-1_MSHU_BusinessExcellenceDashboardV2.2-May2012-3_copydatamacro 2" xfId="9581" xr:uid="{00000000-0005-0000-0000-0000A1010000}"/>
    <cellStyle name="%_HU Risk dashboard_Apr2012-1-macro-7MAY2012-1_MSHU_BusinessExcellenceDashboardV2.2-May2012-3_copydatamacro 3" xfId="8383" xr:uid="{00000000-0005-0000-0000-0000A2010000}"/>
    <cellStyle name="%_HU Risk dashboard_Apr2012-1-macro-7MAY2012-1_MSHU_BusinessExcellenceDashboardV2.2-May2012-3_copydatamacro 4" xfId="7185" xr:uid="{00000000-0005-0000-0000-0000A3010000}"/>
    <cellStyle name="%_HU Risk dashboard_Apr2012-1-macro-7MAY2012-1_MSHU_BusinessExcellenceDashboardV2.2-May2012-3_copydatamacro 5" xfId="5987" xr:uid="{00000000-0005-0000-0000-0000A4010000}"/>
    <cellStyle name="%_HU Risk dashboard_Apr2012-1-macro-7MAY2012-1_MSHU_BusinessExcellenceDashboardV2.2-May2012-3_copydatamacro 6" xfId="4788" xr:uid="{00000000-0005-0000-0000-0000A5010000}"/>
    <cellStyle name="%_HU Risk dashboard_Apr2012-1-macro-7MAY2012-1_MSHU_BusinessExcellenceDashboardV2.2-May2012-3_copydatamacro 7" xfId="3589" xr:uid="{00000000-0005-0000-0000-0000A6010000}"/>
    <cellStyle name="%_HU Risk dashboard_Apr2012-1-macro-7MAY2012-1_MSHU_BusinessExcellenceDashboardV2.2-May2012-3_copydatamacro_BusinessExcellenceDashboard_OCt2012_MS HU-ERased" xfId="106" xr:uid="{00000000-0005-0000-0000-0000A7010000}"/>
    <cellStyle name="%_HU-Risk-dashboard_OracleAppsProjects_Template-Macro" xfId="107" xr:uid="{00000000-0005-0000-0000-0000A8010000}"/>
    <cellStyle name="%_HU-Risk-dashboard_OracleAppsProjects_Template-Macro 2" xfId="9582" xr:uid="{00000000-0005-0000-0000-0000A9010000}"/>
    <cellStyle name="%_HU-Risk-dashboard_OracleAppsProjects_Template-Macro 3" xfId="8384" xr:uid="{00000000-0005-0000-0000-0000AA010000}"/>
    <cellStyle name="%_HU-Risk-dashboard_OracleAppsProjects_Template-Macro 4" xfId="7186" xr:uid="{00000000-0005-0000-0000-0000AB010000}"/>
    <cellStyle name="%_HU-Risk-dashboard_OracleAppsProjects_Template-Macro 5" xfId="5988" xr:uid="{00000000-0005-0000-0000-0000AC010000}"/>
    <cellStyle name="%_HU-Risk-dashboard_OracleAppsProjects_Template-Macro 6" xfId="4789" xr:uid="{00000000-0005-0000-0000-0000AD010000}"/>
    <cellStyle name="%_HU-Risk-dashboard_OracleAppsProjects_Template-Macro 7" xfId="3590" xr:uid="{00000000-0005-0000-0000-0000AE010000}"/>
    <cellStyle name="%_HU-Risk-dashboard_OracleAppsProjects_Template-Macro_2" xfId="108" xr:uid="{00000000-0005-0000-0000-0000AF010000}"/>
    <cellStyle name="%_HU-Risk-dashboard_OracleAppsProjects_Template-Macro_2 2" xfId="9583" xr:uid="{00000000-0005-0000-0000-0000B0010000}"/>
    <cellStyle name="%_HU-Risk-dashboard_OracleAppsProjects_Template-Macro_2 3" xfId="8385" xr:uid="{00000000-0005-0000-0000-0000B1010000}"/>
    <cellStyle name="%_HU-Risk-dashboard_OracleAppsProjects_Template-Macro_2 4" xfId="7187" xr:uid="{00000000-0005-0000-0000-0000B2010000}"/>
    <cellStyle name="%_HU-Risk-dashboard_OracleAppsProjects_Template-Macro_2 5" xfId="5989" xr:uid="{00000000-0005-0000-0000-0000B3010000}"/>
    <cellStyle name="%_HU-Risk-dashboard_OracleAppsProjects_Template-Macro_2 6" xfId="4790" xr:uid="{00000000-0005-0000-0000-0000B4010000}"/>
    <cellStyle name="%_HU-Risk-dashboard_OracleAppsProjects_Template-Macro_2 7" xfId="3591" xr:uid="{00000000-0005-0000-0000-0000B5010000}"/>
    <cellStyle name="%_HU-Risk-dashboard_OracleAppsProjects_Template-Macro_2_1" xfId="109" xr:uid="{00000000-0005-0000-0000-0000B6010000}"/>
    <cellStyle name="%_HU-Risk-dashboard_OracleAppsProjects_Template-Macro_2_1 2" xfId="9584" xr:uid="{00000000-0005-0000-0000-0000B7010000}"/>
    <cellStyle name="%_HU-Risk-dashboard_OracleAppsProjects_Template-Macro_2_1 3" xfId="8386" xr:uid="{00000000-0005-0000-0000-0000B8010000}"/>
    <cellStyle name="%_HU-Risk-dashboard_OracleAppsProjects_Template-Macro_2_1 4" xfId="7188" xr:uid="{00000000-0005-0000-0000-0000B9010000}"/>
    <cellStyle name="%_HU-Risk-dashboard_OracleAppsProjects_Template-Macro_2_1 5" xfId="5990" xr:uid="{00000000-0005-0000-0000-0000BA010000}"/>
    <cellStyle name="%_HU-Risk-dashboard_OracleAppsProjects_Template-Macro_2_1 6" xfId="4791" xr:uid="{00000000-0005-0000-0000-0000BB010000}"/>
    <cellStyle name="%_HU-Risk-dashboard_OracleAppsProjects_Template-Macro_2_1 7" xfId="3592" xr:uid="{00000000-0005-0000-0000-0000BC010000}"/>
    <cellStyle name="%_HU-Risk-dashboard_OracleAppsProjects_Template-Macro_2_1_Business Excellence Dashboard-Aug2012-ERP HU (OracleApps)" xfId="110" xr:uid="{00000000-0005-0000-0000-0000BD010000}"/>
    <cellStyle name="%_HU-Risk-dashboard_OracleAppsProjects_Template-Macro_2_1_Business Excellence Dashboard-Aug2012-ERP HU (OracleApps) 2" xfId="9585" xr:uid="{00000000-0005-0000-0000-0000BE010000}"/>
    <cellStyle name="%_HU-Risk-dashboard_OracleAppsProjects_Template-Macro_2_1_Business Excellence Dashboard-Aug2012-ERP HU (OracleApps) 3" xfId="8387" xr:uid="{00000000-0005-0000-0000-0000BF010000}"/>
    <cellStyle name="%_HU-Risk-dashboard_OracleAppsProjects_Template-Macro_2_1_Business Excellence Dashboard-Aug2012-ERP HU (OracleApps) 4" xfId="7189" xr:uid="{00000000-0005-0000-0000-0000C0010000}"/>
    <cellStyle name="%_HU-Risk-dashboard_OracleAppsProjects_Template-Macro_2_1_Business Excellence Dashboard-Aug2012-ERP HU (OracleApps) 5" xfId="5991" xr:uid="{00000000-0005-0000-0000-0000C1010000}"/>
    <cellStyle name="%_HU-Risk-dashboard_OracleAppsProjects_Template-Macro_2_1_Business Excellence Dashboard-Aug2012-ERP HU (OracleApps) 6" xfId="4792" xr:uid="{00000000-0005-0000-0000-0000C2010000}"/>
    <cellStyle name="%_HU-Risk-dashboard_OracleAppsProjects_Template-Macro_2_1_Business Excellence Dashboard-Aug2012-ERP HU (OracleApps) 7" xfId="3593" xr:uid="{00000000-0005-0000-0000-0000C3010000}"/>
    <cellStyle name="%_HU-Risk-dashboard_OracleAppsProjects_Template-Macro_2_1_Business Excellence Dashboard-Aug2012-ERP HU (OracleApps)_BusinessExcellenceDashboard_OCt2012_MS HU-ERased" xfId="111" xr:uid="{00000000-0005-0000-0000-0000C4010000}"/>
    <cellStyle name="%_HU-Risk-dashboard_OracleAppsProjects_Template-Macro_2_1_BusinessExcellenceDashboard_OCt2012_MS HU-ERased" xfId="112" xr:uid="{00000000-0005-0000-0000-0000C5010000}"/>
    <cellStyle name="%_HU-Risk-dashboard_OracleAppsProjects_Template-Macro_2_2" xfId="113" xr:uid="{00000000-0005-0000-0000-0000C6010000}"/>
    <cellStyle name="%_HU-Risk-dashboard_OracleAppsProjects_Template-Macro_2_2 2" xfId="9586" xr:uid="{00000000-0005-0000-0000-0000C7010000}"/>
    <cellStyle name="%_HU-Risk-dashboard_OracleAppsProjects_Template-Macro_2_2 3" xfId="8388" xr:uid="{00000000-0005-0000-0000-0000C8010000}"/>
    <cellStyle name="%_HU-Risk-dashboard_OracleAppsProjects_Template-Macro_2_2 4" xfId="7190" xr:uid="{00000000-0005-0000-0000-0000C9010000}"/>
    <cellStyle name="%_HU-Risk-dashboard_OracleAppsProjects_Template-Macro_2_2 5" xfId="5992" xr:uid="{00000000-0005-0000-0000-0000CA010000}"/>
    <cellStyle name="%_HU-Risk-dashboard_OracleAppsProjects_Template-Macro_2_2 6" xfId="4793" xr:uid="{00000000-0005-0000-0000-0000CB010000}"/>
    <cellStyle name="%_HU-Risk-dashboard_OracleAppsProjects_Template-Macro_2_2 7" xfId="3594" xr:uid="{00000000-0005-0000-0000-0000CC010000}"/>
    <cellStyle name="%_HU-Risk-dashboard_OracleAppsProjects_Template-Macro_2_2_BusinessExcellenceDashboard_OCt2012_MS HU-ERased" xfId="114" xr:uid="{00000000-0005-0000-0000-0000CD010000}"/>
    <cellStyle name="%_HU-Risk-dashboard_OracleAppsProjects_Template-Macro_2_Business Excellence Dashboard-Aug2012-ERP HU (OracleApps)" xfId="115" xr:uid="{00000000-0005-0000-0000-0000CE010000}"/>
    <cellStyle name="%_HU-Risk-dashboard_OracleAppsProjects_Template-Macro_2_Business Excellence Dashboard-Aug2012-ERP HU (OracleApps) 2" xfId="9587" xr:uid="{00000000-0005-0000-0000-0000CF010000}"/>
    <cellStyle name="%_HU-Risk-dashboard_OracleAppsProjects_Template-Macro_2_Business Excellence Dashboard-Aug2012-ERP HU (OracleApps) 3" xfId="8389" xr:uid="{00000000-0005-0000-0000-0000D0010000}"/>
    <cellStyle name="%_HU-Risk-dashboard_OracleAppsProjects_Template-Macro_2_Business Excellence Dashboard-Aug2012-ERP HU (OracleApps) 4" xfId="7191" xr:uid="{00000000-0005-0000-0000-0000D1010000}"/>
    <cellStyle name="%_HU-Risk-dashboard_OracleAppsProjects_Template-Macro_2_Business Excellence Dashboard-Aug2012-ERP HU (OracleApps) 5" xfId="5993" xr:uid="{00000000-0005-0000-0000-0000D2010000}"/>
    <cellStyle name="%_HU-Risk-dashboard_OracleAppsProjects_Template-Macro_2_Business Excellence Dashboard-Aug2012-ERP HU (OracleApps) 6" xfId="4794" xr:uid="{00000000-0005-0000-0000-0000D3010000}"/>
    <cellStyle name="%_HU-Risk-dashboard_OracleAppsProjects_Template-Macro_2_Business Excellence Dashboard-Aug2012-ERP HU (OracleApps) 7" xfId="3595" xr:uid="{00000000-0005-0000-0000-0000D4010000}"/>
    <cellStyle name="%_HU-Risk-dashboard_OracleAppsProjects_Template-Macro_2_Business Excellence Dashboard-Aug2012-ERP HU (OracleApps)_BusinessExcellenceDashboard_OCt2012_MS HU-ERased" xfId="116" xr:uid="{00000000-0005-0000-0000-0000D5010000}"/>
    <cellStyle name="%_HU-Risk-dashboard_OracleAppsProjects_Template-Macro_2_Business Excellence Dashboard-Jul2012-ERP HU (OracleApps)-consolidated" xfId="117" xr:uid="{00000000-0005-0000-0000-0000D6010000}"/>
    <cellStyle name="%_HU-Risk-dashboard_OracleAppsProjects_Template-Macro_2_Business Excellence Dashboard-Jul2012-ERP HU (OracleApps)-consolidated 2" xfId="9588" xr:uid="{00000000-0005-0000-0000-0000D7010000}"/>
    <cellStyle name="%_HU-Risk-dashboard_OracleAppsProjects_Template-Macro_2_Business Excellence Dashboard-Jul2012-ERP HU (OracleApps)-consolidated 3" xfId="8390" xr:uid="{00000000-0005-0000-0000-0000D8010000}"/>
    <cellStyle name="%_HU-Risk-dashboard_OracleAppsProjects_Template-Macro_2_Business Excellence Dashboard-Jul2012-ERP HU (OracleApps)-consolidated 4" xfId="7192" xr:uid="{00000000-0005-0000-0000-0000D9010000}"/>
    <cellStyle name="%_HU-Risk-dashboard_OracleAppsProjects_Template-Macro_2_Business Excellence Dashboard-Jul2012-ERP HU (OracleApps)-consolidated 5" xfId="5994" xr:uid="{00000000-0005-0000-0000-0000DA010000}"/>
    <cellStyle name="%_HU-Risk-dashboard_OracleAppsProjects_Template-Macro_2_Business Excellence Dashboard-Jul2012-ERP HU (OracleApps)-consolidated 6" xfId="4795" xr:uid="{00000000-0005-0000-0000-0000DB010000}"/>
    <cellStyle name="%_HU-Risk-dashboard_OracleAppsProjects_Template-Macro_2_Business Excellence Dashboard-Jul2012-ERP HU (OracleApps)-consolidated 7" xfId="3596" xr:uid="{00000000-0005-0000-0000-0000DC010000}"/>
    <cellStyle name="%_HU-Risk-dashboard_OracleAppsProjects_Template-Macro_2_Business Excellence Dashboard-Jul2012-ERP HU (OracleApps)-consolidated_BusinessExcellenceDashboard_OCt2012_MS HU-ERased" xfId="118" xr:uid="{00000000-0005-0000-0000-0000DD010000}"/>
    <cellStyle name="%_HU-Risk-dashboard_OracleAppsProjects_Template-Macro_2_BusinessExcellenceDashboard_OCt2012_MS HU-ERased" xfId="119" xr:uid="{00000000-0005-0000-0000-0000DE010000}"/>
    <cellStyle name="%_HU-Risk-dashboard_OracleAppsProjects_Template-Macro_2_copydatamacro" xfId="120" xr:uid="{00000000-0005-0000-0000-0000DF010000}"/>
    <cellStyle name="%_HU-Risk-dashboard_OracleAppsProjects_Template-Macro_2_copydatamacro 2" xfId="9589" xr:uid="{00000000-0005-0000-0000-0000E0010000}"/>
    <cellStyle name="%_HU-Risk-dashboard_OracleAppsProjects_Template-Macro_2_copydatamacro 3" xfId="8391" xr:uid="{00000000-0005-0000-0000-0000E1010000}"/>
    <cellStyle name="%_HU-Risk-dashboard_OracleAppsProjects_Template-Macro_2_copydatamacro 4" xfId="7193" xr:uid="{00000000-0005-0000-0000-0000E2010000}"/>
    <cellStyle name="%_HU-Risk-dashboard_OracleAppsProjects_Template-Macro_2_copydatamacro 5" xfId="5995" xr:uid="{00000000-0005-0000-0000-0000E3010000}"/>
    <cellStyle name="%_HU-Risk-dashboard_OracleAppsProjects_Template-Macro_2_copydatamacro 6" xfId="4796" xr:uid="{00000000-0005-0000-0000-0000E4010000}"/>
    <cellStyle name="%_HU-Risk-dashboard_OracleAppsProjects_Template-Macro_2_copydatamacro 7" xfId="3597" xr:uid="{00000000-0005-0000-0000-0000E5010000}"/>
    <cellStyle name="%_HU-Risk-dashboard_OracleAppsProjects_Template-Macro_2_copydatamacro_BusinessExcellenceDashboard_OCt2012_MS HU-ERased" xfId="121" xr:uid="{00000000-0005-0000-0000-0000E6010000}"/>
    <cellStyle name="%_HU-Risk-dashboard_OracleAppsProjects_Template-Macro_Book1" xfId="122" xr:uid="{00000000-0005-0000-0000-0000E7010000}"/>
    <cellStyle name="%_HU-Risk-dashboard_OracleAppsProjects_Template-Macro_Book1 2" xfId="9590" xr:uid="{00000000-0005-0000-0000-0000E8010000}"/>
    <cellStyle name="%_HU-Risk-dashboard_OracleAppsProjects_Template-Macro_Book1 3" xfId="8392" xr:uid="{00000000-0005-0000-0000-0000E9010000}"/>
    <cellStyle name="%_HU-Risk-dashboard_OracleAppsProjects_Template-Macro_Book1 4" xfId="7194" xr:uid="{00000000-0005-0000-0000-0000EA010000}"/>
    <cellStyle name="%_HU-Risk-dashboard_OracleAppsProjects_Template-Macro_Book1 5" xfId="5996" xr:uid="{00000000-0005-0000-0000-0000EB010000}"/>
    <cellStyle name="%_HU-Risk-dashboard_OracleAppsProjects_Template-Macro_Book1 6" xfId="4797" xr:uid="{00000000-0005-0000-0000-0000EC010000}"/>
    <cellStyle name="%_HU-Risk-dashboard_OracleAppsProjects_Template-Macro_Book1 7" xfId="3598" xr:uid="{00000000-0005-0000-0000-0000ED010000}"/>
    <cellStyle name="%_HU-Risk-dashboard_OracleAppsProjects_Template-Macro_Book1_Business Excellence Dashboard-Aug2012-ERP HU (OracleApps)" xfId="123" xr:uid="{00000000-0005-0000-0000-0000EE010000}"/>
    <cellStyle name="%_HU-Risk-dashboard_OracleAppsProjects_Template-Macro_Book1_Business Excellence Dashboard-Aug2012-ERP HU (OracleApps) 2" xfId="9591" xr:uid="{00000000-0005-0000-0000-0000EF010000}"/>
    <cellStyle name="%_HU-Risk-dashboard_OracleAppsProjects_Template-Macro_Book1_Business Excellence Dashboard-Aug2012-ERP HU (OracleApps) 3" xfId="8393" xr:uid="{00000000-0005-0000-0000-0000F0010000}"/>
    <cellStyle name="%_HU-Risk-dashboard_OracleAppsProjects_Template-Macro_Book1_Business Excellence Dashboard-Aug2012-ERP HU (OracleApps) 4" xfId="7195" xr:uid="{00000000-0005-0000-0000-0000F1010000}"/>
    <cellStyle name="%_HU-Risk-dashboard_OracleAppsProjects_Template-Macro_Book1_Business Excellence Dashboard-Aug2012-ERP HU (OracleApps) 5" xfId="5997" xr:uid="{00000000-0005-0000-0000-0000F2010000}"/>
    <cellStyle name="%_HU-Risk-dashboard_OracleAppsProjects_Template-Macro_Book1_Business Excellence Dashboard-Aug2012-ERP HU (OracleApps) 6" xfId="4798" xr:uid="{00000000-0005-0000-0000-0000F3010000}"/>
    <cellStyle name="%_HU-Risk-dashboard_OracleAppsProjects_Template-Macro_Book1_Business Excellence Dashboard-Aug2012-ERP HU (OracleApps) 7" xfId="3599" xr:uid="{00000000-0005-0000-0000-0000F4010000}"/>
    <cellStyle name="%_HU-Risk-dashboard_OracleAppsProjects_Template-Macro_Book1_Business Excellence Dashboard-Aug2012-ERP HU (OracleApps)_BusinessExcellenceDashboard_OCt2012_MS HU-ERased" xfId="124" xr:uid="{00000000-0005-0000-0000-0000F5010000}"/>
    <cellStyle name="%_HU-Risk-dashboard_OracleAppsProjects_Template-Macro_Book1_Business Excellence Dashboard-Jul2012-ERP HU (OracleApps)-consolidated" xfId="125" xr:uid="{00000000-0005-0000-0000-0000F6010000}"/>
    <cellStyle name="%_HU-Risk-dashboard_OracleAppsProjects_Template-Macro_Book1_Business Excellence Dashboard-Jul2012-ERP HU (OracleApps)-consolidated 2" xfId="9592" xr:uid="{00000000-0005-0000-0000-0000F7010000}"/>
    <cellStyle name="%_HU-Risk-dashboard_OracleAppsProjects_Template-Macro_Book1_Business Excellence Dashboard-Jul2012-ERP HU (OracleApps)-consolidated 3" xfId="8394" xr:uid="{00000000-0005-0000-0000-0000F8010000}"/>
    <cellStyle name="%_HU-Risk-dashboard_OracleAppsProjects_Template-Macro_Book1_Business Excellence Dashboard-Jul2012-ERP HU (OracleApps)-consolidated 4" xfId="7196" xr:uid="{00000000-0005-0000-0000-0000F9010000}"/>
    <cellStyle name="%_HU-Risk-dashboard_OracleAppsProjects_Template-Macro_Book1_Business Excellence Dashboard-Jul2012-ERP HU (OracleApps)-consolidated 5" xfId="5998" xr:uid="{00000000-0005-0000-0000-0000FA010000}"/>
    <cellStyle name="%_HU-Risk-dashboard_OracleAppsProjects_Template-Macro_Book1_Business Excellence Dashboard-Jul2012-ERP HU (OracleApps)-consolidated 6" xfId="4799" xr:uid="{00000000-0005-0000-0000-0000FB010000}"/>
    <cellStyle name="%_HU-Risk-dashboard_OracleAppsProjects_Template-Macro_Book1_Business Excellence Dashboard-Jul2012-ERP HU (OracleApps)-consolidated 7" xfId="3600" xr:uid="{00000000-0005-0000-0000-0000FC010000}"/>
    <cellStyle name="%_HU-Risk-dashboard_OracleAppsProjects_Template-Macro_Book1_Business Excellence Dashboard-Jul2012-ERP HU (OracleApps)-consolidated_BusinessExcellenceDashboard_OCt2012_MS HU-ERased" xfId="126" xr:uid="{00000000-0005-0000-0000-0000FD010000}"/>
    <cellStyle name="%_HU-Risk-dashboard_OracleAppsProjects_Template-Macro_Book1_BusinessExcellenceDashboard_OCt2012_MS HU-ERased" xfId="127" xr:uid="{00000000-0005-0000-0000-0000FE010000}"/>
    <cellStyle name="%_HU-Risk-dashboard_OracleAppsProjects_Template-Macro_Book1_copydatamacro" xfId="128" xr:uid="{00000000-0005-0000-0000-0000FF010000}"/>
    <cellStyle name="%_HU-Risk-dashboard_OracleAppsProjects_Template-Macro_Book1_copydatamacro 2" xfId="9593" xr:uid="{00000000-0005-0000-0000-000000020000}"/>
    <cellStyle name="%_HU-Risk-dashboard_OracleAppsProjects_Template-Macro_Book1_copydatamacro 3" xfId="8395" xr:uid="{00000000-0005-0000-0000-000001020000}"/>
    <cellStyle name="%_HU-Risk-dashboard_OracleAppsProjects_Template-Macro_Book1_copydatamacro 4" xfId="7197" xr:uid="{00000000-0005-0000-0000-000002020000}"/>
    <cellStyle name="%_HU-Risk-dashboard_OracleAppsProjects_Template-Macro_Book1_copydatamacro 5" xfId="5999" xr:uid="{00000000-0005-0000-0000-000003020000}"/>
    <cellStyle name="%_HU-Risk-dashboard_OracleAppsProjects_Template-Macro_Book1_copydatamacro 6" xfId="4800" xr:uid="{00000000-0005-0000-0000-000004020000}"/>
    <cellStyle name="%_HU-Risk-dashboard_OracleAppsProjects_Template-Macro_Book1_copydatamacro 7" xfId="3601" xr:uid="{00000000-0005-0000-0000-000005020000}"/>
    <cellStyle name="%_HU-Risk-dashboard_OracleAppsProjects_Template-Macro_Book1_copydatamacro_BusinessExcellenceDashboard_OCt2012_MS HU-ERased" xfId="129" xr:uid="{00000000-0005-0000-0000-000006020000}"/>
    <cellStyle name="%_HU-Risk-dashboard_OracleAppsProjects_Template-Macro_Business Excellence Dashboard-Aug2012-ERP HU (OracleApps)" xfId="130" xr:uid="{00000000-0005-0000-0000-000007020000}"/>
    <cellStyle name="%_HU-Risk-dashboard_OracleAppsProjects_Template-Macro_Business Excellence Dashboard-Aug2012-ERP HU (OracleApps) 2" xfId="9594" xr:uid="{00000000-0005-0000-0000-000008020000}"/>
    <cellStyle name="%_HU-Risk-dashboard_OracleAppsProjects_Template-Macro_Business Excellence Dashboard-Aug2012-ERP HU (OracleApps) 3" xfId="8396" xr:uid="{00000000-0005-0000-0000-000009020000}"/>
    <cellStyle name="%_HU-Risk-dashboard_OracleAppsProjects_Template-Macro_Business Excellence Dashboard-Aug2012-ERP HU (OracleApps) 4" xfId="7198" xr:uid="{00000000-0005-0000-0000-00000A020000}"/>
    <cellStyle name="%_HU-Risk-dashboard_OracleAppsProjects_Template-Macro_Business Excellence Dashboard-Aug2012-ERP HU (OracleApps) 5" xfId="6000" xr:uid="{00000000-0005-0000-0000-00000B020000}"/>
    <cellStyle name="%_HU-Risk-dashboard_OracleAppsProjects_Template-Macro_Business Excellence Dashboard-Aug2012-ERP HU (OracleApps) 6" xfId="4801" xr:uid="{00000000-0005-0000-0000-00000C020000}"/>
    <cellStyle name="%_HU-Risk-dashboard_OracleAppsProjects_Template-Macro_Business Excellence Dashboard-Aug2012-ERP HU (OracleApps) 7" xfId="3602" xr:uid="{00000000-0005-0000-0000-00000D020000}"/>
    <cellStyle name="%_HU-Risk-dashboard_OracleAppsProjects_Template-Macro_Business Excellence Dashboard-Aug2012-ERP HU (OracleApps)_BusinessExcellenceDashboard_OCt2012_MS HU-ERased" xfId="131" xr:uid="{00000000-0005-0000-0000-00000E020000}"/>
    <cellStyle name="%_HU-Risk-dashboard_OracleAppsProjects_Template-Macro_Business Excellence Dashboard-Jul2012-ERP HU (OracleApps)-consolidated" xfId="132" xr:uid="{00000000-0005-0000-0000-00000F020000}"/>
    <cellStyle name="%_HU-Risk-dashboard_OracleAppsProjects_Template-Macro_Business Excellence Dashboard-Jul2012-ERP HU (OracleApps)-consolidated 2" xfId="9595" xr:uid="{00000000-0005-0000-0000-000010020000}"/>
    <cellStyle name="%_HU-Risk-dashboard_OracleAppsProjects_Template-Macro_Business Excellence Dashboard-Jul2012-ERP HU (OracleApps)-consolidated 3" xfId="8397" xr:uid="{00000000-0005-0000-0000-000011020000}"/>
    <cellStyle name="%_HU-Risk-dashboard_OracleAppsProjects_Template-Macro_Business Excellence Dashboard-Jul2012-ERP HU (OracleApps)-consolidated 4" xfId="7199" xr:uid="{00000000-0005-0000-0000-000012020000}"/>
    <cellStyle name="%_HU-Risk-dashboard_OracleAppsProjects_Template-Macro_Business Excellence Dashboard-Jul2012-ERP HU (OracleApps)-consolidated 5" xfId="6001" xr:uid="{00000000-0005-0000-0000-000013020000}"/>
    <cellStyle name="%_HU-Risk-dashboard_OracleAppsProjects_Template-Macro_Business Excellence Dashboard-Jul2012-ERP HU (OracleApps)-consolidated 6" xfId="4802" xr:uid="{00000000-0005-0000-0000-000014020000}"/>
    <cellStyle name="%_HU-Risk-dashboard_OracleAppsProjects_Template-Macro_Business Excellence Dashboard-Jul2012-ERP HU (OracleApps)-consolidated 7" xfId="3603" xr:uid="{00000000-0005-0000-0000-000015020000}"/>
    <cellStyle name="%_HU-Risk-dashboard_OracleAppsProjects_Template-Macro_Business Excellence Dashboard-Jul2012-ERP HU (OracleApps)-consolidated_BusinessExcellenceDashboard_OCt2012_MS HU-ERased" xfId="133" xr:uid="{00000000-0005-0000-0000-000016020000}"/>
    <cellStyle name="%_HU-Risk-dashboard_OracleAppsProjects_Template-Macro_BusinessExcellenceDashboard_OCt2012_MS HU-ERased" xfId="134" xr:uid="{00000000-0005-0000-0000-000017020000}"/>
    <cellStyle name="%_HU-Risk-dashboard_OracleAppsProjects_Template-Macro_copydatamacro" xfId="135" xr:uid="{00000000-0005-0000-0000-000018020000}"/>
    <cellStyle name="%_HU-Risk-dashboard_OracleAppsProjects_Template-Macro_copydatamacro 2" xfId="9596" xr:uid="{00000000-0005-0000-0000-000019020000}"/>
    <cellStyle name="%_HU-Risk-dashboard_OracleAppsProjects_Template-Macro_copydatamacro 3" xfId="8398" xr:uid="{00000000-0005-0000-0000-00001A020000}"/>
    <cellStyle name="%_HU-Risk-dashboard_OracleAppsProjects_Template-Macro_copydatamacro 4" xfId="7200" xr:uid="{00000000-0005-0000-0000-00001B020000}"/>
    <cellStyle name="%_HU-Risk-dashboard_OracleAppsProjects_Template-Macro_copydatamacro 5" xfId="6002" xr:uid="{00000000-0005-0000-0000-00001C020000}"/>
    <cellStyle name="%_HU-Risk-dashboard_OracleAppsProjects_Template-Macro_copydatamacro 6" xfId="4803" xr:uid="{00000000-0005-0000-0000-00001D020000}"/>
    <cellStyle name="%_HU-Risk-dashboard_OracleAppsProjects_Template-Macro_copydatamacro 7" xfId="3604" xr:uid="{00000000-0005-0000-0000-00001E020000}"/>
    <cellStyle name="%_HU-Risk-dashboard_OracleAppsProjects_Template-Macro_copydatamacro_BusinessExcellenceDashboard_OCt2012_MS HU-ERased" xfId="136" xr:uid="{00000000-0005-0000-0000-00001F020000}"/>
    <cellStyle name="%_HU-Risk-dashboard_OracleAppsProjects_Template-Macro_MSHU_BusinessExcellenceDashboardV2.2-May2012-3" xfId="137" xr:uid="{00000000-0005-0000-0000-000020020000}"/>
    <cellStyle name="%_HU-Risk-dashboard_OracleAppsProjects_Template-Macro_MSHU_BusinessExcellenceDashboardV2.2-May2012-3 2" xfId="9597" xr:uid="{00000000-0005-0000-0000-000021020000}"/>
    <cellStyle name="%_HU-Risk-dashboard_OracleAppsProjects_Template-Macro_MSHU_BusinessExcellenceDashboardV2.2-May2012-3 3" xfId="8399" xr:uid="{00000000-0005-0000-0000-000022020000}"/>
    <cellStyle name="%_HU-Risk-dashboard_OracleAppsProjects_Template-Macro_MSHU_BusinessExcellenceDashboardV2.2-May2012-3 4" xfId="7201" xr:uid="{00000000-0005-0000-0000-000023020000}"/>
    <cellStyle name="%_HU-Risk-dashboard_OracleAppsProjects_Template-Macro_MSHU_BusinessExcellenceDashboardV2.2-May2012-3 5" xfId="6003" xr:uid="{00000000-0005-0000-0000-000024020000}"/>
    <cellStyle name="%_HU-Risk-dashboard_OracleAppsProjects_Template-Macro_MSHU_BusinessExcellenceDashboardV2.2-May2012-3 6" xfId="4804" xr:uid="{00000000-0005-0000-0000-000025020000}"/>
    <cellStyle name="%_HU-Risk-dashboard_OracleAppsProjects_Template-Macro_MSHU_BusinessExcellenceDashboardV2.2-May2012-3 7" xfId="3605" xr:uid="{00000000-0005-0000-0000-000026020000}"/>
    <cellStyle name="%_HU-Risk-dashboard_OracleAppsProjects_Template-Macro_MSHU_BusinessExcellenceDashboardV2.2-May2012-3_Business Excellence Dashboard-Aug2012-ERP HU (OracleApps)" xfId="138" xr:uid="{00000000-0005-0000-0000-000027020000}"/>
    <cellStyle name="%_HU-Risk-dashboard_OracleAppsProjects_Template-Macro_MSHU_BusinessExcellenceDashboardV2.2-May2012-3_Business Excellence Dashboard-Aug2012-ERP HU (OracleApps) 2" xfId="9598" xr:uid="{00000000-0005-0000-0000-000028020000}"/>
    <cellStyle name="%_HU-Risk-dashboard_OracleAppsProjects_Template-Macro_MSHU_BusinessExcellenceDashboardV2.2-May2012-3_Business Excellence Dashboard-Aug2012-ERP HU (OracleApps) 3" xfId="8400" xr:uid="{00000000-0005-0000-0000-000029020000}"/>
    <cellStyle name="%_HU-Risk-dashboard_OracleAppsProjects_Template-Macro_MSHU_BusinessExcellenceDashboardV2.2-May2012-3_Business Excellence Dashboard-Aug2012-ERP HU (OracleApps) 4" xfId="7202" xr:uid="{00000000-0005-0000-0000-00002A020000}"/>
    <cellStyle name="%_HU-Risk-dashboard_OracleAppsProjects_Template-Macro_MSHU_BusinessExcellenceDashboardV2.2-May2012-3_Business Excellence Dashboard-Aug2012-ERP HU (OracleApps) 5" xfId="6004" xr:uid="{00000000-0005-0000-0000-00002B020000}"/>
    <cellStyle name="%_HU-Risk-dashboard_OracleAppsProjects_Template-Macro_MSHU_BusinessExcellenceDashboardV2.2-May2012-3_Business Excellence Dashboard-Aug2012-ERP HU (OracleApps) 6" xfId="4805" xr:uid="{00000000-0005-0000-0000-00002C020000}"/>
    <cellStyle name="%_HU-Risk-dashboard_OracleAppsProjects_Template-Macro_MSHU_BusinessExcellenceDashboardV2.2-May2012-3_Business Excellence Dashboard-Aug2012-ERP HU (OracleApps) 7" xfId="3606" xr:uid="{00000000-0005-0000-0000-00002D020000}"/>
    <cellStyle name="%_HU-Risk-dashboard_OracleAppsProjects_Template-Macro_MSHU_BusinessExcellenceDashboardV2.2-May2012-3_Business Excellence Dashboard-Aug2012-ERP HU (OracleApps)_BusinessExcellenceDashboard_OCt2012_MS HU-ERased" xfId="139" xr:uid="{00000000-0005-0000-0000-00002E020000}"/>
    <cellStyle name="%_HU-Risk-dashboard_OracleAppsProjects_Template-Macro_MSHU_BusinessExcellenceDashboardV2.2-May2012-3_Business Excellence Dashboard-Jul2012-ERP HU (OracleApps)-consolidated" xfId="140" xr:uid="{00000000-0005-0000-0000-00002F020000}"/>
    <cellStyle name="%_HU-Risk-dashboard_OracleAppsProjects_Template-Macro_MSHU_BusinessExcellenceDashboardV2.2-May2012-3_Business Excellence Dashboard-Jul2012-ERP HU (OracleApps)-consolidated 2" xfId="9599" xr:uid="{00000000-0005-0000-0000-000030020000}"/>
    <cellStyle name="%_HU-Risk-dashboard_OracleAppsProjects_Template-Macro_MSHU_BusinessExcellenceDashboardV2.2-May2012-3_Business Excellence Dashboard-Jul2012-ERP HU (OracleApps)-consolidated 3" xfId="8401" xr:uid="{00000000-0005-0000-0000-000031020000}"/>
    <cellStyle name="%_HU-Risk-dashboard_OracleAppsProjects_Template-Macro_MSHU_BusinessExcellenceDashboardV2.2-May2012-3_Business Excellence Dashboard-Jul2012-ERP HU (OracleApps)-consolidated 4" xfId="7203" xr:uid="{00000000-0005-0000-0000-000032020000}"/>
    <cellStyle name="%_HU-Risk-dashboard_OracleAppsProjects_Template-Macro_MSHU_BusinessExcellenceDashboardV2.2-May2012-3_Business Excellence Dashboard-Jul2012-ERP HU (OracleApps)-consolidated 5" xfId="6005" xr:uid="{00000000-0005-0000-0000-000033020000}"/>
    <cellStyle name="%_HU-Risk-dashboard_OracleAppsProjects_Template-Macro_MSHU_BusinessExcellenceDashboardV2.2-May2012-3_Business Excellence Dashboard-Jul2012-ERP HU (OracleApps)-consolidated 6" xfId="4806" xr:uid="{00000000-0005-0000-0000-000034020000}"/>
    <cellStyle name="%_HU-Risk-dashboard_OracleAppsProjects_Template-Macro_MSHU_BusinessExcellenceDashboardV2.2-May2012-3_Business Excellence Dashboard-Jul2012-ERP HU (OracleApps)-consolidated 7" xfId="3607" xr:uid="{00000000-0005-0000-0000-000035020000}"/>
    <cellStyle name="%_HU-Risk-dashboard_OracleAppsProjects_Template-Macro_MSHU_BusinessExcellenceDashboardV2.2-May2012-3_Business Excellence Dashboard-Jul2012-ERP HU (OracleApps)-consolidated_BusinessExcellenceDashboard_OCt2012_MS HU-ERased" xfId="141" xr:uid="{00000000-0005-0000-0000-000036020000}"/>
    <cellStyle name="%_HU-Risk-dashboard_OracleAppsProjects_Template-Macro_MSHU_BusinessExcellenceDashboardV2.2-May2012-3_BusinessExcellenceDashboard_OCt2012_MS HU-ERased" xfId="142" xr:uid="{00000000-0005-0000-0000-000037020000}"/>
    <cellStyle name="%_HU-Risk-dashboard_OracleAppsProjects_Template-Macro_MSHU_BusinessExcellenceDashboardV2.2-May2012-3_copydatamacro" xfId="143" xr:uid="{00000000-0005-0000-0000-000038020000}"/>
    <cellStyle name="%_HU-Risk-dashboard_OracleAppsProjects_Template-Macro_MSHU_BusinessExcellenceDashboardV2.2-May2012-3_copydatamacro 2" xfId="9600" xr:uid="{00000000-0005-0000-0000-000039020000}"/>
    <cellStyle name="%_HU-Risk-dashboard_OracleAppsProjects_Template-Macro_MSHU_BusinessExcellenceDashboardV2.2-May2012-3_copydatamacro 3" xfId="8402" xr:uid="{00000000-0005-0000-0000-00003A020000}"/>
    <cellStyle name="%_HU-Risk-dashboard_OracleAppsProjects_Template-Macro_MSHU_BusinessExcellenceDashboardV2.2-May2012-3_copydatamacro 4" xfId="7204" xr:uid="{00000000-0005-0000-0000-00003B020000}"/>
    <cellStyle name="%_HU-Risk-dashboard_OracleAppsProjects_Template-Macro_MSHU_BusinessExcellenceDashboardV2.2-May2012-3_copydatamacro 5" xfId="6006" xr:uid="{00000000-0005-0000-0000-00003C020000}"/>
    <cellStyle name="%_HU-Risk-dashboard_OracleAppsProjects_Template-Macro_MSHU_BusinessExcellenceDashboardV2.2-May2012-3_copydatamacro 6" xfId="4807" xr:uid="{00000000-0005-0000-0000-00003D020000}"/>
    <cellStyle name="%_HU-Risk-dashboard_OracleAppsProjects_Template-Macro_MSHU_BusinessExcellenceDashboardV2.2-May2012-3_copydatamacro 7" xfId="3608" xr:uid="{00000000-0005-0000-0000-00003E020000}"/>
    <cellStyle name="%_HU-Risk-dashboard_OracleAppsProjects_Template-Macro_MSHU_BusinessExcellenceDashboardV2.2-May2012-3_copydatamacro_BusinessExcellenceDashboard_OCt2012_MS HU-ERased" xfId="144" xr:uid="{00000000-0005-0000-0000-00003F020000}"/>
    <cellStyle name="%_HU-Risk-dashboard_SAPProjects_Template-Macro" xfId="145" xr:uid="{00000000-0005-0000-0000-000040020000}"/>
    <cellStyle name="%_HU-Risk-dashboard_SAPProjects_Template-Macro 2" xfId="9601" xr:uid="{00000000-0005-0000-0000-000041020000}"/>
    <cellStyle name="%_HU-Risk-dashboard_SAPProjects_Template-Macro 3" xfId="8403" xr:uid="{00000000-0005-0000-0000-000042020000}"/>
    <cellStyle name="%_HU-Risk-dashboard_SAPProjects_Template-Macro 4" xfId="7205" xr:uid="{00000000-0005-0000-0000-000043020000}"/>
    <cellStyle name="%_HU-Risk-dashboard_SAPProjects_Template-Macro 5" xfId="6007" xr:uid="{00000000-0005-0000-0000-000044020000}"/>
    <cellStyle name="%_HU-Risk-dashboard_SAPProjects_Template-Macro 6" xfId="4808" xr:uid="{00000000-0005-0000-0000-000045020000}"/>
    <cellStyle name="%_HU-Risk-dashboard_SAPProjects_Template-Macro 7" xfId="3609" xr:uid="{00000000-0005-0000-0000-000046020000}"/>
    <cellStyle name="%_HU-Risk-dashboard_SAPProjects_Template-Macro_2" xfId="146" xr:uid="{00000000-0005-0000-0000-000047020000}"/>
    <cellStyle name="%_HU-Risk-dashboard_SAPProjects_Template-Macro_2 2" xfId="9602" xr:uid="{00000000-0005-0000-0000-000048020000}"/>
    <cellStyle name="%_HU-Risk-dashboard_SAPProjects_Template-Macro_2 3" xfId="8404" xr:uid="{00000000-0005-0000-0000-000049020000}"/>
    <cellStyle name="%_HU-Risk-dashboard_SAPProjects_Template-Macro_2 4" xfId="7206" xr:uid="{00000000-0005-0000-0000-00004A020000}"/>
    <cellStyle name="%_HU-Risk-dashboard_SAPProjects_Template-Macro_2 5" xfId="6008" xr:uid="{00000000-0005-0000-0000-00004B020000}"/>
    <cellStyle name="%_HU-Risk-dashboard_SAPProjects_Template-Macro_2 6" xfId="4809" xr:uid="{00000000-0005-0000-0000-00004C020000}"/>
    <cellStyle name="%_HU-Risk-dashboard_SAPProjects_Template-Macro_2 7" xfId="3610" xr:uid="{00000000-0005-0000-0000-00004D020000}"/>
    <cellStyle name="%_HU-Risk-dashboard_SAPProjects_Template-Macro_2_1" xfId="147" xr:uid="{00000000-0005-0000-0000-00004E020000}"/>
    <cellStyle name="%_HU-Risk-dashboard_SAPProjects_Template-Macro_2_1 2" xfId="9603" xr:uid="{00000000-0005-0000-0000-00004F020000}"/>
    <cellStyle name="%_HU-Risk-dashboard_SAPProjects_Template-Macro_2_1 3" xfId="8405" xr:uid="{00000000-0005-0000-0000-000050020000}"/>
    <cellStyle name="%_HU-Risk-dashboard_SAPProjects_Template-Macro_2_1 4" xfId="7207" xr:uid="{00000000-0005-0000-0000-000051020000}"/>
    <cellStyle name="%_HU-Risk-dashboard_SAPProjects_Template-Macro_2_1 5" xfId="6009" xr:uid="{00000000-0005-0000-0000-000052020000}"/>
    <cellStyle name="%_HU-Risk-dashboard_SAPProjects_Template-Macro_2_1 6" xfId="4810" xr:uid="{00000000-0005-0000-0000-000053020000}"/>
    <cellStyle name="%_HU-Risk-dashboard_SAPProjects_Template-Macro_2_1 7" xfId="3611" xr:uid="{00000000-0005-0000-0000-000054020000}"/>
    <cellStyle name="%_HU-Risk-dashboard_SAPProjects_Template-Macro_2_1_Business Excellence Dashboard-Aug2012-ERP HU (OracleApps)" xfId="148" xr:uid="{00000000-0005-0000-0000-000055020000}"/>
    <cellStyle name="%_HU-Risk-dashboard_SAPProjects_Template-Macro_2_1_Business Excellence Dashboard-Aug2012-ERP HU (OracleApps) 2" xfId="9604" xr:uid="{00000000-0005-0000-0000-000056020000}"/>
    <cellStyle name="%_HU-Risk-dashboard_SAPProjects_Template-Macro_2_1_Business Excellence Dashboard-Aug2012-ERP HU (OracleApps) 3" xfId="8406" xr:uid="{00000000-0005-0000-0000-000057020000}"/>
    <cellStyle name="%_HU-Risk-dashboard_SAPProjects_Template-Macro_2_1_Business Excellence Dashboard-Aug2012-ERP HU (OracleApps) 4" xfId="7208" xr:uid="{00000000-0005-0000-0000-000058020000}"/>
    <cellStyle name="%_HU-Risk-dashboard_SAPProjects_Template-Macro_2_1_Business Excellence Dashboard-Aug2012-ERP HU (OracleApps) 5" xfId="6010" xr:uid="{00000000-0005-0000-0000-000059020000}"/>
    <cellStyle name="%_HU-Risk-dashboard_SAPProjects_Template-Macro_2_1_Business Excellence Dashboard-Aug2012-ERP HU (OracleApps) 6" xfId="4811" xr:uid="{00000000-0005-0000-0000-00005A020000}"/>
    <cellStyle name="%_HU-Risk-dashboard_SAPProjects_Template-Macro_2_1_Business Excellence Dashboard-Aug2012-ERP HU (OracleApps) 7" xfId="3612" xr:uid="{00000000-0005-0000-0000-00005B020000}"/>
    <cellStyle name="%_HU-Risk-dashboard_SAPProjects_Template-Macro_2_1_Business Excellence Dashboard-Aug2012-ERP HU (OracleApps)_BusinessExcellenceDashboard_OCt2012_MS HU-ERased" xfId="149" xr:uid="{00000000-0005-0000-0000-00005C020000}"/>
    <cellStyle name="%_HU-Risk-dashboard_SAPProjects_Template-Macro_2_1_BusinessExcellenceDashboard_OCt2012_MS HU-ERased" xfId="150" xr:uid="{00000000-0005-0000-0000-00005D020000}"/>
    <cellStyle name="%_HU-Risk-dashboard_SAPProjects_Template-Macro_2_2" xfId="151" xr:uid="{00000000-0005-0000-0000-00005E020000}"/>
    <cellStyle name="%_HU-Risk-dashboard_SAPProjects_Template-Macro_2_2 2" xfId="9605" xr:uid="{00000000-0005-0000-0000-00005F020000}"/>
    <cellStyle name="%_HU-Risk-dashboard_SAPProjects_Template-Macro_2_2 3" xfId="8407" xr:uid="{00000000-0005-0000-0000-000060020000}"/>
    <cellStyle name="%_HU-Risk-dashboard_SAPProjects_Template-Macro_2_2 4" xfId="7209" xr:uid="{00000000-0005-0000-0000-000061020000}"/>
    <cellStyle name="%_HU-Risk-dashboard_SAPProjects_Template-Macro_2_2 5" xfId="6011" xr:uid="{00000000-0005-0000-0000-000062020000}"/>
    <cellStyle name="%_HU-Risk-dashboard_SAPProjects_Template-Macro_2_2 6" xfId="4812" xr:uid="{00000000-0005-0000-0000-000063020000}"/>
    <cellStyle name="%_HU-Risk-dashboard_SAPProjects_Template-Macro_2_2 7" xfId="3613" xr:uid="{00000000-0005-0000-0000-000064020000}"/>
    <cellStyle name="%_HU-Risk-dashboard_SAPProjects_Template-Macro_2_2_BusinessExcellenceDashboard_OCt2012_MS HU-ERased" xfId="152" xr:uid="{00000000-0005-0000-0000-000065020000}"/>
    <cellStyle name="%_HU-Risk-dashboard_SAPProjects_Template-Macro_2_Business Excellence Dashboard-Aug2012-ERP HU (OracleApps)" xfId="153" xr:uid="{00000000-0005-0000-0000-000066020000}"/>
    <cellStyle name="%_HU-Risk-dashboard_SAPProjects_Template-Macro_2_Business Excellence Dashboard-Aug2012-ERP HU (OracleApps) 2" xfId="9606" xr:uid="{00000000-0005-0000-0000-000067020000}"/>
    <cellStyle name="%_HU-Risk-dashboard_SAPProjects_Template-Macro_2_Business Excellence Dashboard-Aug2012-ERP HU (OracleApps) 3" xfId="8408" xr:uid="{00000000-0005-0000-0000-000068020000}"/>
    <cellStyle name="%_HU-Risk-dashboard_SAPProjects_Template-Macro_2_Business Excellence Dashboard-Aug2012-ERP HU (OracleApps) 4" xfId="7210" xr:uid="{00000000-0005-0000-0000-000069020000}"/>
    <cellStyle name="%_HU-Risk-dashboard_SAPProjects_Template-Macro_2_Business Excellence Dashboard-Aug2012-ERP HU (OracleApps) 5" xfId="6012" xr:uid="{00000000-0005-0000-0000-00006A020000}"/>
    <cellStyle name="%_HU-Risk-dashboard_SAPProjects_Template-Macro_2_Business Excellence Dashboard-Aug2012-ERP HU (OracleApps) 6" xfId="4813" xr:uid="{00000000-0005-0000-0000-00006B020000}"/>
    <cellStyle name="%_HU-Risk-dashboard_SAPProjects_Template-Macro_2_Business Excellence Dashboard-Aug2012-ERP HU (OracleApps) 7" xfId="3614" xr:uid="{00000000-0005-0000-0000-00006C020000}"/>
    <cellStyle name="%_HU-Risk-dashboard_SAPProjects_Template-Macro_2_Business Excellence Dashboard-Aug2012-ERP HU (OracleApps)_BusinessExcellenceDashboard_OCt2012_MS HU-ERased" xfId="154" xr:uid="{00000000-0005-0000-0000-00006D020000}"/>
    <cellStyle name="%_HU-Risk-dashboard_SAPProjects_Template-Macro_2_Business Excellence Dashboard-Jul2012-ERP HU (OracleApps)-consolidated" xfId="155" xr:uid="{00000000-0005-0000-0000-00006E020000}"/>
    <cellStyle name="%_HU-Risk-dashboard_SAPProjects_Template-Macro_2_Business Excellence Dashboard-Jul2012-ERP HU (OracleApps)-consolidated 2" xfId="9607" xr:uid="{00000000-0005-0000-0000-00006F020000}"/>
    <cellStyle name="%_HU-Risk-dashboard_SAPProjects_Template-Macro_2_Business Excellence Dashboard-Jul2012-ERP HU (OracleApps)-consolidated 3" xfId="8409" xr:uid="{00000000-0005-0000-0000-000070020000}"/>
    <cellStyle name="%_HU-Risk-dashboard_SAPProjects_Template-Macro_2_Business Excellence Dashboard-Jul2012-ERP HU (OracleApps)-consolidated 4" xfId="7211" xr:uid="{00000000-0005-0000-0000-000071020000}"/>
    <cellStyle name="%_HU-Risk-dashboard_SAPProjects_Template-Macro_2_Business Excellence Dashboard-Jul2012-ERP HU (OracleApps)-consolidated 5" xfId="6013" xr:uid="{00000000-0005-0000-0000-000072020000}"/>
    <cellStyle name="%_HU-Risk-dashboard_SAPProjects_Template-Macro_2_Business Excellence Dashboard-Jul2012-ERP HU (OracleApps)-consolidated 6" xfId="4814" xr:uid="{00000000-0005-0000-0000-000073020000}"/>
    <cellStyle name="%_HU-Risk-dashboard_SAPProjects_Template-Macro_2_Business Excellence Dashboard-Jul2012-ERP HU (OracleApps)-consolidated 7" xfId="3615" xr:uid="{00000000-0005-0000-0000-000074020000}"/>
    <cellStyle name="%_HU-Risk-dashboard_SAPProjects_Template-Macro_2_Business Excellence Dashboard-Jul2012-ERP HU (OracleApps)-consolidated_BusinessExcellenceDashboard_OCt2012_MS HU-ERased" xfId="156" xr:uid="{00000000-0005-0000-0000-000075020000}"/>
    <cellStyle name="%_HU-Risk-dashboard_SAPProjects_Template-Macro_2_BusinessExcellenceDashboard_OCt2012_MS HU-ERased" xfId="157" xr:uid="{00000000-0005-0000-0000-000076020000}"/>
    <cellStyle name="%_HU-Risk-dashboard_SAPProjects_Template-Macro_2_copydatamacro" xfId="158" xr:uid="{00000000-0005-0000-0000-000077020000}"/>
    <cellStyle name="%_HU-Risk-dashboard_SAPProjects_Template-Macro_2_copydatamacro 2" xfId="9608" xr:uid="{00000000-0005-0000-0000-000078020000}"/>
    <cellStyle name="%_HU-Risk-dashboard_SAPProjects_Template-Macro_2_copydatamacro 3" xfId="8410" xr:uid="{00000000-0005-0000-0000-000079020000}"/>
    <cellStyle name="%_HU-Risk-dashboard_SAPProjects_Template-Macro_2_copydatamacro 4" xfId="7212" xr:uid="{00000000-0005-0000-0000-00007A020000}"/>
    <cellStyle name="%_HU-Risk-dashboard_SAPProjects_Template-Macro_2_copydatamacro 5" xfId="6014" xr:uid="{00000000-0005-0000-0000-00007B020000}"/>
    <cellStyle name="%_HU-Risk-dashboard_SAPProjects_Template-Macro_2_copydatamacro 6" xfId="4815" xr:uid="{00000000-0005-0000-0000-00007C020000}"/>
    <cellStyle name="%_HU-Risk-dashboard_SAPProjects_Template-Macro_2_copydatamacro 7" xfId="3616" xr:uid="{00000000-0005-0000-0000-00007D020000}"/>
    <cellStyle name="%_HU-Risk-dashboard_SAPProjects_Template-Macro_2_copydatamacro_BusinessExcellenceDashboard_OCt2012_MS HU-ERased" xfId="159" xr:uid="{00000000-0005-0000-0000-00007E020000}"/>
    <cellStyle name="%_HU-Risk-dashboard_SAPProjects_Template-Macro_Book1" xfId="160" xr:uid="{00000000-0005-0000-0000-00007F020000}"/>
    <cellStyle name="%_HU-Risk-dashboard_SAPProjects_Template-Macro_Book1 2" xfId="9609" xr:uid="{00000000-0005-0000-0000-000080020000}"/>
    <cellStyle name="%_HU-Risk-dashboard_SAPProjects_Template-Macro_Book1 3" xfId="8411" xr:uid="{00000000-0005-0000-0000-000081020000}"/>
    <cellStyle name="%_HU-Risk-dashboard_SAPProjects_Template-Macro_Book1 4" xfId="7213" xr:uid="{00000000-0005-0000-0000-000082020000}"/>
    <cellStyle name="%_HU-Risk-dashboard_SAPProjects_Template-Macro_Book1 5" xfId="6015" xr:uid="{00000000-0005-0000-0000-000083020000}"/>
    <cellStyle name="%_HU-Risk-dashboard_SAPProjects_Template-Macro_Book1 6" xfId="4816" xr:uid="{00000000-0005-0000-0000-000084020000}"/>
    <cellStyle name="%_HU-Risk-dashboard_SAPProjects_Template-Macro_Book1 7" xfId="3617" xr:uid="{00000000-0005-0000-0000-000085020000}"/>
    <cellStyle name="%_HU-Risk-dashboard_SAPProjects_Template-Macro_Book1_Business Excellence Dashboard-Aug2012-ERP HU (OracleApps)" xfId="161" xr:uid="{00000000-0005-0000-0000-000086020000}"/>
    <cellStyle name="%_HU-Risk-dashboard_SAPProjects_Template-Macro_Book1_Business Excellence Dashboard-Aug2012-ERP HU (OracleApps) 2" xfId="9610" xr:uid="{00000000-0005-0000-0000-000087020000}"/>
    <cellStyle name="%_HU-Risk-dashboard_SAPProjects_Template-Macro_Book1_Business Excellence Dashboard-Aug2012-ERP HU (OracleApps) 3" xfId="8412" xr:uid="{00000000-0005-0000-0000-000088020000}"/>
    <cellStyle name="%_HU-Risk-dashboard_SAPProjects_Template-Macro_Book1_Business Excellence Dashboard-Aug2012-ERP HU (OracleApps) 4" xfId="7214" xr:uid="{00000000-0005-0000-0000-000089020000}"/>
    <cellStyle name="%_HU-Risk-dashboard_SAPProjects_Template-Macro_Book1_Business Excellence Dashboard-Aug2012-ERP HU (OracleApps) 5" xfId="6016" xr:uid="{00000000-0005-0000-0000-00008A020000}"/>
    <cellStyle name="%_HU-Risk-dashboard_SAPProjects_Template-Macro_Book1_Business Excellence Dashboard-Aug2012-ERP HU (OracleApps) 6" xfId="4817" xr:uid="{00000000-0005-0000-0000-00008B020000}"/>
    <cellStyle name="%_HU-Risk-dashboard_SAPProjects_Template-Macro_Book1_Business Excellence Dashboard-Aug2012-ERP HU (OracleApps) 7" xfId="3618" xr:uid="{00000000-0005-0000-0000-00008C020000}"/>
    <cellStyle name="%_HU-Risk-dashboard_SAPProjects_Template-Macro_Book1_Business Excellence Dashboard-Aug2012-ERP HU (OracleApps)_BusinessExcellenceDashboard_OCt2012_MS HU-ERased" xfId="162" xr:uid="{00000000-0005-0000-0000-00008D020000}"/>
    <cellStyle name="%_HU-Risk-dashboard_SAPProjects_Template-Macro_Book1_Business Excellence Dashboard-Jul2012-ERP HU (OracleApps)-consolidated" xfId="163" xr:uid="{00000000-0005-0000-0000-00008E020000}"/>
    <cellStyle name="%_HU-Risk-dashboard_SAPProjects_Template-Macro_Book1_Business Excellence Dashboard-Jul2012-ERP HU (OracleApps)-consolidated 2" xfId="9611" xr:uid="{00000000-0005-0000-0000-00008F020000}"/>
    <cellStyle name="%_HU-Risk-dashboard_SAPProjects_Template-Macro_Book1_Business Excellence Dashboard-Jul2012-ERP HU (OracleApps)-consolidated 3" xfId="8413" xr:uid="{00000000-0005-0000-0000-000090020000}"/>
    <cellStyle name="%_HU-Risk-dashboard_SAPProjects_Template-Macro_Book1_Business Excellence Dashboard-Jul2012-ERP HU (OracleApps)-consolidated 4" xfId="7215" xr:uid="{00000000-0005-0000-0000-000091020000}"/>
    <cellStyle name="%_HU-Risk-dashboard_SAPProjects_Template-Macro_Book1_Business Excellence Dashboard-Jul2012-ERP HU (OracleApps)-consolidated 5" xfId="6017" xr:uid="{00000000-0005-0000-0000-000092020000}"/>
    <cellStyle name="%_HU-Risk-dashboard_SAPProjects_Template-Macro_Book1_Business Excellence Dashboard-Jul2012-ERP HU (OracleApps)-consolidated 6" xfId="4818" xr:uid="{00000000-0005-0000-0000-000093020000}"/>
    <cellStyle name="%_HU-Risk-dashboard_SAPProjects_Template-Macro_Book1_Business Excellence Dashboard-Jul2012-ERP HU (OracleApps)-consolidated 7" xfId="3619" xr:uid="{00000000-0005-0000-0000-000094020000}"/>
    <cellStyle name="%_HU-Risk-dashboard_SAPProjects_Template-Macro_Book1_Business Excellence Dashboard-Jul2012-ERP HU (OracleApps)-consolidated_BusinessExcellenceDashboard_OCt2012_MS HU-ERased" xfId="164" xr:uid="{00000000-0005-0000-0000-000095020000}"/>
    <cellStyle name="%_HU-Risk-dashboard_SAPProjects_Template-Macro_Book1_BusinessExcellenceDashboard_OCt2012_MS HU-ERased" xfId="165" xr:uid="{00000000-0005-0000-0000-000096020000}"/>
    <cellStyle name="%_HU-Risk-dashboard_SAPProjects_Template-Macro_Book1_copydatamacro" xfId="166" xr:uid="{00000000-0005-0000-0000-000097020000}"/>
    <cellStyle name="%_HU-Risk-dashboard_SAPProjects_Template-Macro_Book1_copydatamacro 2" xfId="9612" xr:uid="{00000000-0005-0000-0000-000098020000}"/>
    <cellStyle name="%_HU-Risk-dashboard_SAPProjects_Template-Macro_Book1_copydatamacro 3" xfId="8414" xr:uid="{00000000-0005-0000-0000-000099020000}"/>
    <cellStyle name="%_HU-Risk-dashboard_SAPProjects_Template-Macro_Book1_copydatamacro 4" xfId="7216" xr:uid="{00000000-0005-0000-0000-00009A020000}"/>
    <cellStyle name="%_HU-Risk-dashboard_SAPProjects_Template-Macro_Book1_copydatamacro 5" xfId="6018" xr:uid="{00000000-0005-0000-0000-00009B020000}"/>
    <cellStyle name="%_HU-Risk-dashboard_SAPProjects_Template-Macro_Book1_copydatamacro 6" xfId="4819" xr:uid="{00000000-0005-0000-0000-00009C020000}"/>
    <cellStyle name="%_HU-Risk-dashboard_SAPProjects_Template-Macro_Book1_copydatamacro 7" xfId="3620" xr:uid="{00000000-0005-0000-0000-00009D020000}"/>
    <cellStyle name="%_HU-Risk-dashboard_SAPProjects_Template-Macro_Book1_copydatamacro_BusinessExcellenceDashboard_OCt2012_MS HU-ERased" xfId="167" xr:uid="{00000000-0005-0000-0000-00009E020000}"/>
    <cellStyle name="%_HU-Risk-dashboard_SAPProjects_Template-Macro_Business Excellence Dashboard-Aug2012-ERP HU (OracleApps)" xfId="168" xr:uid="{00000000-0005-0000-0000-00009F020000}"/>
    <cellStyle name="%_HU-Risk-dashboard_SAPProjects_Template-Macro_Business Excellence Dashboard-Aug2012-ERP HU (OracleApps) 2" xfId="9613" xr:uid="{00000000-0005-0000-0000-0000A0020000}"/>
    <cellStyle name="%_HU-Risk-dashboard_SAPProjects_Template-Macro_Business Excellence Dashboard-Aug2012-ERP HU (OracleApps) 3" xfId="8415" xr:uid="{00000000-0005-0000-0000-0000A1020000}"/>
    <cellStyle name="%_HU-Risk-dashboard_SAPProjects_Template-Macro_Business Excellence Dashboard-Aug2012-ERP HU (OracleApps) 4" xfId="7217" xr:uid="{00000000-0005-0000-0000-0000A2020000}"/>
    <cellStyle name="%_HU-Risk-dashboard_SAPProjects_Template-Macro_Business Excellence Dashboard-Aug2012-ERP HU (OracleApps) 5" xfId="6019" xr:uid="{00000000-0005-0000-0000-0000A3020000}"/>
    <cellStyle name="%_HU-Risk-dashboard_SAPProjects_Template-Macro_Business Excellence Dashboard-Aug2012-ERP HU (OracleApps) 6" xfId="4820" xr:uid="{00000000-0005-0000-0000-0000A4020000}"/>
    <cellStyle name="%_HU-Risk-dashboard_SAPProjects_Template-Macro_Business Excellence Dashboard-Aug2012-ERP HU (OracleApps) 7" xfId="3621" xr:uid="{00000000-0005-0000-0000-0000A5020000}"/>
    <cellStyle name="%_HU-Risk-dashboard_SAPProjects_Template-Macro_Business Excellence Dashboard-Aug2012-ERP HU (OracleApps)_BusinessExcellenceDashboard_OCt2012_MS HU-ERased" xfId="169" xr:uid="{00000000-0005-0000-0000-0000A6020000}"/>
    <cellStyle name="%_HU-Risk-dashboard_SAPProjects_Template-Macro_Business Excellence Dashboard-Jul2012-ERP HU (OracleApps)-consolidated" xfId="170" xr:uid="{00000000-0005-0000-0000-0000A7020000}"/>
    <cellStyle name="%_HU-Risk-dashboard_SAPProjects_Template-Macro_Business Excellence Dashboard-Jul2012-ERP HU (OracleApps)-consolidated 2" xfId="9614" xr:uid="{00000000-0005-0000-0000-0000A8020000}"/>
    <cellStyle name="%_HU-Risk-dashboard_SAPProjects_Template-Macro_Business Excellence Dashboard-Jul2012-ERP HU (OracleApps)-consolidated 3" xfId="8416" xr:uid="{00000000-0005-0000-0000-0000A9020000}"/>
    <cellStyle name="%_HU-Risk-dashboard_SAPProjects_Template-Macro_Business Excellence Dashboard-Jul2012-ERP HU (OracleApps)-consolidated 4" xfId="7218" xr:uid="{00000000-0005-0000-0000-0000AA020000}"/>
    <cellStyle name="%_HU-Risk-dashboard_SAPProjects_Template-Macro_Business Excellence Dashboard-Jul2012-ERP HU (OracleApps)-consolidated 5" xfId="6020" xr:uid="{00000000-0005-0000-0000-0000AB020000}"/>
    <cellStyle name="%_HU-Risk-dashboard_SAPProjects_Template-Macro_Business Excellence Dashboard-Jul2012-ERP HU (OracleApps)-consolidated 6" xfId="4821" xr:uid="{00000000-0005-0000-0000-0000AC020000}"/>
    <cellStyle name="%_HU-Risk-dashboard_SAPProjects_Template-Macro_Business Excellence Dashboard-Jul2012-ERP HU (OracleApps)-consolidated 7" xfId="3622" xr:uid="{00000000-0005-0000-0000-0000AD020000}"/>
    <cellStyle name="%_HU-Risk-dashboard_SAPProjects_Template-Macro_Business Excellence Dashboard-Jul2012-ERP HU (OracleApps)-consolidated_BusinessExcellenceDashboard_OCt2012_MS HU-ERased" xfId="171" xr:uid="{00000000-0005-0000-0000-0000AE020000}"/>
    <cellStyle name="%_HU-Risk-dashboard_SAPProjects_Template-Macro_BusinessExcellenceDashboard_OCt2012_MS HU-ERased" xfId="172" xr:uid="{00000000-0005-0000-0000-0000AF020000}"/>
    <cellStyle name="%_HU-Risk-dashboard_SAPProjects_Template-Macro_copydatamacro" xfId="173" xr:uid="{00000000-0005-0000-0000-0000B0020000}"/>
    <cellStyle name="%_HU-Risk-dashboard_SAPProjects_Template-Macro_copydatamacro 2" xfId="9615" xr:uid="{00000000-0005-0000-0000-0000B1020000}"/>
    <cellStyle name="%_HU-Risk-dashboard_SAPProjects_Template-Macro_copydatamacro 3" xfId="8417" xr:uid="{00000000-0005-0000-0000-0000B2020000}"/>
    <cellStyle name="%_HU-Risk-dashboard_SAPProjects_Template-Macro_copydatamacro 4" xfId="7219" xr:uid="{00000000-0005-0000-0000-0000B3020000}"/>
    <cellStyle name="%_HU-Risk-dashboard_SAPProjects_Template-Macro_copydatamacro 5" xfId="6021" xr:uid="{00000000-0005-0000-0000-0000B4020000}"/>
    <cellStyle name="%_HU-Risk-dashboard_SAPProjects_Template-Macro_copydatamacro 6" xfId="4822" xr:uid="{00000000-0005-0000-0000-0000B5020000}"/>
    <cellStyle name="%_HU-Risk-dashboard_SAPProjects_Template-Macro_copydatamacro 7" xfId="3623" xr:uid="{00000000-0005-0000-0000-0000B6020000}"/>
    <cellStyle name="%_HU-Risk-dashboard_SAPProjects_Template-Macro_copydatamacro_BusinessExcellenceDashboard_OCt2012_MS HU-ERased" xfId="174" xr:uid="{00000000-0005-0000-0000-0000B7020000}"/>
    <cellStyle name="%_HU-Risk-dashboard_SAPProjects_Template-Macro_MSHU_BusinessExcellenceDashboardV2.2-May2012-3" xfId="175" xr:uid="{00000000-0005-0000-0000-0000B8020000}"/>
    <cellStyle name="%_HU-Risk-dashboard_SAPProjects_Template-Macro_MSHU_BusinessExcellenceDashboardV2.2-May2012-3 2" xfId="9616" xr:uid="{00000000-0005-0000-0000-0000B9020000}"/>
    <cellStyle name="%_HU-Risk-dashboard_SAPProjects_Template-Macro_MSHU_BusinessExcellenceDashboardV2.2-May2012-3 3" xfId="8418" xr:uid="{00000000-0005-0000-0000-0000BA020000}"/>
    <cellStyle name="%_HU-Risk-dashboard_SAPProjects_Template-Macro_MSHU_BusinessExcellenceDashboardV2.2-May2012-3 4" xfId="7220" xr:uid="{00000000-0005-0000-0000-0000BB020000}"/>
    <cellStyle name="%_HU-Risk-dashboard_SAPProjects_Template-Macro_MSHU_BusinessExcellenceDashboardV2.2-May2012-3 5" xfId="6022" xr:uid="{00000000-0005-0000-0000-0000BC020000}"/>
    <cellStyle name="%_HU-Risk-dashboard_SAPProjects_Template-Macro_MSHU_BusinessExcellenceDashboardV2.2-May2012-3 6" xfId="4823" xr:uid="{00000000-0005-0000-0000-0000BD020000}"/>
    <cellStyle name="%_HU-Risk-dashboard_SAPProjects_Template-Macro_MSHU_BusinessExcellenceDashboardV2.2-May2012-3 7" xfId="3624" xr:uid="{00000000-0005-0000-0000-0000BE020000}"/>
    <cellStyle name="%_HU-Risk-dashboard_SAPProjects_Template-Macro_MSHU_BusinessExcellenceDashboardV2.2-May2012-3_Business Excellence Dashboard-Aug2012-ERP HU (OracleApps)" xfId="176" xr:uid="{00000000-0005-0000-0000-0000BF020000}"/>
    <cellStyle name="%_HU-Risk-dashboard_SAPProjects_Template-Macro_MSHU_BusinessExcellenceDashboardV2.2-May2012-3_Business Excellence Dashboard-Aug2012-ERP HU (OracleApps) 2" xfId="9617" xr:uid="{00000000-0005-0000-0000-0000C0020000}"/>
    <cellStyle name="%_HU-Risk-dashboard_SAPProjects_Template-Macro_MSHU_BusinessExcellenceDashboardV2.2-May2012-3_Business Excellence Dashboard-Aug2012-ERP HU (OracleApps) 3" xfId="8419" xr:uid="{00000000-0005-0000-0000-0000C1020000}"/>
    <cellStyle name="%_HU-Risk-dashboard_SAPProjects_Template-Macro_MSHU_BusinessExcellenceDashboardV2.2-May2012-3_Business Excellence Dashboard-Aug2012-ERP HU (OracleApps) 4" xfId="7221" xr:uid="{00000000-0005-0000-0000-0000C2020000}"/>
    <cellStyle name="%_HU-Risk-dashboard_SAPProjects_Template-Macro_MSHU_BusinessExcellenceDashboardV2.2-May2012-3_Business Excellence Dashboard-Aug2012-ERP HU (OracleApps) 5" xfId="6023" xr:uid="{00000000-0005-0000-0000-0000C3020000}"/>
    <cellStyle name="%_HU-Risk-dashboard_SAPProjects_Template-Macro_MSHU_BusinessExcellenceDashboardV2.2-May2012-3_Business Excellence Dashboard-Aug2012-ERP HU (OracleApps) 6" xfId="4824" xr:uid="{00000000-0005-0000-0000-0000C4020000}"/>
    <cellStyle name="%_HU-Risk-dashboard_SAPProjects_Template-Macro_MSHU_BusinessExcellenceDashboardV2.2-May2012-3_Business Excellence Dashboard-Aug2012-ERP HU (OracleApps) 7" xfId="3625" xr:uid="{00000000-0005-0000-0000-0000C5020000}"/>
    <cellStyle name="%_HU-Risk-dashboard_SAPProjects_Template-Macro_MSHU_BusinessExcellenceDashboardV2.2-May2012-3_Business Excellence Dashboard-Aug2012-ERP HU (OracleApps)_BusinessExcellenceDashboard_OCt2012_MS HU-ERased" xfId="177" xr:uid="{00000000-0005-0000-0000-0000C6020000}"/>
    <cellStyle name="%_HU-Risk-dashboard_SAPProjects_Template-Macro_MSHU_BusinessExcellenceDashboardV2.2-May2012-3_Business Excellence Dashboard-Jul2012-ERP HU (OracleApps)-consolidated" xfId="178" xr:uid="{00000000-0005-0000-0000-0000C7020000}"/>
    <cellStyle name="%_HU-Risk-dashboard_SAPProjects_Template-Macro_MSHU_BusinessExcellenceDashboardV2.2-May2012-3_Business Excellence Dashboard-Jul2012-ERP HU (OracleApps)-consolidated 2" xfId="9618" xr:uid="{00000000-0005-0000-0000-0000C8020000}"/>
    <cellStyle name="%_HU-Risk-dashboard_SAPProjects_Template-Macro_MSHU_BusinessExcellenceDashboardV2.2-May2012-3_Business Excellence Dashboard-Jul2012-ERP HU (OracleApps)-consolidated 3" xfId="8420" xr:uid="{00000000-0005-0000-0000-0000C9020000}"/>
    <cellStyle name="%_HU-Risk-dashboard_SAPProjects_Template-Macro_MSHU_BusinessExcellenceDashboardV2.2-May2012-3_Business Excellence Dashboard-Jul2012-ERP HU (OracleApps)-consolidated 4" xfId="7222" xr:uid="{00000000-0005-0000-0000-0000CA020000}"/>
    <cellStyle name="%_HU-Risk-dashboard_SAPProjects_Template-Macro_MSHU_BusinessExcellenceDashboardV2.2-May2012-3_Business Excellence Dashboard-Jul2012-ERP HU (OracleApps)-consolidated 5" xfId="6024" xr:uid="{00000000-0005-0000-0000-0000CB020000}"/>
    <cellStyle name="%_HU-Risk-dashboard_SAPProjects_Template-Macro_MSHU_BusinessExcellenceDashboardV2.2-May2012-3_Business Excellence Dashboard-Jul2012-ERP HU (OracleApps)-consolidated 6" xfId="4825" xr:uid="{00000000-0005-0000-0000-0000CC020000}"/>
    <cellStyle name="%_HU-Risk-dashboard_SAPProjects_Template-Macro_MSHU_BusinessExcellenceDashboardV2.2-May2012-3_Business Excellence Dashboard-Jul2012-ERP HU (OracleApps)-consolidated 7" xfId="3626" xr:uid="{00000000-0005-0000-0000-0000CD020000}"/>
    <cellStyle name="%_HU-Risk-dashboard_SAPProjects_Template-Macro_MSHU_BusinessExcellenceDashboardV2.2-May2012-3_Business Excellence Dashboard-Jul2012-ERP HU (OracleApps)-consolidated_BusinessExcellenceDashboard_OCt2012_MS HU-ERased" xfId="179" xr:uid="{00000000-0005-0000-0000-0000CE020000}"/>
    <cellStyle name="%_HU-Risk-dashboard_SAPProjects_Template-Macro_MSHU_BusinessExcellenceDashboardV2.2-May2012-3_BusinessExcellenceDashboard_OCt2012_MS HU-ERased" xfId="180" xr:uid="{00000000-0005-0000-0000-0000CF020000}"/>
    <cellStyle name="%_HU-Risk-dashboard_SAPProjects_Template-Macro_MSHU_BusinessExcellenceDashboardV2.2-May2012-3_copydatamacro" xfId="181" xr:uid="{00000000-0005-0000-0000-0000D0020000}"/>
    <cellStyle name="%_HU-Risk-dashboard_SAPProjects_Template-Macro_MSHU_BusinessExcellenceDashboardV2.2-May2012-3_copydatamacro 2" xfId="9619" xr:uid="{00000000-0005-0000-0000-0000D1020000}"/>
    <cellStyle name="%_HU-Risk-dashboard_SAPProjects_Template-Macro_MSHU_BusinessExcellenceDashboardV2.2-May2012-3_copydatamacro 3" xfId="8421" xr:uid="{00000000-0005-0000-0000-0000D2020000}"/>
    <cellStyle name="%_HU-Risk-dashboard_SAPProjects_Template-Macro_MSHU_BusinessExcellenceDashboardV2.2-May2012-3_copydatamacro 4" xfId="7223" xr:uid="{00000000-0005-0000-0000-0000D3020000}"/>
    <cellStyle name="%_HU-Risk-dashboard_SAPProjects_Template-Macro_MSHU_BusinessExcellenceDashboardV2.2-May2012-3_copydatamacro 5" xfId="6025" xr:uid="{00000000-0005-0000-0000-0000D4020000}"/>
    <cellStyle name="%_HU-Risk-dashboard_SAPProjects_Template-Macro_MSHU_BusinessExcellenceDashboardV2.2-May2012-3_copydatamacro 6" xfId="4826" xr:uid="{00000000-0005-0000-0000-0000D5020000}"/>
    <cellStyle name="%_HU-Risk-dashboard_SAPProjects_Template-Macro_MSHU_BusinessExcellenceDashboardV2.2-May2012-3_copydatamacro 7" xfId="3627" xr:uid="{00000000-0005-0000-0000-0000D6020000}"/>
    <cellStyle name="%_HU-Risk-dashboard_SAPProjects_Template-Macro_MSHU_BusinessExcellenceDashboardV2.2-May2012-3_copydatamacro_BusinessExcellenceDashboard_OCt2012_MS HU-ERased" xfId="182" xr:uid="{00000000-0005-0000-0000-0000D7020000}"/>
    <cellStyle name="%_MSHU_BusinessExcellenceDashboardV2.2-May2012-3" xfId="183" xr:uid="{00000000-0005-0000-0000-0000D8020000}"/>
    <cellStyle name="%_MSHU_BusinessExcellenceDashboardV2.2-May2012-3 2" xfId="9620" xr:uid="{00000000-0005-0000-0000-0000D9020000}"/>
    <cellStyle name="%_MSHU_BusinessExcellenceDashboardV2.2-May2012-3 3" xfId="8422" xr:uid="{00000000-0005-0000-0000-0000DA020000}"/>
    <cellStyle name="%_MSHU_BusinessExcellenceDashboardV2.2-May2012-3 4" xfId="7224" xr:uid="{00000000-0005-0000-0000-0000DB020000}"/>
    <cellStyle name="%_MSHU_BusinessExcellenceDashboardV2.2-May2012-3 5" xfId="6026" xr:uid="{00000000-0005-0000-0000-0000DC020000}"/>
    <cellStyle name="%_MSHU_BusinessExcellenceDashboardV2.2-May2012-3 6" xfId="4827" xr:uid="{00000000-0005-0000-0000-0000DD020000}"/>
    <cellStyle name="%_MSHU_BusinessExcellenceDashboardV2.2-May2012-3 7" xfId="3628" xr:uid="{00000000-0005-0000-0000-0000DE020000}"/>
    <cellStyle name="%_MSHU_BusinessExcellenceDashboardV2.2-May2012-3_Business Excellence Dashboard-Aug2012-ERP HU (OracleApps)" xfId="184" xr:uid="{00000000-0005-0000-0000-0000DF020000}"/>
    <cellStyle name="%_MSHU_BusinessExcellenceDashboardV2.2-May2012-3_Business Excellence Dashboard-Aug2012-ERP HU (OracleApps) 2" xfId="9621" xr:uid="{00000000-0005-0000-0000-0000E0020000}"/>
    <cellStyle name="%_MSHU_BusinessExcellenceDashboardV2.2-May2012-3_Business Excellence Dashboard-Aug2012-ERP HU (OracleApps) 3" xfId="8423" xr:uid="{00000000-0005-0000-0000-0000E1020000}"/>
    <cellStyle name="%_MSHU_BusinessExcellenceDashboardV2.2-May2012-3_Business Excellence Dashboard-Aug2012-ERP HU (OracleApps) 4" xfId="7225" xr:uid="{00000000-0005-0000-0000-0000E2020000}"/>
    <cellStyle name="%_MSHU_BusinessExcellenceDashboardV2.2-May2012-3_Business Excellence Dashboard-Aug2012-ERP HU (OracleApps) 5" xfId="6027" xr:uid="{00000000-0005-0000-0000-0000E3020000}"/>
    <cellStyle name="%_MSHU_BusinessExcellenceDashboardV2.2-May2012-3_Business Excellence Dashboard-Aug2012-ERP HU (OracleApps) 6" xfId="4828" xr:uid="{00000000-0005-0000-0000-0000E4020000}"/>
    <cellStyle name="%_MSHU_BusinessExcellenceDashboardV2.2-May2012-3_Business Excellence Dashboard-Aug2012-ERP HU (OracleApps) 7" xfId="3629" xr:uid="{00000000-0005-0000-0000-0000E5020000}"/>
    <cellStyle name="%_MSHU_BusinessExcellenceDashboardV2.2-May2012-3_Business Excellence Dashboard-Aug2012-ERP HU (OracleApps)_BusinessExcellenceDashboard_OCt2012_MS HU-ERased" xfId="185" xr:uid="{00000000-0005-0000-0000-0000E6020000}"/>
    <cellStyle name="%_MSHU_BusinessExcellenceDashboardV2.2-May2012-3_Business Excellence Dashboard-Jul2012-ERP HU (OracleApps)-consolidated" xfId="186" xr:uid="{00000000-0005-0000-0000-0000E7020000}"/>
    <cellStyle name="%_MSHU_BusinessExcellenceDashboardV2.2-May2012-3_Business Excellence Dashboard-Jul2012-ERP HU (OracleApps)-consolidated 2" xfId="9622" xr:uid="{00000000-0005-0000-0000-0000E8020000}"/>
    <cellStyle name="%_MSHU_BusinessExcellenceDashboardV2.2-May2012-3_Business Excellence Dashboard-Jul2012-ERP HU (OracleApps)-consolidated 3" xfId="8424" xr:uid="{00000000-0005-0000-0000-0000E9020000}"/>
    <cellStyle name="%_MSHU_BusinessExcellenceDashboardV2.2-May2012-3_Business Excellence Dashboard-Jul2012-ERP HU (OracleApps)-consolidated 4" xfId="7226" xr:uid="{00000000-0005-0000-0000-0000EA020000}"/>
    <cellStyle name="%_MSHU_BusinessExcellenceDashboardV2.2-May2012-3_Business Excellence Dashboard-Jul2012-ERP HU (OracleApps)-consolidated 5" xfId="6028" xr:uid="{00000000-0005-0000-0000-0000EB020000}"/>
    <cellStyle name="%_MSHU_BusinessExcellenceDashboardV2.2-May2012-3_Business Excellence Dashboard-Jul2012-ERP HU (OracleApps)-consolidated 6" xfId="4829" xr:uid="{00000000-0005-0000-0000-0000EC020000}"/>
    <cellStyle name="%_MSHU_BusinessExcellenceDashboardV2.2-May2012-3_Business Excellence Dashboard-Jul2012-ERP HU (OracleApps)-consolidated 7" xfId="3630" xr:uid="{00000000-0005-0000-0000-0000ED020000}"/>
    <cellStyle name="%_MSHU_BusinessExcellenceDashboardV2.2-May2012-3_Business Excellence Dashboard-Jul2012-ERP HU (OracleApps)-consolidated_BusinessExcellenceDashboard_OCt2012_MS HU-ERased" xfId="187" xr:uid="{00000000-0005-0000-0000-0000EE020000}"/>
    <cellStyle name="%_MSHU_BusinessExcellenceDashboardV2.2-May2012-3_BusinessExcellenceDashboard_OCt2012_MS HU-ERased" xfId="188" xr:uid="{00000000-0005-0000-0000-0000EF020000}"/>
    <cellStyle name="%_MSHU_BusinessExcellenceDashboardV2.2-May2012-3_copydatamacro" xfId="189" xr:uid="{00000000-0005-0000-0000-0000F0020000}"/>
    <cellStyle name="%_MSHU_BusinessExcellenceDashboardV2.2-May2012-3_copydatamacro 2" xfId="9623" xr:uid="{00000000-0005-0000-0000-0000F1020000}"/>
    <cellStyle name="%_MSHU_BusinessExcellenceDashboardV2.2-May2012-3_copydatamacro 3" xfId="8425" xr:uid="{00000000-0005-0000-0000-0000F2020000}"/>
    <cellStyle name="%_MSHU_BusinessExcellenceDashboardV2.2-May2012-3_copydatamacro 4" xfId="7227" xr:uid="{00000000-0005-0000-0000-0000F3020000}"/>
    <cellStyle name="%_MSHU_BusinessExcellenceDashboardV2.2-May2012-3_copydatamacro 5" xfId="6029" xr:uid="{00000000-0005-0000-0000-0000F4020000}"/>
    <cellStyle name="%_MSHU_BusinessExcellenceDashboardV2.2-May2012-3_copydatamacro 6" xfId="4830" xr:uid="{00000000-0005-0000-0000-0000F5020000}"/>
    <cellStyle name="%_MSHU_BusinessExcellenceDashboardV2.2-May2012-3_copydatamacro 7" xfId="3631" xr:uid="{00000000-0005-0000-0000-0000F6020000}"/>
    <cellStyle name="%_MSHU_BusinessExcellenceDashboardV2.2-May2012-3_copydatamacro_BusinessExcellenceDashboard_OCt2012_MS HU-ERased" xfId="190" xr:uid="{00000000-0005-0000-0000-0000F7020000}"/>
    <cellStyle name="%_OS HU Dashboard Apr 2012-macro-08May" xfId="191" xr:uid="{00000000-0005-0000-0000-0000F8020000}"/>
    <cellStyle name="%_OS HU Dashboard Apr 2012-macro-08May 2" xfId="9624" xr:uid="{00000000-0005-0000-0000-0000F9020000}"/>
    <cellStyle name="%_OS HU Dashboard Apr 2012-macro-08May 3" xfId="8426" xr:uid="{00000000-0005-0000-0000-0000FA020000}"/>
    <cellStyle name="%_OS HU Dashboard Apr 2012-macro-08May 4" xfId="7228" xr:uid="{00000000-0005-0000-0000-0000FB020000}"/>
    <cellStyle name="%_OS HU Dashboard Apr 2012-macro-08May 5" xfId="6030" xr:uid="{00000000-0005-0000-0000-0000FC020000}"/>
    <cellStyle name="%_OS HU Dashboard Apr 2012-macro-08May 6" xfId="4831" xr:uid="{00000000-0005-0000-0000-0000FD020000}"/>
    <cellStyle name="%_OS HU Dashboard Apr 2012-macro-08May 7" xfId="3632" xr:uid="{00000000-0005-0000-0000-0000FE020000}"/>
    <cellStyle name="%_OS HU Dashboard Apr 2012-macro-08May_2" xfId="192" xr:uid="{00000000-0005-0000-0000-0000FF020000}"/>
    <cellStyle name="%_OS HU Dashboard Apr 2012-macro-08May_2 2" xfId="9625" xr:uid="{00000000-0005-0000-0000-000000030000}"/>
    <cellStyle name="%_OS HU Dashboard Apr 2012-macro-08May_2 3" xfId="8427" xr:uid="{00000000-0005-0000-0000-000001030000}"/>
    <cellStyle name="%_OS HU Dashboard Apr 2012-macro-08May_2 4" xfId="7229" xr:uid="{00000000-0005-0000-0000-000002030000}"/>
    <cellStyle name="%_OS HU Dashboard Apr 2012-macro-08May_2 5" xfId="6031" xr:uid="{00000000-0005-0000-0000-000003030000}"/>
    <cellStyle name="%_OS HU Dashboard Apr 2012-macro-08May_2 6" xfId="4832" xr:uid="{00000000-0005-0000-0000-000004030000}"/>
    <cellStyle name="%_OS HU Dashboard Apr 2012-macro-08May_2 7" xfId="3633" xr:uid="{00000000-0005-0000-0000-000005030000}"/>
    <cellStyle name="%_OS HU Dashboard Apr 2012-macro-08May_2_1" xfId="193" xr:uid="{00000000-0005-0000-0000-000006030000}"/>
    <cellStyle name="%_OS HU Dashboard Apr 2012-macro-08May_2_1 2" xfId="9626" xr:uid="{00000000-0005-0000-0000-000007030000}"/>
    <cellStyle name="%_OS HU Dashboard Apr 2012-macro-08May_2_1 3" xfId="8428" xr:uid="{00000000-0005-0000-0000-000008030000}"/>
    <cellStyle name="%_OS HU Dashboard Apr 2012-macro-08May_2_1 4" xfId="7230" xr:uid="{00000000-0005-0000-0000-000009030000}"/>
    <cellStyle name="%_OS HU Dashboard Apr 2012-macro-08May_2_1 5" xfId="6032" xr:uid="{00000000-0005-0000-0000-00000A030000}"/>
    <cellStyle name="%_OS HU Dashboard Apr 2012-macro-08May_2_1 6" xfId="4833" xr:uid="{00000000-0005-0000-0000-00000B030000}"/>
    <cellStyle name="%_OS HU Dashboard Apr 2012-macro-08May_2_1 7" xfId="3634" xr:uid="{00000000-0005-0000-0000-00000C030000}"/>
    <cellStyle name="%_OS HU Dashboard Apr 2012-macro-08May_2_1_Business Excellence Dashboard-Aug2012-ERP HU (OracleApps)" xfId="194" xr:uid="{00000000-0005-0000-0000-00000D030000}"/>
    <cellStyle name="%_OS HU Dashboard Apr 2012-macro-08May_2_1_Business Excellence Dashboard-Aug2012-ERP HU (OracleApps) 2" xfId="9627" xr:uid="{00000000-0005-0000-0000-00000E030000}"/>
    <cellStyle name="%_OS HU Dashboard Apr 2012-macro-08May_2_1_Business Excellence Dashboard-Aug2012-ERP HU (OracleApps) 3" xfId="8429" xr:uid="{00000000-0005-0000-0000-00000F030000}"/>
    <cellStyle name="%_OS HU Dashboard Apr 2012-macro-08May_2_1_Business Excellence Dashboard-Aug2012-ERP HU (OracleApps) 4" xfId="7231" xr:uid="{00000000-0005-0000-0000-000010030000}"/>
    <cellStyle name="%_OS HU Dashboard Apr 2012-macro-08May_2_1_Business Excellence Dashboard-Aug2012-ERP HU (OracleApps) 5" xfId="6033" xr:uid="{00000000-0005-0000-0000-000011030000}"/>
    <cellStyle name="%_OS HU Dashboard Apr 2012-macro-08May_2_1_Business Excellence Dashboard-Aug2012-ERP HU (OracleApps) 6" xfId="4834" xr:uid="{00000000-0005-0000-0000-000012030000}"/>
    <cellStyle name="%_OS HU Dashboard Apr 2012-macro-08May_2_1_Business Excellence Dashboard-Aug2012-ERP HU (OracleApps) 7" xfId="3635" xr:uid="{00000000-0005-0000-0000-000013030000}"/>
    <cellStyle name="%_OS HU Dashboard Apr 2012-macro-08May_2_1_Business Excellence Dashboard-Aug2012-ERP HU (OracleApps)_BusinessExcellenceDashboard_OCt2012_MS HU-ERased" xfId="195" xr:uid="{00000000-0005-0000-0000-000014030000}"/>
    <cellStyle name="%_OS HU Dashboard Apr 2012-macro-08May_2_1_BusinessExcellenceDashboard_OCt2012_MS HU-ERased" xfId="196" xr:uid="{00000000-0005-0000-0000-000015030000}"/>
    <cellStyle name="%_OS HU Dashboard Apr 2012-macro-08May_2_2" xfId="197" xr:uid="{00000000-0005-0000-0000-000016030000}"/>
    <cellStyle name="%_OS HU Dashboard Apr 2012-macro-08May_2_2 2" xfId="9628" xr:uid="{00000000-0005-0000-0000-000017030000}"/>
    <cellStyle name="%_OS HU Dashboard Apr 2012-macro-08May_2_2 3" xfId="8430" xr:uid="{00000000-0005-0000-0000-000018030000}"/>
    <cellStyle name="%_OS HU Dashboard Apr 2012-macro-08May_2_2 4" xfId="7232" xr:uid="{00000000-0005-0000-0000-000019030000}"/>
    <cellStyle name="%_OS HU Dashboard Apr 2012-macro-08May_2_2 5" xfId="6034" xr:uid="{00000000-0005-0000-0000-00001A030000}"/>
    <cellStyle name="%_OS HU Dashboard Apr 2012-macro-08May_2_2 6" xfId="4835" xr:uid="{00000000-0005-0000-0000-00001B030000}"/>
    <cellStyle name="%_OS HU Dashboard Apr 2012-macro-08May_2_2 7" xfId="3636" xr:uid="{00000000-0005-0000-0000-00001C030000}"/>
    <cellStyle name="%_OS HU Dashboard Apr 2012-macro-08May_2_2_BusinessExcellenceDashboard_OCt2012_MS HU-ERased" xfId="198" xr:uid="{00000000-0005-0000-0000-00001D030000}"/>
    <cellStyle name="%_OS HU Dashboard Apr 2012-macro-08May_2_Business Excellence Dashboard-Aug2012-ERP HU (OracleApps)" xfId="199" xr:uid="{00000000-0005-0000-0000-00001E030000}"/>
    <cellStyle name="%_OS HU Dashboard Apr 2012-macro-08May_2_Business Excellence Dashboard-Aug2012-ERP HU (OracleApps) 2" xfId="9629" xr:uid="{00000000-0005-0000-0000-00001F030000}"/>
    <cellStyle name="%_OS HU Dashboard Apr 2012-macro-08May_2_Business Excellence Dashboard-Aug2012-ERP HU (OracleApps) 3" xfId="8431" xr:uid="{00000000-0005-0000-0000-000020030000}"/>
    <cellStyle name="%_OS HU Dashboard Apr 2012-macro-08May_2_Business Excellence Dashboard-Aug2012-ERP HU (OracleApps) 4" xfId="7233" xr:uid="{00000000-0005-0000-0000-000021030000}"/>
    <cellStyle name="%_OS HU Dashboard Apr 2012-macro-08May_2_Business Excellence Dashboard-Aug2012-ERP HU (OracleApps) 5" xfId="6035" xr:uid="{00000000-0005-0000-0000-000022030000}"/>
    <cellStyle name="%_OS HU Dashboard Apr 2012-macro-08May_2_Business Excellence Dashboard-Aug2012-ERP HU (OracleApps) 6" xfId="4836" xr:uid="{00000000-0005-0000-0000-000023030000}"/>
    <cellStyle name="%_OS HU Dashboard Apr 2012-macro-08May_2_Business Excellence Dashboard-Aug2012-ERP HU (OracleApps) 7" xfId="3637" xr:uid="{00000000-0005-0000-0000-000024030000}"/>
    <cellStyle name="%_OS HU Dashboard Apr 2012-macro-08May_2_Business Excellence Dashboard-Aug2012-ERP HU (OracleApps)_BusinessExcellenceDashboard_OCt2012_MS HU-ERased" xfId="200" xr:uid="{00000000-0005-0000-0000-000025030000}"/>
    <cellStyle name="%_OS HU Dashboard Apr 2012-macro-08May_2_Business Excellence Dashboard-Jul2012-ERP HU (OracleApps)-consolidated" xfId="201" xr:uid="{00000000-0005-0000-0000-000026030000}"/>
    <cellStyle name="%_OS HU Dashboard Apr 2012-macro-08May_2_Business Excellence Dashboard-Jul2012-ERP HU (OracleApps)-consolidated 2" xfId="9630" xr:uid="{00000000-0005-0000-0000-000027030000}"/>
    <cellStyle name="%_OS HU Dashboard Apr 2012-macro-08May_2_Business Excellence Dashboard-Jul2012-ERP HU (OracleApps)-consolidated 3" xfId="8432" xr:uid="{00000000-0005-0000-0000-000028030000}"/>
    <cellStyle name="%_OS HU Dashboard Apr 2012-macro-08May_2_Business Excellence Dashboard-Jul2012-ERP HU (OracleApps)-consolidated 4" xfId="7234" xr:uid="{00000000-0005-0000-0000-000029030000}"/>
    <cellStyle name="%_OS HU Dashboard Apr 2012-macro-08May_2_Business Excellence Dashboard-Jul2012-ERP HU (OracleApps)-consolidated 5" xfId="6036" xr:uid="{00000000-0005-0000-0000-00002A030000}"/>
    <cellStyle name="%_OS HU Dashboard Apr 2012-macro-08May_2_Business Excellence Dashboard-Jul2012-ERP HU (OracleApps)-consolidated 6" xfId="4837" xr:uid="{00000000-0005-0000-0000-00002B030000}"/>
    <cellStyle name="%_OS HU Dashboard Apr 2012-macro-08May_2_Business Excellence Dashboard-Jul2012-ERP HU (OracleApps)-consolidated 7" xfId="3638" xr:uid="{00000000-0005-0000-0000-00002C030000}"/>
    <cellStyle name="%_OS HU Dashboard Apr 2012-macro-08May_2_Business Excellence Dashboard-Jul2012-ERP HU (OracleApps)-consolidated_BusinessExcellenceDashboard_OCt2012_MS HU-ERased" xfId="202" xr:uid="{00000000-0005-0000-0000-00002D030000}"/>
    <cellStyle name="%_OS HU Dashboard Apr 2012-macro-08May_2_BusinessExcellenceDashboard_OCt2012_MS HU-ERased" xfId="203" xr:uid="{00000000-0005-0000-0000-00002E030000}"/>
    <cellStyle name="%_OS HU Dashboard Apr 2012-macro-08May_2_copydatamacro" xfId="204" xr:uid="{00000000-0005-0000-0000-00002F030000}"/>
    <cellStyle name="%_OS HU Dashboard Apr 2012-macro-08May_2_copydatamacro 2" xfId="9631" xr:uid="{00000000-0005-0000-0000-000030030000}"/>
    <cellStyle name="%_OS HU Dashboard Apr 2012-macro-08May_2_copydatamacro 3" xfId="8433" xr:uid="{00000000-0005-0000-0000-000031030000}"/>
    <cellStyle name="%_OS HU Dashboard Apr 2012-macro-08May_2_copydatamacro 4" xfId="7235" xr:uid="{00000000-0005-0000-0000-000032030000}"/>
    <cellStyle name="%_OS HU Dashboard Apr 2012-macro-08May_2_copydatamacro 5" xfId="6037" xr:uid="{00000000-0005-0000-0000-000033030000}"/>
    <cellStyle name="%_OS HU Dashboard Apr 2012-macro-08May_2_copydatamacro 6" xfId="4838" xr:uid="{00000000-0005-0000-0000-000034030000}"/>
    <cellStyle name="%_OS HU Dashboard Apr 2012-macro-08May_2_copydatamacro 7" xfId="3639" xr:uid="{00000000-0005-0000-0000-000035030000}"/>
    <cellStyle name="%_OS HU Dashboard Apr 2012-macro-08May_2_copydatamacro_BusinessExcellenceDashboard_OCt2012_MS HU-ERased" xfId="205" xr:uid="{00000000-0005-0000-0000-000036030000}"/>
    <cellStyle name="%_OS HU Dashboard Apr 2012-macro-08May_Business Excellence Dashboard-Aug2012-ERP HU (OracleApps)" xfId="206" xr:uid="{00000000-0005-0000-0000-000037030000}"/>
    <cellStyle name="%_OS HU Dashboard Apr 2012-macro-08May_Business Excellence Dashboard-Aug2012-ERP HU (OracleApps) 2" xfId="9632" xr:uid="{00000000-0005-0000-0000-000038030000}"/>
    <cellStyle name="%_OS HU Dashboard Apr 2012-macro-08May_Business Excellence Dashboard-Aug2012-ERP HU (OracleApps) 3" xfId="8434" xr:uid="{00000000-0005-0000-0000-000039030000}"/>
    <cellStyle name="%_OS HU Dashboard Apr 2012-macro-08May_Business Excellence Dashboard-Aug2012-ERP HU (OracleApps) 4" xfId="7236" xr:uid="{00000000-0005-0000-0000-00003A030000}"/>
    <cellStyle name="%_OS HU Dashboard Apr 2012-macro-08May_Business Excellence Dashboard-Aug2012-ERP HU (OracleApps) 5" xfId="6038" xr:uid="{00000000-0005-0000-0000-00003B030000}"/>
    <cellStyle name="%_OS HU Dashboard Apr 2012-macro-08May_Business Excellence Dashboard-Aug2012-ERP HU (OracleApps) 6" xfId="4839" xr:uid="{00000000-0005-0000-0000-00003C030000}"/>
    <cellStyle name="%_OS HU Dashboard Apr 2012-macro-08May_Business Excellence Dashboard-Aug2012-ERP HU (OracleApps) 7" xfId="3640" xr:uid="{00000000-0005-0000-0000-00003D030000}"/>
    <cellStyle name="%_OS HU Dashboard Apr 2012-macro-08May_Business Excellence Dashboard-Aug2012-ERP HU (OracleApps)_BusinessExcellenceDashboard_OCt2012_MS HU-ERased" xfId="207" xr:uid="{00000000-0005-0000-0000-00003E030000}"/>
    <cellStyle name="%_OS HU Dashboard Apr 2012-macro-08May_Business Excellence Dashboard-Jul2012-ERP HU (OracleApps)-consolidated" xfId="208" xr:uid="{00000000-0005-0000-0000-00003F030000}"/>
    <cellStyle name="%_OS HU Dashboard Apr 2012-macro-08May_Business Excellence Dashboard-Jul2012-ERP HU (OracleApps)-consolidated 2" xfId="9633" xr:uid="{00000000-0005-0000-0000-000040030000}"/>
    <cellStyle name="%_OS HU Dashboard Apr 2012-macro-08May_Business Excellence Dashboard-Jul2012-ERP HU (OracleApps)-consolidated 3" xfId="8435" xr:uid="{00000000-0005-0000-0000-000041030000}"/>
    <cellStyle name="%_OS HU Dashboard Apr 2012-macro-08May_Business Excellence Dashboard-Jul2012-ERP HU (OracleApps)-consolidated 4" xfId="7237" xr:uid="{00000000-0005-0000-0000-000042030000}"/>
    <cellStyle name="%_OS HU Dashboard Apr 2012-macro-08May_Business Excellence Dashboard-Jul2012-ERP HU (OracleApps)-consolidated 5" xfId="6039" xr:uid="{00000000-0005-0000-0000-000043030000}"/>
    <cellStyle name="%_OS HU Dashboard Apr 2012-macro-08May_Business Excellence Dashboard-Jul2012-ERP HU (OracleApps)-consolidated 6" xfId="4840" xr:uid="{00000000-0005-0000-0000-000044030000}"/>
    <cellStyle name="%_OS HU Dashboard Apr 2012-macro-08May_Business Excellence Dashboard-Jul2012-ERP HU (OracleApps)-consolidated 7" xfId="3641" xr:uid="{00000000-0005-0000-0000-000045030000}"/>
    <cellStyle name="%_OS HU Dashboard Apr 2012-macro-08May_Business Excellence Dashboard-Jul2012-ERP HU (OracleApps)-consolidated_BusinessExcellenceDashboard_OCt2012_MS HU-ERased" xfId="209" xr:uid="{00000000-0005-0000-0000-000046030000}"/>
    <cellStyle name="%_OS HU Dashboard Apr 2012-macro-08May_BusinessExcellenceDashboard_OCt2012_MS HU-ERased" xfId="210" xr:uid="{00000000-0005-0000-0000-000047030000}"/>
    <cellStyle name="%_OS HU Dashboard Apr 2012-macro-08May_copydatamacro" xfId="211" xr:uid="{00000000-0005-0000-0000-000048030000}"/>
    <cellStyle name="%_OS HU Dashboard Apr 2012-macro-08May_copydatamacro 2" xfId="9634" xr:uid="{00000000-0005-0000-0000-000049030000}"/>
    <cellStyle name="%_OS HU Dashboard Apr 2012-macro-08May_copydatamacro 3" xfId="8436" xr:uid="{00000000-0005-0000-0000-00004A030000}"/>
    <cellStyle name="%_OS HU Dashboard Apr 2012-macro-08May_copydatamacro 4" xfId="7238" xr:uid="{00000000-0005-0000-0000-00004B030000}"/>
    <cellStyle name="%_OS HU Dashboard Apr 2012-macro-08May_copydatamacro 5" xfId="6040" xr:uid="{00000000-0005-0000-0000-00004C030000}"/>
    <cellStyle name="%_OS HU Dashboard Apr 2012-macro-08May_copydatamacro 6" xfId="4841" xr:uid="{00000000-0005-0000-0000-00004D030000}"/>
    <cellStyle name="%_OS HU Dashboard Apr 2012-macro-08May_copydatamacro 7" xfId="3642" xr:uid="{00000000-0005-0000-0000-00004E030000}"/>
    <cellStyle name="%_OS HU Dashboard Apr 2012-macro-08May_copydatamacro_BusinessExcellenceDashboard_OCt2012_MS HU-ERased" xfId="212" xr:uid="{00000000-0005-0000-0000-00004F030000}"/>
    <cellStyle name="%_Project Progress" xfId="213" xr:uid="{00000000-0005-0000-0000-000050030000}"/>
    <cellStyle name="%_Project Progress 2" xfId="9635" xr:uid="{00000000-0005-0000-0000-000051030000}"/>
    <cellStyle name="%_Project Progress 3" xfId="8437" xr:uid="{00000000-0005-0000-0000-000052030000}"/>
    <cellStyle name="%_Project Progress 4" xfId="7239" xr:uid="{00000000-0005-0000-0000-000053030000}"/>
    <cellStyle name="%_Project Progress 5" xfId="6041" xr:uid="{00000000-0005-0000-0000-000054030000}"/>
    <cellStyle name="%_Project Progress 6" xfId="4842" xr:uid="{00000000-0005-0000-0000-000055030000}"/>
    <cellStyle name="%_Project Progress 7" xfId="3643" xr:uid="{00000000-0005-0000-0000-000056030000}"/>
    <cellStyle name="%_Project Progress_2" xfId="214" xr:uid="{00000000-0005-0000-0000-000057030000}"/>
    <cellStyle name="%_Project Progress_2 2" xfId="9636" xr:uid="{00000000-0005-0000-0000-000058030000}"/>
    <cellStyle name="%_Project Progress_2 3" xfId="8438" xr:uid="{00000000-0005-0000-0000-000059030000}"/>
    <cellStyle name="%_Project Progress_2 4" xfId="7240" xr:uid="{00000000-0005-0000-0000-00005A030000}"/>
    <cellStyle name="%_Project Progress_2 5" xfId="6042" xr:uid="{00000000-0005-0000-0000-00005B030000}"/>
    <cellStyle name="%_Project Progress_2 6" xfId="4843" xr:uid="{00000000-0005-0000-0000-00005C030000}"/>
    <cellStyle name="%_Project Progress_2 7" xfId="3644" xr:uid="{00000000-0005-0000-0000-00005D030000}"/>
    <cellStyle name="%_Project Progress_2_1" xfId="215" xr:uid="{00000000-0005-0000-0000-00005E030000}"/>
    <cellStyle name="%_Project Progress_2_1 2" xfId="9637" xr:uid="{00000000-0005-0000-0000-00005F030000}"/>
    <cellStyle name="%_Project Progress_2_1 3" xfId="8439" xr:uid="{00000000-0005-0000-0000-000060030000}"/>
    <cellStyle name="%_Project Progress_2_1 4" xfId="7241" xr:uid="{00000000-0005-0000-0000-000061030000}"/>
    <cellStyle name="%_Project Progress_2_1 5" xfId="6043" xr:uid="{00000000-0005-0000-0000-000062030000}"/>
    <cellStyle name="%_Project Progress_2_1 6" xfId="4844" xr:uid="{00000000-0005-0000-0000-000063030000}"/>
    <cellStyle name="%_Project Progress_2_1 7" xfId="3645" xr:uid="{00000000-0005-0000-0000-000064030000}"/>
    <cellStyle name="%_Project Progress_2_1_Business Excellence Dashboard-Aug2012-ERP HU (OracleApps)" xfId="216" xr:uid="{00000000-0005-0000-0000-000065030000}"/>
    <cellStyle name="%_Project Progress_2_1_Business Excellence Dashboard-Aug2012-ERP HU (OracleApps) 2" xfId="9638" xr:uid="{00000000-0005-0000-0000-000066030000}"/>
    <cellStyle name="%_Project Progress_2_1_Business Excellence Dashboard-Aug2012-ERP HU (OracleApps) 3" xfId="8440" xr:uid="{00000000-0005-0000-0000-000067030000}"/>
    <cellStyle name="%_Project Progress_2_1_Business Excellence Dashboard-Aug2012-ERP HU (OracleApps) 4" xfId="7242" xr:uid="{00000000-0005-0000-0000-000068030000}"/>
    <cellStyle name="%_Project Progress_2_1_Business Excellence Dashboard-Aug2012-ERP HU (OracleApps) 5" xfId="6044" xr:uid="{00000000-0005-0000-0000-000069030000}"/>
    <cellStyle name="%_Project Progress_2_1_Business Excellence Dashboard-Aug2012-ERP HU (OracleApps) 6" xfId="4845" xr:uid="{00000000-0005-0000-0000-00006A030000}"/>
    <cellStyle name="%_Project Progress_2_1_Business Excellence Dashboard-Aug2012-ERP HU (OracleApps) 7" xfId="3646" xr:uid="{00000000-0005-0000-0000-00006B030000}"/>
    <cellStyle name="%_Project Progress_2_1_Business Excellence Dashboard-Aug2012-ERP HU (OracleApps)_BusinessExcellenceDashboard_OCt2012_MS HU-ERased" xfId="217" xr:uid="{00000000-0005-0000-0000-00006C030000}"/>
    <cellStyle name="%_Project Progress_2_1_BusinessExcellenceDashboard_OCt2012_MS HU-ERased" xfId="218" xr:uid="{00000000-0005-0000-0000-00006D030000}"/>
    <cellStyle name="%_Project Progress_2_2" xfId="219" xr:uid="{00000000-0005-0000-0000-00006E030000}"/>
    <cellStyle name="%_Project Progress_2_2 2" xfId="9639" xr:uid="{00000000-0005-0000-0000-00006F030000}"/>
    <cellStyle name="%_Project Progress_2_2 3" xfId="8441" xr:uid="{00000000-0005-0000-0000-000070030000}"/>
    <cellStyle name="%_Project Progress_2_2 4" xfId="7243" xr:uid="{00000000-0005-0000-0000-000071030000}"/>
    <cellStyle name="%_Project Progress_2_2 5" xfId="6045" xr:uid="{00000000-0005-0000-0000-000072030000}"/>
    <cellStyle name="%_Project Progress_2_2 6" xfId="4846" xr:uid="{00000000-0005-0000-0000-000073030000}"/>
    <cellStyle name="%_Project Progress_2_2 7" xfId="3647" xr:uid="{00000000-0005-0000-0000-000074030000}"/>
    <cellStyle name="%_Project Progress_2_2_BusinessExcellenceDashboard_OCt2012_MS HU-ERased" xfId="220" xr:uid="{00000000-0005-0000-0000-000075030000}"/>
    <cellStyle name="%_Project Progress_2_Business Excellence Dashboard-Aug2012-ERP HU (OracleApps)" xfId="221" xr:uid="{00000000-0005-0000-0000-000076030000}"/>
    <cellStyle name="%_Project Progress_2_Business Excellence Dashboard-Aug2012-ERP HU (OracleApps) 2" xfId="9640" xr:uid="{00000000-0005-0000-0000-000077030000}"/>
    <cellStyle name="%_Project Progress_2_Business Excellence Dashboard-Aug2012-ERP HU (OracleApps) 3" xfId="8442" xr:uid="{00000000-0005-0000-0000-000078030000}"/>
    <cellStyle name="%_Project Progress_2_Business Excellence Dashboard-Aug2012-ERP HU (OracleApps) 4" xfId="7244" xr:uid="{00000000-0005-0000-0000-000079030000}"/>
    <cellStyle name="%_Project Progress_2_Business Excellence Dashboard-Aug2012-ERP HU (OracleApps) 5" xfId="6046" xr:uid="{00000000-0005-0000-0000-00007A030000}"/>
    <cellStyle name="%_Project Progress_2_Business Excellence Dashboard-Aug2012-ERP HU (OracleApps) 6" xfId="4847" xr:uid="{00000000-0005-0000-0000-00007B030000}"/>
    <cellStyle name="%_Project Progress_2_Business Excellence Dashboard-Aug2012-ERP HU (OracleApps) 7" xfId="3648" xr:uid="{00000000-0005-0000-0000-00007C030000}"/>
    <cellStyle name="%_Project Progress_2_Business Excellence Dashboard-Aug2012-ERP HU (OracleApps)_BusinessExcellenceDashboard_OCt2012_MS HU-ERased" xfId="222" xr:uid="{00000000-0005-0000-0000-00007D030000}"/>
    <cellStyle name="%_Project Progress_2_Business Excellence Dashboard-Jul2012-ERP HU (OracleApps)-consolidated" xfId="223" xr:uid="{00000000-0005-0000-0000-00007E030000}"/>
    <cellStyle name="%_Project Progress_2_Business Excellence Dashboard-Jul2012-ERP HU (OracleApps)-consolidated 2" xfId="9641" xr:uid="{00000000-0005-0000-0000-00007F030000}"/>
    <cellStyle name="%_Project Progress_2_Business Excellence Dashboard-Jul2012-ERP HU (OracleApps)-consolidated 3" xfId="8443" xr:uid="{00000000-0005-0000-0000-000080030000}"/>
    <cellStyle name="%_Project Progress_2_Business Excellence Dashboard-Jul2012-ERP HU (OracleApps)-consolidated 4" xfId="7245" xr:uid="{00000000-0005-0000-0000-000081030000}"/>
    <cellStyle name="%_Project Progress_2_Business Excellence Dashboard-Jul2012-ERP HU (OracleApps)-consolidated 5" xfId="6047" xr:uid="{00000000-0005-0000-0000-000082030000}"/>
    <cellStyle name="%_Project Progress_2_Business Excellence Dashboard-Jul2012-ERP HU (OracleApps)-consolidated 6" xfId="4848" xr:uid="{00000000-0005-0000-0000-000083030000}"/>
    <cellStyle name="%_Project Progress_2_Business Excellence Dashboard-Jul2012-ERP HU (OracleApps)-consolidated 7" xfId="3649" xr:uid="{00000000-0005-0000-0000-000084030000}"/>
    <cellStyle name="%_Project Progress_2_Business Excellence Dashboard-Jul2012-ERP HU (OracleApps)-consolidated_BusinessExcellenceDashboard_OCt2012_MS HU-ERased" xfId="224" xr:uid="{00000000-0005-0000-0000-000085030000}"/>
    <cellStyle name="%_Project Progress_2_BusinessExcellenceDashboard_OCt2012_MS HU-ERased" xfId="225" xr:uid="{00000000-0005-0000-0000-000086030000}"/>
    <cellStyle name="%_Project Progress_2_copydatamacro" xfId="226" xr:uid="{00000000-0005-0000-0000-000087030000}"/>
    <cellStyle name="%_Project Progress_2_copydatamacro 2" xfId="9642" xr:uid="{00000000-0005-0000-0000-000088030000}"/>
    <cellStyle name="%_Project Progress_2_copydatamacro 3" xfId="8444" xr:uid="{00000000-0005-0000-0000-000089030000}"/>
    <cellStyle name="%_Project Progress_2_copydatamacro 4" xfId="7246" xr:uid="{00000000-0005-0000-0000-00008A030000}"/>
    <cellStyle name="%_Project Progress_2_copydatamacro 5" xfId="6048" xr:uid="{00000000-0005-0000-0000-00008B030000}"/>
    <cellStyle name="%_Project Progress_2_copydatamacro 6" xfId="4849" xr:uid="{00000000-0005-0000-0000-00008C030000}"/>
    <cellStyle name="%_Project Progress_2_copydatamacro 7" xfId="3650" xr:uid="{00000000-0005-0000-0000-00008D030000}"/>
    <cellStyle name="%_Project Progress_2_copydatamacro_BusinessExcellenceDashboard_OCt2012_MS HU-ERased" xfId="227" xr:uid="{00000000-0005-0000-0000-00008E030000}"/>
    <cellStyle name="%_Project Progress_Book1" xfId="228" xr:uid="{00000000-0005-0000-0000-00008F030000}"/>
    <cellStyle name="%_Project Progress_Book1 2" xfId="9643" xr:uid="{00000000-0005-0000-0000-000090030000}"/>
    <cellStyle name="%_Project Progress_Book1 3" xfId="8445" xr:uid="{00000000-0005-0000-0000-000091030000}"/>
    <cellStyle name="%_Project Progress_Book1 4" xfId="7247" xr:uid="{00000000-0005-0000-0000-000092030000}"/>
    <cellStyle name="%_Project Progress_Book1 5" xfId="6049" xr:uid="{00000000-0005-0000-0000-000093030000}"/>
    <cellStyle name="%_Project Progress_Book1 6" xfId="4850" xr:uid="{00000000-0005-0000-0000-000094030000}"/>
    <cellStyle name="%_Project Progress_Book1 7" xfId="3651" xr:uid="{00000000-0005-0000-0000-000095030000}"/>
    <cellStyle name="%_Project Progress_Book1_Business Excellence Dashboard-Aug2012-ERP HU (OracleApps)" xfId="229" xr:uid="{00000000-0005-0000-0000-000096030000}"/>
    <cellStyle name="%_Project Progress_Book1_Business Excellence Dashboard-Aug2012-ERP HU (OracleApps) 2" xfId="9644" xr:uid="{00000000-0005-0000-0000-000097030000}"/>
    <cellStyle name="%_Project Progress_Book1_Business Excellence Dashboard-Aug2012-ERP HU (OracleApps) 3" xfId="8446" xr:uid="{00000000-0005-0000-0000-000098030000}"/>
    <cellStyle name="%_Project Progress_Book1_Business Excellence Dashboard-Aug2012-ERP HU (OracleApps) 4" xfId="7248" xr:uid="{00000000-0005-0000-0000-000099030000}"/>
    <cellStyle name="%_Project Progress_Book1_Business Excellence Dashboard-Aug2012-ERP HU (OracleApps) 5" xfId="6050" xr:uid="{00000000-0005-0000-0000-00009A030000}"/>
    <cellStyle name="%_Project Progress_Book1_Business Excellence Dashboard-Aug2012-ERP HU (OracleApps) 6" xfId="4851" xr:uid="{00000000-0005-0000-0000-00009B030000}"/>
    <cellStyle name="%_Project Progress_Book1_Business Excellence Dashboard-Aug2012-ERP HU (OracleApps) 7" xfId="3652" xr:uid="{00000000-0005-0000-0000-00009C030000}"/>
    <cellStyle name="%_Project Progress_Book1_Business Excellence Dashboard-Aug2012-ERP HU (OracleApps)_BusinessExcellenceDashboard_OCt2012_MS HU-ERased" xfId="230" xr:uid="{00000000-0005-0000-0000-00009D030000}"/>
    <cellStyle name="%_Project Progress_Book1_Business Excellence Dashboard-Jul2012-ERP HU (OracleApps)-consolidated" xfId="231" xr:uid="{00000000-0005-0000-0000-00009E030000}"/>
    <cellStyle name="%_Project Progress_Book1_Business Excellence Dashboard-Jul2012-ERP HU (OracleApps)-consolidated 2" xfId="9645" xr:uid="{00000000-0005-0000-0000-00009F030000}"/>
    <cellStyle name="%_Project Progress_Book1_Business Excellence Dashboard-Jul2012-ERP HU (OracleApps)-consolidated 3" xfId="8447" xr:uid="{00000000-0005-0000-0000-0000A0030000}"/>
    <cellStyle name="%_Project Progress_Book1_Business Excellence Dashboard-Jul2012-ERP HU (OracleApps)-consolidated 4" xfId="7249" xr:uid="{00000000-0005-0000-0000-0000A1030000}"/>
    <cellStyle name="%_Project Progress_Book1_Business Excellence Dashboard-Jul2012-ERP HU (OracleApps)-consolidated 5" xfId="6051" xr:uid="{00000000-0005-0000-0000-0000A2030000}"/>
    <cellStyle name="%_Project Progress_Book1_Business Excellence Dashboard-Jul2012-ERP HU (OracleApps)-consolidated 6" xfId="4852" xr:uid="{00000000-0005-0000-0000-0000A3030000}"/>
    <cellStyle name="%_Project Progress_Book1_Business Excellence Dashboard-Jul2012-ERP HU (OracleApps)-consolidated 7" xfId="3653" xr:uid="{00000000-0005-0000-0000-0000A4030000}"/>
    <cellStyle name="%_Project Progress_Book1_Business Excellence Dashboard-Jul2012-ERP HU (OracleApps)-consolidated_BusinessExcellenceDashboard_OCt2012_MS HU-ERased" xfId="232" xr:uid="{00000000-0005-0000-0000-0000A5030000}"/>
    <cellStyle name="%_Project Progress_Book1_BusinessExcellenceDashboard_OCt2012_MS HU-ERased" xfId="233" xr:uid="{00000000-0005-0000-0000-0000A6030000}"/>
    <cellStyle name="%_Project Progress_Book1_copydatamacro" xfId="234" xr:uid="{00000000-0005-0000-0000-0000A7030000}"/>
    <cellStyle name="%_Project Progress_Book1_copydatamacro 2" xfId="9646" xr:uid="{00000000-0005-0000-0000-0000A8030000}"/>
    <cellStyle name="%_Project Progress_Book1_copydatamacro 3" xfId="8448" xr:uid="{00000000-0005-0000-0000-0000A9030000}"/>
    <cellStyle name="%_Project Progress_Book1_copydatamacro 4" xfId="7250" xr:uid="{00000000-0005-0000-0000-0000AA030000}"/>
    <cellStyle name="%_Project Progress_Book1_copydatamacro 5" xfId="6052" xr:uid="{00000000-0005-0000-0000-0000AB030000}"/>
    <cellStyle name="%_Project Progress_Book1_copydatamacro 6" xfId="4853" xr:uid="{00000000-0005-0000-0000-0000AC030000}"/>
    <cellStyle name="%_Project Progress_Book1_copydatamacro 7" xfId="3654" xr:uid="{00000000-0005-0000-0000-0000AD030000}"/>
    <cellStyle name="%_Project Progress_Book1_copydatamacro_BusinessExcellenceDashboard_OCt2012_MS HU-ERased" xfId="235" xr:uid="{00000000-0005-0000-0000-0000AE030000}"/>
    <cellStyle name="%_Project Progress_Business Excellence Dashboard-Aug2012-ERP HU (OracleApps)" xfId="236" xr:uid="{00000000-0005-0000-0000-0000AF030000}"/>
    <cellStyle name="%_Project Progress_Business Excellence Dashboard-Aug2012-ERP HU (OracleApps) 2" xfId="9647" xr:uid="{00000000-0005-0000-0000-0000B0030000}"/>
    <cellStyle name="%_Project Progress_Business Excellence Dashboard-Aug2012-ERP HU (OracleApps) 3" xfId="8449" xr:uid="{00000000-0005-0000-0000-0000B1030000}"/>
    <cellStyle name="%_Project Progress_Business Excellence Dashboard-Aug2012-ERP HU (OracleApps) 4" xfId="7251" xr:uid="{00000000-0005-0000-0000-0000B2030000}"/>
    <cellStyle name="%_Project Progress_Business Excellence Dashboard-Aug2012-ERP HU (OracleApps) 5" xfId="6053" xr:uid="{00000000-0005-0000-0000-0000B3030000}"/>
    <cellStyle name="%_Project Progress_Business Excellence Dashboard-Aug2012-ERP HU (OracleApps) 6" xfId="4854" xr:uid="{00000000-0005-0000-0000-0000B4030000}"/>
    <cellStyle name="%_Project Progress_Business Excellence Dashboard-Aug2012-ERP HU (OracleApps) 7" xfId="3655" xr:uid="{00000000-0005-0000-0000-0000B5030000}"/>
    <cellStyle name="%_Project Progress_Business Excellence Dashboard-Aug2012-ERP HU (OracleApps)_BusinessExcellenceDashboard_OCt2012_MS HU-ERased" xfId="237" xr:uid="{00000000-0005-0000-0000-0000B6030000}"/>
    <cellStyle name="%_Project Progress_Business Excellence Dashboard-Jul2012-ERP HU (OracleApps)-consolidated" xfId="238" xr:uid="{00000000-0005-0000-0000-0000B7030000}"/>
    <cellStyle name="%_Project Progress_Business Excellence Dashboard-Jul2012-ERP HU (OracleApps)-consolidated 2" xfId="9648" xr:uid="{00000000-0005-0000-0000-0000B8030000}"/>
    <cellStyle name="%_Project Progress_Business Excellence Dashboard-Jul2012-ERP HU (OracleApps)-consolidated 3" xfId="8450" xr:uid="{00000000-0005-0000-0000-0000B9030000}"/>
    <cellStyle name="%_Project Progress_Business Excellence Dashboard-Jul2012-ERP HU (OracleApps)-consolidated 4" xfId="7252" xr:uid="{00000000-0005-0000-0000-0000BA030000}"/>
    <cellStyle name="%_Project Progress_Business Excellence Dashboard-Jul2012-ERP HU (OracleApps)-consolidated 5" xfId="6054" xr:uid="{00000000-0005-0000-0000-0000BB030000}"/>
    <cellStyle name="%_Project Progress_Business Excellence Dashboard-Jul2012-ERP HU (OracleApps)-consolidated 6" xfId="4855" xr:uid="{00000000-0005-0000-0000-0000BC030000}"/>
    <cellStyle name="%_Project Progress_Business Excellence Dashboard-Jul2012-ERP HU (OracleApps)-consolidated 7" xfId="3656" xr:uid="{00000000-0005-0000-0000-0000BD030000}"/>
    <cellStyle name="%_Project Progress_Business Excellence Dashboard-Jul2012-ERP HU (OracleApps)-consolidated_BusinessExcellenceDashboard_OCt2012_MS HU-ERased" xfId="239" xr:uid="{00000000-0005-0000-0000-0000BE030000}"/>
    <cellStyle name="%_Project Progress_BusinessExcellenceDashboard_OCt2012_MS HU-ERased" xfId="240" xr:uid="{00000000-0005-0000-0000-0000BF030000}"/>
    <cellStyle name="%_Project Progress_copydatamacro" xfId="241" xr:uid="{00000000-0005-0000-0000-0000C0030000}"/>
    <cellStyle name="%_Project Progress_copydatamacro 2" xfId="9649" xr:uid="{00000000-0005-0000-0000-0000C1030000}"/>
    <cellStyle name="%_Project Progress_copydatamacro 3" xfId="8451" xr:uid="{00000000-0005-0000-0000-0000C2030000}"/>
    <cellStyle name="%_Project Progress_copydatamacro 4" xfId="7253" xr:uid="{00000000-0005-0000-0000-0000C3030000}"/>
    <cellStyle name="%_Project Progress_copydatamacro 5" xfId="6055" xr:uid="{00000000-0005-0000-0000-0000C4030000}"/>
    <cellStyle name="%_Project Progress_copydatamacro 6" xfId="4856" xr:uid="{00000000-0005-0000-0000-0000C5030000}"/>
    <cellStyle name="%_Project Progress_copydatamacro 7" xfId="3657" xr:uid="{00000000-0005-0000-0000-0000C6030000}"/>
    <cellStyle name="%_Project Progress_copydatamacro_BusinessExcellenceDashboard_OCt2012_MS HU-ERased" xfId="242" xr:uid="{00000000-0005-0000-0000-0000C7030000}"/>
    <cellStyle name="%_Project Progress_HU Risk dashboard_Apr2012-1-macro" xfId="243" xr:uid="{00000000-0005-0000-0000-0000C8030000}"/>
    <cellStyle name="%_Project Progress_HU Risk dashboard_Apr2012-1-macro 2" xfId="9650" xr:uid="{00000000-0005-0000-0000-0000C9030000}"/>
    <cellStyle name="%_Project Progress_HU Risk dashboard_Apr2012-1-macro 3" xfId="8452" xr:uid="{00000000-0005-0000-0000-0000CA030000}"/>
    <cellStyle name="%_Project Progress_HU Risk dashboard_Apr2012-1-macro 4" xfId="7254" xr:uid="{00000000-0005-0000-0000-0000CB030000}"/>
    <cellStyle name="%_Project Progress_HU Risk dashboard_Apr2012-1-macro 5" xfId="6056" xr:uid="{00000000-0005-0000-0000-0000CC030000}"/>
    <cellStyle name="%_Project Progress_HU Risk dashboard_Apr2012-1-macro 6" xfId="4857" xr:uid="{00000000-0005-0000-0000-0000CD030000}"/>
    <cellStyle name="%_Project Progress_HU Risk dashboard_Apr2012-1-macro 7" xfId="3658" xr:uid="{00000000-0005-0000-0000-0000CE030000}"/>
    <cellStyle name="%_Project Progress_HU Risk dashboard_Apr2012-1-macro_2" xfId="244" xr:uid="{00000000-0005-0000-0000-0000CF030000}"/>
    <cellStyle name="%_Project Progress_HU Risk dashboard_Apr2012-1-macro_2 2" xfId="9651" xr:uid="{00000000-0005-0000-0000-0000D0030000}"/>
    <cellStyle name="%_Project Progress_HU Risk dashboard_Apr2012-1-macro_2 3" xfId="8453" xr:uid="{00000000-0005-0000-0000-0000D1030000}"/>
    <cellStyle name="%_Project Progress_HU Risk dashboard_Apr2012-1-macro_2 4" xfId="7255" xr:uid="{00000000-0005-0000-0000-0000D2030000}"/>
    <cellStyle name="%_Project Progress_HU Risk dashboard_Apr2012-1-macro_2 5" xfId="6057" xr:uid="{00000000-0005-0000-0000-0000D3030000}"/>
    <cellStyle name="%_Project Progress_HU Risk dashboard_Apr2012-1-macro_2 6" xfId="4858" xr:uid="{00000000-0005-0000-0000-0000D4030000}"/>
    <cellStyle name="%_Project Progress_HU Risk dashboard_Apr2012-1-macro_2 7" xfId="3659" xr:uid="{00000000-0005-0000-0000-0000D5030000}"/>
    <cellStyle name="%_Project Progress_HU Risk dashboard_Apr2012-1-macro_2_1" xfId="245" xr:uid="{00000000-0005-0000-0000-0000D6030000}"/>
    <cellStyle name="%_Project Progress_HU Risk dashboard_Apr2012-1-macro_2_1 2" xfId="9652" xr:uid="{00000000-0005-0000-0000-0000D7030000}"/>
    <cellStyle name="%_Project Progress_HU Risk dashboard_Apr2012-1-macro_2_1 3" xfId="8454" xr:uid="{00000000-0005-0000-0000-0000D8030000}"/>
    <cellStyle name="%_Project Progress_HU Risk dashboard_Apr2012-1-macro_2_1 4" xfId="7256" xr:uid="{00000000-0005-0000-0000-0000D9030000}"/>
    <cellStyle name="%_Project Progress_HU Risk dashboard_Apr2012-1-macro_2_1 5" xfId="6058" xr:uid="{00000000-0005-0000-0000-0000DA030000}"/>
    <cellStyle name="%_Project Progress_HU Risk dashboard_Apr2012-1-macro_2_1 6" xfId="4859" xr:uid="{00000000-0005-0000-0000-0000DB030000}"/>
    <cellStyle name="%_Project Progress_HU Risk dashboard_Apr2012-1-macro_2_1 7" xfId="3660" xr:uid="{00000000-0005-0000-0000-0000DC030000}"/>
    <cellStyle name="%_Project Progress_HU Risk dashboard_Apr2012-1-macro_2_1_Business Excellence Dashboard-Aug2012-ERP HU (OracleApps)" xfId="246" xr:uid="{00000000-0005-0000-0000-0000DD030000}"/>
    <cellStyle name="%_Project Progress_HU Risk dashboard_Apr2012-1-macro_2_1_Business Excellence Dashboard-Aug2012-ERP HU (OracleApps) 2" xfId="9653" xr:uid="{00000000-0005-0000-0000-0000DE030000}"/>
    <cellStyle name="%_Project Progress_HU Risk dashboard_Apr2012-1-macro_2_1_Business Excellence Dashboard-Aug2012-ERP HU (OracleApps) 3" xfId="8455" xr:uid="{00000000-0005-0000-0000-0000DF030000}"/>
    <cellStyle name="%_Project Progress_HU Risk dashboard_Apr2012-1-macro_2_1_Business Excellence Dashboard-Aug2012-ERP HU (OracleApps) 4" xfId="7257" xr:uid="{00000000-0005-0000-0000-0000E0030000}"/>
    <cellStyle name="%_Project Progress_HU Risk dashboard_Apr2012-1-macro_2_1_Business Excellence Dashboard-Aug2012-ERP HU (OracleApps) 5" xfId="6059" xr:uid="{00000000-0005-0000-0000-0000E1030000}"/>
    <cellStyle name="%_Project Progress_HU Risk dashboard_Apr2012-1-macro_2_1_Business Excellence Dashboard-Aug2012-ERP HU (OracleApps) 6" xfId="4860" xr:uid="{00000000-0005-0000-0000-0000E2030000}"/>
    <cellStyle name="%_Project Progress_HU Risk dashboard_Apr2012-1-macro_2_1_Business Excellence Dashboard-Aug2012-ERP HU (OracleApps) 7" xfId="3661" xr:uid="{00000000-0005-0000-0000-0000E3030000}"/>
    <cellStyle name="%_Project Progress_HU Risk dashboard_Apr2012-1-macro_2_1_Business Excellence Dashboard-Aug2012-ERP HU (OracleApps)_BusinessExcellenceDashboard_OCt2012_MS HU-ERased" xfId="247" xr:uid="{00000000-0005-0000-0000-0000E4030000}"/>
    <cellStyle name="%_Project Progress_HU Risk dashboard_Apr2012-1-macro_2_1_BusinessExcellenceDashboard_OCt2012_MS HU-ERased" xfId="248" xr:uid="{00000000-0005-0000-0000-0000E5030000}"/>
    <cellStyle name="%_Project Progress_HU Risk dashboard_Apr2012-1-macro_2_2" xfId="249" xr:uid="{00000000-0005-0000-0000-0000E6030000}"/>
    <cellStyle name="%_Project Progress_HU Risk dashboard_Apr2012-1-macro_2_2 2" xfId="9654" xr:uid="{00000000-0005-0000-0000-0000E7030000}"/>
    <cellStyle name="%_Project Progress_HU Risk dashboard_Apr2012-1-macro_2_2 3" xfId="8456" xr:uid="{00000000-0005-0000-0000-0000E8030000}"/>
    <cellStyle name="%_Project Progress_HU Risk dashboard_Apr2012-1-macro_2_2 4" xfId="7258" xr:uid="{00000000-0005-0000-0000-0000E9030000}"/>
    <cellStyle name="%_Project Progress_HU Risk dashboard_Apr2012-1-macro_2_2 5" xfId="6060" xr:uid="{00000000-0005-0000-0000-0000EA030000}"/>
    <cellStyle name="%_Project Progress_HU Risk dashboard_Apr2012-1-macro_2_2 6" xfId="4861" xr:uid="{00000000-0005-0000-0000-0000EB030000}"/>
    <cellStyle name="%_Project Progress_HU Risk dashboard_Apr2012-1-macro_2_2 7" xfId="3662" xr:uid="{00000000-0005-0000-0000-0000EC030000}"/>
    <cellStyle name="%_Project Progress_HU Risk dashboard_Apr2012-1-macro_2_2_BusinessExcellenceDashboard_OCt2012_MS HU-ERased" xfId="250" xr:uid="{00000000-0005-0000-0000-0000ED030000}"/>
    <cellStyle name="%_Project Progress_HU Risk dashboard_Apr2012-1-macro_2_Business Excellence Dashboard-Aug2012-ERP HU (OracleApps)" xfId="251" xr:uid="{00000000-0005-0000-0000-0000EE030000}"/>
    <cellStyle name="%_Project Progress_HU Risk dashboard_Apr2012-1-macro_2_Business Excellence Dashboard-Aug2012-ERP HU (OracleApps) 2" xfId="9655" xr:uid="{00000000-0005-0000-0000-0000EF030000}"/>
    <cellStyle name="%_Project Progress_HU Risk dashboard_Apr2012-1-macro_2_Business Excellence Dashboard-Aug2012-ERP HU (OracleApps) 3" xfId="8457" xr:uid="{00000000-0005-0000-0000-0000F0030000}"/>
    <cellStyle name="%_Project Progress_HU Risk dashboard_Apr2012-1-macro_2_Business Excellence Dashboard-Aug2012-ERP HU (OracleApps) 4" xfId="7259" xr:uid="{00000000-0005-0000-0000-0000F1030000}"/>
    <cellStyle name="%_Project Progress_HU Risk dashboard_Apr2012-1-macro_2_Business Excellence Dashboard-Aug2012-ERP HU (OracleApps) 5" xfId="6061" xr:uid="{00000000-0005-0000-0000-0000F2030000}"/>
    <cellStyle name="%_Project Progress_HU Risk dashboard_Apr2012-1-macro_2_Business Excellence Dashboard-Aug2012-ERP HU (OracleApps) 6" xfId="4862" xr:uid="{00000000-0005-0000-0000-0000F3030000}"/>
    <cellStyle name="%_Project Progress_HU Risk dashboard_Apr2012-1-macro_2_Business Excellence Dashboard-Aug2012-ERP HU (OracleApps) 7" xfId="3663" xr:uid="{00000000-0005-0000-0000-0000F4030000}"/>
    <cellStyle name="%_Project Progress_HU Risk dashboard_Apr2012-1-macro_2_Business Excellence Dashboard-Aug2012-ERP HU (OracleApps)_BusinessExcellenceDashboard_OCt2012_MS HU-ERased" xfId="252" xr:uid="{00000000-0005-0000-0000-0000F5030000}"/>
    <cellStyle name="%_Project Progress_HU Risk dashboard_Apr2012-1-macro_2_Business Excellence Dashboard-Jul2012-ERP HU (OracleApps)-consolidated" xfId="253" xr:uid="{00000000-0005-0000-0000-0000F6030000}"/>
    <cellStyle name="%_Project Progress_HU Risk dashboard_Apr2012-1-macro_2_Business Excellence Dashboard-Jul2012-ERP HU (OracleApps)-consolidated 2" xfId="9656" xr:uid="{00000000-0005-0000-0000-0000F7030000}"/>
    <cellStyle name="%_Project Progress_HU Risk dashboard_Apr2012-1-macro_2_Business Excellence Dashboard-Jul2012-ERP HU (OracleApps)-consolidated 3" xfId="8458" xr:uid="{00000000-0005-0000-0000-0000F8030000}"/>
    <cellStyle name="%_Project Progress_HU Risk dashboard_Apr2012-1-macro_2_Business Excellence Dashboard-Jul2012-ERP HU (OracleApps)-consolidated 4" xfId="7260" xr:uid="{00000000-0005-0000-0000-0000F9030000}"/>
    <cellStyle name="%_Project Progress_HU Risk dashboard_Apr2012-1-macro_2_Business Excellence Dashboard-Jul2012-ERP HU (OracleApps)-consolidated 5" xfId="6062" xr:uid="{00000000-0005-0000-0000-0000FA030000}"/>
    <cellStyle name="%_Project Progress_HU Risk dashboard_Apr2012-1-macro_2_Business Excellence Dashboard-Jul2012-ERP HU (OracleApps)-consolidated 6" xfId="4863" xr:uid="{00000000-0005-0000-0000-0000FB030000}"/>
    <cellStyle name="%_Project Progress_HU Risk dashboard_Apr2012-1-macro_2_Business Excellence Dashboard-Jul2012-ERP HU (OracleApps)-consolidated 7" xfId="3664" xr:uid="{00000000-0005-0000-0000-0000FC030000}"/>
    <cellStyle name="%_Project Progress_HU Risk dashboard_Apr2012-1-macro_2_Business Excellence Dashboard-Jul2012-ERP HU (OracleApps)-consolidated_BusinessExcellenceDashboard_OCt2012_MS HU-ERased" xfId="254" xr:uid="{00000000-0005-0000-0000-0000FD030000}"/>
    <cellStyle name="%_Project Progress_HU Risk dashboard_Apr2012-1-macro_2_BusinessExcellenceDashboard_OCt2012_MS HU-ERased" xfId="255" xr:uid="{00000000-0005-0000-0000-0000FE030000}"/>
    <cellStyle name="%_Project Progress_HU Risk dashboard_Apr2012-1-macro_2_copydatamacro" xfId="256" xr:uid="{00000000-0005-0000-0000-0000FF030000}"/>
    <cellStyle name="%_Project Progress_HU Risk dashboard_Apr2012-1-macro_2_copydatamacro 2" xfId="9657" xr:uid="{00000000-0005-0000-0000-000000040000}"/>
    <cellStyle name="%_Project Progress_HU Risk dashboard_Apr2012-1-macro_2_copydatamacro 3" xfId="8459" xr:uid="{00000000-0005-0000-0000-000001040000}"/>
    <cellStyle name="%_Project Progress_HU Risk dashboard_Apr2012-1-macro_2_copydatamacro 4" xfId="7261" xr:uid="{00000000-0005-0000-0000-000002040000}"/>
    <cellStyle name="%_Project Progress_HU Risk dashboard_Apr2012-1-macro_2_copydatamacro 5" xfId="6063" xr:uid="{00000000-0005-0000-0000-000003040000}"/>
    <cellStyle name="%_Project Progress_HU Risk dashboard_Apr2012-1-macro_2_copydatamacro 6" xfId="4864" xr:uid="{00000000-0005-0000-0000-000004040000}"/>
    <cellStyle name="%_Project Progress_HU Risk dashboard_Apr2012-1-macro_2_copydatamacro 7" xfId="3665" xr:uid="{00000000-0005-0000-0000-000005040000}"/>
    <cellStyle name="%_Project Progress_HU Risk dashboard_Apr2012-1-macro_2_copydatamacro_BusinessExcellenceDashboard_OCt2012_MS HU-ERased" xfId="257" xr:uid="{00000000-0005-0000-0000-000006040000}"/>
    <cellStyle name="%_Project Progress_HU Risk dashboard_Apr2012-1-macro_Book1" xfId="258" xr:uid="{00000000-0005-0000-0000-000007040000}"/>
    <cellStyle name="%_Project Progress_HU Risk dashboard_Apr2012-1-macro_Book1 2" xfId="9658" xr:uid="{00000000-0005-0000-0000-000008040000}"/>
    <cellStyle name="%_Project Progress_HU Risk dashboard_Apr2012-1-macro_Book1 3" xfId="8460" xr:uid="{00000000-0005-0000-0000-000009040000}"/>
    <cellStyle name="%_Project Progress_HU Risk dashboard_Apr2012-1-macro_Book1 4" xfId="7262" xr:uid="{00000000-0005-0000-0000-00000A040000}"/>
    <cellStyle name="%_Project Progress_HU Risk dashboard_Apr2012-1-macro_Book1 5" xfId="6064" xr:uid="{00000000-0005-0000-0000-00000B040000}"/>
    <cellStyle name="%_Project Progress_HU Risk dashboard_Apr2012-1-macro_Book1 6" xfId="4865" xr:uid="{00000000-0005-0000-0000-00000C040000}"/>
    <cellStyle name="%_Project Progress_HU Risk dashboard_Apr2012-1-macro_Book1 7" xfId="3666" xr:uid="{00000000-0005-0000-0000-00000D040000}"/>
    <cellStyle name="%_Project Progress_HU Risk dashboard_Apr2012-1-macro_Book1_Business Excellence Dashboard-Aug2012-ERP HU (OracleApps)" xfId="259" xr:uid="{00000000-0005-0000-0000-00000E040000}"/>
    <cellStyle name="%_Project Progress_HU Risk dashboard_Apr2012-1-macro_Book1_Business Excellence Dashboard-Aug2012-ERP HU (OracleApps) 2" xfId="9659" xr:uid="{00000000-0005-0000-0000-00000F040000}"/>
    <cellStyle name="%_Project Progress_HU Risk dashboard_Apr2012-1-macro_Book1_Business Excellence Dashboard-Aug2012-ERP HU (OracleApps) 3" xfId="8461" xr:uid="{00000000-0005-0000-0000-000010040000}"/>
    <cellStyle name="%_Project Progress_HU Risk dashboard_Apr2012-1-macro_Book1_Business Excellence Dashboard-Aug2012-ERP HU (OracleApps) 4" xfId="7263" xr:uid="{00000000-0005-0000-0000-000011040000}"/>
    <cellStyle name="%_Project Progress_HU Risk dashboard_Apr2012-1-macro_Book1_Business Excellence Dashboard-Aug2012-ERP HU (OracleApps) 5" xfId="6065" xr:uid="{00000000-0005-0000-0000-000012040000}"/>
    <cellStyle name="%_Project Progress_HU Risk dashboard_Apr2012-1-macro_Book1_Business Excellence Dashboard-Aug2012-ERP HU (OracleApps) 6" xfId="4866" xr:uid="{00000000-0005-0000-0000-000013040000}"/>
    <cellStyle name="%_Project Progress_HU Risk dashboard_Apr2012-1-macro_Book1_Business Excellence Dashboard-Aug2012-ERP HU (OracleApps) 7" xfId="3667" xr:uid="{00000000-0005-0000-0000-000014040000}"/>
    <cellStyle name="%_Project Progress_HU Risk dashboard_Apr2012-1-macro_Book1_Business Excellence Dashboard-Aug2012-ERP HU (OracleApps)_BusinessExcellenceDashboard_OCt2012_MS HU-ERased" xfId="260" xr:uid="{00000000-0005-0000-0000-000015040000}"/>
    <cellStyle name="%_Project Progress_HU Risk dashboard_Apr2012-1-macro_Book1_Business Excellence Dashboard-Jul2012-ERP HU (OracleApps)-consolidated" xfId="261" xr:uid="{00000000-0005-0000-0000-000016040000}"/>
    <cellStyle name="%_Project Progress_HU Risk dashboard_Apr2012-1-macro_Book1_Business Excellence Dashboard-Jul2012-ERP HU (OracleApps)-consolidated 2" xfId="9660" xr:uid="{00000000-0005-0000-0000-000017040000}"/>
    <cellStyle name="%_Project Progress_HU Risk dashboard_Apr2012-1-macro_Book1_Business Excellence Dashboard-Jul2012-ERP HU (OracleApps)-consolidated 3" xfId="8462" xr:uid="{00000000-0005-0000-0000-000018040000}"/>
    <cellStyle name="%_Project Progress_HU Risk dashboard_Apr2012-1-macro_Book1_Business Excellence Dashboard-Jul2012-ERP HU (OracleApps)-consolidated 4" xfId="7264" xr:uid="{00000000-0005-0000-0000-000019040000}"/>
    <cellStyle name="%_Project Progress_HU Risk dashboard_Apr2012-1-macro_Book1_Business Excellence Dashboard-Jul2012-ERP HU (OracleApps)-consolidated 5" xfId="6066" xr:uid="{00000000-0005-0000-0000-00001A040000}"/>
    <cellStyle name="%_Project Progress_HU Risk dashboard_Apr2012-1-macro_Book1_Business Excellence Dashboard-Jul2012-ERP HU (OracleApps)-consolidated 6" xfId="4867" xr:uid="{00000000-0005-0000-0000-00001B040000}"/>
    <cellStyle name="%_Project Progress_HU Risk dashboard_Apr2012-1-macro_Book1_Business Excellence Dashboard-Jul2012-ERP HU (OracleApps)-consolidated 7" xfId="3668" xr:uid="{00000000-0005-0000-0000-00001C040000}"/>
    <cellStyle name="%_Project Progress_HU Risk dashboard_Apr2012-1-macro_Book1_Business Excellence Dashboard-Jul2012-ERP HU (OracleApps)-consolidated_BusinessExcellenceDashboard_OCt2012_MS HU-ERased" xfId="262" xr:uid="{00000000-0005-0000-0000-00001D040000}"/>
    <cellStyle name="%_Project Progress_HU Risk dashboard_Apr2012-1-macro_Book1_BusinessExcellenceDashboard_OCt2012_MS HU-ERased" xfId="263" xr:uid="{00000000-0005-0000-0000-00001E040000}"/>
    <cellStyle name="%_Project Progress_HU Risk dashboard_Apr2012-1-macro_Book1_copydatamacro" xfId="264" xr:uid="{00000000-0005-0000-0000-00001F040000}"/>
    <cellStyle name="%_Project Progress_HU Risk dashboard_Apr2012-1-macro_Book1_copydatamacro 2" xfId="9661" xr:uid="{00000000-0005-0000-0000-000020040000}"/>
    <cellStyle name="%_Project Progress_HU Risk dashboard_Apr2012-1-macro_Book1_copydatamacro 3" xfId="8463" xr:uid="{00000000-0005-0000-0000-000021040000}"/>
    <cellStyle name="%_Project Progress_HU Risk dashboard_Apr2012-1-macro_Book1_copydatamacro 4" xfId="7265" xr:uid="{00000000-0005-0000-0000-000022040000}"/>
    <cellStyle name="%_Project Progress_HU Risk dashboard_Apr2012-1-macro_Book1_copydatamacro 5" xfId="6067" xr:uid="{00000000-0005-0000-0000-000023040000}"/>
    <cellStyle name="%_Project Progress_HU Risk dashboard_Apr2012-1-macro_Book1_copydatamacro 6" xfId="4868" xr:uid="{00000000-0005-0000-0000-000024040000}"/>
    <cellStyle name="%_Project Progress_HU Risk dashboard_Apr2012-1-macro_Book1_copydatamacro 7" xfId="3669" xr:uid="{00000000-0005-0000-0000-000025040000}"/>
    <cellStyle name="%_Project Progress_HU Risk dashboard_Apr2012-1-macro_Book1_copydatamacro_BusinessExcellenceDashboard_OCt2012_MS HU-ERased" xfId="265" xr:uid="{00000000-0005-0000-0000-000026040000}"/>
    <cellStyle name="%_Project Progress_HU Risk dashboard_Apr2012-1-macro_Business Excellence Dashboard-Aug2012-ERP HU (OracleApps)" xfId="266" xr:uid="{00000000-0005-0000-0000-000027040000}"/>
    <cellStyle name="%_Project Progress_HU Risk dashboard_Apr2012-1-macro_Business Excellence Dashboard-Aug2012-ERP HU (OracleApps) 2" xfId="9662" xr:uid="{00000000-0005-0000-0000-000028040000}"/>
    <cellStyle name="%_Project Progress_HU Risk dashboard_Apr2012-1-macro_Business Excellence Dashboard-Aug2012-ERP HU (OracleApps) 3" xfId="8464" xr:uid="{00000000-0005-0000-0000-000029040000}"/>
    <cellStyle name="%_Project Progress_HU Risk dashboard_Apr2012-1-macro_Business Excellence Dashboard-Aug2012-ERP HU (OracleApps) 4" xfId="7266" xr:uid="{00000000-0005-0000-0000-00002A040000}"/>
    <cellStyle name="%_Project Progress_HU Risk dashboard_Apr2012-1-macro_Business Excellence Dashboard-Aug2012-ERP HU (OracleApps) 5" xfId="6068" xr:uid="{00000000-0005-0000-0000-00002B040000}"/>
    <cellStyle name="%_Project Progress_HU Risk dashboard_Apr2012-1-macro_Business Excellence Dashboard-Aug2012-ERP HU (OracleApps) 6" xfId="4869" xr:uid="{00000000-0005-0000-0000-00002C040000}"/>
    <cellStyle name="%_Project Progress_HU Risk dashboard_Apr2012-1-macro_Business Excellence Dashboard-Aug2012-ERP HU (OracleApps) 7" xfId="3670" xr:uid="{00000000-0005-0000-0000-00002D040000}"/>
    <cellStyle name="%_Project Progress_HU Risk dashboard_Apr2012-1-macro_Business Excellence Dashboard-Aug2012-ERP HU (OracleApps)_BusinessExcellenceDashboard_OCt2012_MS HU-ERased" xfId="267" xr:uid="{00000000-0005-0000-0000-00002E040000}"/>
    <cellStyle name="%_Project Progress_HU Risk dashboard_Apr2012-1-macro_Business Excellence Dashboard-Jul2012-ERP HU (OracleApps)-consolidated" xfId="268" xr:uid="{00000000-0005-0000-0000-00002F040000}"/>
    <cellStyle name="%_Project Progress_HU Risk dashboard_Apr2012-1-macro_Business Excellence Dashboard-Jul2012-ERP HU (OracleApps)-consolidated 2" xfId="9663" xr:uid="{00000000-0005-0000-0000-000030040000}"/>
    <cellStyle name="%_Project Progress_HU Risk dashboard_Apr2012-1-macro_Business Excellence Dashboard-Jul2012-ERP HU (OracleApps)-consolidated 3" xfId="8465" xr:uid="{00000000-0005-0000-0000-000031040000}"/>
    <cellStyle name="%_Project Progress_HU Risk dashboard_Apr2012-1-macro_Business Excellence Dashboard-Jul2012-ERP HU (OracleApps)-consolidated 4" xfId="7267" xr:uid="{00000000-0005-0000-0000-000032040000}"/>
    <cellStyle name="%_Project Progress_HU Risk dashboard_Apr2012-1-macro_Business Excellence Dashboard-Jul2012-ERP HU (OracleApps)-consolidated 5" xfId="6069" xr:uid="{00000000-0005-0000-0000-000033040000}"/>
    <cellStyle name="%_Project Progress_HU Risk dashboard_Apr2012-1-macro_Business Excellence Dashboard-Jul2012-ERP HU (OracleApps)-consolidated 6" xfId="4870" xr:uid="{00000000-0005-0000-0000-000034040000}"/>
    <cellStyle name="%_Project Progress_HU Risk dashboard_Apr2012-1-macro_Business Excellence Dashboard-Jul2012-ERP HU (OracleApps)-consolidated 7" xfId="3671" xr:uid="{00000000-0005-0000-0000-000035040000}"/>
    <cellStyle name="%_Project Progress_HU Risk dashboard_Apr2012-1-macro_Business Excellence Dashboard-Jul2012-ERP HU (OracleApps)-consolidated_BusinessExcellenceDashboard_OCt2012_MS HU-ERased" xfId="269" xr:uid="{00000000-0005-0000-0000-000036040000}"/>
    <cellStyle name="%_Project Progress_HU Risk dashboard_Apr2012-1-macro_BusinessExcellenceDashboard_OCt2012_MS HU-ERased" xfId="270" xr:uid="{00000000-0005-0000-0000-000037040000}"/>
    <cellStyle name="%_Project Progress_HU Risk dashboard_Apr2012-1-macro_copydatamacro" xfId="271" xr:uid="{00000000-0005-0000-0000-000038040000}"/>
    <cellStyle name="%_Project Progress_HU Risk dashboard_Apr2012-1-macro_copydatamacro 2" xfId="9664" xr:uid="{00000000-0005-0000-0000-000039040000}"/>
    <cellStyle name="%_Project Progress_HU Risk dashboard_Apr2012-1-macro_copydatamacro 3" xfId="8466" xr:uid="{00000000-0005-0000-0000-00003A040000}"/>
    <cellStyle name="%_Project Progress_HU Risk dashboard_Apr2012-1-macro_copydatamacro 4" xfId="7268" xr:uid="{00000000-0005-0000-0000-00003B040000}"/>
    <cellStyle name="%_Project Progress_HU Risk dashboard_Apr2012-1-macro_copydatamacro 5" xfId="6070" xr:uid="{00000000-0005-0000-0000-00003C040000}"/>
    <cellStyle name="%_Project Progress_HU Risk dashboard_Apr2012-1-macro_copydatamacro 6" xfId="4871" xr:uid="{00000000-0005-0000-0000-00003D040000}"/>
    <cellStyle name="%_Project Progress_HU Risk dashboard_Apr2012-1-macro_copydatamacro 7" xfId="3672" xr:uid="{00000000-0005-0000-0000-00003E040000}"/>
    <cellStyle name="%_Project Progress_HU Risk dashboard_Apr2012-1-macro_copydatamacro_BusinessExcellenceDashboard_OCt2012_MS HU-ERased" xfId="272" xr:uid="{00000000-0005-0000-0000-00003F040000}"/>
    <cellStyle name="%_Project Progress_HU Risk dashboard_Apr2012-1-macro_MSHU_BusinessExcellenceDashboardV2.2-May2012-3" xfId="273" xr:uid="{00000000-0005-0000-0000-000040040000}"/>
    <cellStyle name="%_Project Progress_HU Risk dashboard_Apr2012-1-macro_MSHU_BusinessExcellenceDashboardV2.2-May2012-3 2" xfId="9665" xr:uid="{00000000-0005-0000-0000-000041040000}"/>
    <cellStyle name="%_Project Progress_HU Risk dashboard_Apr2012-1-macro_MSHU_BusinessExcellenceDashboardV2.2-May2012-3 3" xfId="8467" xr:uid="{00000000-0005-0000-0000-000042040000}"/>
    <cellStyle name="%_Project Progress_HU Risk dashboard_Apr2012-1-macro_MSHU_BusinessExcellenceDashboardV2.2-May2012-3 4" xfId="7269" xr:uid="{00000000-0005-0000-0000-000043040000}"/>
    <cellStyle name="%_Project Progress_HU Risk dashboard_Apr2012-1-macro_MSHU_BusinessExcellenceDashboardV2.2-May2012-3 5" xfId="6071" xr:uid="{00000000-0005-0000-0000-000044040000}"/>
    <cellStyle name="%_Project Progress_HU Risk dashboard_Apr2012-1-macro_MSHU_BusinessExcellenceDashboardV2.2-May2012-3 6" xfId="4872" xr:uid="{00000000-0005-0000-0000-000045040000}"/>
    <cellStyle name="%_Project Progress_HU Risk dashboard_Apr2012-1-macro_MSHU_BusinessExcellenceDashboardV2.2-May2012-3 7" xfId="3673" xr:uid="{00000000-0005-0000-0000-000046040000}"/>
    <cellStyle name="%_Project Progress_HU Risk dashboard_Apr2012-1-macro_MSHU_BusinessExcellenceDashboardV2.2-May2012-3_Business Excellence Dashboard-Aug2012-ERP HU (OracleApps)" xfId="274" xr:uid="{00000000-0005-0000-0000-000047040000}"/>
    <cellStyle name="%_Project Progress_HU Risk dashboard_Apr2012-1-macro_MSHU_BusinessExcellenceDashboardV2.2-May2012-3_Business Excellence Dashboard-Aug2012-ERP HU (OracleApps) 2" xfId="9666" xr:uid="{00000000-0005-0000-0000-000048040000}"/>
    <cellStyle name="%_Project Progress_HU Risk dashboard_Apr2012-1-macro_MSHU_BusinessExcellenceDashboardV2.2-May2012-3_Business Excellence Dashboard-Aug2012-ERP HU (OracleApps) 3" xfId="8468" xr:uid="{00000000-0005-0000-0000-000049040000}"/>
    <cellStyle name="%_Project Progress_HU Risk dashboard_Apr2012-1-macro_MSHU_BusinessExcellenceDashboardV2.2-May2012-3_Business Excellence Dashboard-Aug2012-ERP HU (OracleApps) 4" xfId="7270" xr:uid="{00000000-0005-0000-0000-00004A040000}"/>
    <cellStyle name="%_Project Progress_HU Risk dashboard_Apr2012-1-macro_MSHU_BusinessExcellenceDashboardV2.2-May2012-3_Business Excellence Dashboard-Aug2012-ERP HU (OracleApps) 5" xfId="6072" xr:uid="{00000000-0005-0000-0000-00004B040000}"/>
    <cellStyle name="%_Project Progress_HU Risk dashboard_Apr2012-1-macro_MSHU_BusinessExcellenceDashboardV2.2-May2012-3_Business Excellence Dashboard-Aug2012-ERP HU (OracleApps) 6" xfId="4873" xr:uid="{00000000-0005-0000-0000-00004C040000}"/>
    <cellStyle name="%_Project Progress_HU Risk dashboard_Apr2012-1-macro_MSHU_BusinessExcellenceDashboardV2.2-May2012-3_Business Excellence Dashboard-Aug2012-ERP HU (OracleApps) 7" xfId="3674" xr:uid="{00000000-0005-0000-0000-00004D040000}"/>
    <cellStyle name="%_Project Progress_HU Risk dashboard_Apr2012-1-macro_MSHU_BusinessExcellenceDashboardV2.2-May2012-3_Business Excellence Dashboard-Aug2012-ERP HU (OracleApps)_BusinessExcellenceDashboard_OCt2012_MS HU-ERased" xfId="275" xr:uid="{00000000-0005-0000-0000-00004E040000}"/>
    <cellStyle name="%_Project Progress_HU Risk dashboard_Apr2012-1-macro_MSHU_BusinessExcellenceDashboardV2.2-May2012-3_Business Excellence Dashboard-Jul2012-ERP HU (OracleApps)-consolidated" xfId="276" xr:uid="{00000000-0005-0000-0000-00004F040000}"/>
    <cellStyle name="%_Project Progress_HU Risk dashboard_Apr2012-1-macro_MSHU_BusinessExcellenceDashboardV2.2-May2012-3_Business Excellence Dashboard-Jul2012-ERP HU (OracleApps)-consolidated 2" xfId="9667" xr:uid="{00000000-0005-0000-0000-000050040000}"/>
    <cellStyle name="%_Project Progress_HU Risk dashboard_Apr2012-1-macro_MSHU_BusinessExcellenceDashboardV2.2-May2012-3_Business Excellence Dashboard-Jul2012-ERP HU (OracleApps)-consolidated 3" xfId="8469" xr:uid="{00000000-0005-0000-0000-000051040000}"/>
    <cellStyle name="%_Project Progress_HU Risk dashboard_Apr2012-1-macro_MSHU_BusinessExcellenceDashboardV2.2-May2012-3_Business Excellence Dashboard-Jul2012-ERP HU (OracleApps)-consolidated 4" xfId="7271" xr:uid="{00000000-0005-0000-0000-000052040000}"/>
    <cellStyle name="%_Project Progress_HU Risk dashboard_Apr2012-1-macro_MSHU_BusinessExcellenceDashboardV2.2-May2012-3_Business Excellence Dashboard-Jul2012-ERP HU (OracleApps)-consolidated 5" xfId="6073" xr:uid="{00000000-0005-0000-0000-000053040000}"/>
    <cellStyle name="%_Project Progress_HU Risk dashboard_Apr2012-1-macro_MSHU_BusinessExcellenceDashboardV2.2-May2012-3_Business Excellence Dashboard-Jul2012-ERP HU (OracleApps)-consolidated 6" xfId="4874" xr:uid="{00000000-0005-0000-0000-000054040000}"/>
    <cellStyle name="%_Project Progress_HU Risk dashboard_Apr2012-1-macro_MSHU_BusinessExcellenceDashboardV2.2-May2012-3_Business Excellence Dashboard-Jul2012-ERP HU (OracleApps)-consolidated 7" xfId="3675" xr:uid="{00000000-0005-0000-0000-000055040000}"/>
    <cellStyle name="%_Project Progress_HU Risk dashboard_Apr2012-1-macro_MSHU_BusinessExcellenceDashboardV2.2-May2012-3_Business Excellence Dashboard-Jul2012-ERP HU (OracleApps)-consolidated_BusinessExcellenceDashboard_OCt2012_MS HU-ERased" xfId="277" xr:uid="{00000000-0005-0000-0000-000056040000}"/>
    <cellStyle name="%_Project Progress_HU Risk dashboard_Apr2012-1-macro_MSHU_BusinessExcellenceDashboardV2.2-May2012-3_BusinessExcellenceDashboard_OCt2012_MS HU-ERased" xfId="278" xr:uid="{00000000-0005-0000-0000-000057040000}"/>
    <cellStyle name="%_Project Progress_HU Risk dashboard_Apr2012-1-macro_MSHU_BusinessExcellenceDashboardV2.2-May2012-3_copydatamacro" xfId="279" xr:uid="{00000000-0005-0000-0000-000058040000}"/>
    <cellStyle name="%_Project Progress_HU Risk dashboard_Apr2012-1-macro_MSHU_BusinessExcellenceDashboardV2.2-May2012-3_copydatamacro 2" xfId="9668" xr:uid="{00000000-0005-0000-0000-000059040000}"/>
    <cellStyle name="%_Project Progress_HU Risk dashboard_Apr2012-1-macro_MSHU_BusinessExcellenceDashboardV2.2-May2012-3_copydatamacro 3" xfId="8470" xr:uid="{00000000-0005-0000-0000-00005A040000}"/>
    <cellStyle name="%_Project Progress_HU Risk dashboard_Apr2012-1-macro_MSHU_BusinessExcellenceDashboardV2.2-May2012-3_copydatamacro 4" xfId="7272" xr:uid="{00000000-0005-0000-0000-00005B040000}"/>
    <cellStyle name="%_Project Progress_HU Risk dashboard_Apr2012-1-macro_MSHU_BusinessExcellenceDashboardV2.2-May2012-3_copydatamacro 5" xfId="6074" xr:uid="{00000000-0005-0000-0000-00005C040000}"/>
    <cellStyle name="%_Project Progress_HU Risk dashboard_Apr2012-1-macro_MSHU_BusinessExcellenceDashboardV2.2-May2012-3_copydatamacro 6" xfId="4875" xr:uid="{00000000-0005-0000-0000-00005D040000}"/>
    <cellStyle name="%_Project Progress_HU Risk dashboard_Apr2012-1-macro_MSHU_BusinessExcellenceDashboardV2.2-May2012-3_copydatamacro 7" xfId="3676" xr:uid="{00000000-0005-0000-0000-00005E040000}"/>
    <cellStyle name="%_Project Progress_HU Risk dashboard_Apr2012-1-macro_MSHU_BusinessExcellenceDashboardV2.2-May2012-3_copydatamacro_BusinessExcellenceDashboard_OCt2012_MS HU-ERased" xfId="280" xr:uid="{00000000-0005-0000-0000-00005F040000}"/>
    <cellStyle name="%_Project Progress_HU Risk dashboard_Apr2012-1-macro-7MAY2012-1" xfId="281" xr:uid="{00000000-0005-0000-0000-000060040000}"/>
    <cellStyle name="%_Project Progress_HU Risk dashboard_Apr2012-1-macro-7MAY2012-1 2" xfId="9669" xr:uid="{00000000-0005-0000-0000-000061040000}"/>
    <cellStyle name="%_Project Progress_HU Risk dashboard_Apr2012-1-macro-7MAY2012-1 3" xfId="8471" xr:uid="{00000000-0005-0000-0000-000062040000}"/>
    <cellStyle name="%_Project Progress_HU Risk dashboard_Apr2012-1-macro-7MAY2012-1 4" xfId="7273" xr:uid="{00000000-0005-0000-0000-000063040000}"/>
    <cellStyle name="%_Project Progress_HU Risk dashboard_Apr2012-1-macro-7MAY2012-1 5" xfId="6075" xr:uid="{00000000-0005-0000-0000-000064040000}"/>
    <cellStyle name="%_Project Progress_HU Risk dashboard_Apr2012-1-macro-7MAY2012-1 6" xfId="4876" xr:uid="{00000000-0005-0000-0000-000065040000}"/>
    <cellStyle name="%_Project Progress_HU Risk dashboard_Apr2012-1-macro-7MAY2012-1 7" xfId="3677" xr:uid="{00000000-0005-0000-0000-000066040000}"/>
    <cellStyle name="%_Project Progress_HU Risk dashboard_Apr2012-1-macro-7MAY2012-1_2" xfId="282" xr:uid="{00000000-0005-0000-0000-000067040000}"/>
    <cellStyle name="%_Project Progress_HU Risk dashboard_Apr2012-1-macro-7MAY2012-1_2 2" xfId="9670" xr:uid="{00000000-0005-0000-0000-000068040000}"/>
    <cellStyle name="%_Project Progress_HU Risk dashboard_Apr2012-1-macro-7MAY2012-1_2 3" xfId="8472" xr:uid="{00000000-0005-0000-0000-000069040000}"/>
    <cellStyle name="%_Project Progress_HU Risk dashboard_Apr2012-1-macro-7MAY2012-1_2 4" xfId="7274" xr:uid="{00000000-0005-0000-0000-00006A040000}"/>
    <cellStyle name="%_Project Progress_HU Risk dashboard_Apr2012-1-macro-7MAY2012-1_2 5" xfId="6076" xr:uid="{00000000-0005-0000-0000-00006B040000}"/>
    <cellStyle name="%_Project Progress_HU Risk dashboard_Apr2012-1-macro-7MAY2012-1_2 6" xfId="4877" xr:uid="{00000000-0005-0000-0000-00006C040000}"/>
    <cellStyle name="%_Project Progress_HU Risk dashboard_Apr2012-1-macro-7MAY2012-1_2 7" xfId="3678" xr:uid="{00000000-0005-0000-0000-00006D040000}"/>
    <cellStyle name="%_Project Progress_HU Risk dashboard_Apr2012-1-macro-7MAY2012-1_2_1" xfId="283" xr:uid="{00000000-0005-0000-0000-00006E040000}"/>
    <cellStyle name="%_Project Progress_HU Risk dashboard_Apr2012-1-macro-7MAY2012-1_2_1 2" xfId="9671" xr:uid="{00000000-0005-0000-0000-00006F040000}"/>
    <cellStyle name="%_Project Progress_HU Risk dashboard_Apr2012-1-macro-7MAY2012-1_2_1 3" xfId="8473" xr:uid="{00000000-0005-0000-0000-000070040000}"/>
    <cellStyle name="%_Project Progress_HU Risk dashboard_Apr2012-1-macro-7MAY2012-1_2_1 4" xfId="7275" xr:uid="{00000000-0005-0000-0000-000071040000}"/>
    <cellStyle name="%_Project Progress_HU Risk dashboard_Apr2012-1-macro-7MAY2012-1_2_1 5" xfId="6077" xr:uid="{00000000-0005-0000-0000-000072040000}"/>
    <cellStyle name="%_Project Progress_HU Risk dashboard_Apr2012-1-macro-7MAY2012-1_2_1 6" xfId="4878" xr:uid="{00000000-0005-0000-0000-000073040000}"/>
    <cellStyle name="%_Project Progress_HU Risk dashboard_Apr2012-1-macro-7MAY2012-1_2_1 7" xfId="3679" xr:uid="{00000000-0005-0000-0000-000074040000}"/>
    <cellStyle name="%_Project Progress_HU Risk dashboard_Apr2012-1-macro-7MAY2012-1_2_1_Business Excellence Dashboard-Aug2012-ERP HU (OracleApps)" xfId="284" xr:uid="{00000000-0005-0000-0000-000075040000}"/>
    <cellStyle name="%_Project Progress_HU Risk dashboard_Apr2012-1-macro-7MAY2012-1_2_1_Business Excellence Dashboard-Aug2012-ERP HU (OracleApps) 2" xfId="9672" xr:uid="{00000000-0005-0000-0000-000076040000}"/>
    <cellStyle name="%_Project Progress_HU Risk dashboard_Apr2012-1-macro-7MAY2012-1_2_1_Business Excellence Dashboard-Aug2012-ERP HU (OracleApps) 3" xfId="8474" xr:uid="{00000000-0005-0000-0000-000077040000}"/>
    <cellStyle name="%_Project Progress_HU Risk dashboard_Apr2012-1-macro-7MAY2012-1_2_1_Business Excellence Dashboard-Aug2012-ERP HU (OracleApps) 4" xfId="7276" xr:uid="{00000000-0005-0000-0000-000078040000}"/>
    <cellStyle name="%_Project Progress_HU Risk dashboard_Apr2012-1-macro-7MAY2012-1_2_1_Business Excellence Dashboard-Aug2012-ERP HU (OracleApps) 5" xfId="6078" xr:uid="{00000000-0005-0000-0000-000079040000}"/>
    <cellStyle name="%_Project Progress_HU Risk dashboard_Apr2012-1-macro-7MAY2012-1_2_1_Business Excellence Dashboard-Aug2012-ERP HU (OracleApps) 6" xfId="4879" xr:uid="{00000000-0005-0000-0000-00007A040000}"/>
    <cellStyle name="%_Project Progress_HU Risk dashboard_Apr2012-1-macro-7MAY2012-1_2_1_Business Excellence Dashboard-Aug2012-ERP HU (OracleApps) 7" xfId="3680" xr:uid="{00000000-0005-0000-0000-00007B040000}"/>
    <cellStyle name="%_Project Progress_HU Risk dashboard_Apr2012-1-macro-7MAY2012-1_2_1_Business Excellence Dashboard-Aug2012-ERP HU (OracleApps)_BusinessExcellenceDashboard_OCt2012_MS HU-ERased" xfId="285" xr:uid="{00000000-0005-0000-0000-00007C040000}"/>
    <cellStyle name="%_Project Progress_HU Risk dashboard_Apr2012-1-macro-7MAY2012-1_2_1_BusinessExcellenceDashboard_OCt2012_MS HU-ERased" xfId="286" xr:uid="{00000000-0005-0000-0000-00007D040000}"/>
    <cellStyle name="%_Project Progress_HU Risk dashboard_Apr2012-1-macro-7MAY2012-1_2_2" xfId="287" xr:uid="{00000000-0005-0000-0000-00007E040000}"/>
    <cellStyle name="%_Project Progress_HU Risk dashboard_Apr2012-1-macro-7MAY2012-1_2_2 2" xfId="9673" xr:uid="{00000000-0005-0000-0000-00007F040000}"/>
    <cellStyle name="%_Project Progress_HU Risk dashboard_Apr2012-1-macro-7MAY2012-1_2_2 3" xfId="8475" xr:uid="{00000000-0005-0000-0000-000080040000}"/>
    <cellStyle name="%_Project Progress_HU Risk dashboard_Apr2012-1-macro-7MAY2012-1_2_2 4" xfId="7277" xr:uid="{00000000-0005-0000-0000-000081040000}"/>
    <cellStyle name="%_Project Progress_HU Risk dashboard_Apr2012-1-macro-7MAY2012-1_2_2 5" xfId="6079" xr:uid="{00000000-0005-0000-0000-000082040000}"/>
    <cellStyle name="%_Project Progress_HU Risk dashboard_Apr2012-1-macro-7MAY2012-1_2_2 6" xfId="4880" xr:uid="{00000000-0005-0000-0000-000083040000}"/>
    <cellStyle name="%_Project Progress_HU Risk dashboard_Apr2012-1-macro-7MAY2012-1_2_2 7" xfId="3681" xr:uid="{00000000-0005-0000-0000-000084040000}"/>
    <cellStyle name="%_Project Progress_HU Risk dashboard_Apr2012-1-macro-7MAY2012-1_2_2_BusinessExcellenceDashboard_OCt2012_MS HU-ERased" xfId="288" xr:uid="{00000000-0005-0000-0000-000085040000}"/>
    <cellStyle name="%_Project Progress_HU Risk dashboard_Apr2012-1-macro-7MAY2012-1_2_Business Excellence Dashboard-Aug2012-ERP HU (OracleApps)" xfId="289" xr:uid="{00000000-0005-0000-0000-000086040000}"/>
    <cellStyle name="%_Project Progress_HU Risk dashboard_Apr2012-1-macro-7MAY2012-1_2_Business Excellence Dashboard-Aug2012-ERP HU (OracleApps) 2" xfId="9674" xr:uid="{00000000-0005-0000-0000-000087040000}"/>
    <cellStyle name="%_Project Progress_HU Risk dashboard_Apr2012-1-macro-7MAY2012-1_2_Business Excellence Dashboard-Aug2012-ERP HU (OracleApps) 3" xfId="8476" xr:uid="{00000000-0005-0000-0000-000088040000}"/>
    <cellStyle name="%_Project Progress_HU Risk dashboard_Apr2012-1-macro-7MAY2012-1_2_Business Excellence Dashboard-Aug2012-ERP HU (OracleApps) 4" xfId="7278" xr:uid="{00000000-0005-0000-0000-000089040000}"/>
    <cellStyle name="%_Project Progress_HU Risk dashboard_Apr2012-1-macro-7MAY2012-1_2_Business Excellence Dashboard-Aug2012-ERP HU (OracleApps) 5" xfId="6080" xr:uid="{00000000-0005-0000-0000-00008A040000}"/>
    <cellStyle name="%_Project Progress_HU Risk dashboard_Apr2012-1-macro-7MAY2012-1_2_Business Excellence Dashboard-Aug2012-ERP HU (OracleApps) 6" xfId="4881" xr:uid="{00000000-0005-0000-0000-00008B040000}"/>
    <cellStyle name="%_Project Progress_HU Risk dashboard_Apr2012-1-macro-7MAY2012-1_2_Business Excellence Dashboard-Aug2012-ERP HU (OracleApps) 7" xfId="3682" xr:uid="{00000000-0005-0000-0000-00008C040000}"/>
    <cellStyle name="%_Project Progress_HU Risk dashboard_Apr2012-1-macro-7MAY2012-1_2_Business Excellence Dashboard-Aug2012-ERP HU (OracleApps)_BusinessExcellenceDashboard_OCt2012_MS HU-ERased" xfId="290" xr:uid="{00000000-0005-0000-0000-00008D040000}"/>
    <cellStyle name="%_Project Progress_HU Risk dashboard_Apr2012-1-macro-7MAY2012-1_2_Business Excellence Dashboard-Jul2012-ERP HU (OracleApps)-consolidated" xfId="291" xr:uid="{00000000-0005-0000-0000-00008E040000}"/>
    <cellStyle name="%_Project Progress_HU Risk dashboard_Apr2012-1-macro-7MAY2012-1_2_Business Excellence Dashboard-Jul2012-ERP HU (OracleApps)-consolidated 2" xfId="9675" xr:uid="{00000000-0005-0000-0000-00008F040000}"/>
    <cellStyle name="%_Project Progress_HU Risk dashboard_Apr2012-1-macro-7MAY2012-1_2_Business Excellence Dashboard-Jul2012-ERP HU (OracleApps)-consolidated 3" xfId="8477" xr:uid="{00000000-0005-0000-0000-000090040000}"/>
    <cellStyle name="%_Project Progress_HU Risk dashboard_Apr2012-1-macro-7MAY2012-1_2_Business Excellence Dashboard-Jul2012-ERP HU (OracleApps)-consolidated 4" xfId="7279" xr:uid="{00000000-0005-0000-0000-000091040000}"/>
    <cellStyle name="%_Project Progress_HU Risk dashboard_Apr2012-1-macro-7MAY2012-1_2_Business Excellence Dashboard-Jul2012-ERP HU (OracleApps)-consolidated 5" xfId="6081" xr:uid="{00000000-0005-0000-0000-000092040000}"/>
    <cellStyle name="%_Project Progress_HU Risk dashboard_Apr2012-1-macro-7MAY2012-1_2_Business Excellence Dashboard-Jul2012-ERP HU (OracleApps)-consolidated 6" xfId="4882" xr:uid="{00000000-0005-0000-0000-000093040000}"/>
    <cellStyle name="%_Project Progress_HU Risk dashboard_Apr2012-1-macro-7MAY2012-1_2_Business Excellence Dashboard-Jul2012-ERP HU (OracleApps)-consolidated 7" xfId="3683" xr:uid="{00000000-0005-0000-0000-000094040000}"/>
    <cellStyle name="%_Project Progress_HU Risk dashboard_Apr2012-1-macro-7MAY2012-1_2_Business Excellence Dashboard-Jul2012-ERP HU (OracleApps)-consolidated_BusinessExcellenceDashboard_OCt2012_MS HU-ERased" xfId="292" xr:uid="{00000000-0005-0000-0000-000095040000}"/>
    <cellStyle name="%_Project Progress_HU Risk dashboard_Apr2012-1-macro-7MAY2012-1_2_BusinessExcellenceDashboard_OCt2012_MS HU-ERased" xfId="293" xr:uid="{00000000-0005-0000-0000-000096040000}"/>
    <cellStyle name="%_Project Progress_HU Risk dashboard_Apr2012-1-macro-7MAY2012-1_2_copydatamacro" xfId="294" xr:uid="{00000000-0005-0000-0000-000097040000}"/>
    <cellStyle name="%_Project Progress_HU Risk dashboard_Apr2012-1-macro-7MAY2012-1_2_copydatamacro 2" xfId="9676" xr:uid="{00000000-0005-0000-0000-000098040000}"/>
    <cellStyle name="%_Project Progress_HU Risk dashboard_Apr2012-1-macro-7MAY2012-1_2_copydatamacro 3" xfId="8478" xr:uid="{00000000-0005-0000-0000-000099040000}"/>
    <cellStyle name="%_Project Progress_HU Risk dashboard_Apr2012-1-macro-7MAY2012-1_2_copydatamacro 4" xfId="7280" xr:uid="{00000000-0005-0000-0000-00009A040000}"/>
    <cellStyle name="%_Project Progress_HU Risk dashboard_Apr2012-1-macro-7MAY2012-1_2_copydatamacro 5" xfId="6082" xr:uid="{00000000-0005-0000-0000-00009B040000}"/>
    <cellStyle name="%_Project Progress_HU Risk dashboard_Apr2012-1-macro-7MAY2012-1_2_copydatamacro 6" xfId="4883" xr:uid="{00000000-0005-0000-0000-00009C040000}"/>
    <cellStyle name="%_Project Progress_HU Risk dashboard_Apr2012-1-macro-7MAY2012-1_2_copydatamacro 7" xfId="3684" xr:uid="{00000000-0005-0000-0000-00009D040000}"/>
    <cellStyle name="%_Project Progress_HU Risk dashboard_Apr2012-1-macro-7MAY2012-1_2_copydatamacro_BusinessExcellenceDashboard_OCt2012_MS HU-ERased" xfId="295" xr:uid="{00000000-0005-0000-0000-00009E040000}"/>
    <cellStyle name="%_Project Progress_HU Risk dashboard_Apr2012-1-macro-7MAY2012-1_Book1" xfId="296" xr:uid="{00000000-0005-0000-0000-00009F040000}"/>
    <cellStyle name="%_Project Progress_HU Risk dashboard_Apr2012-1-macro-7MAY2012-1_Book1 2" xfId="9677" xr:uid="{00000000-0005-0000-0000-0000A0040000}"/>
    <cellStyle name="%_Project Progress_HU Risk dashboard_Apr2012-1-macro-7MAY2012-1_Book1 3" xfId="8479" xr:uid="{00000000-0005-0000-0000-0000A1040000}"/>
    <cellStyle name="%_Project Progress_HU Risk dashboard_Apr2012-1-macro-7MAY2012-1_Book1 4" xfId="7281" xr:uid="{00000000-0005-0000-0000-0000A2040000}"/>
    <cellStyle name="%_Project Progress_HU Risk dashboard_Apr2012-1-macro-7MAY2012-1_Book1 5" xfId="6083" xr:uid="{00000000-0005-0000-0000-0000A3040000}"/>
    <cellStyle name="%_Project Progress_HU Risk dashboard_Apr2012-1-macro-7MAY2012-1_Book1 6" xfId="4884" xr:uid="{00000000-0005-0000-0000-0000A4040000}"/>
    <cellStyle name="%_Project Progress_HU Risk dashboard_Apr2012-1-macro-7MAY2012-1_Book1 7" xfId="3685" xr:uid="{00000000-0005-0000-0000-0000A5040000}"/>
    <cellStyle name="%_Project Progress_HU Risk dashboard_Apr2012-1-macro-7MAY2012-1_Book1_Business Excellence Dashboard-Aug2012-ERP HU (OracleApps)" xfId="297" xr:uid="{00000000-0005-0000-0000-0000A6040000}"/>
    <cellStyle name="%_Project Progress_HU Risk dashboard_Apr2012-1-macro-7MAY2012-1_Book1_Business Excellence Dashboard-Aug2012-ERP HU (OracleApps) 2" xfId="9678" xr:uid="{00000000-0005-0000-0000-0000A7040000}"/>
    <cellStyle name="%_Project Progress_HU Risk dashboard_Apr2012-1-macro-7MAY2012-1_Book1_Business Excellence Dashboard-Aug2012-ERP HU (OracleApps) 3" xfId="8480" xr:uid="{00000000-0005-0000-0000-0000A8040000}"/>
    <cellStyle name="%_Project Progress_HU Risk dashboard_Apr2012-1-macro-7MAY2012-1_Book1_Business Excellence Dashboard-Aug2012-ERP HU (OracleApps) 4" xfId="7282" xr:uid="{00000000-0005-0000-0000-0000A9040000}"/>
    <cellStyle name="%_Project Progress_HU Risk dashboard_Apr2012-1-macro-7MAY2012-1_Book1_Business Excellence Dashboard-Aug2012-ERP HU (OracleApps) 5" xfId="6084" xr:uid="{00000000-0005-0000-0000-0000AA040000}"/>
    <cellStyle name="%_Project Progress_HU Risk dashboard_Apr2012-1-macro-7MAY2012-1_Book1_Business Excellence Dashboard-Aug2012-ERP HU (OracleApps) 6" xfId="4885" xr:uid="{00000000-0005-0000-0000-0000AB040000}"/>
    <cellStyle name="%_Project Progress_HU Risk dashboard_Apr2012-1-macro-7MAY2012-1_Book1_Business Excellence Dashboard-Aug2012-ERP HU (OracleApps) 7" xfId="3686" xr:uid="{00000000-0005-0000-0000-0000AC040000}"/>
    <cellStyle name="%_Project Progress_HU Risk dashboard_Apr2012-1-macro-7MAY2012-1_Book1_Business Excellence Dashboard-Aug2012-ERP HU (OracleApps)_BusinessExcellenceDashboard_OCt2012_MS HU-ERased" xfId="298" xr:uid="{00000000-0005-0000-0000-0000AD040000}"/>
    <cellStyle name="%_Project Progress_HU Risk dashboard_Apr2012-1-macro-7MAY2012-1_Book1_Business Excellence Dashboard-Jul2012-ERP HU (OracleApps)-consolidated" xfId="299" xr:uid="{00000000-0005-0000-0000-0000AE040000}"/>
    <cellStyle name="%_Project Progress_HU Risk dashboard_Apr2012-1-macro-7MAY2012-1_Book1_Business Excellence Dashboard-Jul2012-ERP HU (OracleApps)-consolidated 2" xfId="9679" xr:uid="{00000000-0005-0000-0000-0000AF040000}"/>
    <cellStyle name="%_Project Progress_HU Risk dashboard_Apr2012-1-macro-7MAY2012-1_Book1_Business Excellence Dashboard-Jul2012-ERP HU (OracleApps)-consolidated 3" xfId="8481" xr:uid="{00000000-0005-0000-0000-0000B0040000}"/>
    <cellStyle name="%_Project Progress_HU Risk dashboard_Apr2012-1-macro-7MAY2012-1_Book1_Business Excellence Dashboard-Jul2012-ERP HU (OracleApps)-consolidated 4" xfId="7283" xr:uid="{00000000-0005-0000-0000-0000B1040000}"/>
    <cellStyle name="%_Project Progress_HU Risk dashboard_Apr2012-1-macro-7MAY2012-1_Book1_Business Excellence Dashboard-Jul2012-ERP HU (OracleApps)-consolidated 5" xfId="6085" xr:uid="{00000000-0005-0000-0000-0000B2040000}"/>
    <cellStyle name="%_Project Progress_HU Risk dashboard_Apr2012-1-macro-7MAY2012-1_Book1_Business Excellence Dashboard-Jul2012-ERP HU (OracleApps)-consolidated 6" xfId="4886" xr:uid="{00000000-0005-0000-0000-0000B3040000}"/>
    <cellStyle name="%_Project Progress_HU Risk dashboard_Apr2012-1-macro-7MAY2012-1_Book1_Business Excellence Dashboard-Jul2012-ERP HU (OracleApps)-consolidated 7" xfId="3687" xr:uid="{00000000-0005-0000-0000-0000B4040000}"/>
    <cellStyle name="%_Project Progress_HU Risk dashboard_Apr2012-1-macro-7MAY2012-1_Book1_Business Excellence Dashboard-Jul2012-ERP HU (OracleApps)-consolidated_BusinessExcellenceDashboard_OCt2012_MS HU-ERased" xfId="300" xr:uid="{00000000-0005-0000-0000-0000B5040000}"/>
    <cellStyle name="%_Project Progress_HU Risk dashboard_Apr2012-1-macro-7MAY2012-1_Book1_BusinessExcellenceDashboard_OCt2012_MS HU-ERased" xfId="301" xr:uid="{00000000-0005-0000-0000-0000B6040000}"/>
    <cellStyle name="%_Project Progress_HU Risk dashboard_Apr2012-1-macro-7MAY2012-1_Book1_copydatamacro" xfId="302" xr:uid="{00000000-0005-0000-0000-0000B7040000}"/>
    <cellStyle name="%_Project Progress_HU Risk dashboard_Apr2012-1-macro-7MAY2012-1_Book1_copydatamacro 2" xfId="9680" xr:uid="{00000000-0005-0000-0000-0000B8040000}"/>
    <cellStyle name="%_Project Progress_HU Risk dashboard_Apr2012-1-macro-7MAY2012-1_Book1_copydatamacro 3" xfId="8482" xr:uid="{00000000-0005-0000-0000-0000B9040000}"/>
    <cellStyle name="%_Project Progress_HU Risk dashboard_Apr2012-1-macro-7MAY2012-1_Book1_copydatamacro 4" xfId="7284" xr:uid="{00000000-0005-0000-0000-0000BA040000}"/>
    <cellStyle name="%_Project Progress_HU Risk dashboard_Apr2012-1-macro-7MAY2012-1_Book1_copydatamacro 5" xfId="6086" xr:uid="{00000000-0005-0000-0000-0000BB040000}"/>
    <cellStyle name="%_Project Progress_HU Risk dashboard_Apr2012-1-macro-7MAY2012-1_Book1_copydatamacro 6" xfId="4887" xr:uid="{00000000-0005-0000-0000-0000BC040000}"/>
    <cellStyle name="%_Project Progress_HU Risk dashboard_Apr2012-1-macro-7MAY2012-1_Book1_copydatamacro 7" xfId="3688" xr:uid="{00000000-0005-0000-0000-0000BD040000}"/>
    <cellStyle name="%_Project Progress_HU Risk dashboard_Apr2012-1-macro-7MAY2012-1_Book1_copydatamacro_BusinessExcellenceDashboard_OCt2012_MS HU-ERased" xfId="303" xr:uid="{00000000-0005-0000-0000-0000BE040000}"/>
    <cellStyle name="%_Project Progress_HU Risk dashboard_Apr2012-1-macro-7MAY2012-1_Business Excellence Dashboard-Aug2012-ERP HU (OracleApps)" xfId="304" xr:uid="{00000000-0005-0000-0000-0000BF040000}"/>
    <cellStyle name="%_Project Progress_HU Risk dashboard_Apr2012-1-macro-7MAY2012-1_Business Excellence Dashboard-Aug2012-ERP HU (OracleApps) 2" xfId="9681" xr:uid="{00000000-0005-0000-0000-0000C0040000}"/>
    <cellStyle name="%_Project Progress_HU Risk dashboard_Apr2012-1-macro-7MAY2012-1_Business Excellence Dashboard-Aug2012-ERP HU (OracleApps) 3" xfId="8483" xr:uid="{00000000-0005-0000-0000-0000C1040000}"/>
    <cellStyle name="%_Project Progress_HU Risk dashboard_Apr2012-1-macro-7MAY2012-1_Business Excellence Dashboard-Aug2012-ERP HU (OracleApps) 4" xfId="7285" xr:uid="{00000000-0005-0000-0000-0000C2040000}"/>
    <cellStyle name="%_Project Progress_HU Risk dashboard_Apr2012-1-macro-7MAY2012-1_Business Excellence Dashboard-Aug2012-ERP HU (OracleApps) 5" xfId="6087" xr:uid="{00000000-0005-0000-0000-0000C3040000}"/>
    <cellStyle name="%_Project Progress_HU Risk dashboard_Apr2012-1-macro-7MAY2012-1_Business Excellence Dashboard-Aug2012-ERP HU (OracleApps) 6" xfId="4888" xr:uid="{00000000-0005-0000-0000-0000C4040000}"/>
    <cellStyle name="%_Project Progress_HU Risk dashboard_Apr2012-1-macro-7MAY2012-1_Business Excellence Dashboard-Aug2012-ERP HU (OracleApps) 7" xfId="3689" xr:uid="{00000000-0005-0000-0000-0000C5040000}"/>
    <cellStyle name="%_Project Progress_HU Risk dashboard_Apr2012-1-macro-7MAY2012-1_Business Excellence Dashboard-Aug2012-ERP HU (OracleApps)_BusinessExcellenceDashboard_OCt2012_MS HU-ERased" xfId="305" xr:uid="{00000000-0005-0000-0000-0000C6040000}"/>
    <cellStyle name="%_Project Progress_HU Risk dashboard_Apr2012-1-macro-7MAY2012-1_Business Excellence Dashboard-Jul2012-ERP HU (OracleApps)-consolidated" xfId="306" xr:uid="{00000000-0005-0000-0000-0000C7040000}"/>
    <cellStyle name="%_Project Progress_HU Risk dashboard_Apr2012-1-macro-7MAY2012-1_Business Excellence Dashboard-Jul2012-ERP HU (OracleApps)-consolidated 2" xfId="9682" xr:uid="{00000000-0005-0000-0000-0000C8040000}"/>
    <cellStyle name="%_Project Progress_HU Risk dashboard_Apr2012-1-macro-7MAY2012-1_Business Excellence Dashboard-Jul2012-ERP HU (OracleApps)-consolidated 3" xfId="8484" xr:uid="{00000000-0005-0000-0000-0000C9040000}"/>
    <cellStyle name="%_Project Progress_HU Risk dashboard_Apr2012-1-macro-7MAY2012-1_Business Excellence Dashboard-Jul2012-ERP HU (OracleApps)-consolidated 4" xfId="7286" xr:uid="{00000000-0005-0000-0000-0000CA040000}"/>
    <cellStyle name="%_Project Progress_HU Risk dashboard_Apr2012-1-macro-7MAY2012-1_Business Excellence Dashboard-Jul2012-ERP HU (OracleApps)-consolidated 5" xfId="6088" xr:uid="{00000000-0005-0000-0000-0000CB040000}"/>
    <cellStyle name="%_Project Progress_HU Risk dashboard_Apr2012-1-macro-7MAY2012-1_Business Excellence Dashboard-Jul2012-ERP HU (OracleApps)-consolidated 6" xfId="4889" xr:uid="{00000000-0005-0000-0000-0000CC040000}"/>
    <cellStyle name="%_Project Progress_HU Risk dashboard_Apr2012-1-macro-7MAY2012-1_Business Excellence Dashboard-Jul2012-ERP HU (OracleApps)-consolidated 7" xfId="3690" xr:uid="{00000000-0005-0000-0000-0000CD040000}"/>
    <cellStyle name="%_Project Progress_HU Risk dashboard_Apr2012-1-macro-7MAY2012-1_Business Excellence Dashboard-Jul2012-ERP HU (OracleApps)-consolidated_BusinessExcellenceDashboard_OCt2012_MS HU-ERased" xfId="307" xr:uid="{00000000-0005-0000-0000-0000CE040000}"/>
    <cellStyle name="%_Project Progress_HU Risk dashboard_Apr2012-1-macro-7MAY2012-1_BusinessExcellenceDashboard_OCt2012_MS HU-ERased" xfId="308" xr:uid="{00000000-0005-0000-0000-0000CF040000}"/>
    <cellStyle name="%_Project Progress_HU Risk dashboard_Apr2012-1-macro-7MAY2012-1_copydatamacro" xfId="309" xr:uid="{00000000-0005-0000-0000-0000D0040000}"/>
    <cellStyle name="%_Project Progress_HU Risk dashboard_Apr2012-1-macro-7MAY2012-1_copydatamacro 2" xfId="9683" xr:uid="{00000000-0005-0000-0000-0000D1040000}"/>
    <cellStyle name="%_Project Progress_HU Risk dashboard_Apr2012-1-macro-7MAY2012-1_copydatamacro 3" xfId="8485" xr:uid="{00000000-0005-0000-0000-0000D2040000}"/>
    <cellStyle name="%_Project Progress_HU Risk dashboard_Apr2012-1-macro-7MAY2012-1_copydatamacro 4" xfId="7287" xr:uid="{00000000-0005-0000-0000-0000D3040000}"/>
    <cellStyle name="%_Project Progress_HU Risk dashboard_Apr2012-1-macro-7MAY2012-1_copydatamacro 5" xfId="6089" xr:uid="{00000000-0005-0000-0000-0000D4040000}"/>
    <cellStyle name="%_Project Progress_HU Risk dashboard_Apr2012-1-macro-7MAY2012-1_copydatamacro 6" xfId="4890" xr:uid="{00000000-0005-0000-0000-0000D5040000}"/>
    <cellStyle name="%_Project Progress_HU Risk dashboard_Apr2012-1-macro-7MAY2012-1_copydatamacro 7" xfId="3691" xr:uid="{00000000-0005-0000-0000-0000D6040000}"/>
    <cellStyle name="%_Project Progress_HU Risk dashboard_Apr2012-1-macro-7MAY2012-1_copydatamacro_BusinessExcellenceDashboard_OCt2012_MS HU-ERased" xfId="310" xr:uid="{00000000-0005-0000-0000-0000D7040000}"/>
    <cellStyle name="%_Project Progress_HU Risk dashboard_Apr2012-1-macro-7MAY2012-1_MSHU_BusinessExcellenceDashboardV2.2-May2012-3" xfId="311" xr:uid="{00000000-0005-0000-0000-0000D8040000}"/>
    <cellStyle name="%_Project Progress_HU Risk dashboard_Apr2012-1-macro-7MAY2012-1_MSHU_BusinessExcellenceDashboardV2.2-May2012-3 2" xfId="9684" xr:uid="{00000000-0005-0000-0000-0000D9040000}"/>
    <cellStyle name="%_Project Progress_HU Risk dashboard_Apr2012-1-macro-7MAY2012-1_MSHU_BusinessExcellenceDashboardV2.2-May2012-3 3" xfId="8486" xr:uid="{00000000-0005-0000-0000-0000DA040000}"/>
    <cellStyle name="%_Project Progress_HU Risk dashboard_Apr2012-1-macro-7MAY2012-1_MSHU_BusinessExcellenceDashboardV2.2-May2012-3 4" xfId="7288" xr:uid="{00000000-0005-0000-0000-0000DB040000}"/>
    <cellStyle name="%_Project Progress_HU Risk dashboard_Apr2012-1-macro-7MAY2012-1_MSHU_BusinessExcellenceDashboardV2.2-May2012-3 5" xfId="6090" xr:uid="{00000000-0005-0000-0000-0000DC040000}"/>
    <cellStyle name="%_Project Progress_HU Risk dashboard_Apr2012-1-macro-7MAY2012-1_MSHU_BusinessExcellenceDashboardV2.2-May2012-3 6" xfId="4891" xr:uid="{00000000-0005-0000-0000-0000DD040000}"/>
    <cellStyle name="%_Project Progress_HU Risk dashboard_Apr2012-1-macro-7MAY2012-1_MSHU_BusinessExcellenceDashboardV2.2-May2012-3 7" xfId="3692" xr:uid="{00000000-0005-0000-0000-0000DE040000}"/>
    <cellStyle name="%_Project Progress_HU Risk dashboard_Apr2012-1-macro-7MAY2012-1_MSHU_BusinessExcellenceDashboardV2.2-May2012-3_Business Excellence Dashboard-Aug2012-ERP HU (OracleApps)" xfId="312" xr:uid="{00000000-0005-0000-0000-0000DF040000}"/>
    <cellStyle name="%_Project Progress_HU Risk dashboard_Apr2012-1-macro-7MAY2012-1_MSHU_BusinessExcellenceDashboardV2.2-May2012-3_Business Excellence Dashboard-Aug2012-ERP HU (OracleApps) 2" xfId="9685" xr:uid="{00000000-0005-0000-0000-0000E0040000}"/>
    <cellStyle name="%_Project Progress_HU Risk dashboard_Apr2012-1-macro-7MAY2012-1_MSHU_BusinessExcellenceDashboardV2.2-May2012-3_Business Excellence Dashboard-Aug2012-ERP HU (OracleApps) 3" xfId="8487" xr:uid="{00000000-0005-0000-0000-0000E1040000}"/>
    <cellStyle name="%_Project Progress_HU Risk dashboard_Apr2012-1-macro-7MAY2012-1_MSHU_BusinessExcellenceDashboardV2.2-May2012-3_Business Excellence Dashboard-Aug2012-ERP HU (OracleApps) 4" xfId="7289" xr:uid="{00000000-0005-0000-0000-0000E2040000}"/>
    <cellStyle name="%_Project Progress_HU Risk dashboard_Apr2012-1-macro-7MAY2012-1_MSHU_BusinessExcellenceDashboardV2.2-May2012-3_Business Excellence Dashboard-Aug2012-ERP HU (OracleApps) 5" xfId="6091" xr:uid="{00000000-0005-0000-0000-0000E3040000}"/>
    <cellStyle name="%_Project Progress_HU Risk dashboard_Apr2012-1-macro-7MAY2012-1_MSHU_BusinessExcellenceDashboardV2.2-May2012-3_Business Excellence Dashboard-Aug2012-ERP HU (OracleApps) 6" xfId="4892" xr:uid="{00000000-0005-0000-0000-0000E4040000}"/>
    <cellStyle name="%_Project Progress_HU Risk dashboard_Apr2012-1-macro-7MAY2012-1_MSHU_BusinessExcellenceDashboardV2.2-May2012-3_Business Excellence Dashboard-Aug2012-ERP HU (OracleApps) 7" xfId="3693" xr:uid="{00000000-0005-0000-0000-0000E5040000}"/>
    <cellStyle name="%_Project Progress_HU Risk dashboard_Apr2012-1-macro-7MAY2012-1_MSHU_BusinessExcellenceDashboardV2.2-May2012-3_Business Excellence Dashboard-Aug2012-ERP HU (OracleApps)_BusinessExcellenceDashboard_OCt2012_MS HU-ERased" xfId="313" xr:uid="{00000000-0005-0000-0000-0000E6040000}"/>
    <cellStyle name="%_Project Progress_HU Risk dashboard_Apr2012-1-macro-7MAY2012-1_MSHU_BusinessExcellenceDashboardV2.2-May2012-3_Business Excellence Dashboard-Jul2012-ERP HU (OracleApps)-consolidated" xfId="314" xr:uid="{00000000-0005-0000-0000-0000E7040000}"/>
    <cellStyle name="%_Project Progress_HU Risk dashboard_Apr2012-1-macro-7MAY2012-1_MSHU_BusinessExcellenceDashboardV2.2-May2012-3_Business Excellence Dashboard-Jul2012-ERP HU (OracleApps)-consolidated 2" xfId="9686" xr:uid="{00000000-0005-0000-0000-0000E8040000}"/>
    <cellStyle name="%_Project Progress_HU Risk dashboard_Apr2012-1-macro-7MAY2012-1_MSHU_BusinessExcellenceDashboardV2.2-May2012-3_Business Excellence Dashboard-Jul2012-ERP HU (OracleApps)-consolidated 3" xfId="8488" xr:uid="{00000000-0005-0000-0000-0000E9040000}"/>
    <cellStyle name="%_Project Progress_HU Risk dashboard_Apr2012-1-macro-7MAY2012-1_MSHU_BusinessExcellenceDashboardV2.2-May2012-3_Business Excellence Dashboard-Jul2012-ERP HU (OracleApps)-consolidated 4" xfId="7290" xr:uid="{00000000-0005-0000-0000-0000EA040000}"/>
    <cellStyle name="%_Project Progress_HU Risk dashboard_Apr2012-1-macro-7MAY2012-1_MSHU_BusinessExcellenceDashboardV2.2-May2012-3_Business Excellence Dashboard-Jul2012-ERP HU (OracleApps)-consolidated 5" xfId="6092" xr:uid="{00000000-0005-0000-0000-0000EB040000}"/>
    <cellStyle name="%_Project Progress_HU Risk dashboard_Apr2012-1-macro-7MAY2012-1_MSHU_BusinessExcellenceDashboardV2.2-May2012-3_Business Excellence Dashboard-Jul2012-ERP HU (OracleApps)-consolidated 6" xfId="4893" xr:uid="{00000000-0005-0000-0000-0000EC040000}"/>
    <cellStyle name="%_Project Progress_HU Risk dashboard_Apr2012-1-macro-7MAY2012-1_MSHU_BusinessExcellenceDashboardV2.2-May2012-3_Business Excellence Dashboard-Jul2012-ERP HU (OracleApps)-consolidated 7" xfId="3694" xr:uid="{00000000-0005-0000-0000-0000ED040000}"/>
    <cellStyle name="%_Project Progress_HU Risk dashboard_Apr2012-1-macro-7MAY2012-1_MSHU_BusinessExcellenceDashboardV2.2-May2012-3_Business Excellence Dashboard-Jul2012-ERP HU (OracleApps)-consolidated_BusinessExcellenceDashboard_OCt2012_MS HU-ERased" xfId="315" xr:uid="{00000000-0005-0000-0000-0000EE040000}"/>
    <cellStyle name="%_Project Progress_HU Risk dashboard_Apr2012-1-macro-7MAY2012-1_MSHU_BusinessExcellenceDashboardV2.2-May2012-3_BusinessExcellenceDashboard_OCt2012_MS HU-ERased" xfId="316" xr:uid="{00000000-0005-0000-0000-0000EF040000}"/>
    <cellStyle name="%_Project Progress_HU Risk dashboard_Apr2012-1-macro-7MAY2012-1_MSHU_BusinessExcellenceDashboardV2.2-May2012-3_copydatamacro" xfId="317" xr:uid="{00000000-0005-0000-0000-0000F0040000}"/>
    <cellStyle name="%_Project Progress_HU Risk dashboard_Apr2012-1-macro-7MAY2012-1_MSHU_BusinessExcellenceDashboardV2.2-May2012-3_copydatamacro 2" xfId="9687" xr:uid="{00000000-0005-0000-0000-0000F1040000}"/>
    <cellStyle name="%_Project Progress_HU Risk dashboard_Apr2012-1-macro-7MAY2012-1_MSHU_BusinessExcellenceDashboardV2.2-May2012-3_copydatamacro 3" xfId="8489" xr:uid="{00000000-0005-0000-0000-0000F2040000}"/>
    <cellStyle name="%_Project Progress_HU Risk dashboard_Apr2012-1-macro-7MAY2012-1_MSHU_BusinessExcellenceDashboardV2.2-May2012-3_copydatamacro 4" xfId="7291" xr:uid="{00000000-0005-0000-0000-0000F3040000}"/>
    <cellStyle name="%_Project Progress_HU Risk dashboard_Apr2012-1-macro-7MAY2012-1_MSHU_BusinessExcellenceDashboardV2.2-May2012-3_copydatamacro 5" xfId="6093" xr:uid="{00000000-0005-0000-0000-0000F4040000}"/>
    <cellStyle name="%_Project Progress_HU Risk dashboard_Apr2012-1-macro-7MAY2012-1_MSHU_BusinessExcellenceDashboardV2.2-May2012-3_copydatamacro 6" xfId="4894" xr:uid="{00000000-0005-0000-0000-0000F5040000}"/>
    <cellStyle name="%_Project Progress_HU Risk dashboard_Apr2012-1-macro-7MAY2012-1_MSHU_BusinessExcellenceDashboardV2.2-May2012-3_copydatamacro 7" xfId="3695" xr:uid="{00000000-0005-0000-0000-0000F6040000}"/>
    <cellStyle name="%_Project Progress_HU Risk dashboard_Apr2012-1-macro-7MAY2012-1_MSHU_BusinessExcellenceDashboardV2.2-May2012-3_copydatamacro_BusinessExcellenceDashboard_OCt2012_MS HU-ERased" xfId="318" xr:uid="{00000000-0005-0000-0000-0000F7040000}"/>
    <cellStyle name="%_Project Progress_HU-Risk-dashboard_OracleAppsProjects_Template-Macro" xfId="319" xr:uid="{00000000-0005-0000-0000-0000F8040000}"/>
    <cellStyle name="%_Project Progress_HU-Risk-dashboard_OracleAppsProjects_Template-Macro 2" xfId="9688" xr:uid="{00000000-0005-0000-0000-0000F9040000}"/>
    <cellStyle name="%_Project Progress_HU-Risk-dashboard_OracleAppsProjects_Template-Macro 3" xfId="8490" xr:uid="{00000000-0005-0000-0000-0000FA040000}"/>
    <cellStyle name="%_Project Progress_HU-Risk-dashboard_OracleAppsProjects_Template-Macro 4" xfId="7292" xr:uid="{00000000-0005-0000-0000-0000FB040000}"/>
    <cellStyle name="%_Project Progress_HU-Risk-dashboard_OracleAppsProjects_Template-Macro 5" xfId="6094" xr:uid="{00000000-0005-0000-0000-0000FC040000}"/>
    <cellStyle name="%_Project Progress_HU-Risk-dashboard_OracleAppsProjects_Template-Macro 6" xfId="4895" xr:uid="{00000000-0005-0000-0000-0000FD040000}"/>
    <cellStyle name="%_Project Progress_HU-Risk-dashboard_OracleAppsProjects_Template-Macro 7" xfId="3696" xr:uid="{00000000-0005-0000-0000-0000FE040000}"/>
    <cellStyle name="%_Project Progress_HU-Risk-dashboard_OracleAppsProjects_Template-Macro_2" xfId="320" xr:uid="{00000000-0005-0000-0000-0000FF040000}"/>
    <cellStyle name="%_Project Progress_HU-Risk-dashboard_OracleAppsProjects_Template-Macro_2 2" xfId="9689" xr:uid="{00000000-0005-0000-0000-000000050000}"/>
    <cellStyle name="%_Project Progress_HU-Risk-dashboard_OracleAppsProjects_Template-Macro_2 3" xfId="8491" xr:uid="{00000000-0005-0000-0000-000001050000}"/>
    <cellStyle name="%_Project Progress_HU-Risk-dashboard_OracleAppsProjects_Template-Macro_2 4" xfId="7293" xr:uid="{00000000-0005-0000-0000-000002050000}"/>
    <cellStyle name="%_Project Progress_HU-Risk-dashboard_OracleAppsProjects_Template-Macro_2 5" xfId="6095" xr:uid="{00000000-0005-0000-0000-000003050000}"/>
    <cellStyle name="%_Project Progress_HU-Risk-dashboard_OracleAppsProjects_Template-Macro_2 6" xfId="4896" xr:uid="{00000000-0005-0000-0000-000004050000}"/>
    <cellStyle name="%_Project Progress_HU-Risk-dashboard_OracleAppsProjects_Template-Macro_2 7" xfId="3697" xr:uid="{00000000-0005-0000-0000-000005050000}"/>
    <cellStyle name="%_Project Progress_HU-Risk-dashboard_OracleAppsProjects_Template-Macro_2_1" xfId="321" xr:uid="{00000000-0005-0000-0000-000006050000}"/>
    <cellStyle name="%_Project Progress_HU-Risk-dashboard_OracleAppsProjects_Template-Macro_2_1 2" xfId="9690" xr:uid="{00000000-0005-0000-0000-000007050000}"/>
    <cellStyle name="%_Project Progress_HU-Risk-dashboard_OracleAppsProjects_Template-Macro_2_1 3" xfId="8492" xr:uid="{00000000-0005-0000-0000-000008050000}"/>
    <cellStyle name="%_Project Progress_HU-Risk-dashboard_OracleAppsProjects_Template-Macro_2_1 4" xfId="7294" xr:uid="{00000000-0005-0000-0000-000009050000}"/>
    <cellStyle name="%_Project Progress_HU-Risk-dashboard_OracleAppsProjects_Template-Macro_2_1 5" xfId="6096" xr:uid="{00000000-0005-0000-0000-00000A050000}"/>
    <cellStyle name="%_Project Progress_HU-Risk-dashboard_OracleAppsProjects_Template-Macro_2_1 6" xfId="4897" xr:uid="{00000000-0005-0000-0000-00000B050000}"/>
    <cellStyle name="%_Project Progress_HU-Risk-dashboard_OracleAppsProjects_Template-Macro_2_1 7" xfId="3698" xr:uid="{00000000-0005-0000-0000-00000C050000}"/>
    <cellStyle name="%_Project Progress_HU-Risk-dashboard_OracleAppsProjects_Template-Macro_2_1_Business Excellence Dashboard-Aug2012-ERP HU (OracleApps)" xfId="322" xr:uid="{00000000-0005-0000-0000-00000D050000}"/>
    <cellStyle name="%_Project Progress_HU-Risk-dashboard_OracleAppsProjects_Template-Macro_2_1_Business Excellence Dashboard-Aug2012-ERP HU (OracleApps) 2" xfId="9691" xr:uid="{00000000-0005-0000-0000-00000E050000}"/>
    <cellStyle name="%_Project Progress_HU-Risk-dashboard_OracleAppsProjects_Template-Macro_2_1_Business Excellence Dashboard-Aug2012-ERP HU (OracleApps) 3" xfId="8493" xr:uid="{00000000-0005-0000-0000-00000F050000}"/>
    <cellStyle name="%_Project Progress_HU-Risk-dashboard_OracleAppsProjects_Template-Macro_2_1_Business Excellence Dashboard-Aug2012-ERP HU (OracleApps) 4" xfId="7295" xr:uid="{00000000-0005-0000-0000-000010050000}"/>
    <cellStyle name="%_Project Progress_HU-Risk-dashboard_OracleAppsProjects_Template-Macro_2_1_Business Excellence Dashboard-Aug2012-ERP HU (OracleApps) 5" xfId="6097" xr:uid="{00000000-0005-0000-0000-000011050000}"/>
    <cellStyle name="%_Project Progress_HU-Risk-dashboard_OracleAppsProjects_Template-Macro_2_1_Business Excellence Dashboard-Aug2012-ERP HU (OracleApps) 6" xfId="4898" xr:uid="{00000000-0005-0000-0000-000012050000}"/>
    <cellStyle name="%_Project Progress_HU-Risk-dashboard_OracleAppsProjects_Template-Macro_2_1_Business Excellence Dashboard-Aug2012-ERP HU (OracleApps) 7" xfId="3699" xr:uid="{00000000-0005-0000-0000-000013050000}"/>
    <cellStyle name="%_Project Progress_HU-Risk-dashboard_OracleAppsProjects_Template-Macro_2_1_Business Excellence Dashboard-Aug2012-ERP HU (OracleApps)_BusinessExcellenceDashboard_OCt2012_MS HU-ERased" xfId="323" xr:uid="{00000000-0005-0000-0000-000014050000}"/>
    <cellStyle name="%_Project Progress_HU-Risk-dashboard_OracleAppsProjects_Template-Macro_2_1_BusinessExcellenceDashboard_OCt2012_MS HU-ERased" xfId="324" xr:uid="{00000000-0005-0000-0000-000015050000}"/>
    <cellStyle name="%_Project Progress_HU-Risk-dashboard_OracleAppsProjects_Template-Macro_2_2" xfId="325" xr:uid="{00000000-0005-0000-0000-000016050000}"/>
    <cellStyle name="%_Project Progress_HU-Risk-dashboard_OracleAppsProjects_Template-Macro_2_2 2" xfId="9692" xr:uid="{00000000-0005-0000-0000-000017050000}"/>
    <cellStyle name="%_Project Progress_HU-Risk-dashboard_OracleAppsProjects_Template-Macro_2_2 3" xfId="8494" xr:uid="{00000000-0005-0000-0000-000018050000}"/>
    <cellStyle name="%_Project Progress_HU-Risk-dashboard_OracleAppsProjects_Template-Macro_2_2 4" xfId="7296" xr:uid="{00000000-0005-0000-0000-000019050000}"/>
    <cellStyle name="%_Project Progress_HU-Risk-dashboard_OracleAppsProjects_Template-Macro_2_2 5" xfId="6098" xr:uid="{00000000-0005-0000-0000-00001A050000}"/>
    <cellStyle name="%_Project Progress_HU-Risk-dashboard_OracleAppsProjects_Template-Macro_2_2 6" xfId="4899" xr:uid="{00000000-0005-0000-0000-00001B050000}"/>
    <cellStyle name="%_Project Progress_HU-Risk-dashboard_OracleAppsProjects_Template-Macro_2_2 7" xfId="3700" xr:uid="{00000000-0005-0000-0000-00001C050000}"/>
    <cellStyle name="%_Project Progress_HU-Risk-dashboard_OracleAppsProjects_Template-Macro_2_2_BusinessExcellenceDashboard_OCt2012_MS HU-ERased" xfId="326" xr:uid="{00000000-0005-0000-0000-00001D050000}"/>
    <cellStyle name="%_Project Progress_HU-Risk-dashboard_OracleAppsProjects_Template-Macro_2_Business Excellence Dashboard-Aug2012-ERP HU (OracleApps)" xfId="327" xr:uid="{00000000-0005-0000-0000-00001E050000}"/>
    <cellStyle name="%_Project Progress_HU-Risk-dashboard_OracleAppsProjects_Template-Macro_2_Business Excellence Dashboard-Aug2012-ERP HU (OracleApps) 2" xfId="9693" xr:uid="{00000000-0005-0000-0000-00001F050000}"/>
    <cellStyle name="%_Project Progress_HU-Risk-dashboard_OracleAppsProjects_Template-Macro_2_Business Excellence Dashboard-Aug2012-ERP HU (OracleApps) 3" xfId="8495" xr:uid="{00000000-0005-0000-0000-000020050000}"/>
    <cellStyle name="%_Project Progress_HU-Risk-dashboard_OracleAppsProjects_Template-Macro_2_Business Excellence Dashboard-Aug2012-ERP HU (OracleApps) 4" xfId="7297" xr:uid="{00000000-0005-0000-0000-000021050000}"/>
    <cellStyle name="%_Project Progress_HU-Risk-dashboard_OracleAppsProjects_Template-Macro_2_Business Excellence Dashboard-Aug2012-ERP HU (OracleApps) 5" xfId="6099" xr:uid="{00000000-0005-0000-0000-000022050000}"/>
    <cellStyle name="%_Project Progress_HU-Risk-dashboard_OracleAppsProjects_Template-Macro_2_Business Excellence Dashboard-Aug2012-ERP HU (OracleApps) 6" xfId="4900" xr:uid="{00000000-0005-0000-0000-000023050000}"/>
    <cellStyle name="%_Project Progress_HU-Risk-dashboard_OracleAppsProjects_Template-Macro_2_Business Excellence Dashboard-Aug2012-ERP HU (OracleApps) 7" xfId="3701" xr:uid="{00000000-0005-0000-0000-000024050000}"/>
    <cellStyle name="%_Project Progress_HU-Risk-dashboard_OracleAppsProjects_Template-Macro_2_Business Excellence Dashboard-Aug2012-ERP HU (OracleApps)_BusinessExcellenceDashboard_OCt2012_MS HU-ERased" xfId="328" xr:uid="{00000000-0005-0000-0000-000025050000}"/>
    <cellStyle name="%_Project Progress_HU-Risk-dashboard_OracleAppsProjects_Template-Macro_2_Business Excellence Dashboard-Jul2012-ERP HU (OracleApps)-consolidated" xfId="329" xr:uid="{00000000-0005-0000-0000-000026050000}"/>
    <cellStyle name="%_Project Progress_HU-Risk-dashboard_OracleAppsProjects_Template-Macro_2_Business Excellence Dashboard-Jul2012-ERP HU (OracleApps)-consolidated 2" xfId="9694" xr:uid="{00000000-0005-0000-0000-000027050000}"/>
    <cellStyle name="%_Project Progress_HU-Risk-dashboard_OracleAppsProjects_Template-Macro_2_Business Excellence Dashboard-Jul2012-ERP HU (OracleApps)-consolidated 3" xfId="8496" xr:uid="{00000000-0005-0000-0000-000028050000}"/>
    <cellStyle name="%_Project Progress_HU-Risk-dashboard_OracleAppsProjects_Template-Macro_2_Business Excellence Dashboard-Jul2012-ERP HU (OracleApps)-consolidated 4" xfId="7298" xr:uid="{00000000-0005-0000-0000-000029050000}"/>
    <cellStyle name="%_Project Progress_HU-Risk-dashboard_OracleAppsProjects_Template-Macro_2_Business Excellence Dashboard-Jul2012-ERP HU (OracleApps)-consolidated 5" xfId="6100" xr:uid="{00000000-0005-0000-0000-00002A050000}"/>
    <cellStyle name="%_Project Progress_HU-Risk-dashboard_OracleAppsProjects_Template-Macro_2_Business Excellence Dashboard-Jul2012-ERP HU (OracleApps)-consolidated 6" xfId="4901" xr:uid="{00000000-0005-0000-0000-00002B050000}"/>
    <cellStyle name="%_Project Progress_HU-Risk-dashboard_OracleAppsProjects_Template-Macro_2_Business Excellence Dashboard-Jul2012-ERP HU (OracleApps)-consolidated 7" xfId="3702" xr:uid="{00000000-0005-0000-0000-00002C050000}"/>
    <cellStyle name="%_Project Progress_HU-Risk-dashboard_OracleAppsProjects_Template-Macro_2_Business Excellence Dashboard-Jul2012-ERP HU (OracleApps)-consolidated_BusinessExcellenceDashboard_OCt2012_MS HU-ERased" xfId="330" xr:uid="{00000000-0005-0000-0000-00002D050000}"/>
    <cellStyle name="%_Project Progress_HU-Risk-dashboard_OracleAppsProjects_Template-Macro_2_BusinessExcellenceDashboard_OCt2012_MS HU-ERased" xfId="331" xr:uid="{00000000-0005-0000-0000-00002E050000}"/>
    <cellStyle name="%_Project Progress_HU-Risk-dashboard_OracleAppsProjects_Template-Macro_2_copydatamacro" xfId="332" xr:uid="{00000000-0005-0000-0000-00002F050000}"/>
    <cellStyle name="%_Project Progress_HU-Risk-dashboard_OracleAppsProjects_Template-Macro_2_copydatamacro 2" xfId="9695" xr:uid="{00000000-0005-0000-0000-000030050000}"/>
    <cellStyle name="%_Project Progress_HU-Risk-dashboard_OracleAppsProjects_Template-Macro_2_copydatamacro 3" xfId="8497" xr:uid="{00000000-0005-0000-0000-000031050000}"/>
    <cellStyle name="%_Project Progress_HU-Risk-dashboard_OracleAppsProjects_Template-Macro_2_copydatamacro 4" xfId="7299" xr:uid="{00000000-0005-0000-0000-000032050000}"/>
    <cellStyle name="%_Project Progress_HU-Risk-dashboard_OracleAppsProjects_Template-Macro_2_copydatamacro 5" xfId="6101" xr:uid="{00000000-0005-0000-0000-000033050000}"/>
    <cellStyle name="%_Project Progress_HU-Risk-dashboard_OracleAppsProjects_Template-Macro_2_copydatamacro 6" xfId="4902" xr:uid="{00000000-0005-0000-0000-000034050000}"/>
    <cellStyle name="%_Project Progress_HU-Risk-dashboard_OracleAppsProjects_Template-Macro_2_copydatamacro 7" xfId="3703" xr:uid="{00000000-0005-0000-0000-000035050000}"/>
    <cellStyle name="%_Project Progress_HU-Risk-dashboard_OracleAppsProjects_Template-Macro_2_copydatamacro_BusinessExcellenceDashboard_OCt2012_MS HU-ERased" xfId="333" xr:uid="{00000000-0005-0000-0000-000036050000}"/>
    <cellStyle name="%_Project Progress_HU-Risk-dashboard_OracleAppsProjects_Template-Macro_Book1" xfId="334" xr:uid="{00000000-0005-0000-0000-000037050000}"/>
    <cellStyle name="%_Project Progress_HU-Risk-dashboard_OracleAppsProjects_Template-Macro_Book1 2" xfId="9696" xr:uid="{00000000-0005-0000-0000-000038050000}"/>
    <cellStyle name="%_Project Progress_HU-Risk-dashboard_OracleAppsProjects_Template-Macro_Book1 3" xfId="8498" xr:uid="{00000000-0005-0000-0000-000039050000}"/>
    <cellStyle name="%_Project Progress_HU-Risk-dashboard_OracleAppsProjects_Template-Macro_Book1 4" xfId="7300" xr:uid="{00000000-0005-0000-0000-00003A050000}"/>
    <cellStyle name="%_Project Progress_HU-Risk-dashboard_OracleAppsProjects_Template-Macro_Book1 5" xfId="6102" xr:uid="{00000000-0005-0000-0000-00003B050000}"/>
    <cellStyle name="%_Project Progress_HU-Risk-dashboard_OracleAppsProjects_Template-Macro_Book1 6" xfId="4903" xr:uid="{00000000-0005-0000-0000-00003C050000}"/>
    <cellStyle name="%_Project Progress_HU-Risk-dashboard_OracleAppsProjects_Template-Macro_Book1 7" xfId="3704" xr:uid="{00000000-0005-0000-0000-00003D050000}"/>
    <cellStyle name="%_Project Progress_HU-Risk-dashboard_OracleAppsProjects_Template-Macro_Book1_Business Excellence Dashboard-Aug2012-ERP HU (OracleApps)" xfId="335" xr:uid="{00000000-0005-0000-0000-00003E050000}"/>
    <cellStyle name="%_Project Progress_HU-Risk-dashboard_OracleAppsProjects_Template-Macro_Book1_Business Excellence Dashboard-Aug2012-ERP HU (OracleApps) 2" xfId="9697" xr:uid="{00000000-0005-0000-0000-00003F050000}"/>
    <cellStyle name="%_Project Progress_HU-Risk-dashboard_OracleAppsProjects_Template-Macro_Book1_Business Excellence Dashboard-Aug2012-ERP HU (OracleApps) 3" xfId="8499" xr:uid="{00000000-0005-0000-0000-000040050000}"/>
    <cellStyle name="%_Project Progress_HU-Risk-dashboard_OracleAppsProjects_Template-Macro_Book1_Business Excellence Dashboard-Aug2012-ERP HU (OracleApps) 4" xfId="7301" xr:uid="{00000000-0005-0000-0000-000041050000}"/>
    <cellStyle name="%_Project Progress_HU-Risk-dashboard_OracleAppsProjects_Template-Macro_Book1_Business Excellence Dashboard-Aug2012-ERP HU (OracleApps) 5" xfId="6103" xr:uid="{00000000-0005-0000-0000-000042050000}"/>
    <cellStyle name="%_Project Progress_HU-Risk-dashboard_OracleAppsProjects_Template-Macro_Book1_Business Excellence Dashboard-Aug2012-ERP HU (OracleApps) 6" xfId="4904" xr:uid="{00000000-0005-0000-0000-000043050000}"/>
    <cellStyle name="%_Project Progress_HU-Risk-dashboard_OracleAppsProjects_Template-Macro_Book1_Business Excellence Dashboard-Aug2012-ERP HU (OracleApps) 7" xfId="3705" xr:uid="{00000000-0005-0000-0000-000044050000}"/>
    <cellStyle name="%_Project Progress_HU-Risk-dashboard_OracleAppsProjects_Template-Macro_Book1_Business Excellence Dashboard-Aug2012-ERP HU (OracleApps)_BusinessExcellenceDashboard_OCt2012_MS HU-ERased" xfId="336" xr:uid="{00000000-0005-0000-0000-000045050000}"/>
    <cellStyle name="%_Project Progress_HU-Risk-dashboard_OracleAppsProjects_Template-Macro_Book1_Business Excellence Dashboard-Jul2012-ERP HU (OracleApps)-consolidated" xfId="337" xr:uid="{00000000-0005-0000-0000-000046050000}"/>
    <cellStyle name="%_Project Progress_HU-Risk-dashboard_OracleAppsProjects_Template-Macro_Book1_Business Excellence Dashboard-Jul2012-ERP HU (OracleApps)-consolidated 2" xfId="9698" xr:uid="{00000000-0005-0000-0000-000047050000}"/>
    <cellStyle name="%_Project Progress_HU-Risk-dashboard_OracleAppsProjects_Template-Macro_Book1_Business Excellence Dashboard-Jul2012-ERP HU (OracleApps)-consolidated 3" xfId="8500" xr:uid="{00000000-0005-0000-0000-000048050000}"/>
    <cellStyle name="%_Project Progress_HU-Risk-dashboard_OracleAppsProjects_Template-Macro_Book1_Business Excellence Dashboard-Jul2012-ERP HU (OracleApps)-consolidated 4" xfId="7302" xr:uid="{00000000-0005-0000-0000-000049050000}"/>
    <cellStyle name="%_Project Progress_HU-Risk-dashboard_OracleAppsProjects_Template-Macro_Book1_Business Excellence Dashboard-Jul2012-ERP HU (OracleApps)-consolidated 5" xfId="6104" xr:uid="{00000000-0005-0000-0000-00004A050000}"/>
    <cellStyle name="%_Project Progress_HU-Risk-dashboard_OracleAppsProjects_Template-Macro_Book1_Business Excellence Dashboard-Jul2012-ERP HU (OracleApps)-consolidated 6" xfId="4905" xr:uid="{00000000-0005-0000-0000-00004B050000}"/>
    <cellStyle name="%_Project Progress_HU-Risk-dashboard_OracleAppsProjects_Template-Macro_Book1_Business Excellence Dashboard-Jul2012-ERP HU (OracleApps)-consolidated 7" xfId="3706" xr:uid="{00000000-0005-0000-0000-00004C050000}"/>
    <cellStyle name="%_Project Progress_HU-Risk-dashboard_OracleAppsProjects_Template-Macro_Book1_Business Excellence Dashboard-Jul2012-ERP HU (OracleApps)-consolidated_BusinessExcellenceDashboard_OCt2012_MS HU-ERased" xfId="338" xr:uid="{00000000-0005-0000-0000-00004D050000}"/>
    <cellStyle name="%_Project Progress_HU-Risk-dashboard_OracleAppsProjects_Template-Macro_Book1_BusinessExcellenceDashboard_OCt2012_MS HU-ERased" xfId="339" xr:uid="{00000000-0005-0000-0000-00004E050000}"/>
    <cellStyle name="%_Project Progress_HU-Risk-dashboard_OracleAppsProjects_Template-Macro_Book1_copydatamacro" xfId="340" xr:uid="{00000000-0005-0000-0000-00004F050000}"/>
    <cellStyle name="%_Project Progress_HU-Risk-dashboard_OracleAppsProjects_Template-Macro_Book1_copydatamacro 2" xfId="9699" xr:uid="{00000000-0005-0000-0000-000050050000}"/>
    <cellStyle name="%_Project Progress_HU-Risk-dashboard_OracleAppsProjects_Template-Macro_Book1_copydatamacro 3" xfId="8501" xr:uid="{00000000-0005-0000-0000-000051050000}"/>
    <cellStyle name="%_Project Progress_HU-Risk-dashboard_OracleAppsProjects_Template-Macro_Book1_copydatamacro 4" xfId="7303" xr:uid="{00000000-0005-0000-0000-000052050000}"/>
    <cellStyle name="%_Project Progress_HU-Risk-dashboard_OracleAppsProjects_Template-Macro_Book1_copydatamacro 5" xfId="6105" xr:uid="{00000000-0005-0000-0000-000053050000}"/>
    <cellStyle name="%_Project Progress_HU-Risk-dashboard_OracleAppsProjects_Template-Macro_Book1_copydatamacro 6" xfId="4906" xr:uid="{00000000-0005-0000-0000-000054050000}"/>
    <cellStyle name="%_Project Progress_HU-Risk-dashboard_OracleAppsProjects_Template-Macro_Book1_copydatamacro 7" xfId="3707" xr:uid="{00000000-0005-0000-0000-000055050000}"/>
    <cellStyle name="%_Project Progress_HU-Risk-dashboard_OracleAppsProjects_Template-Macro_Book1_copydatamacro_BusinessExcellenceDashboard_OCt2012_MS HU-ERased" xfId="341" xr:uid="{00000000-0005-0000-0000-000056050000}"/>
    <cellStyle name="%_Project Progress_HU-Risk-dashboard_OracleAppsProjects_Template-Macro_Business Excellence Dashboard-Aug2012-ERP HU (OracleApps)" xfId="342" xr:uid="{00000000-0005-0000-0000-000057050000}"/>
    <cellStyle name="%_Project Progress_HU-Risk-dashboard_OracleAppsProjects_Template-Macro_Business Excellence Dashboard-Aug2012-ERP HU (OracleApps) 2" xfId="9700" xr:uid="{00000000-0005-0000-0000-000058050000}"/>
    <cellStyle name="%_Project Progress_HU-Risk-dashboard_OracleAppsProjects_Template-Macro_Business Excellence Dashboard-Aug2012-ERP HU (OracleApps) 3" xfId="8502" xr:uid="{00000000-0005-0000-0000-000059050000}"/>
    <cellStyle name="%_Project Progress_HU-Risk-dashboard_OracleAppsProjects_Template-Macro_Business Excellence Dashboard-Aug2012-ERP HU (OracleApps) 4" xfId="7304" xr:uid="{00000000-0005-0000-0000-00005A050000}"/>
    <cellStyle name="%_Project Progress_HU-Risk-dashboard_OracleAppsProjects_Template-Macro_Business Excellence Dashboard-Aug2012-ERP HU (OracleApps) 5" xfId="6106" xr:uid="{00000000-0005-0000-0000-00005B050000}"/>
    <cellStyle name="%_Project Progress_HU-Risk-dashboard_OracleAppsProjects_Template-Macro_Business Excellence Dashboard-Aug2012-ERP HU (OracleApps) 6" xfId="4907" xr:uid="{00000000-0005-0000-0000-00005C050000}"/>
    <cellStyle name="%_Project Progress_HU-Risk-dashboard_OracleAppsProjects_Template-Macro_Business Excellence Dashboard-Aug2012-ERP HU (OracleApps) 7" xfId="3708" xr:uid="{00000000-0005-0000-0000-00005D050000}"/>
    <cellStyle name="%_Project Progress_HU-Risk-dashboard_OracleAppsProjects_Template-Macro_Business Excellence Dashboard-Aug2012-ERP HU (OracleApps)_BusinessExcellenceDashboard_OCt2012_MS HU-ERased" xfId="343" xr:uid="{00000000-0005-0000-0000-00005E050000}"/>
    <cellStyle name="%_Project Progress_HU-Risk-dashboard_OracleAppsProjects_Template-Macro_Business Excellence Dashboard-Jul2012-ERP HU (OracleApps)-consolidated" xfId="344" xr:uid="{00000000-0005-0000-0000-00005F050000}"/>
    <cellStyle name="%_Project Progress_HU-Risk-dashboard_OracleAppsProjects_Template-Macro_Business Excellence Dashboard-Jul2012-ERP HU (OracleApps)-consolidated 2" xfId="9701" xr:uid="{00000000-0005-0000-0000-000060050000}"/>
    <cellStyle name="%_Project Progress_HU-Risk-dashboard_OracleAppsProjects_Template-Macro_Business Excellence Dashboard-Jul2012-ERP HU (OracleApps)-consolidated 3" xfId="8503" xr:uid="{00000000-0005-0000-0000-000061050000}"/>
    <cellStyle name="%_Project Progress_HU-Risk-dashboard_OracleAppsProjects_Template-Macro_Business Excellence Dashboard-Jul2012-ERP HU (OracleApps)-consolidated 4" xfId="7305" xr:uid="{00000000-0005-0000-0000-000062050000}"/>
    <cellStyle name="%_Project Progress_HU-Risk-dashboard_OracleAppsProjects_Template-Macro_Business Excellence Dashboard-Jul2012-ERP HU (OracleApps)-consolidated 5" xfId="6107" xr:uid="{00000000-0005-0000-0000-000063050000}"/>
    <cellStyle name="%_Project Progress_HU-Risk-dashboard_OracleAppsProjects_Template-Macro_Business Excellence Dashboard-Jul2012-ERP HU (OracleApps)-consolidated 6" xfId="4908" xr:uid="{00000000-0005-0000-0000-000064050000}"/>
    <cellStyle name="%_Project Progress_HU-Risk-dashboard_OracleAppsProjects_Template-Macro_Business Excellence Dashboard-Jul2012-ERP HU (OracleApps)-consolidated 7" xfId="3709" xr:uid="{00000000-0005-0000-0000-000065050000}"/>
    <cellStyle name="%_Project Progress_HU-Risk-dashboard_OracleAppsProjects_Template-Macro_Business Excellence Dashboard-Jul2012-ERP HU (OracleApps)-consolidated_BusinessExcellenceDashboard_OCt2012_MS HU-ERased" xfId="345" xr:uid="{00000000-0005-0000-0000-000066050000}"/>
    <cellStyle name="%_Project Progress_HU-Risk-dashboard_OracleAppsProjects_Template-Macro_BusinessExcellenceDashboard_OCt2012_MS HU-ERased" xfId="346" xr:uid="{00000000-0005-0000-0000-000067050000}"/>
    <cellStyle name="%_Project Progress_HU-Risk-dashboard_OracleAppsProjects_Template-Macro_copydatamacro" xfId="347" xr:uid="{00000000-0005-0000-0000-000068050000}"/>
    <cellStyle name="%_Project Progress_HU-Risk-dashboard_OracleAppsProjects_Template-Macro_copydatamacro 2" xfId="9702" xr:uid="{00000000-0005-0000-0000-000069050000}"/>
    <cellStyle name="%_Project Progress_HU-Risk-dashboard_OracleAppsProjects_Template-Macro_copydatamacro 3" xfId="8504" xr:uid="{00000000-0005-0000-0000-00006A050000}"/>
    <cellStyle name="%_Project Progress_HU-Risk-dashboard_OracleAppsProjects_Template-Macro_copydatamacro 4" xfId="7306" xr:uid="{00000000-0005-0000-0000-00006B050000}"/>
    <cellStyle name="%_Project Progress_HU-Risk-dashboard_OracleAppsProjects_Template-Macro_copydatamacro 5" xfId="6108" xr:uid="{00000000-0005-0000-0000-00006C050000}"/>
    <cellStyle name="%_Project Progress_HU-Risk-dashboard_OracleAppsProjects_Template-Macro_copydatamacro 6" xfId="4909" xr:uid="{00000000-0005-0000-0000-00006D050000}"/>
    <cellStyle name="%_Project Progress_HU-Risk-dashboard_OracleAppsProjects_Template-Macro_copydatamacro 7" xfId="3710" xr:uid="{00000000-0005-0000-0000-00006E050000}"/>
    <cellStyle name="%_Project Progress_HU-Risk-dashboard_OracleAppsProjects_Template-Macro_copydatamacro_BusinessExcellenceDashboard_OCt2012_MS HU-ERased" xfId="348" xr:uid="{00000000-0005-0000-0000-00006F050000}"/>
    <cellStyle name="%_Project Progress_HU-Risk-dashboard_OracleAppsProjects_Template-Macro_MSHU_BusinessExcellenceDashboardV2.2-May2012-3" xfId="349" xr:uid="{00000000-0005-0000-0000-000070050000}"/>
    <cellStyle name="%_Project Progress_HU-Risk-dashboard_OracleAppsProjects_Template-Macro_MSHU_BusinessExcellenceDashboardV2.2-May2012-3 2" xfId="9703" xr:uid="{00000000-0005-0000-0000-000071050000}"/>
    <cellStyle name="%_Project Progress_HU-Risk-dashboard_OracleAppsProjects_Template-Macro_MSHU_BusinessExcellenceDashboardV2.2-May2012-3 3" xfId="8505" xr:uid="{00000000-0005-0000-0000-000072050000}"/>
    <cellStyle name="%_Project Progress_HU-Risk-dashboard_OracleAppsProjects_Template-Macro_MSHU_BusinessExcellenceDashboardV2.2-May2012-3 4" xfId="7307" xr:uid="{00000000-0005-0000-0000-000073050000}"/>
    <cellStyle name="%_Project Progress_HU-Risk-dashboard_OracleAppsProjects_Template-Macro_MSHU_BusinessExcellenceDashboardV2.2-May2012-3 5" xfId="6109" xr:uid="{00000000-0005-0000-0000-000074050000}"/>
    <cellStyle name="%_Project Progress_HU-Risk-dashboard_OracleAppsProjects_Template-Macro_MSHU_BusinessExcellenceDashboardV2.2-May2012-3 6" xfId="4910" xr:uid="{00000000-0005-0000-0000-000075050000}"/>
    <cellStyle name="%_Project Progress_HU-Risk-dashboard_OracleAppsProjects_Template-Macro_MSHU_BusinessExcellenceDashboardV2.2-May2012-3 7" xfId="3711" xr:uid="{00000000-0005-0000-0000-000076050000}"/>
    <cellStyle name="%_Project Progress_HU-Risk-dashboard_OracleAppsProjects_Template-Macro_MSHU_BusinessExcellenceDashboardV2.2-May2012-3_Business Excellence Dashboard-Aug2012-ERP HU (OracleApps)" xfId="350" xr:uid="{00000000-0005-0000-0000-000077050000}"/>
    <cellStyle name="%_Project Progress_HU-Risk-dashboard_OracleAppsProjects_Template-Macro_MSHU_BusinessExcellenceDashboardV2.2-May2012-3_Business Excellence Dashboard-Aug2012-ERP HU (OracleApps) 2" xfId="9704" xr:uid="{00000000-0005-0000-0000-000078050000}"/>
    <cellStyle name="%_Project Progress_HU-Risk-dashboard_OracleAppsProjects_Template-Macro_MSHU_BusinessExcellenceDashboardV2.2-May2012-3_Business Excellence Dashboard-Aug2012-ERP HU (OracleApps) 3" xfId="8506" xr:uid="{00000000-0005-0000-0000-000079050000}"/>
    <cellStyle name="%_Project Progress_HU-Risk-dashboard_OracleAppsProjects_Template-Macro_MSHU_BusinessExcellenceDashboardV2.2-May2012-3_Business Excellence Dashboard-Aug2012-ERP HU (OracleApps) 4" xfId="7308" xr:uid="{00000000-0005-0000-0000-00007A050000}"/>
    <cellStyle name="%_Project Progress_HU-Risk-dashboard_OracleAppsProjects_Template-Macro_MSHU_BusinessExcellenceDashboardV2.2-May2012-3_Business Excellence Dashboard-Aug2012-ERP HU (OracleApps) 5" xfId="6110" xr:uid="{00000000-0005-0000-0000-00007B050000}"/>
    <cellStyle name="%_Project Progress_HU-Risk-dashboard_OracleAppsProjects_Template-Macro_MSHU_BusinessExcellenceDashboardV2.2-May2012-3_Business Excellence Dashboard-Aug2012-ERP HU (OracleApps) 6" xfId="4911" xr:uid="{00000000-0005-0000-0000-00007C050000}"/>
    <cellStyle name="%_Project Progress_HU-Risk-dashboard_OracleAppsProjects_Template-Macro_MSHU_BusinessExcellenceDashboardV2.2-May2012-3_Business Excellence Dashboard-Aug2012-ERP HU (OracleApps) 7" xfId="3712" xr:uid="{00000000-0005-0000-0000-00007D050000}"/>
    <cellStyle name="%_Project Progress_HU-Risk-dashboard_OracleAppsProjects_Template-Macro_MSHU_BusinessExcellenceDashboardV2.2-May2012-3_Business Excellence Dashboard-Aug2012-ERP HU (OracleApps)_BusinessExcellenceDashboard_OCt2012_MS HU-ERased" xfId="351" xr:uid="{00000000-0005-0000-0000-00007E050000}"/>
    <cellStyle name="%_Project Progress_HU-Risk-dashboard_OracleAppsProjects_Template-Macro_MSHU_BusinessExcellenceDashboardV2.2-May2012-3_Business Excellence Dashboard-Jul2012-ERP HU (OracleApps)-consolidated" xfId="352" xr:uid="{00000000-0005-0000-0000-00007F050000}"/>
    <cellStyle name="%_Project Progress_HU-Risk-dashboard_OracleAppsProjects_Template-Macro_MSHU_BusinessExcellenceDashboardV2.2-May2012-3_Business Excellence Dashboard-Jul2012-ERP HU (OracleApps)-consolidated 2" xfId="9705" xr:uid="{00000000-0005-0000-0000-000080050000}"/>
    <cellStyle name="%_Project Progress_HU-Risk-dashboard_OracleAppsProjects_Template-Macro_MSHU_BusinessExcellenceDashboardV2.2-May2012-3_Business Excellence Dashboard-Jul2012-ERP HU (OracleApps)-consolidated 3" xfId="8507" xr:uid="{00000000-0005-0000-0000-000081050000}"/>
    <cellStyle name="%_Project Progress_HU-Risk-dashboard_OracleAppsProjects_Template-Macro_MSHU_BusinessExcellenceDashboardV2.2-May2012-3_Business Excellence Dashboard-Jul2012-ERP HU (OracleApps)-consolidated 4" xfId="7309" xr:uid="{00000000-0005-0000-0000-000082050000}"/>
    <cellStyle name="%_Project Progress_HU-Risk-dashboard_OracleAppsProjects_Template-Macro_MSHU_BusinessExcellenceDashboardV2.2-May2012-3_Business Excellence Dashboard-Jul2012-ERP HU (OracleApps)-consolidated 5" xfId="6111" xr:uid="{00000000-0005-0000-0000-000083050000}"/>
    <cellStyle name="%_Project Progress_HU-Risk-dashboard_OracleAppsProjects_Template-Macro_MSHU_BusinessExcellenceDashboardV2.2-May2012-3_Business Excellence Dashboard-Jul2012-ERP HU (OracleApps)-consolidated 6" xfId="4912" xr:uid="{00000000-0005-0000-0000-000084050000}"/>
    <cellStyle name="%_Project Progress_HU-Risk-dashboard_OracleAppsProjects_Template-Macro_MSHU_BusinessExcellenceDashboardV2.2-May2012-3_Business Excellence Dashboard-Jul2012-ERP HU (OracleApps)-consolidated 7" xfId="3713" xr:uid="{00000000-0005-0000-0000-000085050000}"/>
    <cellStyle name="%_Project Progress_HU-Risk-dashboard_OracleAppsProjects_Template-Macro_MSHU_BusinessExcellenceDashboardV2.2-May2012-3_Business Excellence Dashboard-Jul2012-ERP HU (OracleApps)-consolidated_BusinessExcellenceDashboard_OCt2012_MS HU-ERased" xfId="353" xr:uid="{00000000-0005-0000-0000-000086050000}"/>
    <cellStyle name="%_Project Progress_HU-Risk-dashboard_OracleAppsProjects_Template-Macro_MSHU_BusinessExcellenceDashboardV2.2-May2012-3_BusinessExcellenceDashboard_OCt2012_MS HU-ERased" xfId="354" xr:uid="{00000000-0005-0000-0000-000087050000}"/>
    <cellStyle name="%_Project Progress_HU-Risk-dashboard_OracleAppsProjects_Template-Macro_MSHU_BusinessExcellenceDashboardV2.2-May2012-3_copydatamacro" xfId="355" xr:uid="{00000000-0005-0000-0000-000088050000}"/>
    <cellStyle name="%_Project Progress_HU-Risk-dashboard_OracleAppsProjects_Template-Macro_MSHU_BusinessExcellenceDashboardV2.2-May2012-3_copydatamacro 2" xfId="9706" xr:uid="{00000000-0005-0000-0000-000089050000}"/>
    <cellStyle name="%_Project Progress_HU-Risk-dashboard_OracleAppsProjects_Template-Macro_MSHU_BusinessExcellenceDashboardV2.2-May2012-3_copydatamacro 3" xfId="8508" xr:uid="{00000000-0005-0000-0000-00008A050000}"/>
    <cellStyle name="%_Project Progress_HU-Risk-dashboard_OracleAppsProjects_Template-Macro_MSHU_BusinessExcellenceDashboardV2.2-May2012-3_copydatamacro 4" xfId="7310" xr:uid="{00000000-0005-0000-0000-00008B050000}"/>
    <cellStyle name="%_Project Progress_HU-Risk-dashboard_OracleAppsProjects_Template-Macro_MSHU_BusinessExcellenceDashboardV2.2-May2012-3_copydatamacro 5" xfId="6112" xr:uid="{00000000-0005-0000-0000-00008C050000}"/>
    <cellStyle name="%_Project Progress_HU-Risk-dashboard_OracleAppsProjects_Template-Macro_MSHU_BusinessExcellenceDashboardV2.2-May2012-3_copydatamacro 6" xfId="4913" xr:uid="{00000000-0005-0000-0000-00008D050000}"/>
    <cellStyle name="%_Project Progress_HU-Risk-dashboard_OracleAppsProjects_Template-Macro_MSHU_BusinessExcellenceDashboardV2.2-May2012-3_copydatamacro 7" xfId="3714" xr:uid="{00000000-0005-0000-0000-00008E050000}"/>
    <cellStyle name="%_Project Progress_HU-Risk-dashboard_OracleAppsProjects_Template-Macro_MSHU_BusinessExcellenceDashboardV2.2-May2012-3_copydatamacro_BusinessExcellenceDashboard_OCt2012_MS HU-ERased" xfId="356" xr:uid="{00000000-0005-0000-0000-00008F050000}"/>
    <cellStyle name="%_Project Progress_HU-Risk-dashboard_SAPProjects_Template-Macro" xfId="357" xr:uid="{00000000-0005-0000-0000-000090050000}"/>
    <cellStyle name="%_Project Progress_HU-Risk-dashboard_SAPProjects_Template-Macro 2" xfId="9707" xr:uid="{00000000-0005-0000-0000-000091050000}"/>
    <cellStyle name="%_Project Progress_HU-Risk-dashboard_SAPProjects_Template-Macro 3" xfId="8509" xr:uid="{00000000-0005-0000-0000-000092050000}"/>
    <cellStyle name="%_Project Progress_HU-Risk-dashboard_SAPProjects_Template-Macro 4" xfId="7311" xr:uid="{00000000-0005-0000-0000-000093050000}"/>
    <cellStyle name="%_Project Progress_HU-Risk-dashboard_SAPProjects_Template-Macro 5" xfId="6113" xr:uid="{00000000-0005-0000-0000-000094050000}"/>
    <cellStyle name="%_Project Progress_HU-Risk-dashboard_SAPProjects_Template-Macro 6" xfId="4914" xr:uid="{00000000-0005-0000-0000-000095050000}"/>
    <cellStyle name="%_Project Progress_HU-Risk-dashboard_SAPProjects_Template-Macro 7" xfId="3715" xr:uid="{00000000-0005-0000-0000-000096050000}"/>
    <cellStyle name="%_Project Progress_HU-Risk-dashboard_SAPProjects_Template-Macro_2" xfId="358" xr:uid="{00000000-0005-0000-0000-000097050000}"/>
    <cellStyle name="%_Project Progress_HU-Risk-dashboard_SAPProjects_Template-Macro_2 2" xfId="9708" xr:uid="{00000000-0005-0000-0000-000098050000}"/>
    <cellStyle name="%_Project Progress_HU-Risk-dashboard_SAPProjects_Template-Macro_2 3" xfId="8510" xr:uid="{00000000-0005-0000-0000-000099050000}"/>
    <cellStyle name="%_Project Progress_HU-Risk-dashboard_SAPProjects_Template-Macro_2 4" xfId="7312" xr:uid="{00000000-0005-0000-0000-00009A050000}"/>
    <cellStyle name="%_Project Progress_HU-Risk-dashboard_SAPProjects_Template-Macro_2 5" xfId="6114" xr:uid="{00000000-0005-0000-0000-00009B050000}"/>
    <cellStyle name="%_Project Progress_HU-Risk-dashboard_SAPProjects_Template-Macro_2 6" xfId="4915" xr:uid="{00000000-0005-0000-0000-00009C050000}"/>
    <cellStyle name="%_Project Progress_HU-Risk-dashboard_SAPProjects_Template-Macro_2 7" xfId="3716" xr:uid="{00000000-0005-0000-0000-00009D050000}"/>
    <cellStyle name="%_Project Progress_HU-Risk-dashboard_SAPProjects_Template-Macro_2_1" xfId="359" xr:uid="{00000000-0005-0000-0000-00009E050000}"/>
    <cellStyle name="%_Project Progress_HU-Risk-dashboard_SAPProjects_Template-Macro_2_1 2" xfId="9709" xr:uid="{00000000-0005-0000-0000-00009F050000}"/>
    <cellStyle name="%_Project Progress_HU-Risk-dashboard_SAPProjects_Template-Macro_2_1 3" xfId="8511" xr:uid="{00000000-0005-0000-0000-0000A0050000}"/>
    <cellStyle name="%_Project Progress_HU-Risk-dashboard_SAPProjects_Template-Macro_2_1 4" xfId="7313" xr:uid="{00000000-0005-0000-0000-0000A1050000}"/>
    <cellStyle name="%_Project Progress_HU-Risk-dashboard_SAPProjects_Template-Macro_2_1 5" xfId="6115" xr:uid="{00000000-0005-0000-0000-0000A2050000}"/>
    <cellStyle name="%_Project Progress_HU-Risk-dashboard_SAPProjects_Template-Macro_2_1 6" xfId="4916" xr:uid="{00000000-0005-0000-0000-0000A3050000}"/>
    <cellStyle name="%_Project Progress_HU-Risk-dashboard_SAPProjects_Template-Macro_2_1 7" xfId="3717" xr:uid="{00000000-0005-0000-0000-0000A4050000}"/>
    <cellStyle name="%_Project Progress_HU-Risk-dashboard_SAPProjects_Template-Macro_2_1_Business Excellence Dashboard-Aug2012-ERP HU (OracleApps)" xfId="360" xr:uid="{00000000-0005-0000-0000-0000A5050000}"/>
    <cellStyle name="%_Project Progress_HU-Risk-dashboard_SAPProjects_Template-Macro_2_1_Business Excellence Dashboard-Aug2012-ERP HU (OracleApps) 2" xfId="9710" xr:uid="{00000000-0005-0000-0000-0000A6050000}"/>
    <cellStyle name="%_Project Progress_HU-Risk-dashboard_SAPProjects_Template-Macro_2_1_Business Excellence Dashboard-Aug2012-ERP HU (OracleApps) 3" xfId="8512" xr:uid="{00000000-0005-0000-0000-0000A7050000}"/>
    <cellStyle name="%_Project Progress_HU-Risk-dashboard_SAPProjects_Template-Macro_2_1_Business Excellence Dashboard-Aug2012-ERP HU (OracleApps) 4" xfId="7314" xr:uid="{00000000-0005-0000-0000-0000A8050000}"/>
    <cellStyle name="%_Project Progress_HU-Risk-dashboard_SAPProjects_Template-Macro_2_1_Business Excellence Dashboard-Aug2012-ERP HU (OracleApps) 5" xfId="6116" xr:uid="{00000000-0005-0000-0000-0000A9050000}"/>
    <cellStyle name="%_Project Progress_HU-Risk-dashboard_SAPProjects_Template-Macro_2_1_Business Excellence Dashboard-Aug2012-ERP HU (OracleApps) 6" xfId="4917" xr:uid="{00000000-0005-0000-0000-0000AA050000}"/>
    <cellStyle name="%_Project Progress_HU-Risk-dashboard_SAPProjects_Template-Macro_2_1_Business Excellence Dashboard-Aug2012-ERP HU (OracleApps) 7" xfId="3718" xr:uid="{00000000-0005-0000-0000-0000AB050000}"/>
    <cellStyle name="%_Project Progress_HU-Risk-dashboard_SAPProjects_Template-Macro_2_1_Business Excellence Dashboard-Aug2012-ERP HU (OracleApps)_BusinessExcellenceDashboard_OCt2012_MS HU-ERased" xfId="361" xr:uid="{00000000-0005-0000-0000-0000AC050000}"/>
    <cellStyle name="%_Project Progress_HU-Risk-dashboard_SAPProjects_Template-Macro_2_1_BusinessExcellenceDashboard_OCt2012_MS HU-ERased" xfId="362" xr:uid="{00000000-0005-0000-0000-0000AD050000}"/>
    <cellStyle name="%_Project Progress_HU-Risk-dashboard_SAPProjects_Template-Macro_2_2" xfId="363" xr:uid="{00000000-0005-0000-0000-0000AE050000}"/>
    <cellStyle name="%_Project Progress_HU-Risk-dashboard_SAPProjects_Template-Macro_2_2 2" xfId="9711" xr:uid="{00000000-0005-0000-0000-0000AF050000}"/>
    <cellStyle name="%_Project Progress_HU-Risk-dashboard_SAPProjects_Template-Macro_2_2 3" xfId="8513" xr:uid="{00000000-0005-0000-0000-0000B0050000}"/>
    <cellStyle name="%_Project Progress_HU-Risk-dashboard_SAPProjects_Template-Macro_2_2 4" xfId="7315" xr:uid="{00000000-0005-0000-0000-0000B1050000}"/>
    <cellStyle name="%_Project Progress_HU-Risk-dashboard_SAPProjects_Template-Macro_2_2 5" xfId="6117" xr:uid="{00000000-0005-0000-0000-0000B2050000}"/>
    <cellStyle name="%_Project Progress_HU-Risk-dashboard_SAPProjects_Template-Macro_2_2 6" xfId="4918" xr:uid="{00000000-0005-0000-0000-0000B3050000}"/>
    <cellStyle name="%_Project Progress_HU-Risk-dashboard_SAPProjects_Template-Macro_2_2 7" xfId="3719" xr:uid="{00000000-0005-0000-0000-0000B4050000}"/>
    <cellStyle name="%_Project Progress_HU-Risk-dashboard_SAPProjects_Template-Macro_2_2_BusinessExcellenceDashboard_OCt2012_MS HU-ERased" xfId="364" xr:uid="{00000000-0005-0000-0000-0000B5050000}"/>
    <cellStyle name="%_Project Progress_HU-Risk-dashboard_SAPProjects_Template-Macro_2_Business Excellence Dashboard-Aug2012-ERP HU (OracleApps)" xfId="365" xr:uid="{00000000-0005-0000-0000-0000B6050000}"/>
    <cellStyle name="%_Project Progress_HU-Risk-dashboard_SAPProjects_Template-Macro_2_Business Excellence Dashboard-Aug2012-ERP HU (OracleApps) 2" xfId="9712" xr:uid="{00000000-0005-0000-0000-0000B7050000}"/>
    <cellStyle name="%_Project Progress_HU-Risk-dashboard_SAPProjects_Template-Macro_2_Business Excellence Dashboard-Aug2012-ERP HU (OracleApps) 3" xfId="8514" xr:uid="{00000000-0005-0000-0000-0000B8050000}"/>
    <cellStyle name="%_Project Progress_HU-Risk-dashboard_SAPProjects_Template-Macro_2_Business Excellence Dashboard-Aug2012-ERP HU (OracleApps) 4" xfId="7316" xr:uid="{00000000-0005-0000-0000-0000B9050000}"/>
    <cellStyle name="%_Project Progress_HU-Risk-dashboard_SAPProjects_Template-Macro_2_Business Excellence Dashboard-Aug2012-ERP HU (OracleApps) 5" xfId="6118" xr:uid="{00000000-0005-0000-0000-0000BA050000}"/>
    <cellStyle name="%_Project Progress_HU-Risk-dashboard_SAPProjects_Template-Macro_2_Business Excellence Dashboard-Aug2012-ERP HU (OracleApps) 6" xfId="4919" xr:uid="{00000000-0005-0000-0000-0000BB050000}"/>
    <cellStyle name="%_Project Progress_HU-Risk-dashboard_SAPProjects_Template-Macro_2_Business Excellence Dashboard-Aug2012-ERP HU (OracleApps) 7" xfId="3720" xr:uid="{00000000-0005-0000-0000-0000BC050000}"/>
    <cellStyle name="%_Project Progress_HU-Risk-dashboard_SAPProjects_Template-Macro_2_Business Excellence Dashboard-Aug2012-ERP HU (OracleApps)_BusinessExcellenceDashboard_OCt2012_MS HU-ERased" xfId="366" xr:uid="{00000000-0005-0000-0000-0000BD050000}"/>
    <cellStyle name="%_Project Progress_HU-Risk-dashboard_SAPProjects_Template-Macro_2_Business Excellence Dashboard-Jul2012-ERP HU (OracleApps)-consolidated" xfId="367" xr:uid="{00000000-0005-0000-0000-0000BE050000}"/>
    <cellStyle name="%_Project Progress_HU-Risk-dashboard_SAPProjects_Template-Macro_2_Business Excellence Dashboard-Jul2012-ERP HU (OracleApps)-consolidated 2" xfId="9713" xr:uid="{00000000-0005-0000-0000-0000BF050000}"/>
    <cellStyle name="%_Project Progress_HU-Risk-dashboard_SAPProjects_Template-Macro_2_Business Excellence Dashboard-Jul2012-ERP HU (OracleApps)-consolidated 3" xfId="8515" xr:uid="{00000000-0005-0000-0000-0000C0050000}"/>
    <cellStyle name="%_Project Progress_HU-Risk-dashboard_SAPProjects_Template-Macro_2_Business Excellence Dashboard-Jul2012-ERP HU (OracleApps)-consolidated 4" xfId="7317" xr:uid="{00000000-0005-0000-0000-0000C1050000}"/>
    <cellStyle name="%_Project Progress_HU-Risk-dashboard_SAPProjects_Template-Macro_2_Business Excellence Dashboard-Jul2012-ERP HU (OracleApps)-consolidated 5" xfId="6119" xr:uid="{00000000-0005-0000-0000-0000C2050000}"/>
    <cellStyle name="%_Project Progress_HU-Risk-dashboard_SAPProjects_Template-Macro_2_Business Excellence Dashboard-Jul2012-ERP HU (OracleApps)-consolidated 6" xfId="4920" xr:uid="{00000000-0005-0000-0000-0000C3050000}"/>
    <cellStyle name="%_Project Progress_HU-Risk-dashboard_SAPProjects_Template-Macro_2_Business Excellence Dashboard-Jul2012-ERP HU (OracleApps)-consolidated 7" xfId="3721" xr:uid="{00000000-0005-0000-0000-0000C4050000}"/>
    <cellStyle name="%_Project Progress_HU-Risk-dashboard_SAPProjects_Template-Macro_2_Business Excellence Dashboard-Jul2012-ERP HU (OracleApps)-consolidated_BusinessExcellenceDashboard_OCt2012_MS HU-ERased" xfId="368" xr:uid="{00000000-0005-0000-0000-0000C5050000}"/>
    <cellStyle name="%_Project Progress_HU-Risk-dashboard_SAPProjects_Template-Macro_2_BusinessExcellenceDashboard_OCt2012_MS HU-ERased" xfId="369" xr:uid="{00000000-0005-0000-0000-0000C6050000}"/>
    <cellStyle name="%_Project Progress_HU-Risk-dashboard_SAPProjects_Template-Macro_2_copydatamacro" xfId="370" xr:uid="{00000000-0005-0000-0000-0000C7050000}"/>
    <cellStyle name="%_Project Progress_HU-Risk-dashboard_SAPProjects_Template-Macro_2_copydatamacro 2" xfId="9714" xr:uid="{00000000-0005-0000-0000-0000C8050000}"/>
    <cellStyle name="%_Project Progress_HU-Risk-dashboard_SAPProjects_Template-Macro_2_copydatamacro 3" xfId="8516" xr:uid="{00000000-0005-0000-0000-0000C9050000}"/>
    <cellStyle name="%_Project Progress_HU-Risk-dashboard_SAPProjects_Template-Macro_2_copydatamacro 4" xfId="7318" xr:uid="{00000000-0005-0000-0000-0000CA050000}"/>
    <cellStyle name="%_Project Progress_HU-Risk-dashboard_SAPProjects_Template-Macro_2_copydatamacro 5" xfId="6120" xr:uid="{00000000-0005-0000-0000-0000CB050000}"/>
    <cellStyle name="%_Project Progress_HU-Risk-dashboard_SAPProjects_Template-Macro_2_copydatamacro 6" xfId="4921" xr:uid="{00000000-0005-0000-0000-0000CC050000}"/>
    <cellStyle name="%_Project Progress_HU-Risk-dashboard_SAPProjects_Template-Macro_2_copydatamacro 7" xfId="3722" xr:uid="{00000000-0005-0000-0000-0000CD050000}"/>
    <cellStyle name="%_Project Progress_HU-Risk-dashboard_SAPProjects_Template-Macro_2_copydatamacro_BusinessExcellenceDashboard_OCt2012_MS HU-ERased" xfId="371" xr:uid="{00000000-0005-0000-0000-0000CE050000}"/>
    <cellStyle name="%_Project Progress_HU-Risk-dashboard_SAPProjects_Template-Macro_Book1" xfId="372" xr:uid="{00000000-0005-0000-0000-0000CF050000}"/>
    <cellStyle name="%_Project Progress_HU-Risk-dashboard_SAPProjects_Template-Macro_Book1 2" xfId="9715" xr:uid="{00000000-0005-0000-0000-0000D0050000}"/>
    <cellStyle name="%_Project Progress_HU-Risk-dashboard_SAPProjects_Template-Macro_Book1 3" xfId="8517" xr:uid="{00000000-0005-0000-0000-0000D1050000}"/>
    <cellStyle name="%_Project Progress_HU-Risk-dashboard_SAPProjects_Template-Macro_Book1 4" xfId="7319" xr:uid="{00000000-0005-0000-0000-0000D2050000}"/>
    <cellStyle name="%_Project Progress_HU-Risk-dashboard_SAPProjects_Template-Macro_Book1 5" xfId="6121" xr:uid="{00000000-0005-0000-0000-0000D3050000}"/>
    <cellStyle name="%_Project Progress_HU-Risk-dashboard_SAPProjects_Template-Macro_Book1 6" xfId="4922" xr:uid="{00000000-0005-0000-0000-0000D4050000}"/>
    <cellStyle name="%_Project Progress_HU-Risk-dashboard_SAPProjects_Template-Macro_Book1 7" xfId="3723" xr:uid="{00000000-0005-0000-0000-0000D5050000}"/>
    <cellStyle name="%_Project Progress_HU-Risk-dashboard_SAPProjects_Template-Macro_Book1_Business Excellence Dashboard-Aug2012-ERP HU (OracleApps)" xfId="373" xr:uid="{00000000-0005-0000-0000-0000D6050000}"/>
    <cellStyle name="%_Project Progress_HU-Risk-dashboard_SAPProjects_Template-Macro_Book1_Business Excellence Dashboard-Aug2012-ERP HU (OracleApps) 2" xfId="9716" xr:uid="{00000000-0005-0000-0000-0000D7050000}"/>
    <cellStyle name="%_Project Progress_HU-Risk-dashboard_SAPProjects_Template-Macro_Book1_Business Excellence Dashboard-Aug2012-ERP HU (OracleApps) 3" xfId="8518" xr:uid="{00000000-0005-0000-0000-0000D8050000}"/>
    <cellStyle name="%_Project Progress_HU-Risk-dashboard_SAPProjects_Template-Macro_Book1_Business Excellence Dashboard-Aug2012-ERP HU (OracleApps) 4" xfId="7320" xr:uid="{00000000-0005-0000-0000-0000D9050000}"/>
    <cellStyle name="%_Project Progress_HU-Risk-dashboard_SAPProjects_Template-Macro_Book1_Business Excellence Dashboard-Aug2012-ERP HU (OracleApps) 5" xfId="6122" xr:uid="{00000000-0005-0000-0000-0000DA050000}"/>
    <cellStyle name="%_Project Progress_HU-Risk-dashboard_SAPProjects_Template-Macro_Book1_Business Excellence Dashboard-Aug2012-ERP HU (OracleApps) 6" xfId="4923" xr:uid="{00000000-0005-0000-0000-0000DB050000}"/>
    <cellStyle name="%_Project Progress_HU-Risk-dashboard_SAPProjects_Template-Macro_Book1_Business Excellence Dashboard-Aug2012-ERP HU (OracleApps) 7" xfId="3724" xr:uid="{00000000-0005-0000-0000-0000DC050000}"/>
    <cellStyle name="%_Project Progress_HU-Risk-dashboard_SAPProjects_Template-Macro_Book1_Business Excellence Dashboard-Aug2012-ERP HU (OracleApps)_BusinessExcellenceDashboard_OCt2012_MS HU-ERased" xfId="374" xr:uid="{00000000-0005-0000-0000-0000DD050000}"/>
    <cellStyle name="%_Project Progress_HU-Risk-dashboard_SAPProjects_Template-Macro_Book1_Business Excellence Dashboard-Jul2012-ERP HU (OracleApps)-consolidated" xfId="375" xr:uid="{00000000-0005-0000-0000-0000DE050000}"/>
    <cellStyle name="%_Project Progress_HU-Risk-dashboard_SAPProjects_Template-Macro_Book1_Business Excellence Dashboard-Jul2012-ERP HU (OracleApps)-consolidated 2" xfId="9717" xr:uid="{00000000-0005-0000-0000-0000DF050000}"/>
    <cellStyle name="%_Project Progress_HU-Risk-dashboard_SAPProjects_Template-Macro_Book1_Business Excellence Dashboard-Jul2012-ERP HU (OracleApps)-consolidated 3" xfId="8519" xr:uid="{00000000-0005-0000-0000-0000E0050000}"/>
    <cellStyle name="%_Project Progress_HU-Risk-dashboard_SAPProjects_Template-Macro_Book1_Business Excellence Dashboard-Jul2012-ERP HU (OracleApps)-consolidated 4" xfId="7321" xr:uid="{00000000-0005-0000-0000-0000E1050000}"/>
    <cellStyle name="%_Project Progress_HU-Risk-dashboard_SAPProjects_Template-Macro_Book1_Business Excellence Dashboard-Jul2012-ERP HU (OracleApps)-consolidated 5" xfId="6123" xr:uid="{00000000-0005-0000-0000-0000E2050000}"/>
    <cellStyle name="%_Project Progress_HU-Risk-dashboard_SAPProjects_Template-Macro_Book1_Business Excellence Dashboard-Jul2012-ERP HU (OracleApps)-consolidated 6" xfId="4924" xr:uid="{00000000-0005-0000-0000-0000E3050000}"/>
    <cellStyle name="%_Project Progress_HU-Risk-dashboard_SAPProjects_Template-Macro_Book1_Business Excellence Dashboard-Jul2012-ERP HU (OracleApps)-consolidated 7" xfId="3725" xr:uid="{00000000-0005-0000-0000-0000E4050000}"/>
    <cellStyle name="%_Project Progress_HU-Risk-dashboard_SAPProjects_Template-Macro_Book1_Business Excellence Dashboard-Jul2012-ERP HU (OracleApps)-consolidated_BusinessExcellenceDashboard_OCt2012_MS HU-ERased" xfId="376" xr:uid="{00000000-0005-0000-0000-0000E5050000}"/>
    <cellStyle name="%_Project Progress_HU-Risk-dashboard_SAPProjects_Template-Macro_Book1_BusinessExcellenceDashboard_OCt2012_MS HU-ERased" xfId="377" xr:uid="{00000000-0005-0000-0000-0000E6050000}"/>
    <cellStyle name="%_Project Progress_HU-Risk-dashboard_SAPProjects_Template-Macro_Book1_copydatamacro" xfId="378" xr:uid="{00000000-0005-0000-0000-0000E7050000}"/>
    <cellStyle name="%_Project Progress_HU-Risk-dashboard_SAPProjects_Template-Macro_Book1_copydatamacro 2" xfId="9718" xr:uid="{00000000-0005-0000-0000-0000E8050000}"/>
    <cellStyle name="%_Project Progress_HU-Risk-dashboard_SAPProjects_Template-Macro_Book1_copydatamacro 3" xfId="8520" xr:uid="{00000000-0005-0000-0000-0000E9050000}"/>
    <cellStyle name="%_Project Progress_HU-Risk-dashboard_SAPProjects_Template-Macro_Book1_copydatamacro 4" xfId="7322" xr:uid="{00000000-0005-0000-0000-0000EA050000}"/>
    <cellStyle name="%_Project Progress_HU-Risk-dashboard_SAPProjects_Template-Macro_Book1_copydatamacro 5" xfId="6124" xr:uid="{00000000-0005-0000-0000-0000EB050000}"/>
    <cellStyle name="%_Project Progress_HU-Risk-dashboard_SAPProjects_Template-Macro_Book1_copydatamacro 6" xfId="4925" xr:uid="{00000000-0005-0000-0000-0000EC050000}"/>
    <cellStyle name="%_Project Progress_HU-Risk-dashboard_SAPProjects_Template-Macro_Book1_copydatamacro 7" xfId="3726" xr:uid="{00000000-0005-0000-0000-0000ED050000}"/>
    <cellStyle name="%_Project Progress_HU-Risk-dashboard_SAPProjects_Template-Macro_Book1_copydatamacro_BusinessExcellenceDashboard_OCt2012_MS HU-ERased" xfId="379" xr:uid="{00000000-0005-0000-0000-0000EE050000}"/>
    <cellStyle name="%_Project Progress_HU-Risk-dashboard_SAPProjects_Template-Macro_Business Excellence Dashboard-Aug2012-ERP HU (OracleApps)" xfId="380" xr:uid="{00000000-0005-0000-0000-0000EF050000}"/>
    <cellStyle name="%_Project Progress_HU-Risk-dashboard_SAPProjects_Template-Macro_Business Excellence Dashboard-Aug2012-ERP HU (OracleApps) 2" xfId="9719" xr:uid="{00000000-0005-0000-0000-0000F0050000}"/>
    <cellStyle name="%_Project Progress_HU-Risk-dashboard_SAPProjects_Template-Macro_Business Excellence Dashboard-Aug2012-ERP HU (OracleApps) 3" xfId="8521" xr:uid="{00000000-0005-0000-0000-0000F1050000}"/>
    <cellStyle name="%_Project Progress_HU-Risk-dashboard_SAPProjects_Template-Macro_Business Excellence Dashboard-Aug2012-ERP HU (OracleApps) 4" xfId="7323" xr:uid="{00000000-0005-0000-0000-0000F2050000}"/>
    <cellStyle name="%_Project Progress_HU-Risk-dashboard_SAPProjects_Template-Macro_Business Excellence Dashboard-Aug2012-ERP HU (OracleApps) 5" xfId="6125" xr:uid="{00000000-0005-0000-0000-0000F3050000}"/>
    <cellStyle name="%_Project Progress_HU-Risk-dashboard_SAPProjects_Template-Macro_Business Excellence Dashboard-Aug2012-ERP HU (OracleApps) 6" xfId="4926" xr:uid="{00000000-0005-0000-0000-0000F4050000}"/>
    <cellStyle name="%_Project Progress_HU-Risk-dashboard_SAPProjects_Template-Macro_Business Excellence Dashboard-Aug2012-ERP HU (OracleApps) 7" xfId="3727" xr:uid="{00000000-0005-0000-0000-0000F5050000}"/>
    <cellStyle name="%_Project Progress_HU-Risk-dashboard_SAPProjects_Template-Macro_Business Excellence Dashboard-Aug2012-ERP HU (OracleApps)_BusinessExcellenceDashboard_OCt2012_MS HU-ERased" xfId="381" xr:uid="{00000000-0005-0000-0000-0000F6050000}"/>
    <cellStyle name="%_Project Progress_HU-Risk-dashboard_SAPProjects_Template-Macro_Business Excellence Dashboard-Jul2012-ERP HU (OracleApps)-consolidated" xfId="382" xr:uid="{00000000-0005-0000-0000-0000F7050000}"/>
    <cellStyle name="%_Project Progress_HU-Risk-dashboard_SAPProjects_Template-Macro_Business Excellence Dashboard-Jul2012-ERP HU (OracleApps)-consolidated 2" xfId="9720" xr:uid="{00000000-0005-0000-0000-0000F8050000}"/>
    <cellStyle name="%_Project Progress_HU-Risk-dashboard_SAPProjects_Template-Macro_Business Excellence Dashboard-Jul2012-ERP HU (OracleApps)-consolidated 3" xfId="8522" xr:uid="{00000000-0005-0000-0000-0000F9050000}"/>
    <cellStyle name="%_Project Progress_HU-Risk-dashboard_SAPProjects_Template-Macro_Business Excellence Dashboard-Jul2012-ERP HU (OracleApps)-consolidated 4" xfId="7324" xr:uid="{00000000-0005-0000-0000-0000FA050000}"/>
    <cellStyle name="%_Project Progress_HU-Risk-dashboard_SAPProjects_Template-Macro_Business Excellence Dashboard-Jul2012-ERP HU (OracleApps)-consolidated 5" xfId="6126" xr:uid="{00000000-0005-0000-0000-0000FB050000}"/>
    <cellStyle name="%_Project Progress_HU-Risk-dashboard_SAPProjects_Template-Macro_Business Excellence Dashboard-Jul2012-ERP HU (OracleApps)-consolidated 6" xfId="4927" xr:uid="{00000000-0005-0000-0000-0000FC050000}"/>
    <cellStyle name="%_Project Progress_HU-Risk-dashboard_SAPProjects_Template-Macro_Business Excellence Dashboard-Jul2012-ERP HU (OracleApps)-consolidated 7" xfId="3728" xr:uid="{00000000-0005-0000-0000-0000FD050000}"/>
    <cellStyle name="%_Project Progress_HU-Risk-dashboard_SAPProjects_Template-Macro_Business Excellence Dashboard-Jul2012-ERP HU (OracleApps)-consolidated_BusinessExcellenceDashboard_OCt2012_MS HU-ERased" xfId="383" xr:uid="{00000000-0005-0000-0000-0000FE050000}"/>
    <cellStyle name="%_Project Progress_HU-Risk-dashboard_SAPProjects_Template-Macro_BusinessExcellenceDashboard_OCt2012_MS HU-ERased" xfId="384" xr:uid="{00000000-0005-0000-0000-0000FF050000}"/>
    <cellStyle name="%_Project Progress_HU-Risk-dashboard_SAPProjects_Template-Macro_copydatamacro" xfId="385" xr:uid="{00000000-0005-0000-0000-000000060000}"/>
    <cellStyle name="%_Project Progress_HU-Risk-dashboard_SAPProjects_Template-Macro_copydatamacro 2" xfId="9721" xr:uid="{00000000-0005-0000-0000-000001060000}"/>
    <cellStyle name="%_Project Progress_HU-Risk-dashboard_SAPProjects_Template-Macro_copydatamacro 3" xfId="8523" xr:uid="{00000000-0005-0000-0000-000002060000}"/>
    <cellStyle name="%_Project Progress_HU-Risk-dashboard_SAPProjects_Template-Macro_copydatamacro 4" xfId="7325" xr:uid="{00000000-0005-0000-0000-000003060000}"/>
    <cellStyle name="%_Project Progress_HU-Risk-dashboard_SAPProjects_Template-Macro_copydatamacro 5" xfId="6127" xr:uid="{00000000-0005-0000-0000-000004060000}"/>
    <cellStyle name="%_Project Progress_HU-Risk-dashboard_SAPProjects_Template-Macro_copydatamacro 6" xfId="4928" xr:uid="{00000000-0005-0000-0000-000005060000}"/>
    <cellStyle name="%_Project Progress_HU-Risk-dashboard_SAPProjects_Template-Macro_copydatamacro 7" xfId="3729" xr:uid="{00000000-0005-0000-0000-000006060000}"/>
    <cellStyle name="%_Project Progress_HU-Risk-dashboard_SAPProjects_Template-Macro_copydatamacro_BusinessExcellenceDashboard_OCt2012_MS HU-ERased" xfId="386" xr:uid="{00000000-0005-0000-0000-000007060000}"/>
    <cellStyle name="%_Project Progress_HU-Risk-dashboard_SAPProjects_Template-Macro_MSHU_BusinessExcellenceDashboardV2.2-May2012-3" xfId="387" xr:uid="{00000000-0005-0000-0000-000008060000}"/>
    <cellStyle name="%_Project Progress_HU-Risk-dashboard_SAPProjects_Template-Macro_MSHU_BusinessExcellenceDashboardV2.2-May2012-3 2" xfId="9722" xr:uid="{00000000-0005-0000-0000-000009060000}"/>
    <cellStyle name="%_Project Progress_HU-Risk-dashboard_SAPProjects_Template-Macro_MSHU_BusinessExcellenceDashboardV2.2-May2012-3 3" xfId="8524" xr:uid="{00000000-0005-0000-0000-00000A060000}"/>
    <cellStyle name="%_Project Progress_HU-Risk-dashboard_SAPProjects_Template-Macro_MSHU_BusinessExcellenceDashboardV2.2-May2012-3 4" xfId="7326" xr:uid="{00000000-0005-0000-0000-00000B060000}"/>
    <cellStyle name="%_Project Progress_HU-Risk-dashboard_SAPProjects_Template-Macro_MSHU_BusinessExcellenceDashboardV2.2-May2012-3 5" xfId="6128" xr:uid="{00000000-0005-0000-0000-00000C060000}"/>
    <cellStyle name="%_Project Progress_HU-Risk-dashboard_SAPProjects_Template-Macro_MSHU_BusinessExcellenceDashboardV2.2-May2012-3 6" xfId="4929" xr:uid="{00000000-0005-0000-0000-00000D060000}"/>
    <cellStyle name="%_Project Progress_HU-Risk-dashboard_SAPProjects_Template-Macro_MSHU_BusinessExcellenceDashboardV2.2-May2012-3 7" xfId="3730" xr:uid="{00000000-0005-0000-0000-00000E060000}"/>
    <cellStyle name="%_Project Progress_HU-Risk-dashboard_SAPProjects_Template-Macro_MSHU_BusinessExcellenceDashboardV2.2-May2012-3_Business Excellence Dashboard-Aug2012-ERP HU (OracleApps)" xfId="388" xr:uid="{00000000-0005-0000-0000-00000F060000}"/>
    <cellStyle name="%_Project Progress_HU-Risk-dashboard_SAPProjects_Template-Macro_MSHU_BusinessExcellenceDashboardV2.2-May2012-3_Business Excellence Dashboard-Aug2012-ERP HU (OracleApps) 2" xfId="9723" xr:uid="{00000000-0005-0000-0000-000010060000}"/>
    <cellStyle name="%_Project Progress_HU-Risk-dashboard_SAPProjects_Template-Macro_MSHU_BusinessExcellenceDashboardV2.2-May2012-3_Business Excellence Dashboard-Aug2012-ERP HU (OracleApps) 3" xfId="8525" xr:uid="{00000000-0005-0000-0000-000011060000}"/>
    <cellStyle name="%_Project Progress_HU-Risk-dashboard_SAPProjects_Template-Macro_MSHU_BusinessExcellenceDashboardV2.2-May2012-3_Business Excellence Dashboard-Aug2012-ERP HU (OracleApps) 4" xfId="7327" xr:uid="{00000000-0005-0000-0000-000012060000}"/>
    <cellStyle name="%_Project Progress_HU-Risk-dashboard_SAPProjects_Template-Macro_MSHU_BusinessExcellenceDashboardV2.2-May2012-3_Business Excellence Dashboard-Aug2012-ERP HU (OracleApps) 5" xfId="6129" xr:uid="{00000000-0005-0000-0000-000013060000}"/>
    <cellStyle name="%_Project Progress_HU-Risk-dashboard_SAPProjects_Template-Macro_MSHU_BusinessExcellenceDashboardV2.2-May2012-3_Business Excellence Dashboard-Aug2012-ERP HU (OracleApps) 6" xfId="4930" xr:uid="{00000000-0005-0000-0000-000014060000}"/>
    <cellStyle name="%_Project Progress_HU-Risk-dashboard_SAPProjects_Template-Macro_MSHU_BusinessExcellenceDashboardV2.2-May2012-3_Business Excellence Dashboard-Aug2012-ERP HU (OracleApps) 7" xfId="3731" xr:uid="{00000000-0005-0000-0000-000015060000}"/>
    <cellStyle name="%_Project Progress_HU-Risk-dashboard_SAPProjects_Template-Macro_MSHU_BusinessExcellenceDashboardV2.2-May2012-3_Business Excellence Dashboard-Aug2012-ERP HU (OracleApps)_BusinessExcellenceDashboard_OCt2012_MS HU-ERased" xfId="389" xr:uid="{00000000-0005-0000-0000-000016060000}"/>
    <cellStyle name="%_Project Progress_HU-Risk-dashboard_SAPProjects_Template-Macro_MSHU_BusinessExcellenceDashboardV2.2-May2012-3_Business Excellence Dashboard-Jul2012-ERP HU (OracleApps)-consolidated" xfId="390" xr:uid="{00000000-0005-0000-0000-000017060000}"/>
    <cellStyle name="%_Project Progress_HU-Risk-dashboard_SAPProjects_Template-Macro_MSHU_BusinessExcellenceDashboardV2.2-May2012-3_Business Excellence Dashboard-Jul2012-ERP HU (OracleApps)-consolidated 2" xfId="9724" xr:uid="{00000000-0005-0000-0000-000018060000}"/>
    <cellStyle name="%_Project Progress_HU-Risk-dashboard_SAPProjects_Template-Macro_MSHU_BusinessExcellenceDashboardV2.2-May2012-3_Business Excellence Dashboard-Jul2012-ERP HU (OracleApps)-consolidated 3" xfId="8526" xr:uid="{00000000-0005-0000-0000-000019060000}"/>
    <cellStyle name="%_Project Progress_HU-Risk-dashboard_SAPProjects_Template-Macro_MSHU_BusinessExcellenceDashboardV2.2-May2012-3_Business Excellence Dashboard-Jul2012-ERP HU (OracleApps)-consolidated 4" xfId="7328" xr:uid="{00000000-0005-0000-0000-00001A060000}"/>
    <cellStyle name="%_Project Progress_HU-Risk-dashboard_SAPProjects_Template-Macro_MSHU_BusinessExcellenceDashboardV2.2-May2012-3_Business Excellence Dashboard-Jul2012-ERP HU (OracleApps)-consolidated 5" xfId="6130" xr:uid="{00000000-0005-0000-0000-00001B060000}"/>
    <cellStyle name="%_Project Progress_HU-Risk-dashboard_SAPProjects_Template-Macro_MSHU_BusinessExcellenceDashboardV2.2-May2012-3_Business Excellence Dashboard-Jul2012-ERP HU (OracleApps)-consolidated 6" xfId="4931" xr:uid="{00000000-0005-0000-0000-00001C060000}"/>
    <cellStyle name="%_Project Progress_HU-Risk-dashboard_SAPProjects_Template-Macro_MSHU_BusinessExcellenceDashboardV2.2-May2012-3_Business Excellence Dashboard-Jul2012-ERP HU (OracleApps)-consolidated 7" xfId="3732" xr:uid="{00000000-0005-0000-0000-00001D060000}"/>
    <cellStyle name="%_Project Progress_HU-Risk-dashboard_SAPProjects_Template-Macro_MSHU_BusinessExcellenceDashboardV2.2-May2012-3_Business Excellence Dashboard-Jul2012-ERP HU (OracleApps)-consolidated_BusinessExcellenceDashboard_OCt2012_MS HU-ERased" xfId="391" xr:uid="{00000000-0005-0000-0000-00001E060000}"/>
    <cellStyle name="%_Project Progress_HU-Risk-dashboard_SAPProjects_Template-Macro_MSHU_BusinessExcellenceDashboardV2.2-May2012-3_BusinessExcellenceDashboard_OCt2012_MS HU-ERased" xfId="392" xr:uid="{00000000-0005-0000-0000-00001F060000}"/>
    <cellStyle name="%_Project Progress_HU-Risk-dashboard_SAPProjects_Template-Macro_MSHU_BusinessExcellenceDashboardV2.2-May2012-3_copydatamacro" xfId="393" xr:uid="{00000000-0005-0000-0000-000020060000}"/>
    <cellStyle name="%_Project Progress_HU-Risk-dashboard_SAPProjects_Template-Macro_MSHU_BusinessExcellenceDashboardV2.2-May2012-3_copydatamacro 2" xfId="9725" xr:uid="{00000000-0005-0000-0000-000021060000}"/>
    <cellStyle name="%_Project Progress_HU-Risk-dashboard_SAPProjects_Template-Macro_MSHU_BusinessExcellenceDashboardV2.2-May2012-3_copydatamacro 3" xfId="8527" xr:uid="{00000000-0005-0000-0000-000022060000}"/>
    <cellStyle name="%_Project Progress_HU-Risk-dashboard_SAPProjects_Template-Macro_MSHU_BusinessExcellenceDashboardV2.2-May2012-3_copydatamacro 4" xfId="7329" xr:uid="{00000000-0005-0000-0000-000023060000}"/>
    <cellStyle name="%_Project Progress_HU-Risk-dashboard_SAPProjects_Template-Macro_MSHU_BusinessExcellenceDashboardV2.2-May2012-3_copydatamacro 5" xfId="6131" xr:uid="{00000000-0005-0000-0000-000024060000}"/>
    <cellStyle name="%_Project Progress_HU-Risk-dashboard_SAPProjects_Template-Macro_MSHU_BusinessExcellenceDashboardV2.2-May2012-3_copydatamacro 6" xfId="4932" xr:uid="{00000000-0005-0000-0000-000025060000}"/>
    <cellStyle name="%_Project Progress_HU-Risk-dashboard_SAPProjects_Template-Macro_MSHU_BusinessExcellenceDashboardV2.2-May2012-3_copydatamacro 7" xfId="3733" xr:uid="{00000000-0005-0000-0000-000026060000}"/>
    <cellStyle name="%_Project Progress_HU-Risk-dashboard_SAPProjects_Template-Macro_MSHU_BusinessExcellenceDashboardV2.2-May2012-3_copydatamacro_BusinessExcellenceDashboard_OCt2012_MS HU-ERased" xfId="394" xr:uid="{00000000-0005-0000-0000-000027060000}"/>
    <cellStyle name="%_Project Progress_MSHU_BusinessExcellenceDashboardV2.2-May2012-3" xfId="395" xr:uid="{00000000-0005-0000-0000-000028060000}"/>
    <cellStyle name="%_Project Progress_MSHU_BusinessExcellenceDashboardV2.2-May2012-3 2" xfId="9726" xr:uid="{00000000-0005-0000-0000-000029060000}"/>
    <cellStyle name="%_Project Progress_MSHU_BusinessExcellenceDashboardV2.2-May2012-3 3" xfId="8528" xr:uid="{00000000-0005-0000-0000-00002A060000}"/>
    <cellStyle name="%_Project Progress_MSHU_BusinessExcellenceDashboardV2.2-May2012-3 4" xfId="7330" xr:uid="{00000000-0005-0000-0000-00002B060000}"/>
    <cellStyle name="%_Project Progress_MSHU_BusinessExcellenceDashboardV2.2-May2012-3 5" xfId="6132" xr:uid="{00000000-0005-0000-0000-00002C060000}"/>
    <cellStyle name="%_Project Progress_MSHU_BusinessExcellenceDashboardV2.2-May2012-3 6" xfId="4933" xr:uid="{00000000-0005-0000-0000-00002D060000}"/>
    <cellStyle name="%_Project Progress_MSHU_BusinessExcellenceDashboardV2.2-May2012-3 7" xfId="3734" xr:uid="{00000000-0005-0000-0000-00002E060000}"/>
    <cellStyle name="%_Project Progress_MSHU_BusinessExcellenceDashboardV2.2-May2012-3_Business Excellence Dashboard-Aug2012-ERP HU (OracleApps)" xfId="396" xr:uid="{00000000-0005-0000-0000-00002F060000}"/>
    <cellStyle name="%_Project Progress_MSHU_BusinessExcellenceDashboardV2.2-May2012-3_Business Excellence Dashboard-Aug2012-ERP HU (OracleApps) 2" xfId="9727" xr:uid="{00000000-0005-0000-0000-000030060000}"/>
    <cellStyle name="%_Project Progress_MSHU_BusinessExcellenceDashboardV2.2-May2012-3_Business Excellence Dashboard-Aug2012-ERP HU (OracleApps) 3" xfId="8529" xr:uid="{00000000-0005-0000-0000-000031060000}"/>
    <cellStyle name="%_Project Progress_MSHU_BusinessExcellenceDashboardV2.2-May2012-3_Business Excellence Dashboard-Aug2012-ERP HU (OracleApps) 4" xfId="7331" xr:uid="{00000000-0005-0000-0000-000032060000}"/>
    <cellStyle name="%_Project Progress_MSHU_BusinessExcellenceDashboardV2.2-May2012-3_Business Excellence Dashboard-Aug2012-ERP HU (OracleApps) 5" xfId="6133" xr:uid="{00000000-0005-0000-0000-000033060000}"/>
    <cellStyle name="%_Project Progress_MSHU_BusinessExcellenceDashboardV2.2-May2012-3_Business Excellence Dashboard-Aug2012-ERP HU (OracleApps) 6" xfId="4934" xr:uid="{00000000-0005-0000-0000-000034060000}"/>
    <cellStyle name="%_Project Progress_MSHU_BusinessExcellenceDashboardV2.2-May2012-3_Business Excellence Dashboard-Aug2012-ERP HU (OracleApps) 7" xfId="3735" xr:uid="{00000000-0005-0000-0000-000035060000}"/>
    <cellStyle name="%_Project Progress_MSHU_BusinessExcellenceDashboardV2.2-May2012-3_Business Excellence Dashboard-Aug2012-ERP HU (OracleApps)_BusinessExcellenceDashboard_OCt2012_MS HU-ERased" xfId="397" xr:uid="{00000000-0005-0000-0000-000036060000}"/>
    <cellStyle name="%_Project Progress_MSHU_BusinessExcellenceDashboardV2.2-May2012-3_Business Excellence Dashboard-Jul2012-ERP HU (OracleApps)-consolidated" xfId="398" xr:uid="{00000000-0005-0000-0000-000037060000}"/>
    <cellStyle name="%_Project Progress_MSHU_BusinessExcellenceDashboardV2.2-May2012-3_Business Excellence Dashboard-Jul2012-ERP HU (OracleApps)-consolidated 2" xfId="9728" xr:uid="{00000000-0005-0000-0000-000038060000}"/>
    <cellStyle name="%_Project Progress_MSHU_BusinessExcellenceDashboardV2.2-May2012-3_Business Excellence Dashboard-Jul2012-ERP HU (OracleApps)-consolidated 3" xfId="8530" xr:uid="{00000000-0005-0000-0000-000039060000}"/>
    <cellStyle name="%_Project Progress_MSHU_BusinessExcellenceDashboardV2.2-May2012-3_Business Excellence Dashboard-Jul2012-ERP HU (OracleApps)-consolidated 4" xfId="7332" xr:uid="{00000000-0005-0000-0000-00003A060000}"/>
    <cellStyle name="%_Project Progress_MSHU_BusinessExcellenceDashboardV2.2-May2012-3_Business Excellence Dashboard-Jul2012-ERP HU (OracleApps)-consolidated 5" xfId="6134" xr:uid="{00000000-0005-0000-0000-00003B060000}"/>
    <cellStyle name="%_Project Progress_MSHU_BusinessExcellenceDashboardV2.2-May2012-3_Business Excellence Dashboard-Jul2012-ERP HU (OracleApps)-consolidated 6" xfId="4935" xr:uid="{00000000-0005-0000-0000-00003C060000}"/>
    <cellStyle name="%_Project Progress_MSHU_BusinessExcellenceDashboardV2.2-May2012-3_Business Excellence Dashboard-Jul2012-ERP HU (OracleApps)-consolidated 7" xfId="3736" xr:uid="{00000000-0005-0000-0000-00003D060000}"/>
    <cellStyle name="%_Project Progress_MSHU_BusinessExcellenceDashboardV2.2-May2012-3_Business Excellence Dashboard-Jul2012-ERP HU (OracleApps)-consolidated_BusinessExcellenceDashboard_OCt2012_MS HU-ERased" xfId="399" xr:uid="{00000000-0005-0000-0000-00003E060000}"/>
    <cellStyle name="%_Project Progress_MSHU_BusinessExcellenceDashboardV2.2-May2012-3_BusinessExcellenceDashboard_OCt2012_MS HU-ERased" xfId="400" xr:uid="{00000000-0005-0000-0000-00003F060000}"/>
    <cellStyle name="%_Project Progress_MSHU_BusinessExcellenceDashboardV2.2-May2012-3_copydatamacro" xfId="401" xr:uid="{00000000-0005-0000-0000-000040060000}"/>
    <cellStyle name="%_Project Progress_MSHU_BusinessExcellenceDashboardV2.2-May2012-3_copydatamacro 2" xfId="9729" xr:uid="{00000000-0005-0000-0000-000041060000}"/>
    <cellStyle name="%_Project Progress_MSHU_BusinessExcellenceDashboardV2.2-May2012-3_copydatamacro 3" xfId="8531" xr:uid="{00000000-0005-0000-0000-000042060000}"/>
    <cellStyle name="%_Project Progress_MSHU_BusinessExcellenceDashboardV2.2-May2012-3_copydatamacro 4" xfId="7333" xr:uid="{00000000-0005-0000-0000-000043060000}"/>
    <cellStyle name="%_Project Progress_MSHU_BusinessExcellenceDashboardV2.2-May2012-3_copydatamacro 5" xfId="6135" xr:uid="{00000000-0005-0000-0000-000044060000}"/>
    <cellStyle name="%_Project Progress_MSHU_BusinessExcellenceDashboardV2.2-May2012-3_copydatamacro 6" xfId="4936" xr:uid="{00000000-0005-0000-0000-000045060000}"/>
    <cellStyle name="%_Project Progress_MSHU_BusinessExcellenceDashboardV2.2-May2012-3_copydatamacro 7" xfId="3737" xr:uid="{00000000-0005-0000-0000-000046060000}"/>
    <cellStyle name="%_Project Progress_MSHU_BusinessExcellenceDashboardV2.2-May2012-3_copydatamacro_BusinessExcellenceDashboard_OCt2012_MS HU-ERased" xfId="402" xr:uid="{00000000-0005-0000-0000-000047060000}"/>
    <cellStyle name="%_Project Progress_OS HU Dashboard Apr 2012-macro-08May" xfId="403" xr:uid="{00000000-0005-0000-0000-000048060000}"/>
    <cellStyle name="%_Project Progress_OS HU Dashboard Apr 2012-macro-08May 2" xfId="9730" xr:uid="{00000000-0005-0000-0000-000049060000}"/>
    <cellStyle name="%_Project Progress_OS HU Dashboard Apr 2012-macro-08May 3" xfId="8532" xr:uid="{00000000-0005-0000-0000-00004A060000}"/>
    <cellStyle name="%_Project Progress_OS HU Dashboard Apr 2012-macro-08May 4" xfId="7334" xr:uid="{00000000-0005-0000-0000-00004B060000}"/>
    <cellStyle name="%_Project Progress_OS HU Dashboard Apr 2012-macro-08May 5" xfId="6136" xr:uid="{00000000-0005-0000-0000-00004C060000}"/>
    <cellStyle name="%_Project Progress_OS HU Dashboard Apr 2012-macro-08May 6" xfId="4937" xr:uid="{00000000-0005-0000-0000-00004D060000}"/>
    <cellStyle name="%_Project Progress_OS HU Dashboard Apr 2012-macro-08May 7" xfId="3738" xr:uid="{00000000-0005-0000-0000-00004E060000}"/>
    <cellStyle name="%_Project Progress_OS HU Dashboard Apr 2012-macro-08May_2" xfId="404" xr:uid="{00000000-0005-0000-0000-00004F060000}"/>
    <cellStyle name="%_Project Progress_OS HU Dashboard Apr 2012-macro-08May_2 2" xfId="9731" xr:uid="{00000000-0005-0000-0000-000050060000}"/>
    <cellStyle name="%_Project Progress_OS HU Dashboard Apr 2012-macro-08May_2 3" xfId="8533" xr:uid="{00000000-0005-0000-0000-000051060000}"/>
    <cellStyle name="%_Project Progress_OS HU Dashboard Apr 2012-macro-08May_2 4" xfId="7335" xr:uid="{00000000-0005-0000-0000-000052060000}"/>
    <cellStyle name="%_Project Progress_OS HU Dashboard Apr 2012-macro-08May_2 5" xfId="6137" xr:uid="{00000000-0005-0000-0000-000053060000}"/>
    <cellStyle name="%_Project Progress_OS HU Dashboard Apr 2012-macro-08May_2 6" xfId="4938" xr:uid="{00000000-0005-0000-0000-000054060000}"/>
    <cellStyle name="%_Project Progress_OS HU Dashboard Apr 2012-macro-08May_2 7" xfId="3739" xr:uid="{00000000-0005-0000-0000-000055060000}"/>
    <cellStyle name="%_Project Progress_OS HU Dashboard Apr 2012-macro-08May_2_1" xfId="405" xr:uid="{00000000-0005-0000-0000-000056060000}"/>
    <cellStyle name="%_Project Progress_OS HU Dashboard Apr 2012-macro-08May_2_1 2" xfId="9732" xr:uid="{00000000-0005-0000-0000-000057060000}"/>
    <cellStyle name="%_Project Progress_OS HU Dashboard Apr 2012-macro-08May_2_1 3" xfId="8534" xr:uid="{00000000-0005-0000-0000-000058060000}"/>
    <cellStyle name="%_Project Progress_OS HU Dashboard Apr 2012-macro-08May_2_1 4" xfId="7336" xr:uid="{00000000-0005-0000-0000-000059060000}"/>
    <cellStyle name="%_Project Progress_OS HU Dashboard Apr 2012-macro-08May_2_1 5" xfId="6138" xr:uid="{00000000-0005-0000-0000-00005A060000}"/>
    <cellStyle name="%_Project Progress_OS HU Dashboard Apr 2012-macro-08May_2_1 6" xfId="4939" xr:uid="{00000000-0005-0000-0000-00005B060000}"/>
    <cellStyle name="%_Project Progress_OS HU Dashboard Apr 2012-macro-08May_2_1 7" xfId="3740" xr:uid="{00000000-0005-0000-0000-00005C060000}"/>
    <cellStyle name="%_Project Progress_OS HU Dashboard Apr 2012-macro-08May_2_1_Business Excellence Dashboard-Aug2012-ERP HU (OracleApps)" xfId="406" xr:uid="{00000000-0005-0000-0000-00005D060000}"/>
    <cellStyle name="%_Project Progress_OS HU Dashboard Apr 2012-macro-08May_2_1_Business Excellence Dashboard-Aug2012-ERP HU (OracleApps) 2" xfId="9733" xr:uid="{00000000-0005-0000-0000-00005E060000}"/>
    <cellStyle name="%_Project Progress_OS HU Dashboard Apr 2012-macro-08May_2_1_Business Excellence Dashboard-Aug2012-ERP HU (OracleApps) 3" xfId="8535" xr:uid="{00000000-0005-0000-0000-00005F060000}"/>
    <cellStyle name="%_Project Progress_OS HU Dashboard Apr 2012-macro-08May_2_1_Business Excellence Dashboard-Aug2012-ERP HU (OracleApps) 4" xfId="7337" xr:uid="{00000000-0005-0000-0000-000060060000}"/>
    <cellStyle name="%_Project Progress_OS HU Dashboard Apr 2012-macro-08May_2_1_Business Excellence Dashboard-Aug2012-ERP HU (OracleApps) 5" xfId="6139" xr:uid="{00000000-0005-0000-0000-000061060000}"/>
    <cellStyle name="%_Project Progress_OS HU Dashboard Apr 2012-macro-08May_2_1_Business Excellence Dashboard-Aug2012-ERP HU (OracleApps) 6" xfId="4940" xr:uid="{00000000-0005-0000-0000-000062060000}"/>
    <cellStyle name="%_Project Progress_OS HU Dashboard Apr 2012-macro-08May_2_1_Business Excellence Dashboard-Aug2012-ERP HU (OracleApps) 7" xfId="3741" xr:uid="{00000000-0005-0000-0000-000063060000}"/>
    <cellStyle name="%_Project Progress_OS HU Dashboard Apr 2012-macro-08May_2_1_Business Excellence Dashboard-Aug2012-ERP HU (OracleApps)_BusinessExcellenceDashboard_OCt2012_MS HU-ERased" xfId="407" xr:uid="{00000000-0005-0000-0000-000064060000}"/>
    <cellStyle name="%_Project Progress_OS HU Dashboard Apr 2012-macro-08May_2_1_BusinessExcellenceDashboard_OCt2012_MS HU-ERased" xfId="408" xr:uid="{00000000-0005-0000-0000-000065060000}"/>
    <cellStyle name="%_Project Progress_OS HU Dashboard Apr 2012-macro-08May_2_2" xfId="409" xr:uid="{00000000-0005-0000-0000-000066060000}"/>
    <cellStyle name="%_Project Progress_OS HU Dashboard Apr 2012-macro-08May_2_2 2" xfId="9734" xr:uid="{00000000-0005-0000-0000-000067060000}"/>
    <cellStyle name="%_Project Progress_OS HU Dashboard Apr 2012-macro-08May_2_2 3" xfId="8536" xr:uid="{00000000-0005-0000-0000-000068060000}"/>
    <cellStyle name="%_Project Progress_OS HU Dashboard Apr 2012-macro-08May_2_2 4" xfId="7338" xr:uid="{00000000-0005-0000-0000-000069060000}"/>
    <cellStyle name="%_Project Progress_OS HU Dashboard Apr 2012-macro-08May_2_2 5" xfId="6140" xr:uid="{00000000-0005-0000-0000-00006A060000}"/>
    <cellStyle name="%_Project Progress_OS HU Dashboard Apr 2012-macro-08May_2_2 6" xfId="4941" xr:uid="{00000000-0005-0000-0000-00006B060000}"/>
    <cellStyle name="%_Project Progress_OS HU Dashboard Apr 2012-macro-08May_2_2 7" xfId="3742" xr:uid="{00000000-0005-0000-0000-00006C060000}"/>
    <cellStyle name="%_Project Progress_OS HU Dashboard Apr 2012-macro-08May_2_2_BusinessExcellenceDashboard_OCt2012_MS HU-ERased" xfId="410" xr:uid="{00000000-0005-0000-0000-00006D060000}"/>
    <cellStyle name="%_Project Progress_OS HU Dashboard Apr 2012-macro-08May_2_Business Excellence Dashboard-Aug2012-ERP HU (OracleApps)" xfId="411" xr:uid="{00000000-0005-0000-0000-00006E060000}"/>
    <cellStyle name="%_Project Progress_OS HU Dashboard Apr 2012-macro-08May_2_Business Excellence Dashboard-Aug2012-ERP HU (OracleApps) 2" xfId="9735" xr:uid="{00000000-0005-0000-0000-00006F060000}"/>
    <cellStyle name="%_Project Progress_OS HU Dashboard Apr 2012-macro-08May_2_Business Excellence Dashboard-Aug2012-ERP HU (OracleApps) 3" xfId="8537" xr:uid="{00000000-0005-0000-0000-000070060000}"/>
    <cellStyle name="%_Project Progress_OS HU Dashboard Apr 2012-macro-08May_2_Business Excellence Dashboard-Aug2012-ERP HU (OracleApps) 4" xfId="7339" xr:uid="{00000000-0005-0000-0000-000071060000}"/>
    <cellStyle name="%_Project Progress_OS HU Dashboard Apr 2012-macro-08May_2_Business Excellence Dashboard-Aug2012-ERP HU (OracleApps) 5" xfId="6141" xr:uid="{00000000-0005-0000-0000-000072060000}"/>
    <cellStyle name="%_Project Progress_OS HU Dashboard Apr 2012-macro-08May_2_Business Excellence Dashboard-Aug2012-ERP HU (OracleApps) 6" xfId="4942" xr:uid="{00000000-0005-0000-0000-000073060000}"/>
    <cellStyle name="%_Project Progress_OS HU Dashboard Apr 2012-macro-08May_2_Business Excellence Dashboard-Aug2012-ERP HU (OracleApps) 7" xfId="3743" xr:uid="{00000000-0005-0000-0000-000074060000}"/>
    <cellStyle name="%_Project Progress_OS HU Dashboard Apr 2012-macro-08May_2_Business Excellence Dashboard-Aug2012-ERP HU (OracleApps)_BusinessExcellenceDashboard_OCt2012_MS HU-ERased" xfId="412" xr:uid="{00000000-0005-0000-0000-000075060000}"/>
    <cellStyle name="%_Project Progress_OS HU Dashboard Apr 2012-macro-08May_2_Business Excellence Dashboard-Jul2012-ERP HU (OracleApps)-consolidated" xfId="413" xr:uid="{00000000-0005-0000-0000-000076060000}"/>
    <cellStyle name="%_Project Progress_OS HU Dashboard Apr 2012-macro-08May_2_Business Excellence Dashboard-Jul2012-ERP HU (OracleApps)-consolidated 2" xfId="9736" xr:uid="{00000000-0005-0000-0000-000077060000}"/>
    <cellStyle name="%_Project Progress_OS HU Dashboard Apr 2012-macro-08May_2_Business Excellence Dashboard-Jul2012-ERP HU (OracleApps)-consolidated 3" xfId="8538" xr:uid="{00000000-0005-0000-0000-000078060000}"/>
    <cellStyle name="%_Project Progress_OS HU Dashboard Apr 2012-macro-08May_2_Business Excellence Dashboard-Jul2012-ERP HU (OracleApps)-consolidated 4" xfId="7340" xr:uid="{00000000-0005-0000-0000-000079060000}"/>
    <cellStyle name="%_Project Progress_OS HU Dashboard Apr 2012-macro-08May_2_Business Excellence Dashboard-Jul2012-ERP HU (OracleApps)-consolidated 5" xfId="6142" xr:uid="{00000000-0005-0000-0000-00007A060000}"/>
    <cellStyle name="%_Project Progress_OS HU Dashboard Apr 2012-macro-08May_2_Business Excellence Dashboard-Jul2012-ERP HU (OracleApps)-consolidated 6" xfId="4943" xr:uid="{00000000-0005-0000-0000-00007B060000}"/>
    <cellStyle name="%_Project Progress_OS HU Dashboard Apr 2012-macro-08May_2_Business Excellence Dashboard-Jul2012-ERP HU (OracleApps)-consolidated 7" xfId="3744" xr:uid="{00000000-0005-0000-0000-00007C060000}"/>
    <cellStyle name="%_Project Progress_OS HU Dashboard Apr 2012-macro-08May_2_Business Excellence Dashboard-Jul2012-ERP HU (OracleApps)-consolidated_BusinessExcellenceDashboard_OCt2012_MS HU-ERased" xfId="414" xr:uid="{00000000-0005-0000-0000-00007D060000}"/>
    <cellStyle name="%_Project Progress_OS HU Dashboard Apr 2012-macro-08May_2_BusinessExcellenceDashboard_OCt2012_MS HU-ERased" xfId="415" xr:uid="{00000000-0005-0000-0000-00007E060000}"/>
    <cellStyle name="%_Project Progress_OS HU Dashboard Apr 2012-macro-08May_2_copydatamacro" xfId="416" xr:uid="{00000000-0005-0000-0000-00007F060000}"/>
    <cellStyle name="%_Project Progress_OS HU Dashboard Apr 2012-macro-08May_2_copydatamacro 2" xfId="9737" xr:uid="{00000000-0005-0000-0000-000080060000}"/>
    <cellStyle name="%_Project Progress_OS HU Dashboard Apr 2012-macro-08May_2_copydatamacro 3" xfId="8539" xr:uid="{00000000-0005-0000-0000-000081060000}"/>
    <cellStyle name="%_Project Progress_OS HU Dashboard Apr 2012-macro-08May_2_copydatamacro 4" xfId="7341" xr:uid="{00000000-0005-0000-0000-000082060000}"/>
    <cellStyle name="%_Project Progress_OS HU Dashboard Apr 2012-macro-08May_2_copydatamacro 5" xfId="6143" xr:uid="{00000000-0005-0000-0000-000083060000}"/>
    <cellStyle name="%_Project Progress_OS HU Dashboard Apr 2012-macro-08May_2_copydatamacro 6" xfId="4944" xr:uid="{00000000-0005-0000-0000-000084060000}"/>
    <cellStyle name="%_Project Progress_OS HU Dashboard Apr 2012-macro-08May_2_copydatamacro 7" xfId="3745" xr:uid="{00000000-0005-0000-0000-000085060000}"/>
    <cellStyle name="%_Project Progress_OS HU Dashboard Apr 2012-macro-08May_2_copydatamacro_BusinessExcellenceDashboard_OCt2012_MS HU-ERased" xfId="417" xr:uid="{00000000-0005-0000-0000-000086060000}"/>
    <cellStyle name="%_Project Progress_OS HU Dashboard Apr 2012-macro-08May_Business Excellence Dashboard-Aug2012-ERP HU (OracleApps)" xfId="418" xr:uid="{00000000-0005-0000-0000-000087060000}"/>
    <cellStyle name="%_Project Progress_OS HU Dashboard Apr 2012-macro-08May_Business Excellence Dashboard-Aug2012-ERP HU (OracleApps) 2" xfId="9738" xr:uid="{00000000-0005-0000-0000-000088060000}"/>
    <cellStyle name="%_Project Progress_OS HU Dashboard Apr 2012-macro-08May_Business Excellence Dashboard-Aug2012-ERP HU (OracleApps) 3" xfId="8540" xr:uid="{00000000-0005-0000-0000-000089060000}"/>
    <cellStyle name="%_Project Progress_OS HU Dashboard Apr 2012-macro-08May_Business Excellence Dashboard-Aug2012-ERP HU (OracleApps) 4" xfId="7342" xr:uid="{00000000-0005-0000-0000-00008A060000}"/>
    <cellStyle name="%_Project Progress_OS HU Dashboard Apr 2012-macro-08May_Business Excellence Dashboard-Aug2012-ERP HU (OracleApps) 5" xfId="6144" xr:uid="{00000000-0005-0000-0000-00008B060000}"/>
    <cellStyle name="%_Project Progress_OS HU Dashboard Apr 2012-macro-08May_Business Excellence Dashboard-Aug2012-ERP HU (OracleApps) 6" xfId="4945" xr:uid="{00000000-0005-0000-0000-00008C060000}"/>
    <cellStyle name="%_Project Progress_OS HU Dashboard Apr 2012-macro-08May_Business Excellence Dashboard-Aug2012-ERP HU (OracleApps) 7" xfId="3746" xr:uid="{00000000-0005-0000-0000-00008D060000}"/>
    <cellStyle name="%_Project Progress_OS HU Dashboard Apr 2012-macro-08May_Business Excellence Dashboard-Aug2012-ERP HU (OracleApps)_BusinessExcellenceDashboard_OCt2012_MS HU-ERased" xfId="419" xr:uid="{00000000-0005-0000-0000-00008E060000}"/>
    <cellStyle name="%_Project Progress_OS HU Dashboard Apr 2012-macro-08May_Business Excellence Dashboard-Jul2012-ERP HU (OracleApps)-consolidated" xfId="420" xr:uid="{00000000-0005-0000-0000-00008F060000}"/>
    <cellStyle name="%_Project Progress_OS HU Dashboard Apr 2012-macro-08May_Business Excellence Dashboard-Jul2012-ERP HU (OracleApps)-consolidated 2" xfId="9739" xr:uid="{00000000-0005-0000-0000-000090060000}"/>
    <cellStyle name="%_Project Progress_OS HU Dashboard Apr 2012-macro-08May_Business Excellence Dashboard-Jul2012-ERP HU (OracleApps)-consolidated 3" xfId="8541" xr:uid="{00000000-0005-0000-0000-000091060000}"/>
    <cellStyle name="%_Project Progress_OS HU Dashboard Apr 2012-macro-08May_Business Excellence Dashboard-Jul2012-ERP HU (OracleApps)-consolidated 4" xfId="7343" xr:uid="{00000000-0005-0000-0000-000092060000}"/>
    <cellStyle name="%_Project Progress_OS HU Dashboard Apr 2012-macro-08May_Business Excellence Dashboard-Jul2012-ERP HU (OracleApps)-consolidated 5" xfId="6145" xr:uid="{00000000-0005-0000-0000-000093060000}"/>
    <cellStyle name="%_Project Progress_OS HU Dashboard Apr 2012-macro-08May_Business Excellence Dashboard-Jul2012-ERP HU (OracleApps)-consolidated 6" xfId="4946" xr:uid="{00000000-0005-0000-0000-000094060000}"/>
    <cellStyle name="%_Project Progress_OS HU Dashboard Apr 2012-macro-08May_Business Excellence Dashboard-Jul2012-ERP HU (OracleApps)-consolidated 7" xfId="3747" xr:uid="{00000000-0005-0000-0000-000095060000}"/>
    <cellStyle name="%_Project Progress_OS HU Dashboard Apr 2012-macro-08May_Business Excellence Dashboard-Jul2012-ERP HU (OracleApps)-consolidated_BusinessExcellenceDashboard_OCt2012_MS HU-ERased" xfId="421" xr:uid="{00000000-0005-0000-0000-000096060000}"/>
    <cellStyle name="%_Project Progress_OS HU Dashboard Apr 2012-macro-08May_BusinessExcellenceDashboard_OCt2012_MS HU-ERased" xfId="422" xr:uid="{00000000-0005-0000-0000-000097060000}"/>
    <cellStyle name="%_Project Progress_OS HU Dashboard Apr 2012-macro-08May_copydatamacro" xfId="423" xr:uid="{00000000-0005-0000-0000-000098060000}"/>
    <cellStyle name="%_Project Progress_OS HU Dashboard Apr 2012-macro-08May_copydatamacro 2" xfId="9740" xr:uid="{00000000-0005-0000-0000-000099060000}"/>
    <cellStyle name="%_Project Progress_OS HU Dashboard Apr 2012-macro-08May_copydatamacro 3" xfId="8542" xr:uid="{00000000-0005-0000-0000-00009A060000}"/>
    <cellStyle name="%_Project Progress_OS HU Dashboard Apr 2012-macro-08May_copydatamacro 4" xfId="7344" xr:uid="{00000000-0005-0000-0000-00009B060000}"/>
    <cellStyle name="%_Project Progress_OS HU Dashboard Apr 2012-macro-08May_copydatamacro 5" xfId="6146" xr:uid="{00000000-0005-0000-0000-00009C060000}"/>
    <cellStyle name="%_Project Progress_OS HU Dashboard Apr 2012-macro-08May_copydatamacro 6" xfId="4947" xr:uid="{00000000-0005-0000-0000-00009D060000}"/>
    <cellStyle name="%_Project Progress_OS HU Dashboard Apr 2012-macro-08May_copydatamacro 7" xfId="3748" xr:uid="{00000000-0005-0000-0000-00009E060000}"/>
    <cellStyle name="%_Project Progress_OS HU Dashboard Apr 2012-macro-08May_copydatamacro_BusinessExcellenceDashboard_OCt2012_MS HU-ERased" xfId="424" xr:uid="{00000000-0005-0000-0000-00009F060000}"/>
    <cellStyle name="%_QR-Prism-Ph2-WSR-17-Sep10" xfId="425" xr:uid="{00000000-0005-0000-0000-0000A0060000}"/>
    <cellStyle name="%_QR-Prism-Ph2-WSR-17-Sep10 2" xfId="9741" xr:uid="{00000000-0005-0000-0000-0000A1060000}"/>
    <cellStyle name="%_QR-Prism-Ph2-WSR-17-Sep10 3" xfId="8543" xr:uid="{00000000-0005-0000-0000-0000A2060000}"/>
    <cellStyle name="%_QR-Prism-Ph2-WSR-17-Sep10 4" xfId="7345" xr:uid="{00000000-0005-0000-0000-0000A3060000}"/>
    <cellStyle name="%_QR-Prism-Ph2-WSR-17-Sep10 5" xfId="6147" xr:uid="{00000000-0005-0000-0000-0000A4060000}"/>
    <cellStyle name="%_QR-Prism-Ph2-WSR-17-Sep10 6" xfId="4948" xr:uid="{00000000-0005-0000-0000-0000A5060000}"/>
    <cellStyle name="%_QR-Prism-Ph2-WSR-17-Sep10 7" xfId="3749" xr:uid="{00000000-0005-0000-0000-0000A6060000}"/>
    <cellStyle name="%_QR-Prism-Ph2-WSR-17-Sep10_2" xfId="426" xr:uid="{00000000-0005-0000-0000-0000A7060000}"/>
    <cellStyle name="%_QR-Prism-Ph2-WSR-17-Sep10_2 2" xfId="9742" xr:uid="{00000000-0005-0000-0000-0000A8060000}"/>
    <cellStyle name="%_QR-Prism-Ph2-WSR-17-Sep10_2 3" xfId="8544" xr:uid="{00000000-0005-0000-0000-0000A9060000}"/>
    <cellStyle name="%_QR-Prism-Ph2-WSR-17-Sep10_2 4" xfId="7346" xr:uid="{00000000-0005-0000-0000-0000AA060000}"/>
    <cellStyle name="%_QR-Prism-Ph2-WSR-17-Sep10_2 5" xfId="6148" xr:uid="{00000000-0005-0000-0000-0000AB060000}"/>
    <cellStyle name="%_QR-Prism-Ph2-WSR-17-Sep10_2 6" xfId="4949" xr:uid="{00000000-0005-0000-0000-0000AC060000}"/>
    <cellStyle name="%_QR-Prism-Ph2-WSR-17-Sep10_2 7" xfId="3750" xr:uid="{00000000-0005-0000-0000-0000AD060000}"/>
    <cellStyle name="%_QR-Prism-Ph2-WSR-17-Sep10_2_1" xfId="427" xr:uid="{00000000-0005-0000-0000-0000AE060000}"/>
    <cellStyle name="%_QR-Prism-Ph2-WSR-17-Sep10_2_1 2" xfId="9743" xr:uid="{00000000-0005-0000-0000-0000AF060000}"/>
    <cellStyle name="%_QR-Prism-Ph2-WSR-17-Sep10_2_1 3" xfId="8545" xr:uid="{00000000-0005-0000-0000-0000B0060000}"/>
    <cellStyle name="%_QR-Prism-Ph2-WSR-17-Sep10_2_1 4" xfId="7347" xr:uid="{00000000-0005-0000-0000-0000B1060000}"/>
    <cellStyle name="%_QR-Prism-Ph2-WSR-17-Sep10_2_1 5" xfId="6149" xr:uid="{00000000-0005-0000-0000-0000B2060000}"/>
    <cellStyle name="%_QR-Prism-Ph2-WSR-17-Sep10_2_1 6" xfId="4950" xr:uid="{00000000-0005-0000-0000-0000B3060000}"/>
    <cellStyle name="%_QR-Prism-Ph2-WSR-17-Sep10_2_1 7" xfId="3751" xr:uid="{00000000-0005-0000-0000-0000B4060000}"/>
    <cellStyle name="%_QR-Prism-Ph2-WSR-17-Sep10_2_1_Business Excellence Dashboard-Aug2012-ERP HU (OracleApps)" xfId="428" xr:uid="{00000000-0005-0000-0000-0000B5060000}"/>
    <cellStyle name="%_QR-Prism-Ph2-WSR-17-Sep10_2_1_Business Excellence Dashboard-Aug2012-ERP HU (OracleApps) 2" xfId="9744" xr:uid="{00000000-0005-0000-0000-0000B6060000}"/>
    <cellStyle name="%_QR-Prism-Ph2-WSR-17-Sep10_2_1_Business Excellence Dashboard-Aug2012-ERP HU (OracleApps) 3" xfId="8546" xr:uid="{00000000-0005-0000-0000-0000B7060000}"/>
    <cellStyle name="%_QR-Prism-Ph2-WSR-17-Sep10_2_1_Business Excellence Dashboard-Aug2012-ERP HU (OracleApps) 4" xfId="7348" xr:uid="{00000000-0005-0000-0000-0000B8060000}"/>
    <cellStyle name="%_QR-Prism-Ph2-WSR-17-Sep10_2_1_Business Excellence Dashboard-Aug2012-ERP HU (OracleApps) 5" xfId="6150" xr:uid="{00000000-0005-0000-0000-0000B9060000}"/>
    <cellStyle name="%_QR-Prism-Ph2-WSR-17-Sep10_2_1_Business Excellence Dashboard-Aug2012-ERP HU (OracleApps) 6" xfId="4951" xr:uid="{00000000-0005-0000-0000-0000BA060000}"/>
    <cellStyle name="%_QR-Prism-Ph2-WSR-17-Sep10_2_1_Business Excellence Dashboard-Aug2012-ERP HU (OracleApps) 7" xfId="3752" xr:uid="{00000000-0005-0000-0000-0000BB060000}"/>
    <cellStyle name="%_QR-Prism-Ph2-WSR-17-Sep10_2_1_Business Excellence Dashboard-Aug2012-ERP HU (OracleApps)_BusinessExcellenceDashboard_OCt2012_MS HU-ERased" xfId="429" xr:uid="{00000000-0005-0000-0000-0000BC060000}"/>
    <cellStyle name="%_QR-Prism-Ph2-WSR-17-Sep10_2_1_BusinessExcellenceDashboard_OCt2012_MS HU-ERased" xfId="430" xr:uid="{00000000-0005-0000-0000-0000BD060000}"/>
    <cellStyle name="%_QR-Prism-Ph2-WSR-17-Sep10_2_2" xfId="431" xr:uid="{00000000-0005-0000-0000-0000BE060000}"/>
    <cellStyle name="%_QR-Prism-Ph2-WSR-17-Sep10_2_2 2" xfId="9745" xr:uid="{00000000-0005-0000-0000-0000BF060000}"/>
    <cellStyle name="%_QR-Prism-Ph2-WSR-17-Sep10_2_2 3" xfId="8547" xr:uid="{00000000-0005-0000-0000-0000C0060000}"/>
    <cellStyle name="%_QR-Prism-Ph2-WSR-17-Sep10_2_2 4" xfId="7349" xr:uid="{00000000-0005-0000-0000-0000C1060000}"/>
    <cellStyle name="%_QR-Prism-Ph2-WSR-17-Sep10_2_2 5" xfId="6151" xr:uid="{00000000-0005-0000-0000-0000C2060000}"/>
    <cellStyle name="%_QR-Prism-Ph2-WSR-17-Sep10_2_2 6" xfId="4952" xr:uid="{00000000-0005-0000-0000-0000C3060000}"/>
    <cellStyle name="%_QR-Prism-Ph2-WSR-17-Sep10_2_2 7" xfId="3753" xr:uid="{00000000-0005-0000-0000-0000C4060000}"/>
    <cellStyle name="%_QR-Prism-Ph2-WSR-17-Sep10_2_2_BusinessExcellenceDashboard_OCt2012_MS HU-ERased" xfId="432" xr:uid="{00000000-0005-0000-0000-0000C5060000}"/>
    <cellStyle name="%_QR-Prism-Ph2-WSR-17-Sep10_2_Business Excellence Dashboard-Aug2012-ERP HU (OracleApps)" xfId="433" xr:uid="{00000000-0005-0000-0000-0000C6060000}"/>
    <cellStyle name="%_QR-Prism-Ph2-WSR-17-Sep10_2_Business Excellence Dashboard-Aug2012-ERP HU (OracleApps) 2" xfId="9746" xr:uid="{00000000-0005-0000-0000-0000C7060000}"/>
    <cellStyle name="%_QR-Prism-Ph2-WSR-17-Sep10_2_Business Excellence Dashboard-Aug2012-ERP HU (OracleApps) 3" xfId="8548" xr:uid="{00000000-0005-0000-0000-0000C8060000}"/>
    <cellStyle name="%_QR-Prism-Ph2-WSR-17-Sep10_2_Business Excellence Dashboard-Aug2012-ERP HU (OracleApps) 4" xfId="7350" xr:uid="{00000000-0005-0000-0000-0000C9060000}"/>
    <cellStyle name="%_QR-Prism-Ph2-WSR-17-Sep10_2_Business Excellence Dashboard-Aug2012-ERP HU (OracleApps) 5" xfId="6152" xr:uid="{00000000-0005-0000-0000-0000CA060000}"/>
    <cellStyle name="%_QR-Prism-Ph2-WSR-17-Sep10_2_Business Excellence Dashboard-Aug2012-ERP HU (OracleApps) 6" xfId="4953" xr:uid="{00000000-0005-0000-0000-0000CB060000}"/>
    <cellStyle name="%_QR-Prism-Ph2-WSR-17-Sep10_2_Business Excellence Dashboard-Aug2012-ERP HU (OracleApps) 7" xfId="3754" xr:uid="{00000000-0005-0000-0000-0000CC060000}"/>
    <cellStyle name="%_QR-Prism-Ph2-WSR-17-Sep10_2_Business Excellence Dashboard-Aug2012-ERP HU (OracleApps)_BusinessExcellenceDashboard_OCt2012_MS HU-ERased" xfId="434" xr:uid="{00000000-0005-0000-0000-0000CD060000}"/>
    <cellStyle name="%_QR-Prism-Ph2-WSR-17-Sep10_2_Business Excellence Dashboard-Jul2012-ERP HU (OracleApps)-consolidated" xfId="435" xr:uid="{00000000-0005-0000-0000-0000CE060000}"/>
    <cellStyle name="%_QR-Prism-Ph2-WSR-17-Sep10_2_Business Excellence Dashboard-Jul2012-ERP HU (OracleApps)-consolidated 2" xfId="9747" xr:uid="{00000000-0005-0000-0000-0000CF060000}"/>
    <cellStyle name="%_QR-Prism-Ph2-WSR-17-Sep10_2_Business Excellence Dashboard-Jul2012-ERP HU (OracleApps)-consolidated 3" xfId="8549" xr:uid="{00000000-0005-0000-0000-0000D0060000}"/>
    <cellStyle name="%_QR-Prism-Ph2-WSR-17-Sep10_2_Business Excellence Dashboard-Jul2012-ERP HU (OracleApps)-consolidated 4" xfId="7351" xr:uid="{00000000-0005-0000-0000-0000D1060000}"/>
    <cellStyle name="%_QR-Prism-Ph2-WSR-17-Sep10_2_Business Excellence Dashboard-Jul2012-ERP HU (OracleApps)-consolidated 5" xfId="6153" xr:uid="{00000000-0005-0000-0000-0000D2060000}"/>
    <cellStyle name="%_QR-Prism-Ph2-WSR-17-Sep10_2_Business Excellence Dashboard-Jul2012-ERP HU (OracleApps)-consolidated 6" xfId="4954" xr:uid="{00000000-0005-0000-0000-0000D3060000}"/>
    <cellStyle name="%_QR-Prism-Ph2-WSR-17-Sep10_2_Business Excellence Dashboard-Jul2012-ERP HU (OracleApps)-consolidated 7" xfId="3755" xr:uid="{00000000-0005-0000-0000-0000D4060000}"/>
    <cellStyle name="%_QR-Prism-Ph2-WSR-17-Sep10_2_Business Excellence Dashboard-Jul2012-ERP HU (OracleApps)-consolidated_BusinessExcellenceDashboard_OCt2012_MS HU-ERased" xfId="436" xr:uid="{00000000-0005-0000-0000-0000D5060000}"/>
    <cellStyle name="%_QR-Prism-Ph2-WSR-17-Sep10_2_BusinessExcellenceDashboard_OCt2012_MS HU-ERased" xfId="437" xr:uid="{00000000-0005-0000-0000-0000D6060000}"/>
    <cellStyle name="%_QR-Prism-Ph2-WSR-17-Sep10_2_copydatamacro" xfId="438" xr:uid="{00000000-0005-0000-0000-0000D7060000}"/>
    <cellStyle name="%_QR-Prism-Ph2-WSR-17-Sep10_2_copydatamacro 2" xfId="9748" xr:uid="{00000000-0005-0000-0000-0000D8060000}"/>
    <cellStyle name="%_QR-Prism-Ph2-WSR-17-Sep10_2_copydatamacro 3" xfId="8550" xr:uid="{00000000-0005-0000-0000-0000D9060000}"/>
    <cellStyle name="%_QR-Prism-Ph2-WSR-17-Sep10_2_copydatamacro 4" xfId="7352" xr:uid="{00000000-0005-0000-0000-0000DA060000}"/>
    <cellStyle name="%_QR-Prism-Ph2-WSR-17-Sep10_2_copydatamacro 5" xfId="6154" xr:uid="{00000000-0005-0000-0000-0000DB060000}"/>
    <cellStyle name="%_QR-Prism-Ph2-WSR-17-Sep10_2_copydatamacro 6" xfId="4955" xr:uid="{00000000-0005-0000-0000-0000DC060000}"/>
    <cellStyle name="%_QR-Prism-Ph2-WSR-17-Sep10_2_copydatamacro 7" xfId="3756" xr:uid="{00000000-0005-0000-0000-0000DD060000}"/>
    <cellStyle name="%_QR-Prism-Ph2-WSR-17-Sep10_2_copydatamacro_BusinessExcellenceDashboard_OCt2012_MS HU-ERased" xfId="439" xr:uid="{00000000-0005-0000-0000-0000DE060000}"/>
    <cellStyle name="%_QR-Prism-Ph2-WSR-17-Sep10_Book1" xfId="440" xr:uid="{00000000-0005-0000-0000-0000DF060000}"/>
    <cellStyle name="%_QR-Prism-Ph2-WSR-17-Sep10_Book1 2" xfId="9749" xr:uid="{00000000-0005-0000-0000-0000E0060000}"/>
    <cellStyle name="%_QR-Prism-Ph2-WSR-17-Sep10_Book1 3" xfId="8551" xr:uid="{00000000-0005-0000-0000-0000E1060000}"/>
    <cellStyle name="%_QR-Prism-Ph2-WSR-17-Sep10_Book1 4" xfId="7353" xr:uid="{00000000-0005-0000-0000-0000E2060000}"/>
    <cellStyle name="%_QR-Prism-Ph2-WSR-17-Sep10_Book1 5" xfId="6155" xr:uid="{00000000-0005-0000-0000-0000E3060000}"/>
    <cellStyle name="%_QR-Prism-Ph2-WSR-17-Sep10_Book1 6" xfId="4956" xr:uid="{00000000-0005-0000-0000-0000E4060000}"/>
    <cellStyle name="%_QR-Prism-Ph2-WSR-17-Sep10_Book1 7" xfId="3757" xr:uid="{00000000-0005-0000-0000-0000E5060000}"/>
    <cellStyle name="%_QR-Prism-Ph2-WSR-17-Sep10_Book1_Business Excellence Dashboard-Aug2012-ERP HU (OracleApps)" xfId="441" xr:uid="{00000000-0005-0000-0000-0000E6060000}"/>
    <cellStyle name="%_QR-Prism-Ph2-WSR-17-Sep10_Book1_Business Excellence Dashboard-Aug2012-ERP HU (OracleApps) 2" xfId="9750" xr:uid="{00000000-0005-0000-0000-0000E7060000}"/>
    <cellStyle name="%_QR-Prism-Ph2-WSR-17-Sep10_Book1_Business Excellence Dashboard-Aug2012-ERP HU (OracleApps) 3" xfId="8552" xr:uid="{00000000-0005-0000-0000-0000E8060000}"/>
    <cellStyle name="%_QR-Prism-Ph2-WSR-17-Sep10_Book1_Business Excellence Dashboard-Aug2012-ERP HU (OracleApps) 4" xfId="7354" xr:uid="{00000000-0005-0000-0000-0000E9060000}"/>
    <cellStyle name="%_QR-Prism-Ph2-WSR-17-Sep10_Book1_Business Excellence Dashboard-Aug2012-ERP HU (OracleApps) 5" xfId="6156" xr:uid="{00000000-0005-0000-0000-0000EA060000}"/>
    <cellStyle name="%_QR-Prism-Ph2-WSR-17-Sep10_Book1_Business Excellence Dashboard-Aug2012-ERP HU (OracleApps) 6" xfId="4957" xr:uid="{00000000-0005-0000-0000-0000EB060000}"/>
    <cellStyle name="%_QR-Prism-Ph2-WSR-17-Sep10_Book1_Business Excellence Dashboard-Aug2012-ERP HU (OracleApps) 7" xfId="3758" xr:uid="{00000000-0005-0000-0000-0000EC060000}"/>
    <cellStyle name="%_QR-Prism-Ph2-WSR-17-Sep10_Book1_Business Excellence Dashboard-Aug2012-ERP HU (OracleApps)_BusinessExcellenceDashboard_OCt2012_MS HU-ERased" xfId="442" xr:uid="{00000000-0005-0000-0000-0000ED060000}"/>
    <cellStyle name="%_QR-Prism-Ph2-WSR-17-Sep10_Book1_Business Excellence Dashboard-Jul2012-ERP HU (OracleApps)-consolidated" xfId="443" xr:uid="{00000000-0005-0000-0000-0000EE060000}"/>
    <cellStyle name="%_QR-Prism-Ph2-WSR-17-Sep10_Book1_Business Excellence Dashboard-Jul2012-ERP HU (OracleApps)-consolidated 2" xfId="9751" xr:uid="{00000000-0005-0000-0000-0000EF060000}"/>
    <cellStyle name="%_QR-Prism-Ph2-WSR-17-Sep10_Book1_Business Excellence Dashboard-Jul2012-ERP HU (OracleApps)-consolidated 3" xfId="8553" xr:uid="{00000000-0005-0000-0000-0000F0060000}"/>
    <cellStyle name="%_QR-Prism-Ph2-WSR-17-Sep10_Book1_Business Excellence Dashboard-Jul2012-ERP HU (OracleApps)-consolidated 4" xfId="7355" xr:uid="{00000000-0005-0000-0000-0000F1060000}"/>
    <cellStyle name="%_QR-Prism-Ph2-WSR-17-Sep10_Book1_Business Excellence Dashboard-Jul2012-ERP HU (OracleApps)-consolidated 5" xfId="6157" xr:uid="{00000000-0005-0000-0000-0000F2060000}"/>
    <cellStyle name="%_QR-Prism-Ph2-WSR-17-Sep10_Book1_Business Excellence Dashboard-Jul2012-ERP HU (OracleApps)-consolidated 6" xfId="4958" xr:uid="{00000000-0005-0000-0000-0000F3060000}"/>
    <cellStyle name="%_QR-Prism-Ph2-WSR-17-Sep10_Book1_Business Excellence Dashboard-Jul2012-ERP HU (OracleApps)-consolidated 7" xfId="3759" xr:uid="{00000000-0005-0000-0000-0000F4060000}"/>
    <cellStyle name="%_QR-Prism-Ph2-WSR-17-Sep10_Book1_Business Excellence Dashboard-Jul2012-ERP HU (OracleApps)-consolidated_BusinessExcellenceDashboard_OCt2012_MS HU-ERased" xfId="444" xr:uid="{00000000-0005-0000-0000-0000F5060000}"/>
    <cellStyle name="%_QR-Prism-Ph2-WSR-17-Sep10_Book1_BusinessExcellenceDashboard_OCt2012_MS HU-ERased" xfId="445" xr:uid="{00000000-0005-0000-0000-0000F6060000}"/>
    <cellStyle name="%_QR-Prism-Ph2-WSR-17-Sep10_Book1_copydatamacro" xfId="446" xr:uid="{00000000-0005-0000-0000-0000F7060000}"/>
    <cellStyle name="%_QR-Prism-Ph2-WSR-17-Sep10_Book1_copydatamacro 2" xfId="9752" xr:uid="{00000000-0005-0000-0000-0000F8060000}"/>
    <cellStyle name="%_QR-Prism-Ph2-WSR-17-Sep10_Book1_copydatamacro 3" xfId="8554" xr:uid="{00000000-0005-0000-0000-0000F9060000}"/>
    <cellStyle name="%_QR-Prism-Ph2-WSR-17-Sep10_Book1_copydatamacro 4" xfId="7356" xr:uid="{00000000-0005-0000-0000-0000FA060000}"/>
    <cellStyle name="%_QR-Prism-Ph2-WSR-17-Sep10_Book1_copydatamacro 5" xfId="6158" xr:uid="{00000000-0005-0000-0000-0000FB060000}"/>
    <cellStyle name="%_QR-Prism-Ph2-WSR-17-Sep10_Book1_copydatamacro 6" xfId="4959" xr:uid="{00000000-0005-0000-0000-0000FC060000}"/>
    <cellStyle name="%_QR-Prism-Ph2-WSR-17-Sep10_Book1_copydatamacro 7" xfId="3760" xr:uid="{00000000-0005-0000-0000-0000FD060000}"/>
    <cellStyle name="%_QR-Prism-Ph2-WSR-17-Sep10_Book1_copydatamacro_BusinessExcellenceDashboard_OCt2012_MS HU-ERased" xfId="447" xr:uid="{00000000-0005-0000-0000-0000FE060000}"/>
    <cellStyle name="%_QR-Prism-Ph2-WSR-17-Sep10_Business Excellence Dashboard-Aug2012-ERP HU (OracleApps)" xfId="448" xr:uid="{00000000-0005-0000-0000-0000FF060000}"/>
    <cellStyle name="%_QR-Prism-Ph2-WSR-17-Sep10_Business Excellence Dashboard-Aug2012-ERP HU (OracleApps) 2" xfId="9753" xr:uid="{00000000-0005-0000-0000-000000070000}"/>
    <cellStyle name="%_QR-Prism-Ph2-WSR-17-Sep10_Business Excellence Dashboard-Aug2012-ERP HU (OracleApps) 3" xfId="8555" xr:uid="{00000000-0005-0000-0000-000001070000}"/>
    <cellStyle name="%_QR-Prism-Ph2-WSR-17-Sep10_Business Excellence Dashboard-Aug2012-ERP HU (OracleApps) 4" xfId="7357" xr:uid="{00000000-0005-0000-0000-000002070000}"/>
    <cellStyle name="%_QR-Prism-Ph2-WSR-17-Sep10_Business Excellence Dashboard-Aug2012-ERP HU (OracleApps) 5" xfId="6159" xr:uid="{00000000-0005-0000-0000-000003070000}"/>
    <cellStyle name="%_QR-Prism-Ph2-WSR-17-Sep10_Business Excellence Dashboard-Aug2012-ERP HU (OracleApps) 6" xfId="4960" xr:uid="{00000000-0005-0000-0000-000004070000}"/>
    <cellStyle name="%_QR-Prism-Ph2-WSR-17-Sep10_Business Excellence Dashboard-Aug2012-ERP HU (OracleApps) 7" xfId="3761" xr:uid="{00000000-0005-0000-0000-000005070000}"/>
    <cellStyle name="%_QR-Prism-Ph2-WSR-17-Sep10_Business Excellence Dashboard-Aug2012-ERP HU (OracleApps)_BusinessExcellenceDashboard_OCt2012_MS HU-ERased" xfId="449" xr:uid="{00000000-0005-0000-0000-000006070000}"/>
    <cellStyle name="%_QR-Prism-Ph2-WSR-17-Sep10_Business Excellence Dashboard-Jul2012-ERP HU (OracleApps)-consolidated" xfId="450" xr:uid="{00000000-0005-0000-0000-000007070000}"/>
    <cellStyle name="%_QR-Prism-Ph2-WSR-17-Sep10_Business Excellence Dashboard-Jul2012-ERP HU (OracleApps)-consolidated 2" xfId="9754" xr:uid="{00000000-0005-0000-0000-000008070000}"/>
    <cellStyle name="%_QR-Prism-Ph2-WSR-17-Sep10_Business Excellence Dashboard-Jul2012-ERP HU (OracleApps)-consolidated 3" xfId="8556" xr:uid="{00000000-0005-0000-0000-000009070000}"/>
    <cellStyle name="%_QR-Prism-Ph2-WSR-17-Sep10_Business Excellence Dashboard-Jul2012-ERP HU (OracleApps)-consolidated 4" xfId="7358" xr:uid="{00000000-0005-0000-0000-00000A070000}"/>
    <cellStyle name="%_QR-Prism-Ph2-WSR-17-Sep10_Business Excellence Dashboard-Jul2012-ERP HU (OracleApps)-consolidated 5" xfId="6160" xr:uid="{00000000-0005-0000-0000-00000B070000}"/>
    <cellStyle name="%_QR-Prism-Ph2-WSR-17-Sep10_Business Excellence Dashboard-Jul2012-ERP HU (OracleApps)-consolidated 6" xfId="4961" xr:uid="{00000000-0005-0000-0000-00000C070000}"/>
    <cellStyle name="%_QR-Prism-Ph2-WSR-17-Sep10_Business Excellence Dashboard-Jul2012-ERP HU (OracleApps)-consolidated 7" xfId="3762" xr:uid="{00000000-0005-0000-0000-00000D070000}"/>
    <cellStyle name="%_QR-Prism-Ph2-WSR-17-Sep10_Business Excellence Dashboard-Jul2012-ERP HU (OracleApps)-consolidated_BusinessExcellenceDashboard_OCt2012_MS HU-ERased" xfId="451" xr:uid="{00000000-0005-0000-0000-00000E070000}"/>
    <cellStyle name="%_QR-Prism-Ph2-WSR-17-Sep10_BusinessExcellenceDashboard_OCt2012_MS HU-ERased" xfId="452" xr:uid="{00000000-0005-0000-0000-00000F070000}"/>
    <cellStyle name="%_QR-Prism-Ph2-WSR-17-Sep10_copydatamacro" xfId="453" xr:uid="{00000000-0005-0000-0000-000010070000}"/>
    <cellStyle name="%_QR-Prism-Ph2-WSR-17-Sep10_copydatamacro 2" xfId="9755" xr:uid="{00000000-0005-0000-0000-000011070000}"/>
    <cellStyle name="%_QR-Prism-Ph2-WSR-17-Sep10_copydatamacro 3" xfId="8557" xr:uid="{00000000-0005-0000-0000-000012070000}"/>
    <cellStyle name="%_QR-Prism-Ph2-WSR-17-Sep10_copydatamacro 4" xfId="7359" xr:uid="{00000000-0005-0000-0000-000013070000}"/>
    <cellStyle name="%_QR-Prism-Ph2-WSR-17-Sep10_copydatamacro 5" xfId="6161" xr:uid="{00000000-0005-0000-0000-000014070000}"/>
    <cellStyle name="%_QR-Prism-Ph2-WSR-17-Sep10_copydatamacro 6" xfId="4962" xr:uid="{00000000-0005-0000-0000-000015070000}"/>
    <cellStyle name="%_QR-Prism-Ph2-WSR-17-Sep10_copydatamacro 7" xfId="3763" xr:uid="{00000000-0005-0000-0000-000016070000}"/>
    <cellStyle name="%_QR-Prism-Ph2-WSR-17-Sep10_copydatamacro_BusinessExcellenceDashboard_OCt2012_MS HU-ERased" xfId="454" xr:uid="{00000000-0005-0000-0000-000017070000}"/>
    <cellStyle name="%_QR-Prism-Ph2-WSR-17-Sep10_HU Risk dashboard_Apr2012-1-macro" xfId="455" xr:uid="{00000000-0005-0000-0000-000018070000}"/>
    <cellStyle name="%_QR-Prism-Ph2-WSR-17-Sep10_HU Risk dashboard_Apr2012-1-macro 2" xfId="9756" xr:uid="{00000000-0005-0000-0000-000019070000}"/>
    <cellStyle name="%_QR-Prism-Ph2-WSR-17-Sep10_HU Risk dashboard_Apr2012-1-macro 3" xfId="8558" xr:uid="{00000000-0005-0000-0000-00001A070000}"/>
    <cellStyle name="%_QR-Prism-Ph2-WSR-17-Sep10_HU Risk dashboard_Apr2012-1-macro 4" xfId="7360" xr:uid="{00000000-0005-0000-0000-00001B070000}"/>
    <cellStyle name="%_QR-Prism-Ph2-WSR-17-Sep10_HU Risk dashboard_Apr2012-1-macro 5" xfId="6162" xr:uid="{00000000-0005-0000-0000-00001C070000}"/>
    <cellStyle name="%_QR-Prism-Ph2-WSR-17-Sep10_HU Risk dashboard_Apr2012-1-macro 6" xfId="4963" xr:uid="{00000000-0005-0000-0000-00001D070000}"/>
    <cellStyle name="%_QR-Prism-Ph2-WSR-17-Sep10_HU Risk dashboard_Apr2012-1-macro 7" xfId="3764" xr:uid="{00000000-0005-0000-0000-00001E070000}"/>
    <cellStyle name="%_QR-Prism-Ph2-WSR-17-Sep10_HU Risk dashboard_Apr2012-1-macro_2" xfId="456" xr:uid="{00000000-0005-0000-0000-00001F070000}"/>
    <cellStyle name="%_QR-Prism-Ph2-WSR-17-Sep10_HU Risk dashboard_Apr2012-1-macro_2 2" xfId="9757" xr:uid="{00000000-0005-0000-0000-000020070000}"/>
    <cellStyle name="%_QR-Prism-Ph2-WSR-17-Sep10_HU Risk dashboard_Apr2012-1-macro_2 3" xfId="8559" xr:uid="{00000000-0005-0000-0000-000021070000}"/>
    <cellStyle name="%_QR-Prism-Ph2-WSR-17-Sep10_HU Risk dashboard_Apr2012-1-macro_2 4" xfId="7361" xr:uid="{00000000-0005-0000-0000-000022070000}"/>
    <cellStyle name="%_QR-Prism-Ph2-WSR-17-Sep10_HU Risk dashboard_Apr2012-1-macro_2 5" xfId="6163" xr:uid="{00000000-0005-0000-0000-000023070000}"/>
    <cellStyle name="%_QR-Prism-Ph2-WSR-17-Sep10_HU Risk dashboard_Apr2012-1-macro_2 6" xfId="4964" xr:uid="{00000000-0005-0000-0000-000024070000}"/>
    <cellStyle name="%_QR-Prism-Ph2-WSR-17-Sep10_HU Risk dashboard_Apr2012-1-macro_2 7" xfId="3765" xr:uid="{00000000-0005-0000-0000-000025070000}"/>
    <cellStyle name="%_QR-Prism-Ph2-WSR-17-Sep10_HU Risk dashboard_Apr2012-1-macro_2_1" xfId="457" xr:uid="{00000000-0005-0000-0000-000026070000}"/>
    <cellStyle name="%_QR-Prism-Ph2-WSR-17-Sep10_HU Risk dashboard_Apr2012-1-macro_2_1 2" xfId="9758" xr:uid="{00000000-0005-0000-0000-000027070000}"/>
    <cellStyle name="%_QR-Prism-Ph2-WSR-17-Sep10_HU Risk dashboard_Apr2012-1-macro_2_1 3" xfId="8560" xr:uid="{00000000-0005-0000-0000-000028070000}"/>
    <cellStyle name="%_QR-Prism-Ph2-WSR-17-Sep10_HU Risk dashboard_Apr2012-1-macro_2_1 4" xfId="7362" xr:uid="{00000000-0005-0000-0000-000029070000}"/>
    <cellStyle name="%_QR-Prism-Ph2-WSR-17-Sep10_HU Risk dashboard_Apr2012-1-macro_2_1 5" xfId="6164" xr:uid="{00000000-0005-0000-0000-00002A070000}"/>
    <cellStyle name="%_QR-Prism-Ph2-WSR-17-Sep10_HU Risk dashboard_Apr2012-1-macro_2_1 6" xfId="4965" xr:uid="{00000000-0005-0000-0000-00002B070000}"/>
    <cellStyle name="%_QR-Prism-Ph2-WSR-17-Sep10_HU Risk dashboard_Apr2012-1-macro_2_1 7" xfId="3766" xr:uid="{00000000-0005-0000-0000-00002C070000}"/>
    <cellStyle name="%_QR-Prism-Ph2-WSR-17-Sep10_HU Risk dashboard_Apr2012-1-macro_2_1_Business Excellence Dashboard-Aug2012-ERP HU (OracleApps)" xfId="458" xr:uid="{00000000-0005-0000-0000-00002D070000}"/>
    <cellStyle name="%_QR-Prism-Ph2-WSR-17-Sep10_HU Risk dashboard_Apr2012-1-macro_2_1_Business Excellence Dashboard-Aug2012-ERP HU (OracleApps) 2" xfId="9759" xr:uid="{00000000-0005-0000-0000-00002E070000}"/>
    <cellStyle name="%_QR-Prism-Ph2-WSR-17-Sep10_HU Risk dashboard_Apr2012-1-macro_2_1_Business Excellence Dashboard-Aug2012-ERP HU (OracleApps) 3" xfId="8561" xr:uid="{00000000-0005-0000-0000-00002F070000}"/>
    <cellStyle name="%_QR-Prism-Ph2-WSR-17-Sep10_HU Risk dashboard_Apr2012-1-macro_2_1_Business Excellence Dashboard-Aug2012-ERP HU (OracleApps) 4" xfId="7363" xr:uid="{00000000-0005-0000-0000-000030070000}"/>
    <cellStyle name="%_QR-Prism-Ph2-WSR-17-Sep10_HU Risk dashboard_Apr2012-1-macro_2_1_Business Excellence Dashboard-Aug2012-ERP HU (OracleApps) 5" xfId="6165" xr:uid="{00000000-0005-0000-0000-000031070000}"/>
    <cellStyle name="%_QR-Prism-Ph2-WSR-17-Sep10_HU Risk dashboard_Apr2012-1-macro_2_1_Business Excellence Dashboard-Aug2012-ERP HU (OracleApps) 6" xfId="4966" xr:uid="{00000000-0005-0000-0000-000032070000}"/>
    <cellStyle name="%_QR-Prism-Ph2-WSR-17-Sep10_HU Risk dashboard_Apr2012-1-macro_2_1_Business Excellence Dashboard-Aug2012-ERP HU (OracleApps) 7" xfId="3767" xr:uid="{00000000-0005-0000-0000-000033070000}"/>
    <cellStyle name="%_QR-Prism-Ph2-WSR-17-Sep10_HU Risk dashboard_Apr2012-1-macro_2_1_Business Excellence Dashboard-Aug2012-ERP HU (OracleApps)_BusinessExcellenceDashboard_OCt2012_MS HU-ERased" xfId="459" xr:uid="{00000000-0005-0000-0000-000034070000}"/>
    <cellStyle name="%_QR-Prism-Ph2-WSR-17-Sep10_HU Risk dashboard_Apr2012-1-macro_2_1_BusinessExcellenceDashboard_OCt2012_MS HU-ERased" xfId="460" xr:uid="{00000000-0005-0000-0000-000035070000}"/>
    <cellStyle name="%_QR-Prism-Ph2-WSR-17-Sep10_HU Risk dashboard_Apr2012-1-macro_2_2" xfId="461" xr:uid="{00000000-0005-0000-0000-000036070000}"/>
    <cellStyle name="%_QR-Prism-Ph2-WSR-17-Sep10_HU Risk dashboard_Apr2012-1-macro_2_2 2" xfId="9760" xr:uid="{00000000-0005-0000-0000-000037070000}"/>
    <cellStyle name="%_QR-Prism-Ph2-WSR-17-Sep10_HU Risk dashboard_Apr2012-1-macro_2_2 3" xfId="8562" xr:uid="{00000000-0005-0000-0000-000038070000}"/>
    <cellStyle name="%_QR-Prism-Ph2-WSR-17-Sep10_HU Risk dashboard_Apr2012-1-macro_2_2 4" xfId="7364" xr:uid="{00000000-0005-0000-0000-000039070000}"/>
    <cellStyle name="%_QR-Prism-Ph2-WSR-17-Sep10_HU Risk dashboard_Apr2012-1-macro_2_2 5" xfId="6166" xr:uid="{00000000-0005-0000-0000-00003A070000}"/>
    <cellStyle name="%_QR-Prism-Ph2-WSR-17-Sep10_HU Risk dashboard_Apr2012-1-macro_2_2 6" xfId="4967" xr:uid="{00000000-0005-0000-0000-00003B070000}"/>
    <cellStyle name="%_QR-Prism-Ph2-WSR-17-Sep10_HU Risk dashboard_Apr2012-1-macro_2_2 7" xfId="3768" xr:uid="{00000000-0005-0000-0000-00003C070000}"/>
    <cellStyle name="%_QR-Prism-Ph2-WSR-17-Sep10_HU Risk dashboard_Apr2012-1-macro_2_2_BusinessExcellenceDashboard_OCt2012_MS HU-ERased" xfId="462" xr:uid="{00000000-0005-0000-0000-00003D070000}"/>
    <cellStyle name="%_QR-Prism-Ph2-WSR-17-Sep10_HU Risk dashboard_Apr2012-1-macro_2_Business Excellence Dashboard-Aug2012-ERP HU (OracleApps)" xfId="463" xr:uid="{00000000-0005-0000-0000-00003E070000}"/>
    <cellStyle name="%_QR-Prism-Ph2-WSR-17-Sep10_HU Risk dashboard_Apr2012-1-macro_2_Business Excellence Dashboard-Aug2012-ERP HU (OracleApps) 2" xfId="9761" xr:uid="{00000000-0005-0000-0000-00003F070000}"/>
    <cellStyle name="%_QR-Prism-Ph2-WSR-17-Sep10_HU Risk dashboard_Apr2012-1-macro_2_Business Excellence Dashboard-Aug2012-ERP HU (OracleApps) 3" xfId="8563" xr:uid="{00000000-0005-0000-0000-000040070000}"/>
    <cellStyle name="%_QR-Prism-Ph2-WSR-17-Sep10_HU Risk dashboard_Apr2012-1-macro_2_Business Excellence Dashboard-Aug2012-ERP HU (OracleApps) 4" xfId="7365" xr:uid="{00000000-0005-0000-0000-000041070000}"/>
    <cellStyle name="%_QR-Prism-Ph2-WSR-17-Sep10_HU Risk dashboard_Apr2012-1-macro_2_Business Excellence Dashboard-Aug2012-ERP HU (OracleApps) 5" xfId="6167" xr:uid="{00000000-0005-0000-0000-000042070000}"/>
    <cellStyle name="%_QR-Prism-Ph2-WSR-17-Sep10_HU Risk dashboard_Apr2012-1-macro_2_Business Excellence Dashboard-Aug2012-ERP HU (OracleApps) 6" xfId="4968" xr:uid="{00000000-0005-0000-0000-000043070000}"/>
    <cellStyle name="%_QR-Prism-Ph2-WSR-17-Sep10_HU Risk dashboard_Apr2012-1-macro_2_Business Excellence Dashboard-Aug2012-ERP HU (OracleApps) 7" xfId="3769" xr:uid="{00000000-0005-0000-0000-000044070000}"/>
    <cellStyle name="%_QR-Prism-Ph2-WSR-17-Sep10_HU Risk dashboard_Apr2012-1-macro_2_Business Excellence Dashboard-Aug2012-ERP HU (OracleApps)_BusinessExcellenceDashboard_OCt2012_MS HU-ERased" xfId="464" xr:uid="{00000000-0005-0000-0000-000045070000}"/>
    <cellStyle name="%_QR-Prism-Ph2-WSR-17-Sep10_HU Risk dashboard_Apr2012-1-macro_2_Business Excellence Dashboard-Jul2012-ERP HU (OracleApps)-consolidated" xfId="465" xr:uid="{00000000-0005-0000-0000-000046070000}"/>
    <cellStyle name="%_QR-Prism-Ph2-WSR-17-Sep10_HU Risk dashboard_Apr2012-1-macro_2_Business Excellence Dashboard-Jul2012-ERP HU (OracleApps)-consolidated 2" xfId="9762" xr:uid="{00000000-0005-0000-0000-000047070000}"/>
    <cellStyle name="%_QR-Prism-Ph2-WSR-17-Sep10_HU Risk dashboard_Apr2012-1-macro_2_Business Excellence Dashboard-Jul2012-ERP HU (OracleApps)-consolidated 3" xfId="8564" xr:uid="{00000000-0005-0000-0000-000048070000}"/>
    <cellStyle name="%_QR-Prism-Ph2-WSR-17-Sep10_HU Risk dashboard_Apr2012-1-macro_2_Business Excellence Dashboard-Jul2012-ERP HU (OracleApps)-consolidated 4" xfId="7366" xr:uid="{00000000-0005-0000-0000-000049070000}"/>
    <cellStyle name="%_QR-Prism-Ph2-WSR-17-Sep10_HU Risk dashboard_Apr2012-1-macro_2_Business Excellence Dashboard-Jul2012-ERP HU (OracleApps)-consolidated 5" xfId="6168" xr:uid="{00000000-0005-0000-0000-00004A070000}"/>
    <cellStyle name="%_QR-Prism-Ph2-WSR-17-Sep10_HU Risk dashboard_Apr2012-1-macro_2_Business Excellence Dashboard-Jul2012-ERP HU (OracleApps)-consolidated 6" xfId="4969" xr:uid="{00000000-0005-0000-0000-00004B070000}"/>
    <cellStyle name="%_QR-Prism-Ph2-WSR-17-Sep10_HU Risk dashboard_Apr2012-1-macro_2_Business Excellence Dashboard-Jul2012-ERP HU (OracleApps)-consolidated 7" xfId="3770" xr:uid="{00000000-0005-0000-0000-00004C070000}"/>
    <cellStyle name="%_QR-Prism-Ph2-WSR-17-Sep10_HU Risk dashboard_Apr2012-1-macro_2_Business Excellence Dashboard-Jul2012-ERP HU (OracleApps)-consolidated_BusinessExcellenceDashboard_OCt2012_MS HU-ERased" xfId="466" xr:uid="{00000000-0005-0000-0000-00004D070000}"/>
    <cellStyle name="%_QR-Prism-Ph2-WSR-17-Sep10_HU Risk dashboard_Apr2012-1-macro_2_BusinessExcellenceDashboard_OCt2012_MS HU-ERased" xfId="467" xr:uid="{00000000-0005-0000-0000-00004E070000}"/>
    <cellStyle name="%_QR-Prism-Ph2-WSR-17-Sep10_HU Risk dashboard_Apr2012-1-macro_2_copydatamacro" xfId="468" xr:uid="{00000000-0005-0000-0000-00004F070000}"/>
    <cellStyle name="%_QR-Prism-Ph2-WSR-17-Sep10_HU Risk dashboard_Apr2012-1-macro_2_copydatamacro 2" xfId="9763" xr:uid="{00000000-0005-0000-0000-000050070000}"/>
    <cellStyle name="%_QR-Prism-Ph2-WSR-17-Sep10_HU Risk dashboard_Apr2012-1-macro_2_copydatamacro 3" xfId="8565" xr:uid="{00000000-0005-0000-0000-000051070000}"/>
    <cellStyle name="%_QR-Prism-Ph2-WSR-17-Sep10_HU Risk dashboard_Apr2012-1-macro_2_copydatamacro 4" xfId="7367" xr:uid="{00000000-0005-0000-0000-000052070000}"/>
    <cellStyle name="%_QR-Prism-Ph2-WSR-17-Sep10_HU Risk dashboard_Apr2012-1-macro_2_copydatamacro 5" xfId="6169" xr:uid="{00000000-0005-0000-0000-000053070000}"/>
    <cellStyle name="%_QR-Prism-Ph2-WSR-17-Sep10_HU Risk dashboard_Apr2012-1-macro_2_copydatamacro 6" xfId="4970" xr:uid="{00000000-0005-0000-0000-000054070000}"/>
    <cellStyle name="%_QR-Prism-Ph2-WSR-17-Sep10_HU Risk dashboard_Apr2012-1-macro_2_copydatamacro 7" xfId="3771" xr:uid="{00000000-0005-0000-0000-000055070000}"/>
    <cellStyle name="%_QR-Prism-Ph2-WSR-17-Sep10_HU Risk dashboard_Apr2012-1-macro_2_copydatamacro_BusinessExcellenceDashboard_OCt2012_MS HU-ERased" xfId="469" xr:uid="{00000000-0005-0000-0000-000056070000}"/>
    <cellStyle name="%_QR-Prism-Ph2-WSR-17-Sep10_HU Risk dashboard_Apr2012-1-macro_Book1" xfId="470" xr:uid="{00000000-0005-0000-0000-000057070000}"/>
    <cellStyle name="%_QR-Prism-Ph2-WSR-17-Sep10_HU Risk dashboard_Apr2012-1-macro_Book1 2" xfId="9764" xr:uid="{00000000-0005-0000-0000-000058070000}"/>
    <cellStyle name="%_QR-Prism-Ph2-WSR-17-Sep10_HU Risk dashboard_Apr2012-1-macro_Book1 3" xfId="8566" xr:uid="{00000000-0005-0000-0000-000059070000}"/>
    <cellStyle name="%_QR-Prism-Ph2-WSR-17-Sep10_HU Risk dashboard_Apr2012-1-macro_Book1 4" xfId="7368" xr:uid="{00000000-0005-0000-0000-00005A070000}"/>
    <cellStyle name="%_QR-Prism-Ph2-WSR-17-Sep10_HU Risk dashboard_Apr2012-1-macro_Book1 5" xfId="6170" xr:uid="{00000000-0005-0000-0000-00005B070000}"/>
    <cellStyle name="%_QR-Prism-Ph2-WSR-17-Sep10_HU Risk dashboard_Apr2012-1-macro_Book1 6" xfId="4971" xr:uid="{00000000-0005-0000-0000-00005C070000}"/>
    <cellStyle name="%_QR-Prism-Ph2-WSR-17-Sep10_HU Risk dashboard_Apr2012-1-macro_Book1 7" xfId="3772" xr:uid="{00000000-0005-0000-0000-00005D070000}"/>
    <cellStyle name="%_QR-Prism-Ph2-WSR-17-Sep10_HU Risk dashboard_Apr2012-1-macro_Book1_Business Excellence Dashboard-Aug2012-ERP HU (OracleApps)" xfId="471" xr:uid="{00000000-0005-0000-0000-00005E070000}"/>
    <cellStyle name="%_QR-Prism-Ph2-WSR-17-Sep10_HU Risk dashboard_Apr2012-1-macro_Book1_Business Excellence Dashboard-Aug2012-ERP HU (OracleApps) 2" xfId="9765" xr:uid="{00000000-0005-0000-0000-00005F070000}"/>
    <cellStyle name="%_QR-Prism-Ph2-WSR-17-Sep10_HU Risk dashboard_Apr2012-1-macro_Book1_Business Excellence Dashboard-Aug2012-ERP HU (OracleApps) 3" xfId="8567" xr:uid="{00000000-0005-0000-0000-000060070000}"/>
    <cellStyle name="%_QR-Prism-Ph2-WSR-17-Sep10_HU Risk dashboard_Apr2012-1-macro_Book1_Business Excellence Dashboard-Aug2012-ERP HU (OracleApps) 4" xfId="7369" xr:uid="{00000000-0005-0000-0000-000061070000}"/>
    <cellStyle name="%_QR-Prism-Ph2-WSR-17-Sep10_HU Risk dashboard_Apr2012-1-macro_Book1_Business Excellence Dashboard-Aug2012-ERP HU (OracleApps) 5" xfId="6171" xr:uid="{00000000-0005-0000-0000-000062070000}"/>
    <cellStyle name="%_QR-Prism-Ph2-WSR-17-Sep10_HU Risk dashboard_Apr2012-1-macro_Book1_Business Excellence Dashboard-Aug2012-ERP HU (OracleApps) 6" xfId="4972" xr:uid="{00000000-0005-0000-0000-000063070000}"/>
    <cellStyle name="%_QR-Prism-Ph2-WSR-17-Sep10_HU Risk dashboard_Apr2012-1-macro_Book1_Business Excellence Dashboard-Aug2012-ERP HU (OracleApps) 7" xfId="3773" xr:uid="{00000000-0005-0000-0000-000064070000}"/>
    <cellStyle name="%_QR-Prism-Ph2-WSR-17-Sep10_HU Risk dashboard_Apr2012-1-macro_Book1_Business Excellence Dashboard-Aug2012-ERP HU (OracleApps)_BusinessExcellenceDashboard_OCt2012_MS HU-ERased" xfId="472" xr:uid="{00000000-0005-0000-0000-000065070000}"/>
    <cellStyle name="%_QR-Prism-Ph2-WSR-17-Sep10_HU Risk dashboard_Apr2012-1-macro_Book1_Business Excellence Dashboard-Jul2012-ERP HU (OracleApps)-consolidated" xfId="473" xr:uid="{00000000-0005-0000-0000-000066070000}"/>
    <cellStyle name="%_QR-Prism-Ph2-WSR-17-Sep10_HU Risk dashboard_Apr2012-1-macro_Book1_Business Excellence Dashboard-Jul2012-ERP HU (OracleApps)-consolidated 2" xfId="9766" xr:uid="{00000000-0005-0000-0000-000067070000}"/>
    <cellStyle name="%_QR-Prism-Ph2-WSR-17-Sep10_HU Risk dashboard_Apr2012-1-macro_Book1_Business Excellence Dashboard-Jul2012-ERP HU (OracleApps)-consolidated 3" xfId="8568" xr:uid="{00000000-0005-0000-0000-000068070000}"/>
    <cellStyle name="%_QR-Prism-Ph2-WSR-17-Sep10_HU Risk dashboard_Apr2012-1-macro_Book1_Business Excellence Dashboard-Jul2012-ERP HU (OracleApps)-consolidated 4" xfId="7370" xr:uid="{00000000-0005-0000-0000-000069070000}"/>
    <cellStyle name="%_QR-Prism-Ph2-WSR-17-Sep10_HU Risk dashboard_Apr2012-1-macro_Book1_Business Excellence Dashboard-Jul2012-ERP HU (OracleApps)-consolidated 5" xfId="6172" xr:uid="{00000000-0005-0000-0000-00006A070000}"/>
    <cellStyle name="%_QR-Prism-Ph2-WSR-17-Sep10_HU Risk dashboard_Apr2012-1-macro_Book1_Business Excellence Dashboard-Jul2012-ERP HU (OracleApps)-consolidated 6" xfId="4973" xr:uid="{00000000-0005-0000-0000-00006B070000}"/>
    <cellStyle name="%_QR-Prism-Ph2-WSR-17-Sep10_HU Risk dashboard_Apr2012-1-macro_Book1_Business Excellence Dashboard-Jul2012-ERP HU (OracleApps)-consolidated 7" xfId="3774" xr:uid="{00000000-0005-0000-0000-00006C070000}"/>
    <cellStyle name="%_QR-Prism-Ph2-WSR-17-Sep10_HU Risk dashboard_Apr2012-1-macro_Book1_Business Excellence Dashboard-Jul2012-ERP HU (OracleApps)-consolidated_BusinessExcellenceDashboard_OCt2012_MS HU-ERased" xfId="474" xr:uid="{00000000-0005-0000-0000-00006D070000}"/>
    <cellStyle name="%_QR-Prism-Ph2-WSR-17-Sep10_HU Risk dashboard_Apr2012-1-macro_Book1_BusinessExcellenceDashboard_OCt2012_MS HU-ERased" xfId="475" xr:uid="{00000000-0005-0000-0000-00006E070000}"/>
    <cellStyle name="%_QR-Prism-Ph2-WSR-17-Sep10_HU Risk dashboard_Apr2012-1-macro_Book1_copydatamacro" xfId="476" xr:uid="{00000000-0005-0000-0000-00006F070000}"/>
    <cellStyle name="%_QR-Prism-Ph2-WSR-17-Sep10_HU Risk dashboard_Apr2012-1-macro_Book1_copydatamacro 2" xfId="9767" xr:uid="{00000000-0005-0000-0000-000070070000}"/>
    <cellStyle name="%_QR-Prism-Ph2-WSR-17-Sep10_HU Risk dashboard_Apr2012-1-macro_Book1_copydatamacro 3" xfId="8569" xr:uid="{00000000-0005-0000-0000-000071070000}"/>
    <cellStyle name="%_QR-Prism-Ph2-WSR-17-Sep10_HU Risk dashboard_Apr2012-1-macro_Book1_copydatamacro 4" xfId="7371" xr:uid="{00000000-0005-0000-0000-000072070000}"/>
    <cellStyle name="%_QR-Prism-Ph2-WSR-17-Sep10_HU Risk dashboard_Apr2012-1-macro_Book1_copydatamacro 5" xfId="6173" xr:uid="{00000000-0005-0000-0000-000073070000}"/>
    <cellStyle name="%_QR-Prism-Ph2-WSR-17-Sep10_HU Risk dashboard_Apr2012-1-macro_Book1_copydatamacro 6" xfId="4974" xr:uid="{00000000-0005-0000-0000-000074070000}"/>
    <cellStyle name="%_QR-Prism-Ph2-WSR-17-Sep10_HU Risk dashboard_Apr2012-1-macro_Book1_copydatamacro 7" xfId="3775" xr:uid="{00000000-0005-0000-0000-000075070000}"/>
    <cellStyle name="%_QR-Prism-Ph2-WSR-17-Sep10_HU Risk dashboard_Apr2012-1-macro_Book1_copydatamacro_BusinessExcellenceDashboard_OCt2012_MS HU-ERased" xfId="477" xr:uid="{00000000-0005-0000-0000-000076070000}"/>
    <cellStyle name="%_QR-Prism-Ph2-WSR-17-Sep10_HU Risk dashboard_Apr2012-1-macro_Business Excellence Dashboard-Aug2012-ERP HU (OracleApps)" xfId="478" xr:uid="{00000000-0005-0000-0000-000077070000}"/>
    <cellStyle name="%_QR-Prism-Ph2-WSR-17-Sep10_HU Risk dashboard_Apr2012-1-macro_Business Excellence Dashboard-Aug2012-ERP HU (OracleApps) 2" xfId="9768" xr:uid="{00000000-0005-0000-0000-000078070000}"/>
    <cellStyle name="%_QR-Prism-Ph2-WSR-17-Sep10_HU Risk dashboard_Apr2012-1-macro_Business Excellence Dashboard-Aug2012-ERP HU (OracleApps) 3" xfId="8570" xr:uid="{00000000-0005-0000-0000-000079070000}"/>
    <cellStyle name="%_QR-Prism-Ph2-WSR-17-Sep10_HU Risk dashboard_Apr2012-1-macro_Business Excellence Dashboard-Aug2012-ERP HU (OracleApps) 4" xfId="7372" xr:uid="{00000000-0005-0000-0000-00007A070000}"/>
    <cellStyle name="%_QR-Prism-Ph2-WSR-17-Sep10_HU Risk dashboard_Apr2012-1-macro_Business Excellence Dashboard-Aug2012-ERP HU (OracleApps) 5" xfId="6174" xr:uid="{00000000-0005-0000-0000-00007B070000}"/>
    <cellStyle name="%_QR-Prism-Ph2-WSR-17-Sep10_HU Risk dashboard_Apr2012-1-macro_Business Excellence Dashboard-Aug2012-ERP HU (OracleApps) 6" xfId="4975" xr:uid="{00000000-0005-0000-0000-00007C070000}"/>
    <cellStyle name="%_QR-Prism-Ph2-WSR-17-Sep10_HU Risk dashboard_Apr2012-1-macro_Business Excellence Dashboard-Aug2012-ERP HU (OracleApps) 7" xfId="3776" xr:uid="{00000000-0005-0000-0000-00007D070000}"/>
    <cellStyle name="%_QR-Prism-Ph2-WSR-17-Sep10_HU Risk dashboard_Apr2012-1-macro_Business Excellence Dashboard-Aug2012-ERP HU (OracleApps)_BusinessExcellenceDashboard_OCt2012_MS HU-ERased" xfId="479" xr:uid="{00000000-0005-0000-0000-00007E070000}"/>
    <cellStyle name="%_QR-Prism-Ph2-WSR-17-Sep10_HU Risk dashboard_Apr2012-1-macro_Business Excellence Dashboard-Jul2012-ERP HU (OracleApps)-consolidated" xfId="480" xr:uid="{00000000-0005-0000-0000-00007F070000}"/>
    <cellStyle name="%_QR-Prism-Ph2-WSR-17-Sep10_HU Risk dashboard_Apr2012-1-macro_Business Excellence Dashboard-Jul2012-ERP HU (OracleApps)-consolidated 2" xfId="9769" xr:uid="{00000000-0005-0000-0000-000080070000}"/>
    <cellStyle name="%_QR-Prism-Ph2-WSR-17-Sep10_HU Risk dashboard_Apr2012-1-macro_Business Excellence Dashboard-Jul2012-ERP HU (OracleApps)-consolidated 3" xfId="8571" xr:uid="{00000000-0005-0000-0000-000081070000}"/>
    <cellStyle name="%_QR-Prism-Ph2-WSR-17-Sep10_HU Risk dashboard_Apr2012-1-macro_Business Excellence Dashboard-Jul2012-ERP HU (OracleApps)-consolidated 4" xfId="7373" xr:uid="{00000000-0005-0000-0000-000082070000}"/>
    <cellStyle name="%_QR-Prism-Ph2-WSR-17-Sep10_HU Risk dashboard_Apr2012-1-macro_Business Excellence Dashboard-Jul2012-ERP HU (OracleApps)-consolidated 5" xfId="6175" xr:uid="{00000000-0005-0000-0000-000083070000}"/>
    <cellStyle name="%_QR-Prism-Ph2-WSR-17-Sep10_HU Risk dashboard_Apr2012-1-macro_Business Excellence Dashboard-Jul2012-ERP HU (OracleApps)-consolidated 6" xfId="4976" xr:uid="{00000000-0005-0000-0000-000084070000}"/>
    <cellStyle name="%_QR-Prism-Ph2-WSR-17-Sep10_HU Risk dashboard_Apr2012-1-macro_Business Excellence Dashboard-Jul2012-ERP HU (OracleApps)-consolidated 7" xfId="3777" xr:uid="{00000000-0005-0000-0000-000085070000}"/>
    <cellStyle name="%_QR-Prism-Ph2-WSR-17-Sep10_HU Risk dashboard_Apr2012-1-macro_Business Excellence Dashboard-Jul2012-ERP HU (OracleApps)-consolidated_BusinessExcellenceDashboard_OCt2012_MS HU-ERased" xfId="481" xr:uid="{00000000-0005-0000-0000-000086070000}"/>
    <cellStyle name="%_QR-Prism-Ph2-WSR-17-Sep10_HU Risk dashboard_Apr2012-1-macro_BusinessExcellenceDashboard_OCt2012_MS HU-ERased" xfId="482" xr:uid="{00000000-0005-0000-0000-000087070000}"/>
    <cellStyle name="%_QR-Prism-Ph2-WSR-17-Sep10_HU Risk dashboard_Apr2012-1-macro_copydatamacro" xfId="483" xr:uid="{00000000-0005-0000-0000-000088070000}"/>
    <cellStyle name="%_QR-Prism-Ph2-WSR-17-Sep10_HU Risk dashboard_Apr2012-1-macro_copydatamacro 2" xfId="9770" xr:uid="{00000000-0005-0000-0000-000089070000}"/>
    <cellStyle name="%_QR-Prism-Ph2-WSR-17-Sep10_HU Risk dashboard_Apr2012-1-macro_copydatamacro 3" xfId="8572" xr:uid="{00000000-0005-0000-0000-00008A070000}"/>
    <cellStyle name="%_QR-Prism-Ph2-WSR-17-Sep10_HU Risk dashboard_Apr2012-1-macro_copydatamacro 4" xfId="7374" xr:uid="{00000000-0005-0000-0000-00008B070000}"/>
    <cellStyle name="%_QR-Prism-Ph2-WSR-17-Sep10_HU Risk dashboard_Apr2012-1-macro_copydatamacro 5" xfId="6176" xr:uid="{00000000-0005-0000-0000-00008C070000}"/>
    <cellStyle name="%_QR-Prism-Ph2-WSR-17-Sep10_HU Risk dashboard_Apr2012-1-macro_copydatamacro 6" xfId="4977" xr:uid="{00000000-0005-0000-0000-00008D070000}"/>
    <cellStyle name="%_QR-Prism-Ph2-WSR-17-Sep10_HU Risk dashboard_Apr2012-1-macro_copydatamacro 7" xfId="3778" xr:uid="{00000000-0005-0000-0000-00008E070000}"/>
    <cellStyle name="%_QR-Prism-Ph2-WSR-17-Sep10_HU Risk dashboard_Apr2012-1-macro_copydatamacro_BusinessExcellenceDashboard_OCt2012_MS HU-ERased" xfId="484" xr:uid="{00000000-0005-0000-0000-00008F070000}"/>
    <cellStyle name="%_QR-Prism-Ph2-WSR-17-Sep10_HU Risk dashboard_Apr2012-1-macro_MSHU_BusinessExcellenceDashboardV2.2-May2012-3" xfId="485" xr:uid="{00000000-0005-0000-0000-000090070000}"/>
    <cellStyle name="%_QR-Prism-Ph2-WSR-17-Sep10_HU Risk dashboard_Apr2012-1-macro_MSHU_BusinessExcellenceDashboardV2.2-May2012-3 2" xfId="9771" xr:uid="{00000000-0005-0000-0000-000091070000}"/>
    <cellStyle name="%_QR-Prism-Ph2-WSR-17-Sep10_HU Risk dashboard_Apr2012-1-macro_MSHU_BusinessExcellenceDashboardV2.2-May2012-3 3" xfId="8573" xr:uid="{00000000-0005-0000-0000-000092070000}"/>
    <cellStyle name="%_QR-Prism-Ph2-WSR-17-Sep10_HU Risk dashboard_Apr2012-1-macro_MSHU_BusinessExcellenceDashboardV2.2-May2012-3 4" xfId="7375" xr:uid="{00000000-0005-0000-0000-000093070000}"/>
    <cellStyle name="%_QR-Prism-Ph2-WSR-17-Sep10_HU Risk dashboard_Apr2012-1-macro_MSHU_BusinessExcellenceDashboardV2.2-May2012-3 5" xfId="6177" xr:uid="{00000000-0005-0000-0000-000094070000}"/>
    <cellStyle name="%_QR-Prism-Ph2-WSR-17-Sep10_HU Risk dashboard_Apr2012-1-macro_MSHU_BusinessExcellenceDashboardV2.2-May2012-3 6" xfId="4978" xr:uid="{00000000-0005-0000-0000-000095070000}"/>
    <cellStyle name="%_QR-Prism-Ph2-WSR-17-Sep10_HU Risk dashboard_Apr2012-1-macro_MSHU_BusinessExcellenceDashboardV2.2-May2012-3 7" xfId="3779" xr:uid="{00000000-0005-0000-0000-000096070000}"/>
    <cellStyle name="%_QR-Prism-Ph2-WSR-17-Sep10_HU Risk dashboard_Apr2012-1-macro_MSHU_BusinessExcellenceDashboardV2.2-May2012-3_Business Excellence Dashboard-Aug2012-ERP HU (OracleApps)" xfId="486" xr:uid="{00000000-0005-0000-0000-000097070000}"/>
    <cellStyle name="%_QR-Prism-Ph2-WSR-17-Sep10_HU Risk dashboard_Apr2012-1-macro_MSHU_BusinessExcellenceDashboardV2.2-May2012-3_Business Excellence Dashboard-Aug2012-ERP HU (OracleApps) 2" xfId="9772" xr:uid="{00000000-0005-0000-0000-000098070000}"/>
    <cellStyle name="%_QR-Prism-Ph2-WSR-17-Sep10_HU Risk dashboard_Apr2012-1-macro_MSHU_BusinessExcellenceDashboardV2.2-May2012-3_Business Excellence Dashboard-Aug2012-ERP HU (OracleApps) 3" xfId="8574" xr:uid="{00000000-0005-0000-0000-000099070000}"/>
    <cellStyle name="%_QR-Prism-Ph2-WSR-17-Sep10_HU Risk dashboard_Apr2012-1-macro_MSHU_BusinessExcellenceDashboardV2.2-May2012-3_Business Excellence Dashboard-Aug2012-ERP HU (OracleApps) 4" xfId="7376" xr:uid="{00000000-0005-0000-0000-00009A070000}"/>
    <cellStyle name="%_QR-Prism-Ph2-WSR-17-Sep10_HU Risk dashboard_Apr2012-1-macro_MSHU_BusinessExcellenceDashboardV2.2-May2012-3_Business Excellence Dashboard-Aug2012-ERP HU (OracleApps) 5" xfId="6178" xr:uid="{00000000-0005-0000-0000-00009B070000}"/>
    <cellStyle name="%_QR-Prism-Ph2-WSR-17-Sep10_HU Risk dashboard_Apr2012-1-macro_MSHU_BusinessExcellenceDashboardV2.2-May2012-3_Business Excellence Dashboard-Aug2012-ERP HU (OracleApps) 6" xfId="4979" xr:uid="{00000000-0005-0000-0000-00009C070000}"/>
    <cellStyle name="%_QR-Prism-Ph2-WSR-17-Sep10_HU Risk dashboard_Apr2012-1-macro_MSHU_BusinessExcellenceDashboardV2.2-May2012-3_Business Excellence Dashboard-Aug2012-ERP HU (OracleApps) 7" xfId="3780" xr:uid="{00000000-0005-0000-0000-00009D070000}"/>
    <cellStyle name="%_QR-Prism-Ph2-WSR-17-Sep10_HU Risk dashboard_Apr2012-1-macro_MSHU_BusinessExcellenceDashboardV2.2-May2012-3_Business Excellence Dashboard-Aug2012-ERP HU (OracleApps)_BusinessExcellenceDashboard_OCt2012_MS HU-ERased" xfId="487" xr:uid="{00000000-0005-0000-0000-00009E070000}"/>
    <cellStyle name="%_QR-Prism-Ph2-WSR-17-Sep10_HU Risk dashboard_Apr2012-1-macro_MSHU_BusinessExcellenceDashboardV2.2-May2012-3_Business Excellence Dashboard-Jul2012-ERP HU (OracleApps)-consolidated" xfId="488" xr:uid="{00000000-0005-0000-0000-00009F070000}"/>
    <cellStyle name="%_QR-Prism-Ph2-WSR-17-Sep10_HU Risk dashboard_Apr2012-1-macro_MSHU_BusinessExcellenceDashboardV2.2-May2012-3_Business Excellence Dashboard-Jul2012-ERP HU (OracleApps)-consolidated 2" xfId="9773" xr:uid="{00000000-0005-0000-0000-0000A0070000}"/>
    <cellStyle name="%_QR-Prism-Ph2-WSR-17-Sep10_HU Risk dashboard_Apr2012-1-macro_MSHU_BusinessExcellenceDashboardV2.2-May2012-3_Business Excellence Dashboard-Jul2012-ERP HU (OracleApps)-consolidated 3" xfId="8575" xr:uid="{00000000-0005-0000-0000-0000A1070000}"/>
    <cellStyle name="%_QR-Prism-Ph2-WSR-17-Sep10_HU Risk dashboard_Apr2012-1-macro_MSHU_BusinessExcellenceDashboardV2.2-May2012-3_Business Excellence Dashboard-Jul2012-ERP HU (OracleApps)-consolidated 4" xfId="7377" xr:uid="{00000000-0005-0000-0000-0000A2070000}"/>
    <cellStyle name="%_QR-Prism-Ph2-WSR-17-Sep10_HU Risk dashboard_Apr2012-1-macro_MSHU_BusinessExcellenceDashboardV2.2-May2012-3_Business Excellence Dashboard-Jul2012-ERP HU (OracleApps)-consolidated 5" xfId="6179" xr:uid="{00000000-0005-0000-0000-0000A3070000}"/>
    <cellStyle name="%_QR-Prism-Ph2-WSR-17-Sep10_HU Risk dashboard_Apr2012-1-macro_MSHU_BusinessExcellenceDashboardV2.2-May2012-3_Business Excellence Dashboard-Jul2012-ERP HU (OracleApps)-consolidated 6" xfId="4980" xr:uid="{00000000-0005-0000-0000-0000A4070000}"/>
    <cellStyle name="%_QR-Prism-Ph2-WSR-17-Sep10_HU Risk dashboard_Apr2012-1-macro_MSHU_BusinessExcellenceDashboardV2.2-May2012-3_Business Excellence Dashboard-Jul2012-ERP HU (OracleApps)-consolidated 7" xfId="3781" xr:uid="{00000000-0005-0000-0000-0000A5070000}"/>
    <cellStyle name="%_QR-Prism-Ph2-WSR-17-Sep10_HU Risk dashboard_Apr2012-1-macro_MSHU_BusinessExcellenceDashboardV2.2-May2012-3_Business Excellence Dashboard-Jul2012-ERP HU (OracleApps)-consolidated_BusinessExcellenceDashboard_OCt2012_MS HU-ERased" xfId="489" xr:uid="{00000000-0005-0000-0000-0000A6070000}"/>
    <cellStyle name="%_QR-Prism-Ph2-WSR-17-Sep10_HU Risk dashboard_Apr2012-1-macro_MSHU_BusinessExcellenceDashboardV2.2-May2012-3_BusinessExcellenceDashboard_OCt2012_MS HU-ERased" xfId="490" xr:uid="{00000000-0005-0000-0000-0000A7070000}"/>
    <cellStyle name="%_QR-Prism-Ph2-WSR-17-Sep10_HU Risk dashboard_Apr2012-1-macro_MSHU_BusinessExcellenceDashboardV2.2-May2012-3_copydatamacro" xfId="491" xr:uid="{00000000-0005-0000-0000-0000A8070000}"/>
    <cellStyle name="%_QR-Prism-Ph2-WSR-17-Sep10_HU Risk dashboard_Apr2012-1-macro_MSHU_BusinessExcellenceDashboardV2.2-May2012-3_copydatamacro 2" xfId="9774" xr:uid="{00000000-0005-0000-0000-0000A9070000}"/>
    <cellStyle name="%_QR-Prism-Ph2-WSR-17-Sep10_HU Risk dashboard_Apr2012-1-macro_MSHU_BusinessExcellenceDashboardV2.2-May2012-3_copydatamacro 3" xfId="8576" xr:uid="{00000000-0005-0000-0000-0000AA070000}"/>
    <cellStyle name="%_QR-Prism-Ph2-WSR-17-Sep10_HU Risk dashboard_Apr2012-1-macro_MSHU_BusinessExcellenceDashboardV2.2-May2012-3_copydatamacro 4" xfId="7378" xr:uid="{00000000-0005-0000-0000-0000AB070000}"/>
    <cellStyle name="%_QR-Prism-Ph2-WSR-17-Sep10_HU Risk dashboard_Apr2012-1-macro_MSHU_BusinessExcellenceDashboardV2.2-May2012-3_copydatamacro 5" xfId="6180" xr:uid="{00000000-0005-0000-0000-0000AC070000}"/>
    <cellStyle name="%_QR-Prism-Ph2-WSR-17-Sep10_HU Risk dashboard_Apr2012-1-macro_MSHU_BusinessExcellenceDashboardV2.2-May2012-3_copydatamacro 6" xfId="4981" xr:uid="{00000000-0005-0000-0000-0000AD070000}"/>
    <cellStyle name="%_QR-Prism-Ph2-WSR-17-Sep10_HU Risk dashboard_Apr2012-1-macro_MSHU_BusinessExcellenceDashboardV2.2-May2012-3_copydatamacro 7" xfId="3782" xr:uid="{00000000-0005-0000-0000-0000AE070000}"/>
    <cellStyle name="%_QR-Prism-Ph2-WSR-17-Sep10_HU Risk dashboard_Apr2012-1-macro_MSHU_BusinessExcellenceDashboardV2.2-May2012-3_copydatamacro_BusinessExcellenceDashboard_OCt2012_MS HU-ERased" xfId="492" xr:uid="{00000000-0005-0000-0000-0000AF070000}"/>
    <cellStyle name="%_QR-Prism-Ph2-WSR-17-Sep10_HU Risk dashboard_Apr2012-1-macro-7MAY2012-1" xfId="493" xr:uid="{00000000-0005-0000-0000-0000B0070000}"/>
    <cellStyle name="%_QR-Prism-Ph2-WSR-17-Sep10_HU Risk dashboard_Apr2012-1-macro-7MAY2012-1 2" xfId="9775" xr:uid="{00000000-0005-0000-0000-0000B1070000}"/>
    <cellStyle name="%_QR-Prism-Ph2-WSR-17-Sep10_HU Risk dashboard_Apr2012-1-macro-7MAY2012-1 3" xfId="8577" xr:uid="{00000000-0005-0000-0000-0000B2070000}"/>
    <cellStyle name="%_QR-Prism-Ph2-WSR-17-Sep10_HU Risk dashboard_Apr2012-1-macro-7MAY2012-1 4" xfId="7379" xr:uid="{00000000-0005-0000-0000-0000B3070000}"/>
    <cellStyle name="%_QR-Prism-Ph2-WSR-17-Sep10_HU Risk dashboard_Apr2012-1-macro-7MAY2012-1 5" xfId="6181" xr:uid="{00000000-0005-0000-0000-0000B4070000}"/>
    <cellStyle name="%_QR-Prism-Ph2-WSR-17-Sep10_HU Risk dashboard_Apr2012-1-macro-7MAY2012-1 6" xfId="4982" xr:uid="{00000000-0005-0000-0000-0000B5070000}"/>
    <cellStyle name="%_QR-Prism-Ph2-WSR-17-Sep10_HU Risk dashboard_Apr2012-1-macro-7MAY2012-1 7" xfId="3783" xr:uid="{00000000-0005-0000-0000-0000B6070000}"/>
    <cellStyle name="%_QR-Prism-Ph2-WSR-17-Sep10_HU Risk dashboard_Apr2012-1-macro-7MAY2012-1_2" xfId="494" xr:uid="{00000000-0005-0000-0000-0000B7070000}"/>
    <cellStyle name="%_QR-Prism-Ph2-WSR-17-Sep10_HU Risk dashboard_Apr2012-1-macro-7MAY2012-1_2 2" xfId="9776" xr:uid="{00000000-0005-0000-0000-0000B8070000}"/>
    <cellStyle name="%_QR-Prism-Ph2-WSR-17-Sep10_HU Risk dashboard_Apr2012-1-macro-7MAY2012-1_2 3" xfId="8578" xr:uid="{00000000-0005-0000-0000-0000B9070000}"/>
    <cellStyle name="%_QR-Prism-Ph2-WSR-17-Sep10_HU Risk dashboard_Apr2012-1-macro-7MAY2012-1_2 4" xfId="7380" xr:uid="{00000000-0005-0000-0000-0000BA070000}"/>
    <cellStyle name="%_QR-Prism-Ph2-WSR-17-Sep10_HU Risk dashboard_Apr2012-1-macro-7MAY2012-1_2 5" xfId="6182" xr:uid="{00000000-0005-0000-0000-0000BB070000}"/>
    <cellStyle name="%_QR-Prism-Ph2-WSR-17-Sep10_HU Risk dashboard_Apr2012-1-macro-7MAY2012-1_2 6" xfId="4983" xr:uid="{00000000-0005-0000-0000-0000BC070000}"/>
    <cellStyle name="%_QR-Prism-Ph2-WSR-17-Sep10_HU Risk dashboard_Apr2012-1-macro-7MAY2012-1_2 7" xfId="3784" xr:uid="{00000000-0005-0000-0000-0000BD070000}"/>
    <cellStyle name="%_QR-Prism-Ph2-WSR-17-Sep10_HU Risk dashboard_Apr2012-1-macro-7MAY2012-1_2_1" xfId="495" xr:uid="{00000000-0005-0000-0000-0000BE070000}"/>
    <cellStyle name="%_QR-Prism-Ph2-WSR-17-Sep10_HU Risk dashboard_Apr2012-1-macro-7MAY2012-1_2_1 2" xfId="9777" xr:uid="{00000000-0005-0000-0000-0000BF070000}"/>
    <cellStyle name="%_QR-Prism-Ph2-WSR-17-Sep10_HU Risk dashboard_Apr2012-1-macro-7MAY2012-1_2_1 3" xfId="8579" xr:uid="{00000000-0005-0000-0000-0000C0070000}"/>
    <cellStyle name="%_QR-Prism-Ph2-WSR-17-Sep10_HU Risk dashboard_Apr2012-1-macro-7MAY2012-1_2_1 4" xfId="7381" xr:uid="{00000000-0005-0000-0000-0000C1070000}"/>
    <cellStyle name="%_QR-Prism-Ph2-WSR-17-Sep10_HU Risk dashboard_Apr2012-1-macro-7MAY2012-1_2_1 5" xfId="6183" xr:uid="{00000000-0005-0000-0000-0000C2070000}"/>
    <cellStyle name="%_QR-Prism-Ph2-WSR-17-Sep10_HU Risk dashboard_Apr2012-1-macro-7MAY2012-1_2_1 6" xfId="4984" xr:uid="{00000000-0005-0000-0000-0000C3070000}"/>
    <cellStyle name="%_QR-Prism-Ph2-WSR-17-Sep10_HU Risk dashboard_Apr2012-1-macro-7MAY2012-1_2_1 7" xfId="3785" xr:uid="{00000000-0005-0000-0000-0000C4070000}"/>
    <cellStyle name="%_QR-Prism-Ph2-WSR-17-Sep10_HU Risk dashboard_Apr2012-1-macro-7MAY2012-1_2_1_Business Excellence Dashboard-Aug2012-ERP HU (OracleApps)" xfId="496" xr:uid="{00000000-0005-0000-0000-0000C5070000}"/>
    <cellStyle name="%_QR-Prism-Ph2-WSR-17-Sep10_HU Risk dashboard_Apr2012-1-macro-7MAY2012-1_2_1_Business Excellence Dashboard-Aug2012-ERP HU (OracleApps) 2" xfId="9778" xr:uid="{00000000-0005-0000-0000-0000C6070000}"/>
    <cellStyle name="%_QR-Prism-Ph2-WSR-17-Sep10_HU Risk dashboard_Apr2012-1-macro-7MAY2012-1_2_1_Business Excellence Dashboard-Aug2012-ERP HU (OracleApps) 3" xfId="8580" xr:uid="{00000000-0005-0000-0000-0000C7070000}"/>
    <cellStyle name="%_QR-Prism-Ph2-WSR-17-Sep10_HU Risk dashboard_Apr2012-1-macro-7MAY2012-1_2_1_Business Excellence Dashboard-Aug2012-ERP HU (OracleApps) 4" xfId="7382" xr:uid="{00000000-0005-0000-0000-0000C8070000}"/>
    <cellStyle name="%_QR-Prism-Ph2-WSR-17-Sep10_HU Risk dashboard_Apr2012-1-macro-7MAY2012-1_2_1_Business Excellence Dashboard-Aug2012-ERP HU (OracleApps) 5" xfId="6184" xr:uid="{00000000-0005-0000-0000-0000C9070000}"/>
    <cellStyle name="%_QR-Prism-Ph2-WSR-17-Sep10_HU Risk dashboard_Apr2012-1-macro-7MAY2012-1_2_1_Business Excellence Dashboard-Aug2012-ERP HU (OracleApps) 6" xfId="4985" xr:uid="{00000000-0005-0000-0000-0000CA070000}"/>
    <cellStyle name="%_QR-Prism-Ph2-WSR-17-Sep10_HU Risk dashboard_Apr2012-1-macro-7MAY2012-1_2_1_Business Excellence Dashboard-Aug2012-ERP HU (OracleApps) 7" xfId="3786" xr:uid="{00000000-0005-0000-0000-0000CB070000}"/>
    <cellStyle name="%_QR-Prism-Ph2-WSR-17-Sep10_HU Risk dashboard_Apr2012-1-macro-7MAY2012-1_2_1_Business Excellence Dashboard-Aug2012-ERP HU (OracleApps)_BusinessExcellenceDashboard_OCt2012_MS HU-ERased" xfId="497" xr:uid="{00000000-0005-0000-0000-0000CC070000}"/>
    <cellStyle name="%_QR-Prism-Ph2-WSR-17-Sep10_HU Risk dashboard_Apr2012-1-macro-7MAY2012-1_2_1_BusinessExcellenceDashboard_OCt2012_MS HU-ERased" xfId="498" xr:uid="{00000000-0005-0000-0000-0000CD070000}"/>
    <cellStyle name="%_QR-Prism-Ph2-WSR-17-Sep10_HU Risk dashboard_Apr2012-1-macro-7MAY2012-1_2_2" xfId="499" xr:uid="{00000000-0005-0000-0000-0000CE070000}"/>
    <cellStyle name="%_QR-Prism-Ph2-WSR-17-Sep10_HU Risk dashboard_Apr2012-1-macro-7MAY2012-1_2_2 2" xfId="9779" xr:uid="{00000000-0005-0000-0000-0000CF070000}"/>
    <cellStyle name="%_QR-Prism-Ph2-WSR-17-Sep10_HU Risk dashboard_Apr2012-1-macro-7MAY2012-1_2_2 3" xfId="8581" xr:uid="{00000000-0005-0000-0000-0000D0070000}"/>
    <cellStyle name="%_QR-Prism-Ph2-WSR-17-Sep10_HU Risk dashboard_Apr2012-1-macro-7MAY2012-1_2_2 4" xfId="7383" xr:uid="{00000000-0005-0000-0000-0000D1070000}"/>
    <cellStyle name="%_QR-Prism-Ph2-WSR-17-Sep10_HU Risk dashboard_Apr2012-1-macro-7MAY2012-1_2_2 5" xfId="6185" xr:uid="{00000000-0005-0000-0000-0000D2070000}"/>
    <cellStyle name="%_QR-Prism-Ph2-WSR-17-Sep10_HU Risk dashboard_Apr2012-1-macro-7MAY2012-1_2_2 6" xfId="4986" xr:uid="{00000000-0005-0000-0000-0000D3070000}"/>
    <cellStyle name="%_QR-Prism-Ph2-WSR-17-Sep10_HU Risk dashboard_Apr2012-1-macro-7MAY2012-1_2_2 7" xfId="3787" xr:uid="{00000000-0005-0000-0000-0000D4070000}"/>
    <cellStyle name="%_QR-Prism-Ph2-WSR-17-Sep10_HU Risk dashboard_Apr2012-1-macro-7MAY2012-1_2_2_BusinessExcellenceDashboard_OCt2012_MS HU-ERased" xfId="500" xr:uid="{00000000-0005-0000-0000-0000D5070000}"/>
    <cellStyle name="%_QR-Prism-Ph2-WSR-17-Sep10_HU Risk dashboard_Apr2012-1-macro-7MAY2012-1_2_Business Excellence Dashboard-Aug2012-ERP HU (OracleApps)" xfId="501" xr:uid="{00000000-0005-0000-0000-0000D6070000}"/>
    <cellStyle name="%_QR-Prism-Ph2-WSR-17-Sep10_HU Risk dashboard_Apr2012-1-macro-7MAY2012-1_2_Business Excellence Dashboard-Aug2012-ERP HU (OracleApps) 2" xfId="9780" xr:uid="{00000000-0005-0000-0000-0000D7070000}"/>
    <cellStyle name="%_QR-Prism-Ph2-WSR-17-Sep10_HU Risk dashboard_Apr2012-1-macro-7MAY2012-1_2_Business Excellence Dashboard-Aug2012-ERP HU (OracleApps) 3" xfId="8582" xr:uid="{00000000-0005-0000-0000-0000D8070000}"/>
    <cellStyle name="%_QR-Prism-Ph2-WSR-17-Sep10_HU Risk dashboard_Apr2012-1-macro-7MAY2012-1_2_Business Excellence Dashboard-Aug2012-ERP HU (OracleApps) 4" xfId="7384" xr:uid="{00000000-0005-0000-0000-0000D9070000}"/>
    <cellStyle name="%_QR-Prism-Ph2-WSR-17-Sep10_HU Risk dashboard_Apr2012-1-macro-7MAY2012-1_2_Business Excellence Dashboard-Aug2012-ERP HU (OracleApps) 5" xfId="6186" xr:uid="{00000000-0005-0000-0000-0000DA070000}"/>
    <cellStyle name="%_QR-Prism-Ph2-WSR-17-Sep10_HU Risk dashboard_Apr2012-1-macro-7MAY2012-1_2_Business Excellence Dashboard-Aug2012-ERP HU (OracleApps) 6" xfId="4987" xr:uid="{00000000-0005-0000-0000-0000DB070000}"/>
    <cellStyle name="%_QR-Prism-Ph2-WSR-17-Sep10_HU Risk dashboard_Apr2012-1-macro-7MAY2012-1_2_Business Excellence Dashboard-Aug2012-ERP HU (OracleApps) 7" xfId="3788" xr:uid="{00000000-0005-0000-0000-0000DC070000}"/>
    <cellStyle name="%_QR-Prism-Ph2-WSR-17-Sep10_HU Risk dashboard_Apr2012-1-macro-7MAY2012-1_2_Business Excellence Dashboard-Aug2012-ERP HU (OracleApps)_BusinessExcellenceDashboard_OCt2012_MS HU-ERased" xfId="502" xr:uid="{00000000-0005-0000-0000-0000DD070000}"/>
    <cellStyle name="%_QR-Prism-Ph2-WSR-17-Sep10_HU Risk dashboard_Apr2012-1-macro-7MAY2012-1_2_Business Excellence Dashboard-Jul2012-ERP HU (OracleApps)-consolidated" xfId="503" xr:uid="{00000000-0005-0000-0000-0000DE070000}"/>
    <cellStyle name="%_QR-Prism-Ph2-WSR-17-Sep10_HU Risk dashboard_Apr2012-1-macro-7MAY2012-1_2_Business Excellence Dashboard-Jul2012-ERP HU (OracleApps)-consolidated 2" xfId="9781" xr:uid="{00000000-0005-0000-0000-0000DF070000}"/>
    <cellStyle name="%_QR-Prism-Ph2-WSR-17-Sep10_HU Risk dashboard_Apr2012-1-macro-7MAY2012-1_2_Business Excellence Dashboard-Jul2012-ERP HU (OracleApps)-consolidated 3" xfId="8583" xr:uid="{00000000-0005-0000-0000-0000E0070000}"/>
    <cellStyle name="%_QR-Prism-Ph2-WSR-17-Sep10_HU Risk dashboard_Apr2012-1-macro-7MAY2012-1_2_Business Excellence Dashboard-Jul2012-ERP HU (OracleApps)-consolidated 4" xfId="7385" xr:uid="{00000000-0005-0000-0000-0000E1070000}"/>
    <cellStyle name="%_QR-Prism-Ph2-WSR-17-Sep10_HU Risk dashboard_Apr2012-1-macro-7MAY2012-1_2_Business Excellence Dashboard-Jul2012-ERP HU (OracleApps)-consolidated 5" xfId="6187" xr:uid="{00000000-0005-0000-0000-0000E2070000}"/>
    <cellStyle name="%_QR-Prism-Ph2-WSR-17-Sep10_HU Risk dashboard_Apr2012-1-macro-7MAY2012-1_2_Business Excellence Dashboard-Jul2012-ERP HU (OracleApps)-consolidated 6" xfId="4988" xr:uid="{00000000-0005-0000-0000-0000E3070000}"/>
    <cellStyle name="%_QR-Prism-Ph2-WSR-17-Sep10_HU Risk dashboard_Apr2012-1-macro-7MAY2012-1_2_Business Excellence Dashboard-Jul2012-ERP HU (OracleApps)-consolidated 7" xfId="3789" xr:uid="{00000000-0005-0000-0000-0000E4070000}"/>
    <cellStyle name="%_QR-Prism-Ph2-WSR-17-Sep10_HU Risk dashboard_Apr2012-1-macro-7MAY2012-1_2_Business Excellence Dashboard-Jul2012-ERP HU (OracleApps)-consolidated_BusinessExcellenceDashboard_OCt2012_MS HU-ERased" xfId="504" xr:uid="{00000000-0005-0000-0000-0000E5070000}"/>
    <cellStyle name="%_QR-Prism-Ph2-WSR-17-Sep10_HU Risk dashboard_Apr2012-1-macro-7MAY2012-1_2_BusinessExcellenceDashboard_OCt2012_MS HU-ERased" xfId="505" xr:uid="{00000000-0005-0000-0000-0000E6070000}"/>
    <cellStyle name="%_QR-Prism-Ph2-WSR-17-Sep10_HU Risk dashboard_Apr2012-1-macro-7MAY2012-1_2_copydatamacro" xfId="506" xr:uid="{00000000-0005-0000-0000-0000E7070000}"/>
    <cellStyle name="%_QR-Prism-Ph2-WSR-17-Sep10_HU Risk dashboard_Apr2012-1-macro-7MAY2012-1_2_copydatamacro 2" xfId="9782" xr:uid="{00000000-0005-0000-0000-0000E8070000}"/>
    <cellStyle name="%_QR-Prism-Ph2-WSR-17-Sep10_HU Risk dashboard_Apr2012-1-macro-7MAY2012-1_2_copydatamacro 3" xfId="8584" xr:uid="{00000000-0005-0000-0000-0000E9070000}"/>
    <cellStyle name="%_QR-Prism-Ph2-WSR-17-Sep10_HU Risk dashboard_Apr2012-1-macro-7MAY2012-1_2_copydatamacro 4" xfId="7386" xr:uid="{00000000-0005-0000-0000-0000EA070000}"/>
    <cellStyle name="%_QR-Prism-Ph2-WSR-17-Sep10_HU Risk dashboard_Apr2012-1-macro-7MAY2012-1_2_copydatamacro 5" xfId="6188" xr:uid="{00000000-0005-0000-0000-0000EB070000}"/>
    <cellStyle name="%_QR-Prism-Ph2-WSR-17-Sep10_HU Risk dashboard_Apr2012-1-macro-7MAY2012-1_2_copydatamacro 6" xfId="4989" xr:uid="{00000000-0005-0000-0000-0000EC070000}"/>
    <cellStyle name="%_QR-Prism-Ph2-WSR-17-Sep10_HU Risk dashboard_Apr2012-1-macro-7MAY2012-1_2_copydatamacro 7" xfId="3790" xr:uid="{00000000-0005-0000-0000-0000ED070000}"/>
    <cellStyle name="%_QR-Prism-Ph2-WSR-17-Sep10_HU Risk dashboard_Apr2012-1-macro-7MAY2012-1_2_copydatamacro_BusinessExcellenceDashboard_OCt2012_MS HU-ERased" xfId="507" xr:uid="{00000000-0005-0000-0000-0000EE070000}"/>
    <cellStyle name="%_QR-Prism-Ph2-WSR-17-Sep10_HU Risk dashboard_Apr2012-1-macro-7MAY2012-1_Book1" xfId="508" xr:uid="{00000000-0005-0000-0000-0000EF070000}"/>
    <cellStyle name="%_QR-Prism-Ph2-WSR-17-Sep10_HU Risk dashboard_Apr2012-1-macro-7MAY2012-1_Book1 2" xfId="9783" xr:uid="{00000000-0005-0000-0000-0000F0070000}"/>
    <cellStyle name="%_QR-Prism-Ph2-WSR-17-Sep10_HU Risk dashboard_Apr2012-1-macro-7MAY2012-1_Book1 3" xfId="8585" xr:uid="{00000000-0005-0000-0000-0000F1070000}"/>
    <cellStyle name="%_QR-Prism-Ph2-WSR-17-Sep10_HU Risk dashboard_Apr2012-1-macro-7MAY2012-1_Book1 4" xfId="7387" xr:uid="{00000000-0005-0000-0000-0000F2070000}"/>
    <cellStyle name="%_QR-Prism-Ph2-WSR-17-Sep10_HU Risk dashboard_Apr2012-1-macro-7MAY2012-1_Book1 5" xfId="6189" xr:uid="{00000000-0005-0000-0000-0000F3070000}"/>
    <cellStyle name="%_QR-Prism-Ph2-WSR-17-Sep10_HU Risk dashboard_Apr2012-1-macro-7MAY2012-1_Book1 6" xfId="4990" xr:uid="{00000000-0005-0000-0000-0000F4070000}"/>
    <cellStyle name="%_QR-Prism-Ph2-WSR-17-Sep10_HU Risk dashboard_Apr2012-1-macro-7MAY2012-1_Book1 7" xfId="3791" xr:uid="{00000000-0005-0000-0000-0000F5070000}"/>
    <cellStyle name="%_QR-Prism-Ph2-WSR-17-Sep10_HU Risk dashboard_Apr2012-1-macro-7MAY2012-1_Book1_Business Excellence Dashboard-Aug2012-ERP HU (OracleApps)" xfId="509" xr:uid="{00000000-0005-0000-0000-0000F6070000}"/>
    <cellStyle name="%_QR-Prism-Ph2-WSR-17-Sep10_HU Risk dashboard_Apr2012-1-macro-7MAY2012-1_Book1_Business Excellence Dashboard-Aug2012-ERP HU (OracleApps) 2" xfId="9784" xr:uid="{00000000-0005-0000-0000-0000F7070000}"/>
    <cellStyle name="%_QR-Prism-Ph2-WSR-17-Sep10_HU Risk dashboard_Apr2012-1-macro-7MAY2012-1_Book1_Business Excellence Dashboard-Aug2012-ERP HU (OracleApps) 3" xfId="8586" xr:uid="{00000000-0005-0000-0000-0000F8070000}"/>
    <cellStyle name="%_QR-Prism-Ph2-WSR-17-Sep10_HU Risk dashboard_Apr2012-1-macro-7MAY2012-1_Book1_Business Excellence Dashboard-Aug2012-ERP HU (OracleApps) 4" xfId="7388" xr:uid="{00000000-0005-0000-0000-0000F9070000}"/>
    <cellStyle name="%_QR-Prism-Ph2-WSR-17-Sep10_HU Risk dashboard_Apr2012-1-macro-7MAY2012-1_Book1_Business Excellence Dashboard-Aug2012-ERP HU (OracleApps) 5" xfId="6190" xr:uid="{00000000-0005-0000-0000-0000FA070000}"/>
    <cellStyle name="%_QR-Prism-Ph2-WSR-17-Sep10_HU Risk dashboard_Apr2012-1-macro-7MAY2012-1_Book1_Business Excellence Dashboard-Aug2012-ERP HU (OracleApps) 6" xfId="4991" xr:uid="{00000000-0005-0000-0000-0000FB070000}"/>
    <cellStyle name="%_QR-Prism-Ph2-WSR-17-Sep10_HU Risk dashboard_Apr2012-1-macro-7MAY2012-1_Book1_Business Excellence Dashboard-Aug2012-ERP HU (OracleApps) 7" xfId="3792" xr:uid="{00000000-0005-0000-0000-0000FC070000}"/>
    <cellStyle name="%_QR-Prism-Ph2-WSR-17-Sep10_HU Risk dashboard_Apr2012-1-macro-7MAY2012-1_Book1_Business Excellence Dashboard-Aug2012-ERP HU (OracleApps)_BusinessExcellenceDashboard_OCt2012_MS HU-ERased" xfId="510" xr:uid="{00000000-0005-0000-0000-0000FD070000}"/>
    <cellStyle name="%_QR-Prism-Ph2-WSR-17-Sep10_HU Risk dashboard_Apr2012-1-macro-7MAY2012-1_Book1_Business Excellence Dashboard-Jul2012-ERP HU (OracleApps)-consolidated" xfId="511" xr:uid="{00000000-0005-0000-0000-0000FE070000}"/>
    <cellStyle name="%_QR-Prism-Ph2-WSR-17-Sep10_HU Risk dashboard_Apr2012-1-macro-7MAY2012-1_Book1_Business Excellence Dashboard-Jul2012-ERP HU (OracleApps)-consolidated 2" xfId="9785" xr:uid="{00000000-0005-0000-0000-0000FF070000}"/>
    <cellStyle name="%_QR-Prism-Ph2-WSR-17-Sep10_HU Risk dashboard_Apr2012-1-macro-7MAY2012-1_Book1_Business Excellence Dashboard-Jul2012-ERP HU (OracleApps)-consolidated 3" xfId="8587" xr:uid="{00000000-0005-0000-0000-000000080000}"/>
    <cellStyle name="%_QR-Prism-Ph2-WSR-17-Sep10_HU Risk dashboard_Apr2012-1-macro-7MAY2012-1_Book1_Business Excellence Dashboard-Jul2012-ERP HU (OracleApps)-consolidated 4" xfId="7389" xr:uid="{00000000-0005-0000-0000-000001080000}"/>
    <cellStyle name="%_QR-Prism-Ph2-WSR-17-Sep10_HU Risk dashboard_Apr2012-1-macro-7MAY2012-1_Book1_Business Excellence Dashboard-Jul2012-ERP HU (OracleApps)-consolidated 5" xfId="6191" xr:uid="{00000000-0005-0000-0000-000002080000}"/>
    <cellStyle name="%_QR-Prism-Ph2-WSR-17-Sep10_HU Risk dashboard_Apr2012-1-macro-7MAY2012-1_Book1_Business Excellence Dashboard-Jul2012-ERP HU (OracleApps)-consolidated 6" xfId="4992" xr:uid="{00000000-0005-0000-0000-000003080000}"/>
    <cellStyle name="%_QR-Prism-Ph2-WSR-17-Sep10_HU Risk dashboard_Apr2012-1-macro-7MAY2012-1_Book1_Business Excellence Dashboard-Jul2012-ERP HU (OracleApps)-consolidated 7" xfId="3793" xr:uid="{00000000-0005-0000-0000-000004080000}"/>
    <cellStyle name="%_QR-Prism-Ph2-WSR-17-Sep10_HU Risk dashboard_Apr2012-1-macro-7MAY2012-1_Book1_Business Excellence Dashboard-Jul2012-ERP HU (OracleApps)-consolidated_BusinessExcellenceDashboard_OCt2012_MS HU-ERased" xfId="512" xr:uid="{00000000-0005-0000-0000-000005080000}"/>
    <cellStyle name="%_QR-Prism-Ph2-WSR-17-Sep10_HU Risk dashboard_Apr2012-1-macro-7MAY2012-1_Book1_BusinessExcellenceDashboard_OCt2012_MS HU-ERased" xfId="513" xr:uid="{00000000-0005-0000-0000-000006080000}"/>
    <cellStyle name="%_QR-Prism-Ph2-WSR-17-Sep10_HU Risk dashboard_Apr2012-1-macro-7MAY2012-1_Book1_copydatamacro" xfId="514" xr:uid="{00000000-0005-0000-0000-000007080000}"/>
    <cellStyle name="%_QR-Prism-Ph2-WSR-17-Sep10_HU Risk dashboard_Apr2012-1-macro-7MAY2012-1_Book1_copydatamacro 2" xfId="9786" xr:uid="{00000000-0005-0000-0000-000008080000}"/>
    <cellStyle name="%_QR-Prism-Ph2-WSR-17-Sep10_HU Risk dashboard_Apr2012-1-macro-7MAY2012-1_Book1_copydatamacro 3" xfId="8588" xr:uid="{00000000-0005-0000-0000-000009080000}"/>
    <cellStyle name="%_QR-Prism-Ph2-WSR-17-Sep10_HU Risk dashboard_Apr2012-1-macro-7MAY2012-1_Book1_copydatamacro 4" xfId="7390" xr:uid="{00000000-0005-0000-0000-00000A080000}"/>
    <cellStyle name="%_QR-Prism-Ph2-WSR-17-Sep10_HU Risk dashboard_Apr2012-1-macro-7MAY2012-1_Book1_copydatamacro 5" xfId="6192" xr:uid="{00000000-0005-0000-0000-00000B080000}"/>
    <cellStyle name="%_QR-Prism-Ph2-WSR-17-Sep10_HU Risk dashboard_Apr2012-1-macro-7MAY2012-1_Book1_copydatamacro 6" xfId="4993" xr:uid="{00000000-0005-0000-0000-00000C080000}"/>
    <cellStyle name="%_QR-Prism-Ph2-WSR-17-Sep10_HU Risk dashboard_Apr2012-1-macro-7MAY2012-1_Book1_copydatamacro 7" xfId="3794" xr:uid="{00000000-0005-0000-0000-00000D080000}"/>
    <cellStyle name="%_QR-Prism-Ph2-WSR-17-Sep10_HU Risk dashboard_Apr2012-1-macro-7MAY2012-1_Book1_copydatamacro_BusinessExcellenceDashboard_OCt2012_MS HU-ERased" xfId="515" xr:uid="{00000000-0005-0000-0000-00000E080000}"/>
    <cellStyle name="%_QR-Prism-Ph2-WSR-17-Sep10_HU Risk dashboard_Apr2012-1-macro-7MAY2012-1_Business Excellence Dashboard-Aug2012-ERP HU (OracleApps)" xfId="516" xr:uid="{00000000-0005-0000-0000-00000F080000}"/>
    <cellStyle name="%_QR-Prism-Ph2-WSR-17-Sep10_HU Risk dashboard_Apr2012-1-macro-7MAY2012-1_Business Excellence Dashboard-Aug2012-ERP HU (OracleApps) 2" xfId="9787" xr:uid="{00000000-0005-0000-0000-000010080000}"/>
    <cellStyle name="%_QR-Prism-Ph2-WSR-17-Sep10_HU Risk dashboard_Apr2012-1-macro-7MAY2012-1_Business Excellence Dashboard-Aug2012-ERP HU (OracleApps) 3" xfId="8589" xr:uid="{00000000-0005-0000-0000-000011080000}"/>
    <cellStyle name="%_QR-Prism-Ph2-WSR-17-Sep10_HU Risk dashboard_Apr2012-1-macro-7MAY2012-1_Business Excellence Dashboard-Aug2012-ERP HU (OracleApps) 4" xfId="7391" xr:uid="{00000000-0005-0000-0000-000012080000}"/>
    <cellStyle name="%_QR-Prism-Ph2-WSR-17-Sep10_HU Risk dashboard_Apr2012-1-macro-7MAY2012-1_Business Excellence Dashboard-Aug2012-ERP HU (OracleApps) 5" xfId="6193" xr:uid="{00000000-0005-0000-0000-000013080000}"/>
    <cellStyle name="%_QR-Prism-Ph2-WSR-17-Sep10_HU Risk dashboard_Apr2012-1-macro-7MAY2012-1_Business Excellence Dashboard-Aug2012-ERP HU (OracleApps) 6" xfId="4994" xr:uid="{00000000-0005-0000-0000-000014080000}"/>
    <cellStyle name="%_QR-Prism-Ph2-WSR-17-Sep10_HU Risk dashboard_Apr2012-1-macro-7MAY2012-1_Business Excellence Dashboard-Aug2012-ERP HU (OracleApps) 7" xfId="3795" xr:uid="{00000000-0005-0000-0000-000015080000}"/>
    <cellStyle name="%_QR-Prism-Ph2-WSR-17-Sep10_HU Risk dashboard_Apr2012-1-macro-7MAY2012-1_Business Excellence Dashboard-Aug2012-ERP HU (OracleApps)_BusinessExcellenceDashboard_OCt2012_MS HU-ERased" xfId="517" xr:uid="{00000000-0005-0000-0000-000016080000}"/>
    <cellStyle name="%_QR-Prism-Ph2-WSR-17-Sep10_HU Risk dashboard_Apr2012-1-macro-7MAY2012-1_Business Excellence Dashboard-Jul2012-ERP HU (OracleApps)-consolidated" xfId="518" xr:uid="{00000000-0005-0000-0000-000017080000}"/>
    <cellStyle name="%_QR-Prism-Ph2-WSR-17-Sep10_HU Risk dashboard_Apr2012-1-macro-7MAY2012-1_Business Excellence Dashboard-Jul2012-ERP HU (OracleApps)-consolidated 2" xfId="9788" xr:uid="{00000000-0005-0000-0000-000018080000}"/>
    <cellStyle name="%_QR-Prism-Ph2-WSR-17-Sep10_HU Risk dashboard_Apr2012-1-macro-7MAY2012-1_Business Excellence Dashboard-Jul2012-ERP HU (OracleApps)-consolidated 3" xfId="8590" xr:uid="{00000000-0005-0000-0000-000019080000}"/>
    <cellStyle name="%_QR-Prism-Ph2-WSR-17-Sep10_HU Risk dashboard_Apr2012-1-macro-7MAY2012-1_Business Excellence Dashboard-Jul2012-ERP HU (OracleApps)-consolidated 4" xfId="7392" xr:uid="{00000000-0005-0000-0000-00001A080000}"/>
    <cellStyle name="%_QR-Prism-Ph2-WSR-17-Sep10_HU Risk dashboard_Apr2012-1-macro-7MAY2012-1_Business Excellence Dashboard-Jul2012-ERP HU (OracleApps)-consolidated 5" xfId="6194" xr:uid="{00000000-0005-0000-0000-00001B080000}"/>
    <cellStyle name="%_QR-Prism-Ph2-WSR-17-Sep10_HU Risk dashboard_Apr2012-1-macro-7MAY2012-1_Business Excellence Dashboard-Jul2012-ERP HU (OracleApps)-consolidated 6" xfId="4995" xr:uid="{00000000-0005-0000-0000-00001C080000}"/>
    <cellStyle name="%_QR-Prism-Ph2-WSR-17-Sep10_HU Risk dashboard_Apr2012-1-macro-7MAY2012-1_Business Excellence Dashboard-Jul2012-ERP HU (OracleApps)-consolidated 7" xfId="3796" xr:uid="{00000000-0005-0000-0000-00001D080000}"/>
    <cellStyle name="%_QR-Prism-Ph2-WSR-17-Sep10_HU Risk dashboard_Apr2012-1-macro-7MAY2012-1_Business Excellence Dashboard-Jul2012-ERP HU (OracleApps)-consolidated_BusinessExcellenceDashboard_OCt2012_MS HU-ERased" xfId="519" xr:uid="{00000000-0005-0000-0000-00001E080000}"/>
    <cellStyle name="%_QR-Prism-Ph2-WSR-17-Sep10_HU Risk dashboard_Apr2012-1-macro-7MAY2012-1_BusinessExcellenceDashboard_OCt2012_MS HU-ERased" xfId="520" xr:uid="{00000000-0005-0000-0000-00001F080000}"/>
    <cellStyle name="%_QR-Prism-Ph2-WSR-17-Sep10_HU Risk dashboard_Apr2012-1-macro-7MAY2012-1_copydatamacro" xfId="521" xr:uid="{00000000-0005-0000-0000-000020080000}"/>
    <cellStyle name="%_QR-Prism-Ph2-WSR-17-Sep10_HU Risk dashboard_Apr2012-1-macro-7MAY2012-1_copydatamacro 2" xfId="9789" xr:uid="{00000000-0005-0000-0000-000021080000}"/>
    <cellStyle name="%_QR-Prism-Ph2-WSR-17-Sep10_HU Risk dashboard_Apr2012-1-macro-7MAY2012-1_copydatamacro 3" xfId="8591" xr:uid="{00000000-0005-0000-0000-000022080000}"/>
    <cellStyle name="%_QR-Prism-Ph2-WSR-17-Sep10_HU Risk dashboard_Apr2012-1-macro-7MAY2012-1_copydatamacro 4" xfId="7393" xr:uid="{00000000-0005-0000-0000-000023080000}"/>
    <cellStyle name="%_QR-Prism-Ph2-WSR-17-Sep10_HU Risk dashboard_Apr2012-1-macro-7MAY2012-1_copydatamacro 5" xfId="6195" xr:uid="{00000000-0005-0000-0000-000024080000}"/>
    <cellStyle name="%_QR-Prism-Ph2-WSR-17-Sep10_HU Risk dashboard_Apr2012-1-macro-7MAY2012-1_copydatamacro 6" xfId="4996" xr:uid="{00000000-0005-0000-0000-000025080000}"/>
    <cellStyle name="%_QR-Prism-Ph2-WSR-17-Sep10_HU Risk dashboard_Apr2012-1-macro-7MAY2012-1_copydatamacro 7" xfId="3797" xr:uid="{00000000-0005-0000-0000-000026080000}"/>
    <cellStyle name="%_QR-Prism-Ph2-WSR-17-Sep10_HU Risk dashboard_Apr2012-1-macro-7MAY2012-1_copydatamacro_BusinessExcellenceDashboard_OCt2012_MS HU-ERased" xfId="522" xr:uid="{00000000-0005-0000-0000-000027080000}"/>
    <cellStyle name="%_QR-Prism-Ph2-WSR-17-Sep10_HU Risk dashboard_Apr2012-1-macro-7MAY2012-1_MSHU_BusinessExcellenceDashboardV2.2-May2012-3" xfId="523" xr:uid="{00000000-0005-0000-0000-000028080000}"/>
    <cellStyle name="%_QR-Prism-Ph2-WSR-17-Sep10_HU Risk dashboard_Apr2012-1-macro-7MAY2012-1_MSHU_BusinessExcellenceDashboardV2.2-May2012-3 2" xfId="9790" xr:uid="{00000000-0005-0000-0000-000029080000}"/>
    <cellStyle name="%_QR-Prism-Ph2-WSR-17-Sep10_HU Risk dashboard_Apr2012-1-macro-7MAY2012-1_MSHU_BusinessExcellenceDashboardV2.2-May2012-3 3" xfId="8592" xr:uid="{00000000-0005-0000-0000-00002A080000}"/>
    <cellStyle name="%_QR-Prism-Ph2-WSR-17-Sep10_HU Risk dashboard_Apr2012-1-macro-7MAY2012-1_MSHU_BusinessExcellenceDashboardV2.2-May2012-3 4" xfId="7394" xr:uid="{00000000-0005-0000-0000-00002B080000}"/>
    <cellStyle name="%_QR-Prism-Ph2-WSR-17-Sep10_HU Risk dashboard_Apr2012-1-macro-7MAY2012-1_MSHU_BusinessExcellenceDashboardV2.2-May2012-3 5" xfId="6196" xr:uid="{00000000-0005-0000-0000-00002C080000}"/>
    <cellStyle name="%_QR-Prism-Ph2-WSR-17-Sep10_HU Risk dashboard_Apr2012-1-macro-7MAY2012-1_MSHU_BusinessExcellenceDashboardV2.2-May2012-3 6" xfId="4997" xr:uid="{00000000-0005-0000-0000-00002D080000}"/>
    <cellStyle name="%_QR-Prism-Ph2-WSR-17-Sep10_HU Risk dashboard_Apr2012-1-macro-7MAY2012-1_MSHU_BusinessExcellenceDashboardV2.2-May2012-3 7" xfId="3798" xr:uid="{00000000-0005-0000-0000-00002E080000}"/>
    <cellStyle name="%_QR-Prism-Ph2-WSR-17-Sep10_HU Risk dashboard_Apr2012-1-macro-7MAY2012-1_MSHU_BusinessExcellenceDashboardV2.2-May2012-3_Business Excellence Dashboard-Aug2012-ERP HU (OracleApps)" xfId="524" xr:uid="{00000000-0005-0000-0000-00002F080000}"/>
    <cellStyle name="%_QR-Prism-Ph2-WSR-17-Sep10_HU Risk dashboard_Apr2012-1-macro-7MAY2012-1_MSHU_BusinessExcellenceDashboardV2.2-May2012-3_Business Excellence Dashboard-Aug2012-ERP HU (OracleApps) 2" xfId="9791" xr:uid="{00000000-0005-0000-0000-000030080000}"/>
    <cellStyle name="%_QR-Prism-Ph2-WSR-17-Sep10_HU Risk dashboard_Apr2012-1-macro-7MAY2012-1_MSHU_BusinessExcellenceDashboardV2.2-May2012-3_Business Excellence Dashboard-Aug2012-ERP HU (OracleApps) 3" xfId="8593" xr:uid="{00000000-0005-0000-0000-000031080000}"/>
    <cellStyle name="%_QR-Prism-Ph2-WSR-17-Sep10_HU Risk dashboard_Apr2012-1-macro-7MAY2012-1_MSHU_BusinessExcellenceDashboardV2.2-May2012-3_Business Excellence Dashboard-Aug2012-ERP HU (OracleApps) 4" xfId="7395" xr:uid="{00000000-0005-0000-0000-000032080000}"/>
    <cellStyle name="%_QR-Prism-Ph2-WSR-17-Sep10_HU Risk dashboard_Apr2012-1-macro-7MAY2012-1_MSHU_BusinessExcellenceDashboardV2.2-May2012-3_Business Excellence Dashboard-Aug2012-ERP HU (OracleApps) 5" xfId="6197" xr:uid="{00000000-0005-0000-0000-000033080000}"/>
    <cellStyle name="%_QR-Prism-Ph2-WSR-17-Sep10_HU Risk dashboard_Apr2012-1-macro-7MAY2012-1_MSHU_BusinessExcellenceDashboardV2.2-May2012-3_Business Excellence Dashboard-Aug2012-ERP HU (OracleApps) 6" xfId="4998" xr:uid="{00000000-0005-0000-0000-000034080000}"/>
    <cellStyle name="%_QR-Prism-Ph2-WSR-17-Sep10_HU Risk dashboard_Apr2012-1-macro-7MAY2012-1_MSHU_BusinessExcellenceDashboardV2.2-May2012-3_Business Excellence Dashboard-Aug2012-ERP HU (OracleApps) 7" xfId="3799" xr:uid="{00000000-0005-0000-0000-000035080000}"/>
    <cellStyle name="%_QR-Prism-Ph2-WSR-17-Sep10_HU Risk dashboard_Apr2012-1-macro-7MAY2012-1_MSHU_BusinessExcellenceDashboardV2.2-May2012-3_Business Excellence Dashboard-Aug2012-ERP HU (OracleApps)_BusinessExcellenceDashboard_OCt2012_MS HU-ERased" xfId="525" xr:uid="{00000000-0005-0000-0000-000036080000}"/>
    <cellStyle name="%_QR-Prism-Ph2-WSR-17-Sep10_HU Risk dashboard_Apr2012-1-macro-7MAY2012-1_MSHU_BusinessExcellenceDashboardV2.2-May2012-3_Business Excellence Dashboard-Jul2012-ERP HU (OracleApps)-consolidated" xfId="526" xr:uid="{00000000-0005-0000-0000-000037080000}"/>
    <cellStyle name="%_QR-Prism-Ph2-WSR-17-Sep10_HU Risk dashboard_Apr2012-1-macro-7MAY2012-1_MSHU_BusinessExcellenceDashboardV2.2-May2012-3_Business Excellence Dashboard-Jul2012-ERP HU (OracleApps)-consolidated 2" xfId="9792" xr:uid="{00000000-0005-0000-0000-000038080000}"/>
    <cellStyle name="%_QR-Prism-Ph2-WSR-17-Sep10_HU Risk dashboard_Apr2012-1-macro-7MAY2012-1_MSHU_BusinessExcellenceDashboardV2.2-May2012-3_Business Excellence Dashboard-Jul2012-ERP HU (OracleApps)-consolidated 3" xfId="8594" xr:uid="{00000000-0005-0000-0000-000039080000}"/>
    <cellStyle name="%_QR-Prism-Ph2-WSR-17-Sep10_HU Risk dashboard_Apr2012-1-macro-7MAY2012-1_MSHU_BusinessExcellenceDashboardV2.2-May2012-3_Business Excellence Dashboard-Jul2012-ERP HU (OracleApps)-consolidated 4" xfId="7396" xr:uid="{00000000-0005-0000-0000-00003A080000}"/>
    <cellStyle name="%_QR-Prism-Ph2-WSR-17-Sep10_HU Risk dashboard_Apr2012-1-macro-7MAY2012-1_MSHU_BusinessExcellenceDashboardV2.2-May2012-3_Business Excellence Dashboard-Jul2012-ERP HU (OracleApps)-consolidated 5" xfId="6198" xr:uid="{00000000-0005-0000-0000-00003B080000}"/>
    <cellStyle name="%_QR-Prism-Ph2-WSR-17-Sep10_HU Risk dashboard_Apr2012-1-macro-7MAY2012-1_MSHU_BusinessExcellenceDashboardV2.2-May2012-3_Business Excellence Dashboard-Jul2012-ERP HU (OracleApps)-consolidated 6" xfId="4999" xr:uid="{00000000-0005-0000-0000-00003C080000}"/>
    <cellStyle name="%_QR-Prism-Ph2-WSR-17-Sep10_HU Risk dashboard_Apr2012-1-macro-7MAY2012-1_MSHU_BusinessExcellenceDashboardV2.2-May2012-3_Business Excellence Dashboard-Jul2012-ERP HU (OracleApps)-consolidated 7" xfId="3800" xr:uid="{00000000-0005-0000-0000-00003D080000}"/>
    <cellStyle name="%_QR-Prism-Ph2-WSR-17-Sep10_HU Risk dashboard_Apr2012-1-macro-7MAY2012-1_MSHU_BusinessExcellenceDashboardV2.2-May2012-3_Business Excellence Dashboard-Jul2012-ERP HU (OracleApps)-consolidated_BusinessExcellenceDashboard_OCt2012_MS HU-ERased" xfId="527" xr:uid="{00000000-0005-0000-0000-00003E080000}"/>
    <cellStyle name="%_QR-Prism-Ph2-WSR-17-Sep10_HU Risk dashboard_Apr2012-1-macro-7MAY2012-1_MSHU_BusinessExcellenceDashboardV2.2-May2012-3_BusinessExcellenceDashboard_OCt2012_MS HU-ERased" xfId="528" xr:uid="{00000000-0005-0000-0000-00003F080000}"/>
    <cellStyle name="%_QR-Prism-Ph2-WSR-17-Sep10_HU Risk dashboard_Apr2012-1-macro-7MAY2012-1_MSHU_BusinessExcellenceDashboardV2.2-May2012-3_copydatamacro" xfId="529" xr:uid="{00000000-0005-0000-0000-000040080000}"/>
    <cellStyle name="%_QR-Prism-Ph2-WSR-17-Sep10_HU Risk dashboard_Apr2012-1-macro-7MAY2012-1_MSHU_BusinessExcellenceDashboardV2.2-May2012-3_copydatamacro 2" xfId="9793" xr:uid="{00000000-0005-0000-0000-000041080000}"/>
    <cellStyle name="%_QR-Prism-Ph2-WSR-17-Sep10_HU Risk dashboard_Apr2012-1-macro-7MAY2012-1_MSHU_BusinessExcellenceDashboardV2.2-May2012-3_copydatamacro 3" xfId="8595" xr:uid="{00000000-0005-0000-0000-000042080000}"/>
    <cellStyle name="%_QR-Prism-Ph2-WSR-17-Sep10_HU Risk dashboard_Apr2012-1-macro-7MAY2012-1_MSHU_BusinessExcellenceDashboardV2.2-May2012-3_copydatamacro 4" xfId="7397" xr:uid="{00000000-0005-0000-0000-000043080000}"/>
    <cellStyle name="%_QR-Prism-Ph2-WSR-17-Sep10_HU Risk dashboard_Apr2012-1-macro-7MAY2012-1_MSHU_BusinessExcellenceDashboardV2.2-May2012-3_copydatamacro 5" xfId="6199" xr:uid="{00000000-0005-0000-0000-000044080000}"/>
    <cellStyle name="%_QR-Prism-Ph2-WSR-17-Sep10_HU Risk dashboard_Apr2012-1-macro-7MAY2012-1_MSHU_BusinessExcellenceDashboardV2.2-May2012-3_copydatamacro 6" xfId="5000" xr:uid="{00000000-0005-0000-0000-000045080000}"/>
    <cellStyle name="%_QR-Prism-Ph2-WSR-17-Sep10_HU Risk dashboard_Apr2012-1-macro-7MAY2012-1_MSHU_BusinessExcellenceDashboardV2.2-May2012-3_copydatamacro 7" xfId="3801" xr:uid="{00000000-0005-0000-0000-000046080000}"/>
    <cellStyle name="%_QR-Prism-Ph2-WSR-17-Sep10_HU Risk dashboard_Apr2012-1-macro-7MAY2012-1_MSHU_BusinessExcellenceDashboardV2.2-May2012-3_copydatamacro_BusinessExcellenceDashboard_OCt2012_MS HU-ERased" xfId="530" xr:uid="{00000000-0005-0000-0000-000047080000}"/>
    <cellStyle name="%_QR-Prism-Ph2-WSR-17-Sep10_HU-Risk-dashboard_OracleAppsProjects_Template-Macro" xfId="531" xr:uid="{00000000-0005-0000-0000-000048080000}"/>
    <cellStyle name="%_QR-Prism-Ph2-WSR-17-Sep10_HU-Risk-dashboard_OracleAppsProjects_Template-Macro 2" xfId="9794" xr:uid="{00000000-0005-0000-0000-000049080000}"/>
    <cellStyle name="%_QR-Prism-Ph2-WSR-17-Sep10_HU-Risk-dashboard_OracleAppsProjects_Template-Macro 3" xfId="8596" xr:uid="{00000000-0005-0000-0000-00004A080000}"/>
    <cellStyle name="%_QR-Prism-Ph2-WSR-17-Sep10_HU-Risk-dashboard_OracleAppsProjects_Template-Macro 4" xfId="7398" xr:uid="{00000000-0005-0000-0000-00004B080000}"/>
    <cellStyle name="%_QR-Prism-Ph2-WSR-17-Sep10_HU-Risk-dashboard_OracleAppsProjects_Template-Macro 5" xfId="6200" xr:uid="{00000000-0005-0000-0000-00004C080000}"/>
    <cellStyle name="%_QR-Prism-Ph2-WSR-17-Sep10_HU-Risk-dashboard_OracleAppsProjects_Template-Macro 6" xfId="5001" xr:uid="{00000000-0005-0000-0000-00004D080000}"/>
    <cellStyle name="%_QR-Prism-Ph2-WSR-17-Sep10_HU-Risk-dashboard_OracleAppsProjects_Template-Macro 7" xfId="3802" xr:uid="{00000000-0005-0000-0000-00004E080000}"/>
    <cellStyle name="%_QR-Prism-Ph2-WSR-17-Sep10_HU-Risk-dashboard_OracleAppsProjects_Template-Macro_2" xfId="532" xr:uid="{00000000-0005-0000-0000-00004F080000}"/>
    <cellStyle name="%_QR-Prism-Ph2-WSR-17-Sep10_HU-Risk-dashboard_OracleAppsProjects_Template-Macro_2 2" xfId="9795" xr:uid="{00000000-0005-0000-0000-000050080000}"/>
    <cellStyle name="%_QR-Prism-Ph2-WSR-17-Sep10_HU-Risk-dashboard_OracleAppsProjects_Template-Macro_2 3" xfId="8597" xr:uid="{00000000-0005-0000-0000-000051080000}"/>
    <cellStyle name="%_QR-Prism-Ph2-WSR-17-Sep10_HU-Risk-dashboard_OracleAppsProjects_Template-Macro_2 4" xfId="7399" xr:uid="{00000000-0005-0000-0000-000052080000}"/>
    <cellStyle name="%_QR-Prism-Ph2-WSR-17-Sep10_HU-Risk-dashboard_OracleAppsProjects_Template-Macro_2 5" xfId="6201" xr:uid="{00000000-0005-0000-0000-000053080000}"/>
    <cellStyle name="%_QR-Prism-Ph2-WSR-17-Sep10_HU-Risk-dashboard_OracleAppsProjects_Template-Macro_2 6" xfId="5002" xr:uid="{00000000-0005-0000-0000-000054080000}"/>
    <cellStyle name="%_QR-Prism-Ph2-WSR-17-Sep10_HU-Risk-dashboard_OracleAppsProjects_Template-Macro_2 7" xfId="3803" xr:uid="{00000000-0005-0000-0000-000055080000}"/>
    <cellStyle name="%_QR-Prism-Ph2-WSR-17-Sep10_HU-Risk-dashboard_OracleAppsProjects_Template-Macro_2_1" xfId="533" xr:uid="{00000000-0005-0000-0000-000056080000}"/>
    <cellStyle name="%_QR-Prism-Ph2-WSR-17-Sep10_HU-Risk-dashboard_OracleAppsProjects_Template-Macro_2_1 2" xfId="9796" xr:uid="{00000000-0005-0000-0000-000057080000}"/>
    <cellStyle name="%_QR-Prism-Ph2-WSR-17-Sep10_HU-Risk-dashboard_OracleAppsProjects_Template-Macro_2_1 3" xfId="8598" xr:uid="{00000000-0005-0000-0000-000058080000}"/>
    <cellStyle name="%_QR-Prism-Ph2-WSR-17-Sep10_HU-Risk-dashboard_OracleAppsProjects_Template-Macro_2_1 4" xfId="7400" xr:uid="{00000000-0005-0000-0000-000059080000}"/>
    <cellStyle name="%_QR-Prism-Ph2-WSR-17-Sep10_HU-Risk-dashboard_OracleAppsProjects_Template-Macro_2_1 5" xfId="6202" xr:uid="{00000000-0005-0000-0000-00005A080000}"/>
    <cellStyle name="%_QR-Prism-Ph2-WSR-17-Sep10_HU-Risk-dashboard_OracleAppsProjects_Template-Macro_2_1 6" xfId="5003" xr:uid="{00000000-0005-0000-0000-00005B080000}"/>
    <cellStyle name="%_QR-Prism-Ph2-WSR-17-Sep10_HU-Risk-dashboard_OracleAppsProjects_Template-Macro_2_1 7" xfId="3804" xr:uid="{00000000-0005-0000-0000-00005C080000}"/>
    <cellStyle name="%_QR-Prism-Ph2-WSR-17-Sep10_HU-Risk-dashboard_OracleAppsProjects_Template-Macro_2_1_Business Excellence Dashboard-Aug2012-ERP HU (OracleApps)" xfId="534" xr:uid="{00000000-0005-0000-0000-00005D080000}"/>
    <cellStyle name="%_QR-Prism-Ph2-WSR-17-Sep10_HU-Risk-dashboard_OracleAppsProjects_Template-Macro_2_1_Business Excellence Dashboard-Aug2012-ERP HU (OracleApps) 2" xfId="9797" xr:uid="{00000000-0005-0000-0000-00005E080000}"/>
    <cellStyle name="%_QR-Prism-Ph2-WSR-17-Sep10_HU-Risk-dashboard_OracleAppsProjects_Template-Macro_2_1_Business Excellence Dashboard-Aug2012-ERP HU (OracleApps) 3" xfId="8599" xr:uid="{00000000-0005-0000-0000-00005F080000}"/>
    <cellStyle name="%_QR-Prism-Ph2-WSR-17-Sep10_HU-Risk-dashboard_OracleAppsProjects_Template-Macro_2_1_Business Excellence Dashboard-Aug2012-ERP HU (OracleApps) 4" xfId="7401" xr:uid="{00000000-0005-0000-0000-000060080000}"/>
    <cellStyle name="%_QR-Prism-Ph2-WSR-17-Sep10_HU-Risk-dashboard_OracleAppsProjects_Template-Macro_2_1_Business Excellence Dashboard-Aug2012-ERP HU (OracleApps) 5" xfId="6203" xr:uid="{00000000-0005-0000-0000-000061080000}"/>
    <cellStyle name="%_QR-Prism-Ph2-WSR-17-Sep10_HU-Risk-dashboard_OracleAppsProjects_Template-Macro_2_1_Business Excellence Dashboard-Aug2012-ERP HU (OracleApps) 6" xfId="5004" xr:uid="{00000000-0005-0000-0000-000062080000}"/>
    <cellStyle name="%_QR-Prism-Ph2-WSR-17-Sep10_HU-Risk-dashboard_OracleAppsProjects_Template-Macro_2_1_Business Excellence Dashboard-Aug2012-ERP HU (OracleApps) 7" xfId="3805" xr:uid="{00000000-0005-0000-0000-000063080000}"/>
    <cellStyle name="%_QR-Prism-Ph2-WSR-17-Sep10_HU-Risk-dashboard_OracleAppsProjects_Template-Macro_2_1_Business Excellence Dashboard-Aug2012-ERP HU (OracleApps)_BusinessExcellenceDashboard_OCt2012_MS HU-ERased" xfId="535" xr:uid="{00000000-0005-0000-0000-000064080000}"/>
    <cellStyle name="%_QR-Prism-Ph2-WSR-17-Sep10_HU-Risk-dashboard_OracleAppsProjects_Template-Macro_2_1_BusinessExcellenceDashboard_OCt2012_MS HU-ERased" xfId="536" xr:uid="{00000000-0005-0000-0000-000065080000}"/>
    <cellStyle name="%_QR-Prism-Ph2-WSR-17-Sep10_HU-Risk-dashboard_OracleAppsProjects_Template-Macro_2_2" xfId="537" xr:uid="{00000000-0005-0000-0000-000066080000}"/>
    <cellStyle name="%_QR-Prism-Ph2-WSR-17-Sep10_HU-Risk-dashboard_OracleAppsProjects_Template-Macro_2_2 2" xfId="9798" xr:uid="{00000000-0005-0000-0000-000067080000}"/>
    <cellStyle name="%_QR-Prism-Ph2-WSR-17-Sep10_HU-Risk-dashboard_OracleAppsProjects_Template-Macro_2_2 3" xfId="8600" xr:uid="{00000000-0005-0000-0000-000068080000}"/>
    <cellStyle name="%_QR-Prism-Ph2-WSR-17-Sep10_HU-Risk-dashboard_OracleAppsProjects_Template-Macro_2_2 4" xfId="7402" xr:uid="{00000000-0005-0000-0000-000069080000}"/>
    <cellStyle name="%_QR-Prism-Ph2-WSR-17-Sep10_HU-Risk-dashboard_OracleAppsProjects_Template-Macro_2_2 5" xfId="6204" xr:uid="{00000000-0005-0000-0000-00006A080000}"/>
    <cellStyle name="%_QR-Prism-Ph2-WSR-17-Sep10_HU-Risk-dashboard_OracleAppsProjects_Template-Macro_2_2 6" xfId="5005" xr:uid="{00000000-0005-0000-0000-00006B080000}"/>
    <cellStyle name="%_QR-Prism-Ph2-WSR-17-Sep10_HU-Risk-dashboard_OracleAppsProjects_Template-Macro_2_2 7" xfId="3806" xr:uid="{00000000-0005-0000-0000-00006C080000}"/>
    <cellStyle name="%_QR-Prism-Ph2-WSR-17-Sep10_HU-Risk-dashboard_OracleAppsProjects_Template-Macro_2_2_BusinessExcellenceDashboard_OCt2012_MS HU-ERased" xfId="538" xr:uid="{00000000-0005-0000-0000-00006D080000}"/>
    <cellStyle name="%_QR-Prism-Ph2-WSR-17-Sep10_HU-Risk-dashboard_OracleAppsProjects_Template-Macro_2_Business Excellence Dashboard-Aug2012-ERP HU (OracleApps)" xfId="539" xr:uid="{00000000-0005-0000-0000-00006E080000}"/>
    <cellStyle name="%_QR-Prism-Ph2-WSR-17-Sep10_HU-Risk-dashboard_OracleAppsProjects_Template-Macro_2_Business Excellence Dashboard-Aug2012-ERP HU (OracleApps) 2" xfId="9799" xr:uid="{00000000-0005-0000-0000-00006F080000}"/>
    <cellStyle name="%_QR-Prism-Ph2-WSR-17-Sep10_HU-Risk-dashboard_OracleAppsProjects_Template-Macro_2_Business Excellence Dashboard-Aug2012-ERP HU (OracleApps) 3" xfId="8601" xr:uid="{00000000-0005-0000-0000-000070080000}"/>
    <cellStyle name="%_QR-Prism-Ph2-WSR-17-Sep10_HU-Risk-dashboard_OracleAppsProjects_Template-Macro_2_Business Excellence Dashboard-Aug2012-ERP HU (OracleApps) 4" xfId="7403" xr:uid="{00000000-0005-0000-0000-000071080000}"/>
    <cellStyle name="%_QR-Prism-Ph2-WSR-17-Sep10_HU-Risk-dashboard_OracleAppsProjects_Template-Macro_2_Business Excellence Dashboard-Aug2012-ERP HU (OracleApps) 5" xfId="6205" xr:uid="{00000000-0005-0000-0000-000072080000}"/>
    <cellStyle name="%_QR-Prism-Ph2-WSR-17-Sep10_HU-Risk-dashboard_OracleAppsProjects_Template-Macro_2_Business Excellence Dashboard-Aug2012-ERP HU (OracleApps) 6" xfId="5006" xr:uid="{00000000-0005-0000-0000-000073080000}"/>
    <cellStyle name="%_QR-Prism-Ph2-WSR-17-Sep10_HU-Risk-dashboard_OracleAppsProjects_Template-Macro_2_Business Excellence Dashboard-Aug2012-ERP HU (OracleApps) 7" xfId="3807" xr:uid="{00000000-0005-0000-0000-000074080000}"/>
    <cellStyle name="%_QR-Prism-Ph2-WSR-17-Sep10_HU-Risk-dashboard_OracleAppsProjects_Template-Macro_2_Business Excellence Dashboard-Aug2012-ERP HU (OracleApps)_BusinessExcellenceDashboard_OCt2012_MS HU-ERased" xfId="540" xr:uid="{00000000-0005-0000-0000-000075080000}"/>
    <cellStyle name="%_QR-Prism-Ph2-WSR-17-Sep10_HU-Risk-dashboard_OracleAppsProjects_Template-Macro_2_Business Excellence Dashboard-Jul2012-ERP HU (OracleApps)-consolidated" xfId="541" xr:uid="{00000000-0005-0000-0000-000076080000}"/>
    <cellStyle name="%_QR-Prism-Ph2-WSR-17-Sep10_HU-Risk-dashboard_OracleAppsProjects_Template-Macro_2_Business Excellence Dashboard-Jul2012-ERP HU (OracleApps)-consolidated 2" xfId="9800" xr:uid="{00000000-0005-0000-0000-000077080000}"/>
    <cellStyle name="%_QR-Prism-Ph2-WSR-17-Sep10_HU-Risk-dashboard_OracleAppsProjects_Template-Macro_2_Business Excellence Dashboard-Jul2012-ERP HU (OracleApps)-consolidated 3" xfId="8602" xr:uid="{00000000-0005-0000-0000-000078080000}"/>
    <cellStyle name="%_QR-Prism-Ph2-WSR-17-Sep10_HU-Risk-dashboard_OracleAppsProjects_Template-Macro_2_Business Excellence Dashboard-Jul2012-ERP HU (OracleApps)-consolidated 4" xfId="7404" xr:uid="{00000000-0005-0000-0000-000079080000}"/>
    <cellStyle name="%_QR-Prism-Ph2-WSR-17-Sep10_HU-Risk-dashboard_OracleAppsProjects_Template-Macro_2_Business Excellence Dashboard-Jul2012-ERP HU (OracleApps)-consolidated 5" xfId="6206" xr:uid="{00000000-0005-0000-0000-00007A080000}"/>
    <cellStyle name="%_QR-Prism-Ph2-WSR-17-Sep10_HU-Risk-dashboard_OracleAppsProjects_Template-Macro_2_Business Excellence Dashboard-Jul2012-ERP HU (OracleApps)-consolidated 6" xfId="5007" xr:uid="{00000000-0005-0000-0000-00007B080000}"/>
    <cellStyle name="%_QR-Prism-Ph2-WSR-17-Sep10_HU-Risk-dashboard_OracleAppsProjects_Template-Macro_2_Business Excellence Dashboard-Jul2012-ERP HU (OracleApps)-consolidated 7" xfId="3808" xr:uid="{00000000-0005-0000-0000-00007C080000}"/>
    <cellStyle name="%_QR-Prism-Ph2-WSR-17-Sep10_HU-Risk-dashboard_OracleAppsProjects_Template-Macro_2_Business Excellence Dashboard-Jul2012-ERP HU (OracleApps)-consolidated_BusinessExcellenceDashboard_OCt2012_MS HU-ERased" xfId="542" xr:uid="{00000000-0005-0000-0000-00007D080000}"/>
    <cellStyle name="%_QR-Prism-Ph2-WSR-17-Sep10_HU-Risk-dashboard_OracleAppsProjects_Template-Macro_2_BusinessExcellenceDashboard_OCt2012_MS HU-ERased" xfId="543" xr:uid="{00000000-0005-0000-0000-00007E080000}"/>
    <cellStyle name="%_QR-Prism-Ph2-WSR-17-Sep10_HU-Risk-dashboard_OracleAppsProjects_Template-Macro_2_copydatamacro" xfId="544" xr:uid="{00000000-0005-0000-0000-00007F080000}"/>
    <cellStyle name="%_QR-Prism-Ph2-WSR-17-Sep10_HU-Risk-dashboard_OracleAppsProjects_Template-Macro_2_copydatamacro 2" xfId="9801" xr:uid="{00000000-0005-0000-0000-000080080000}"/>
    <cellStyle name="%_QR-Prism-Ph2-WSR-17-Sep10_HU-Risk-dashboard_OracleAppsProjects_Template-Macro_2_copydatamacro 3" xfId="8603" xr:uid="{00000000-0005-0000-0000-000081080000}"/>
    <cellStyle name="%_QR-Prism-Ph2-WSR-17-Sep10_HU-Risk-dashboard_OracleAppsProjects_Template-Macro_2_copydatamacro 4" xfId="7405" xr:uid="{00000000-0005-0000-0000-000082080000}"/>
    <cellStyle name="%_QR-Prism-Ph2-WSR-17-Sep10_HU-Risk-dashboard_OracleAppsProjects_Template-Macro_2_copydatamacro 5" xfId="6207" xr:uid="{00000000-0005-0000-0000-000083080000}"/>
    <cellStyle name="%_QR-Prism-Ph2-WSR-17-Sep10_HU-Risk-dashboard_OracleAppsProjects_Template-Macro_2_copydatamacro 6" xfId="5008" xr:uid="{00000000-0005-0000-0000-000084080000}"/>
    <cellStyle name="%_QR-Prism-Ph2-WSR-17-Sep10_HU-Risk-dashboard_OracleAppsProjects_Template-Macro_2_copydatamacro 7" xfId="3809" xr:uid="{00000000-0005-0000-0000-000085080000}"/>
    <cellStyle name="%_QR-Prism-Ph2-WSR-17-Sep10_HU-Risk-dashboard_OracleAppsProjects_Template-Macro_2_copydatamacro_BusinessExcellenceDashboard_OCt2012_MS HU-ERased" xfId="545" xr:uid="{00000000-0005-0000-0000-000086080000}"/>
    <cellStyle name="%_QR-Prism-Ph2-WSR-17-Sep10_HU-Risk-dashboard_OracleAppsProjects_Template-Macro_Book1" xfId="546" xr:uid="{00000000-0005-0000-0000-000087080000}"/>
    <cellStyle name="%_QR-Prism-Ph2-WSR-17-Sep10_HU-Risk-dashboard_OracleAppsProjects_Template-Macro_Book1 2" xfId="9802" xr:uid="{00000000-0005-0000-0000-000088080000}"/>
    <cellStyle name="%_QR-Prism-Ph2-WSR-17-Sep10_HU-Risk-dashboard_OracleAppsProjects_Template-Macro_Book1 3" xfId="8604" xr:uid="{00000000-0005-0000-0000-000089080000}"/>
    <cellStyle name="%_QR-Prism-Ph2-WSR-17-Sep10_HU-Risk-dashboard_OracleAppsProjects_Template-Macro_Book1 4" xfId="7406" xr:uid="{00000000-0005-0000-0000-00008A080000}"/>
    <cellStyle name="%_QR-Prism-Ph2-WSR-17-Sep10_HU-Risk-dashboard_OracleAppsProjects_Template-Macro_Book1 5" xfId="6208" xr:uid="{00000000-0005-0000-0000-00008B080000}"/>
    <cellStyle name="%_QR-Prism-Ph2-WSR-17-Sep10_HU-Risk-dashboard_OracleAppsProjects_Template-Macro_Book1 6" xfId="5009" xr:uid="{00000000-0005-0000-0000-00008C080000}"/>
    <cellStyle name="%_QR-Prism-Ph2-WSR-17-Sep10_HU-Risk-dashboard_OracleAppsProjects_Template-Macro_Book1 7" xfId="3810" xr:uid="{00000000-0005-0000-0000-00008D080000}"/>
    <cellStyle name="%_QR-Prism-Ph2-WSR-17-Sep10_HU-Risk-dashboard_OracleAppsProjects_Template-Macro_Book1_Business Excellence Dashboard-Aug2012-ERP HU (OracleApps)" xfId="547" xr:uid="{00000000-0005-0000-0000-00008E080000}"/>
    <cellStyle name="%_QR-Prism-Ph2-WSR-17-Sep10_HU-Risk-dashboard_OracleAppsProjects_Template-Macro_Book1_Business Excellence Dashboard-Aug2012-ERP HU (OracleApps) 2" xfId="9803" xr:uid="{00000000-0005-0000-0000-00008F080000}"/>
    <cellStyle name="%_QR-Prism-Ph2-WSR-17-Sep10_HU-Risk-dashboard_OracleAppsProjects_Template-Macro_Book1_Business Excellence Dashboard-Aug2012-ERP HU (OracleApps) 3" xfId="8605" xr:uid="{00000000-0005-0000-0000-000090080000}"/>
    <cellStyle name="%_QR-Prism-Ph2-WSR-17-Sep10_HU-Risk-dashboard_OracleAppsProjects_Template-Macro_Book1_Business Excellence Dashboard-Aug2012-ERP HU (OracleApps) 4" xfId="7407" xr:uid="{00000000-0005-0000-0000-000091080000}"/>
    <cellStyle name="%_QR-Prism-Ph2-WSR-17-Sep10_HU-Risk-dashboard_OracleAppsProjects_Template-Macro_Book1_Business Excellence Dashboard-Aug2012-ERP HU (OracleApps) 5" xfId="6209" xr:uid="{00000000-0005-0000-0000-000092080000}"/>
    <cellStyle name="%_QR-Prism-Ph2-WSR-17-Sep10_HU-Risk-dashboard_OracleAppsProjects_Template-Macro_Book1_Business Excellence Dashboard-Aug2012-ERP HU (OracleApps) 6" xfId="5010" xr:uid="{00000000-0005-0000-0000-000093080000}"/>
    <cellStyle name="%_QR-Prism-Ph2-WSR-17-Sep10_HU-Risk-dashboard_OracleAppsProjects_Template-Macro_Book1_Business Excellence Dashboard-Aug2012-ERP HU (OracleApps) 7" xfId="3811" xr:uid="{00000000-0005-0000-0000-000094080000}"/>
    <cellStyle name="%_QR-Prism-Ph2-WSR-17-Sep10_HU-Risk-dashboard_OracleAppsProjects_Template-Macro_Book1_Business Excellence Dashboard-Aug2012-ERP HU (OracleApps)_BusinessExcellenceDashboard_OCt2012_MS HU-ERased" xfId="548" xr:uid="{00000000-0005-0000-0000-000095080000}"/>
    <cellStyle name="%_QR-Prism-Ph2-WSR-17-Sep10_HU-Risk-dashboard_OracleAppsProjects_Template-Macro_Book1_Business Excellence Dashboard-Jul2012-ERP HU (OracleApps)-consolidated" xfId="549" xr:uid="{00000000-0005-0000-0000-000096080000}"/>
    <cellStyle name="%_QR-Prism-Ph2-WSR-17-Sep10_HU-Risk-dashboard_OracleAppsProjects_Template-Macro_Book1_Business Excellence Dashboard-Jul2012-ERP HU (OracleApps)-consolidated 2" xfId="9804" xr:uid="{00000000-0005-0000-0000-000097080000}"/>
    <cellStyle name="%_QR-Prism-Ph2-WSR-17-Sep10_HU-Risk-dashboard_OracleAppsProjects_Template-Macro_Book1_Business Excellence Dashboard-Jul2012-ERP HU (OracleApps)-consolidated 3" xfId="8606" xr:uid="{00000000-0005-0000-0000-000098080000}"/>
    <cellStyle name="%_QR-Prism-Ph2-WSR-17-Sep10_HU-Risk-dashboard_OracleAppsProjects_Template-Macro_Book1_Business Excellence Dashboard-Jul2012-ERP HU (OracleApps)-consolidated 4" xfId="7408" xr:uid="{00000000-0005-0000-0000-000099080000}"/>
    <cellStyle name="%_QR-Prism-Ph2-WSR-17-Sep10_HU-Risk-dashboard_OracleAppsProjects_Template-Macro_Book1_Business Excellence Dashboard-Jul2012-ERP HU (OracleApps)-consolidated 5" xfId="6210" xr:uid="{00000000-0005-0000-0000-00009A080000}"/>
    <cellStyle name="%_QR-Prism-Ph2-WSR-17-Sep10_HU-Risk-dashboard_OracleAppsProjects_Template-Macro_Book1_Business Excellence Dashboard-Jul2012-ERP HU (OracleApps)-consolidated 6" xfId="5011" xr:uid="{00000000-0005-0000-0000-00009B080000}"/>
    <cellStyle name="%_QR-Prism-Ph2-WSR-17-Sep10_HU-Risk-dashboard_OracleAppsProjects_Template-Macro_Book1_Business Excellence Dashboard-Jul2012-ERP HU (OracleApps)-consolidated 7" xfId="3812" xr:uid="{00000000-0005-0000-0000-00009C080000}"/>
    <cellStyle name="%_QR-Prism-Ph2-WSR-17-Sep10_HU-Risk-dashboard_OracleAppsProjects_Template-Macro_Book1_Business Excellence Dashboard-Jul2012-ERP HU (OracleApps)-consolidated_BusinessExcellenceDashboard_OCt2012_MS HU-ERased" xfId="550" xr:uid="{00000000-0005-0000-0000-00009D080000}"/>
    <cellStyle name="%_QR-Prism-Ph2-WSR-17-Sep10_HU-Risk-dashboard_OracleAppsProjects_Template-Macro_Book1_BusinessExcellenceDashboard_OCt2012_MS HU-ERased" xfId="551" xr:uid="{00000000-0005-0000-0000-00009E080000}"/>
    <cellStyle name="%_QR-Prism-Ph2-WSR-17-Sep10_HU-Risk-dashboard_OracleAppsProjects_Template-Macro_Book1_copydatamacro" xfId="552" xr:uid="{00000000-0005-0000-0000-00009F080000}"/>
    <cellStyle name="%_QR-Prism-Ph2-WSR-17-Sep10_HU-Risk-dashboard_OracleAppsProjects_Template-Macro_Book1_copydatamacro 2" xfId="9805" xr:uid="{00000000-0005-0000-0000-0000A0080000}"/>
    <cellStyle name="%_QR-Prism-Ph2-WSR-17-Sep10_HU-Risk-dashboard_OracleAppsProjects_Template-Macro_Book1_copydatamacro 3" xfId="8607" xr:uid="{00000000-0005-0000-0000-0000A1080000}"/>
    <cellStyle name="%_QR-Prism-Ph2-WSR-17-Sep10_HU-Risk-dashboard_OracleAppsProjects_Template-Macro_Book1_copydatamacro 4" xfId="7409" xr:uid="{00000000-0005-0000-0000-0000A2080000}"/>
    <cellStyle name="%_QR-Prism-Ph2-WSR-17-Sep10_HU-Risk-dashboard_OracleAppsProjects_Template-Macro_Book1_copydatamacro 5" xfId="6211" xr:uid="{00000000-0005-0000-0000-0000A3080000}"/>
    <cellStyle name="%_QR-Prism-Ph2-WSR-17-Sep10_HU-Risk-dashboard_OracleAppsProjects_Template-Macro_Book1_copydatamacro 6" xfId="5012" xr:uid="{00000000-0005-0000-0000-0000A4080000}"/>
    <cellStyle name="%_QR-Prism-Ph2-WSR-17-Sep10_HU-Risk-dashboard_OracleAppsProjects_Template-Macro_Book1_copydatamacro 7" xfId="3813" xr:uid="{00000000-0005-0000-0000-0000A5080000}"/>
    <cellStyle name="%_QR-Prism-Ph2-WSR-17-Sep10_HU-Risk-dashboard_OracleAppsProjects_Template-Macro_Book1_copydatamacro_BusinessExcellenceDashboard_OCt2012_MS HU-ERased" xfId="553" xr:uid="{00000000-0005-0000-0000-0000A6080000}"/>
    <cellStyle name="%_QR-Prism-Ph2-WSR-17-Sep10_HU-Risk-dashboard_OracleAppsProjects_Template-Macro_Business Excellence Dashboard-Aug2012-ERP HU (OracleApps)" xfId="554" xr:uid="{00000000-0005-0000-0000-0000A7080000}"/>
    <cellStyle name="%_QR-Prism-Ph2-WSR-17-Sep10_HU-Risk-dashboard_OracleAppsProjects_Template-Macro_Business Excellence Dashboard-Aug2012-ERP HU (OracleApps) 2" xfId="9806" xr:uid="{00000000-0005-0000-0000-0000A8080000}"/>
    <cellStyle name="%_QR-Prism-Ph2-WSR-17-Sep10_HU-Risk-dashboard_OracleAppsProjects_Template-Macro_Business Excellence Dashboard-Aug2012-ERP HU (OracleApps) 3" xfId="8608" xr:uid="{00000000-0005-0000-0000-0000A9080000}"/>
    <cellStyle name="%_QR-Prism-Ph2-WSR-17-Sep10_HU-Risk-dashboard_OracleAppsProjects_Template-Macro_Business Excellence Dashboard-Aug2012-ERP HU (OracleApps) 4" xfId="7410" xr:uid="{00000000-0005-0000-0000-0000AA080000}"/>
    <cellStyle name="%_QR-Prism-Ph2-WSR-17-Sep10_HU-Risk-dashboard_OracleAppsProjects_Template-Macro_Business Excellence Dashboard-Aug2012-ERP HU (OracleApps) 5" xfId="6212" xr:uid="{00000000-0005-0000-0000-0000AB080000}"/>
    <cellStyle name="%_QR-Prism-Ph2-WSR-17-Sep10_HU-Risk-dashboard_OracleAppsProjects_Template-Macro_Business Excellence Dashboard-Aug2012-ERP HU (OracleApps) 6" xfId="5013" xr:uid="{00000000-0005-0000-0000-0000AC080000}"/>
    <cellStyle name="%_QR-Prism-Ph2-WSR-17-Sep10_HU-Risk-dashboard_OracleAppsProjects_Template-Macro_Business Excellence Dashboard-Aug2012-ERP HU (OracleApps) 7" xfId="3814" xr:uid="{00000000-0005-0000-0000-0000AD080000}"/>
    <cellStyle name="%_QR-Prism-Ph2-WSR-17-Sep10_HU-Risk-dashboard_OracleAppsProjects_Template-Macro_Business Excellence Dashboard-Aug2012-ERP HU (OracleApps)_BusinessExcellenceDashboard_OCt2012_MS HU-ERased" xfId="555" xr:uid="{00000000-0005-0000-0000-0000AE080000}"/>
    <cellStyle name="%_QR-Prism-Ph2-WSR-17-Sep10_HU-Risk-dashboard_OracleAppsProjects_Template-Macro_Business Excellence Dashboard-Jul2012-ERP HU (OracleApps)-consolidated" xfId="556" xr:uid="{00000000-0005-0000-0000-0000AF080000}"/>
    <cellStyle name="%_QR-Prism-Ph2-WSR-17-Sep10_HU-Risk-dashboard_OracleAppsProjects_Template-Macro_Business Excellence Dashboard-Jul2012-ERP HU (OracleApps)-consolidated 2" xfId="9807" xr:uid="{00000000-0005-0000-0000-0000B0080000}"/>
    <cellStyle name="%_QR-Prism-Ph2-WSR-17-Sep10_HU-Risk-dashboard_OracleAppsProjects_Template-Macro_Business Excellence Dashboard-Jul2012-ERP HU (OracleApps)-consolidated 3" xfId="8609" xr:uid="{00000000-0005-0000-0000-0000B1080000}"/>
    <cellStyle name="%_QR-Prism-Ph2-WSR-17-Sep10_HU-Risk-dashboard_OracleAppsProjects_Template-Macro_Business Excellence Dashboard-Jul2012-ERP HU (OracleApps)-consolidated 4" xfId="7411" xr:uid="{00000000-0005-0000-0000-0000B2080000}"/>
    <cellStyle name="%_QR-Prism-Ph2-WSR-17-Sep10_HU-Risk-dashboard_OracleAppsProjects_Template-Macro_Business Excellence Dashboard-Jul2012-ERP HU (OracleApps)-consolidated 5" xfId="6213" xr:uid="{00000000-0005-0000-0000-0000B3080000}"/>
    <cellStyle name="%_QR-Prism-Ph2-WSR-17-Sep10_HU-Risk-dashboard_OracleAppsProjects_Template-Macro_Business Excellence Dashboard-Jul2012-ERP HU (OracleApps)-consolidated 6" xfId="5014" xr:uid="{00000000-0005-0000-0000-0000B4080000}"/>
    <cellStyle name="%_QR-Prism-Ph2-WSR-17-Sep10_HU-Risk-dashboard_OracleAppsProjects_Template-Macro_Business Excellence Dashboard-Jul2012-ERP HU (OracleApps)-consolidated 7" xfId="3815" xr:uid="{00000000-0005-0000-0000-0000B5080000}"/>
    <cellStyle name="%_QR-Prism-Ph2-WSR-17-Sep10_HU-Risk-dashboard_OracleAppsProjects_Template-Macro_Business Excellence Dashboard-Jul2012-ERP HU (OracleApps)-consolidated_BusinessExcellenceDashboard_OCt2012_MS HU-ERased" xfId="557" xr:uid="{00000000-0005-0000-0000-0000B6080000}"/>
    <cellStyle name="%_QR-Prism-Ph2-WSR-17-Sep10_HU-Risk-dashboard_OracleAppsProjects_Template-Macro_BusinessExcellenceDashboard_OCt2012_MS HU-ERased" xfId="558" xr:uid="{00000000-0005-0000-0000-0000B7080000}"/>
    <cellStyle name="%_QR-Prism-Ph2-WSR-17-Sep10_HU-Risk-dashboard_OracleAppsProjects_Template-Macro_copydatamacro" xfId="559" xr:uid="{00000000-0005-0000-0000-0000B8080000}"/>
    <cellStyle name="%_QR-Prism-Ph2-WSR-17-Sep10_HU-Risk-dashboard_OracleAppsProjects_Template-Macro_copydatamacro 2" xfId="9808" xr:uid="{00000000-0005-0000-0000-0000B9080000}"/>
    <cellStyle name="%_QR-Prism-Ph2-WSR-17-Sep10_HU-Risk-dashboard_OracleAppsProjects_Template-Macro_copydatamacro 3" xfId="8610" xr:uid="{00000000-0005-0000-0000-0000BA080000}"/>
    <cellStyle name="%_QR-Prism-Ph2-WSR-17-Sep10_HU-Risk-dashboard_OracleAppsProjects_Template-Macro_copydatamacro 4" xfId="7412" xr:uid="{00000000-0005-0000-0000-0000BB080000}"/>
    <cellStyle name="%_QR-Prism-Ph2-WSR-17-Sep10_HU-Risk-dashboard_OracleAppsProjects_Template-Macro_copydatamacro 5" xfId="6214" xr:uid="{00000000-0005-0000-0000-0000BC080000}"/>
    <cellStyle name="%_QR-Prism-Ph2-WSR-17-Sep10_HU-Risk-dashboard_OracleAppsProjects_Template-Macro_copydatamacro 6" xfId="5015" xr:uid="{00000000-0005-0000-0000-0000BD080000}"/>
    <cellStyle name="%_QR-Prism-Ph2-WSR-17-Sep10_HU-Risk-dashboard_OracleAppsProjects_Template-Macro_copydatamacro 7" xfId="3816" xr:uid="{00000000-0005-0000-0000-0000BE080000}"/>
    <cellStyle name="%_QR-Prism-Ph2-WSR-17-Sep10_HU-Risk-dashboard_OracleAppsProjects_Template-Macro_copydatamacro_BusinessExcellenceDashboard_OCt2012_MS HU-ERased" xfId="560" xr:uid="{00000000-0005-0000-0000-0000BF080000}"/>
    <cellStyle name="%_QR-Prism-Ph2-WSR-17-Sep10_HU-Risk-dashboard_OracleAppsProjects_Template-Macro_MSHU_BusinessExcellenceDashboardV2.2-May2012-3" xfId="561" xr:uid="{00000000-0005-0000-0000-0000C0080000}"/>
    <cellStyle name="%_QR-Prism-Ph2-WSR-17-Sep10_HU-Risk-dashboard_OracleAppsProjects_Template-Macro_MSHU_BusinessExcellenceDashboardV2.2-May2012-3 2" xfId="9809" xr:uid="{00000000-0005-0000-0000-0000C1080000}"/>
    <cellStyle name="%_QR-Prism-Ph2-WSR-17-Sep10_HU-Risk-dashboard_OracleAppsProjects_Template-Macro_MSHU_BusinessExcellenceDashboardV2.2-May2012-3 3" xfId="8611" xr:uid="{00000000-0005-0000-0000-0000C2080000}"/>
    <cellStyle name="%_QR-Prism-Ph2-WSR-17-Sep10_HU-Risk-dashboard_OracleAppsProjects_Template-Macro_MSHU_BusinessExcellenceDashboardV2.2-May2012-3 4" xfId="7413" xr:uid="{00000000-0005-0000-0000-0000C3080000}"/>
    <cellStyle name="%_QR-Prism-Ph2-WSR-17-Sep10_HU-Risk-dashboard_OracleAppsProjects_Template-Macro_MSHU_BusinessExcellenceDashboardV2.2-May2012-3 5" xfId="6215" xr:uid="{00000000-0005-0000-0000-0000C4080000}"/>
    <cellStyle name="%_QR-Prism-Ph2-WSR-17-Sep10_HU-Risk-dashboard_OracleAppsProjects_Template-Macro_MSHU_BusinessExcellenceDashboardV2.2-May2012-3 6" xfId="5016" xr:uid="{00000000-0005-0000-0000-0000C5080000}"/>
    <cellStyle name="%_QR-Prism-Ph2-WSR-17-Sep10_HU-Risk-dashboard_OracleAppsProjects_Template-Macro_MSHU_BusinessExcellenceDashboardV2.2-May2012-3 7" xfId="3817" xr:uid="{00000000-0005-0000-0000-0000C6080000}"/>
    <cellStyle name="%_QR-Prism-Ph2-WSR-17-Sep10_HU-Risk-dashboard_OracleAppsProjects_Template-Macro_MSHU_BusinessExcellenceDashboardV2.2-May2012-3_Business Excellence Dashboard-Aug2012-ERP HU (OracleApps)" xfId="562" xr:uid="{00000000-0005-0000-0000-0000C7080000}"/>
    <cellStyle name="%_QR-Prism-Ph2-WSR-17-Sep10_HU-Risk-dashboard_OracleAppsProjects_Template-Macro_MSHU_BusinessExcellenceDashboardV2.2-May2012-3_Business Excellence Dashboard-Aug2012-ERP HU (OracleApps) 2" xfId="9810" xr:uid="{00000000-0005-0000-0000-0000C8080000}"/>
    <cellStyle name="%_QR-Prism-Ph2-WSR-17-Sep10_HU-Risk-dashboard_OracleAppsProjects_Template-Macro_MSHU_BusinessExcellenceDashboardV2.2-May2012-3_Business Excellence Dashboard-Aug2012-ERP HU (OracleApps) 3" xfId="8612" xr:uid="{00000000-0005-0000-0000-0000C9080000}"/>
    <cellStyle name="%_QR-Prism-Ph2-WSR-17-Sep10_HU-Risk-dashboard_OracleAppsProjects_Template-Macro_MSHU_BusinessExcellenceDashboardV2.2-May2012-3_Business Excellence Dashboard-Aug2012-ERP HU (OracleApps) 4" xfId="7414" xr:uid="{00000000-0005-0000-0000-0000CA080000}"/>
    <cellStyle name="%_QR-Prism-Ph2-WSR-17-Sep10_HU-Risk-dashboard_OracleAppsProjects_Template-Macro_MSHU_BusinessExcellenceDashboardV2.2-May2012-3_Business Excellence Dashboard-Aug2012-ERP HU (OracleApps) 5" xfId="6216" xr:uid="{00000000-0005-0000-0000-0000CB080000}"/>
    <cellStyle name="%_QR-Prism-Ph2-WSR-17-Sep10_HU-Risk-dashboard_OracleAppsProjects_Template-Macro_MSHU_BusinessExcellenceDashboardV2.2-May2012-3_Business Excellence Dashboard-Aug2012-ERP HU (OracleApps) 6" xfId="5017" xr:uid="{00000000-0005-0000-0000-0000CC080000}"/>
    <cellStyle name="%_QR-Prism-Ph2-WSR-17-Sep10_HU-Risk-dashboard_OracleAppsProjects_Template-Macro_MSHU_BusinessExcellenceDashboardV2.2-May2012-3_Business Excellence Dashboard-Aug2012-ERP HU (OracleApps) 7" xfId="3818" xr:uid="{00000000-0005-0000-0000-0000CD080000}"/>
    <cellStyle name="%_QR-Prism-Ph2-WSR-17-Sep10_HU-Risk-dashboard_OracleAppsProjects_Template-Macro_MSHU_BusinessExcellenceDashboardV2.2-May2012-3_Business Excellence Dashboard-Aug2012-ERP HU (OracleApps)_BusinessExcellenceDashboard_OCt2012_MS HU-ERased" xfId="563" xr:uid="{00000000-0005-0000-0000-0000CE080000}"/>
    <cellStyle name="%_QR-Prism-Ph2-WSR-17-Sep10_HU-Risk-dashboard_OracleAppsProjects_Template-Macro_MSHU_BusinessExcellenceDashboardV2.2-May2012-3_Business Excellence Dashboard-Jul2012-ERP HU (OracleApps)-consolidated" xfId="564" xr:uid="{00000000-0005-0000-0000-0000CF080000}"/>
    <cellStyle name="%_QR-Prism-Ph2-WSR-17-Sep10_HU-Risk-dashboard_OracleAppsProjects_Template-Macro_MSHU_BusinessExcellenceDashboardV2.2-May2012-3_Business Excellence Dashboard-Jul2012-ERP HU (OracleApps)-consolidated 2" xfId="9811" xr:uid="{00000000-0005-0000-0000-0000D0080000}"/>
    <cellStyle name="%_QR-Prism-Ph2-WSR-17-Sep10_HU-Risk-dashboard_OracleAppsProjects_Template-Macro_MSHU_BusinessExcellenceDashboardV2.2-May2012-3_Business Excellence Dashboard-Jul2012-ERP HU (OracleApps)-consolidated 3" xfId="8613" xr:uid="{00000000-0005-0000-0000-0000D1080000}"/>
    <cellStyle name="%_QR-Prism-Ph2-WSR-17-Sep10_HU-Risk-dashboard_OracleAppsProjects_Template-Macro_MSHU_BusinessExcellenceDashboardV2.2-May2012-3_Business Excellence Dashboard-Jul2012-ERP HU (OracleApps)-consolidated 4" xfId="7415" xr:uid="{00000000-0005-0000-0000-0000D2080000}"/>
    <cellStyle name="%_QR-Prism-Ph2-WSR-17-Sep10_HU-Risk-dashboard_OracleAppsProjects_Template-Macro_MSHU_BusinessExcellenceDashboardV2.2-May2012-3_Business Excellence Dashboard-Jul2012-ERP HU (OracleApps)-consolidated 5" xfId="6217" xr:uid="{00000000-0005-0000-0000-0000D3080000}"/>
    <cellStyle name="%_QR-Prism-Ph2-WSR-17-Sep10_HU-Risk-dashboard_OracleAppsProjects_Template-Macro_MSHU_BusinessExcellenceDashboardV2.2-May2012-3_Business Excellence Dashboard-Jul2012-ERP HU (OracleApps)-consolidated 6" xfId="5018" xr:uid="{00000000-0005-0000-0000-0000D4080000}"/>
    <cellStyle name="%_QR-Prism-Ph2-WSR-17-Sep10_HU-Risk-dashboard_OracleAppsProjects_Template-Macro_MSHU_BusinessExcellenceDashboardV2.2-May2012-3_Business Excellence Dashboard-Jul2012-ERP HU (OracleApps)-consolidated 7" xfId="3819" xr:uid="{00000000-0005-0000-0000-0000D5080000}"/>
    <cellStyle name="%_QR-Prism-Ph2-WSR-17-Sep10_HU-Risk-dashboard_OracleAppsProjects_Template-Macro_MSHU_BusinessExcellenceDashboardV2.2-May2012-3_Business Excellence Dashboard-Jul2012-ERP HU (OracleApps)-consolidated_BusinessExcellenceDashboard_OCt2012_MS HU-ERased" xfId="565" xr:uid="{00000000-0005-0000-0000-0000D6080000}"/>
    <cellStyle name="%_QR-Prism-Ph2-WSR-17-Sep10_HU-Risk-dashboard_OracleAppsProjects_Template-Macro_MSHU_BusinessExcellenceDashboardV2.2-May2012-3_BusinessExcellenceDashboard_OCt2012_MS HU-ERased" xfId="566" xr:uid="{00000000-0005-0000-0000-0000D7080000}"/>
    <cellStyle name="%_QR-Prism-Ph2-WSR-17-Sep10_HU-Risk-dashboard_OracleAppsProjects_Template-Macro_MSHU_BusinessExcellenceDashboardV2.2-May2012-3_copydatamacro" xfId="567" xr:uid="{00000000-0005-0000-0000-0000D8080000}"/>
    <cellStyle name="%_QR-Prism-Ph2-WSR-17-Sep10_HU-Risk-dashboard_OracleAppsProjects_Template-Macro_MSHU_BusinessExcellenceDashboardV2.2-May2012-3_copydatamacro 2" xfId="9812" xr:uid="{00000000-0005-0000-0000-0000D9080000}"/>
    <cellStyle name="%_QR-Prism-Ph2-WSR-17-Sep10_HU-Risk-dashboard_OracleAppsProjects_Template-Macro_MSHU_BusinessExcellenceDashboardV2.2-May2012-3_copydatamacro 3" xfId="8614" xr:uid="{00000000-0005-0000-0000-0000DA080000}"/>
    <cellStyle name="%_QR-Prism-Ph2-WSR-17-Sep10_HU-Risk-dashboard_OracleAppsProjects_Template-Macro_MSHU_BusinessExcellenceDashboardV2.2-May2012-3_copydatamacro 4" xfId="7416" xr:uid="{00000000-0005-0000-0000-0000DB080000}"/>
    <cellStyle name="%_QR-Prism-Ph2-WSR-17-Sep10_HU-Risk-dashboard_OracleAppsProjects_Template-Macro_MSHU_BusinessExcellenceDashboardV2.2-May2012-3_copydatamacro 5" xfId="6218" xr:uid="{00000000-0005-0000-0000-0000DC080000}"/>
    <cellStyle name="%_QR-Prism-Ph2-WSR-17-Sep10_HU-Risk-dashboard_OracleAppsProjects_Template-Macro_MSHU_BusinessExcellenceDashboardV2.2-May2012-3_copydatamacro 6" xfId="5019" xr:uid="{00000000-0005-0000-0000-0000DD080000}"/>
    <cellStyle name="%_QR-Prism-Ph2-WSR-17-Sep10_HU-Risk-dashboard_OracleAppsProjects_Template-Macro_MSHU_BusinessExcellenceDashboardV2.2-May2012-3_copydatamacro 7" xfId="3820" xr:uid="{00000000-0005-0000-0000-0000DE080000}"/>
    <cellStyle name="%_QR-Prism-Ph2-WSR-17-Sep10_HU-Risk-dashboard_OracleAppsProjects_Template-Macro_MSHU_BusinessExcellenceDashboardV2.2-May2012-3_copydatamacro_BusinessExcellenceDashboard_OCt2012_MS HU-ERased" xfId="568" xr:uid="{00000000-0005-0000-0000-0000DF080000}"/>
    <cellStyle name="%_QR-Prism-Ph2-WSR-17-Sep10_HU-Risk-dashboard_SAPProjects_Template-Macro" xfId="569" xr:uid="{00000000-0005-0000-0000-0000E0080000}"/>
    <cellStyle name="%_QR-Prism-Ph2-WSR-17-Sep10_HU-Risk-dashboard_SAPProjects_Template-Macro 2" xfId="9813" xr:uid="{00000000-0005-0000-0000-0000E1080000}"/>
    <cellStyle name="%_QR-Prism-Ph2-WSR-17-Sep10_HU-Risk-dashboard_SAPProjects_Template-Macro 3" xfId="8615" xr:uid="{00000000-0005-0000-0000-0000E2080000}"/>
    <cellStyle name="%_QR-Prism-Ph2-WSR-17-Sep10_HU-Risk-dashboard_SAPProjects_Template-Macro 4" xfId="7417" xr:uid="{00000000-0005-0000-0000-0000E3080000}"/>
    <cellStyle name="%_QR-Prism-Ph2-WSR-17-Sep10_HU-Risk-dashboard_SAPProjects_Template-Macro 5" xfId="6219" xr:uid="{00000000-0005-0000-0000-0000E4080000}"/>
    <cellStyle name="%_QR-Prism-Ph2-WSR-17-Sep10_HU-Risk-dashboard_SAPProjects_Template-Macro 6" xfId="5020" xr:uid="{00000000-0005-0000-0000-0000E5080000}"/>
    <cellStyle name="%_QR-Prism-Ph2-WSR-17-Sep10_HU-Risk-dashboard_SAPProjects_Template-Macro 7" xfId="3821" xr:uid="{00000000-0005-0000-0000-0000E6080000}"/>
    <cellStyle name="%_QR-Prism-Ph2-WSR-17-Sep10_HU-Risk-dashboard_SAPProjects_Template-Macro_2" xfId="570" xr:uid="{00000000-0005-0000-0000-0000E7080000}"/>
    <cellStyle name="%_QR-Prism-Ph2-WSR-17-Sep10_HU-Risk-dashboard_SAPProjects_Template-Macro_2 2" xfId="9814" xr:uid="{00000000-0005-0000-0000-0000E8080000}"/>
    <cellStyle name="%_QR-Prism-Ph2-WSR-17-Sep10_HU-Risk-dashboard_SAPProjects_Template-Macro_2 3" xfId="8616" xr:uid="{00000000-0005-0000-0000-0000E9080000}"/>
    <cellStyle name="%_QR-Prism-Ph2-WSR-17-Sep10_HU-Risk-dashboard_SAPProjects_Template-Macro_2 4" xfId="7418" xr:uid="{00000000-0005-0000-0000-0000EA080000}"/>
    <cellStyle name="%_QR-Prism-Ph2-WSR-17-Sep10_HU-Risk-dashboard_SAPProjects_Template-Macro_2 5" xfId="6220" xr:uid="{00000000-0005-0000-0000-0000EB080000}"/>
    <cellStyle name="%_QR-Prism-Ph2-WSR-17-Sep10_HU-Risk-dashboard_SAPProjects_Template-Macro_2 6" xfId="5021" xr:uid="{00000000-0005-0000-0000-0000EC080000}"/>
    <cellStyle name="%_QR-Prism-Ph2-WSR-17-Sep10_HU-Risk-dashboard_SAPProjects_Template-Macro_2 7" xfId="3822" xr:uid="{00000000-0005-0000-0000-0000ED080000}"/>
    <cellStyle name="%_QR-Prism-Ph2-WSR-17-Sep10_HU-Risk-dashboard_SAPProjects_Template-Macro_2_1" xfId="571" xr:uid="{00000000-0005-0000-0000-0000EE080000}"/>
    <cellStyle name="%_QR-Prism-Ph2-WSR-17-Sep10_HU-Risk-dashboard_SAPProjects_Template-Macro_2_1 2" xfId="9815" xr:uid="{00000000-0005-0000-0000-0000EF080000}"/>
    <cellStyle name="%_QR-Prism-Ph2-WSR-17-Sep10_HU-Risk-dashboard_SAPProjects_Template-Macro_2_1 3" xfId="8617" xr:uid="{00000000-0005-0000-0000-0000F0080000}"/>
    <cellStyle name="%_QR-Prism-Ph2-WSR-17-Sep10_HU-Risk-dashboard_SAPProjects_Template-Macro_2_1 4" xfId="7419" xr:uid="{00000000-0005-0000-0000-0000F1080000}"/>
    <cellStyle name="%_QR-Prism-Ph2-WSR-17-Sep10_HU-Risk-dashboard_SAPProjects_Template-Macro_2_1 5" xfId="6221" xr:uid="{00000000-0005-0000-0000-0000F2080000}"/>
    <cellStyle name="%_QR-Prism-Ph2-WSR-17-Sep10_HU-Risk-dashboard_SAPProjects_Template-Macro_2_1 6" xfId="5022" xr:uid="{00000000-0005-0000-0000-0000F3080000}"/>
    <cellStyle name="%_QR-Prism-Ph2-WSR-17-Sep10_HU-Risk-dashboard_SAPProjects_Template-Macro_2_1 7" xfId="3823" xr:uid="{00000000-0005-0000-0000-0000F4080000}"/>
    <cellStyle name="%_QR-Prism-Ph2-WSR-17-Sep10_HU-Risk-dashboard_SAPProjects_Template-Macro_2_1_Business Excellence Dashboard-Aug2012-ERP HU (OracleApps)" xfId="572" xr:uid="{00000000-0005-0000-0000-0000F5080000}"/>
    <cellStyle name="%_QR-Prism-Ph2-WSR-17-Sep10_HU-Risk-dashboard_SAPProjects_Template-Macro_2_1_Business Excellence Dashboard-Aug2012-ERP HU (OracleApps) 2" xfId="9816" xr:uid="{00000000-0005-0000-0000-0000F6080000}"/>
    <cellStyle name="%_QR-Prism-Ph2-WSR-17-Sep10_HU-Risk-dashboard_SAPProjects_Template-Macro_2_1_Business Excellence Dashboard-Aug2012-ERP HU (OracleApps) 3" xfId="8618" xr:uid="{00000000-0005-0000-0000-0000F7080000}"/>
    <cellStyle name="%_QR-Prism-Ph2-WSR-17-Sep10_HU-Risk-dashboard_SAPProjects_Template-Macro_2_1_Business Excellence Dashboard-Aug2012-ERP HU (OracleApps) 4" xfId="7420" xr:uid="{00000000-0005-0000-0000-0000F8080000}"/>
    <cellStyle name="%_QR-Prism-Ph2-WSR-17-Sep10_HU-Risk-dashboard_SAPProjects_Template-Macro_2_1_Business Excellence Dashboard-Aug2012-ERP HU (OracleApps) 5" xfId="6222" xr:uid="{00000000-0005-0000-0000-0000F9080000}"/>
    <cellStyle name="%_QR-Prism-Ph2-WSR-17-Sep10_HU-Risk-dashboard_SAPProjects_Template-Macro_2_1_Business Excellence Dashboard-Aug2012-ERP HU (OracleApps) 6" xfId="5023" xr:uid="{00000000-0005-0000-0000-0000FA080000}"/>
    <cellStyle name="%_QR-Prism-Ph2-WSR-17-Sep10_HU-Risk-dashboard_SAPProjects_Template-Macro_2_1_Business Excellence Dashboard-Aug2012-ERP HU (OracleApps) 7" xfId="3824" xr:uid="{00000000-0005-0000-0000-0000FB080000}"/>
    <cellStyle name="%_QR-Prism-Ph2-WSR-17-Sep10_HU-Risk-dashboard_SAPProjects_Template-Macro_2_1_Business Excellence Dashboard-Aug2012-ERP HU (OracleApps)_BusinessExcellenceDashboard_OCt2012_MS HU-ERased" xfId="573" xr:uid="{00000000-0005-0000-0000-0000FC080000}"/>
    <cellStyle name="%_QR-Prism-Ph2-WSR-17-Sep10_HU-Risk-dashboard_SAPProjects_Template-Macro_2_1_BusinessExcellenceDashboard_OCt2012_MS HU-ERased" xfId="574" xr:uid="{00000000-0005-0000-0000-0000FD080000}"/>
    <cellStyle name="%_QR-Prism-Ph2-WSR-17-Sep10_HU-Risk-dashboard_SAPProjects_Template-Macro_2_2" xfId="575" xr:uid="{00000000-0005-0000-0000-0000FE080000}"/>
    <cellStyle name="%_QR-Prism-Ph2-WSR-17-Sep10_HU-Risk-dashboard_SAPProjects_Template-Macro_2_2 2" xfId="9817" xr:uid="{00000000-0005-0000-0000-0000FF080000}"/>
    <cellStyle name="%_QR-Prism-Ph2-WSR-17-Sep10_HU-Risk-dashboard_SAPProjects_Template-Macro_2_2 3" xfId="8619" xr:uid="{00000000-0005-0000-0000-000000090000}"/>
    <cellStyle name="%_QR-Prism-Ph2-WSR-17-Sep10_HU-Risk-dashboard_SAPProjects_Template-Macro_2_2 4" xfId="7421" xr:uid="{00000000-0005-0000-0000-000001090000}"/>
    <cellStyle name="%_QR-Prism-Ph2-WSR-17-Sep10_HU-Risk-dashboard_SAPProjects_Template-Macro_2_2 5" xfId="6223" xr:uid="{00000000-0005-0000-0000-000002090000}"/>
    <cellStyle name="%_QR-Prism-Ph2-WSR-17-Sep10_HU-Risk-dashboard_SAPProjects_Template-Macro_2_2 6" xfId="5024" xr:uid="{00000000-0005-0000-0000-000003090000}"/>
    <cellStyle name="%_QR-Prism-Ph2-WSR-17-Sep10_HU-Risk-dashboard_SAPProjects_Template-Macro_2_2 7" xfId="3825" xr:uid="{00000000-0005-0000-0000-000004090000}"/>
    <cellStyle name="%_QR-Prism-Ph2-WSR-17-Sep10_HU-Risk-dashboard_SAPProjects_Template-Macro_2_2_BusinessExcellenceDashboard_OCt2012_MS HU-ERased" xfId="576" xr:uid="{00000000-0005-0000-0000-000005090000}"/>
    <cellStyle name="%_QR-Prism-Ph2-WSR-17-Sep10_HU-Risk-dashboard_SAPProjects_Template-Macro_2_Business Excellence Dashboard-Aug2012-ERP HU (OracleApps)" xfId="577" xr:uid="{00000000-0005-0000-0000-000006090000}"/>
    <cellStyle name="%_QR-Prism-Ph2-WSR-17-Sep10_HU-Risk-dashboard_SAPProjects_Template-Macro_2_Business Excellence Dashboard-Aug2012-ERP HU (OracleApps) 2" xfId="9818" xr:uid="{00000000-0005-0000-0000-000007090000}"/>
    <cellStyle name="%_QR-Prism-Ph2-WSR-17-Sep10_HU-Risk-dashboard_SAPProjects_Template-Macro_2_Business Excellence Dashboard-Aug2012-ERP HU (OracleApps) 3" xfId="8620" xr:uid="{00000000-0005-0000-0000-000008090000}"/>
    <cellStyle name="%_QR-Prism-Ph2-WSR-17-Sep10_HU-Risk-dashboard_SAPProjects_Template-Macro_2_Business Excellence Dashboard-Aug2012-ERP HU (OracleApps) 4" xfId="7422" xr:uid="{00000000-0005-0000-0000-000009090000}"/>
    <cellStyle name="%_QR-Prism-Ph2-WSR-17-Sep10_HU-Risk-dashboard_SAPProjects_Template-Macro_2_Business Excellence Dashboard-Aug2012-ERP HU (OracleApps) 5" xfId="6224" xr:uid="{00000000-0005-0000-0000-00000A090000}"/>
    <cellStyle name="%_QR-Prism-Ph2-WSR-17-Sep10_HU-Risk-dashboard_SAPProjects_Template-Macro_2_Business Excellence Dashboard-Aug2012-ERP HU (OracleApps) 6" xfId="5025" xr:uid="{00000000-0005-0000-0000-00000B090000}"/>
    <cellStyle name="%_QR-Prism-Ph2-WSR-17-Sep10_HU-Risk-dashboard_SAPProjects_Template-Macro_2_Business Excellence Dashboard-Aug2012-ERP HU (OracleApps) 7" xfId="3826" xr:uid="{00000000-0005-0000-0000-00000C090000}"/>
    <cellStyle name="%_QR-Prism-Ph2-WSR-17-Sep10_HU-Risk-dashboard_SAPProjects_Template-Macro_2_Business Excellence Dashboard-Aug2012-ERP HU (OracleApps)_BusinessExcellenceDashboard_OCt2012_MS HU-ERased" xfId="578" xr:uid="{00000000-0005-0000-0000-00000D090000}"/>
    <cellStyle name="%_QR-Prism-Ph2-WSR-17-Sep10_HU-Risk-dashboard_SAPProjects_Template-Macro_2_Business Excellence Dashboard-Jul2012-ERP HU (OracleApps)-consolidated" xfId="579" xr:uid="{00000000-0005-0000-0000-00000E090000}"/>
    <cellStyle name="%_QR-Prism-Ph2-WSR-17-Sep10_HU-Risk-dashboard_SAPProjects_Template-Macro_2_Business Excellence Dashboard-Jul2012-ERP HU (OracleApps)-consolidated 2" xfId="9819" xr:uid="{00000000-0005-0000-0000-00000F090000}"/>
    <cellStyle name="%_QR-Prism-Ph2-WSR-17-Sep10_HU-Risk-dashboard_SAPProjects_Template-Macro_2_Business Excellence Dashboard-Jul2012-ERP HU (OracleApps)-consolidated 3" xfId="8621" xr:uid="{00000000-0005-0000-0000-000010090000}"/>
    <cellStyle name="%_QR-Prism-Ph2-WSR-17-Sep10_HU-Risk-dashboard_SAPProjects_Template-Macro_2_Business Excellence Dashboard-Jul2012-ERP HU (OracleApps)-consolidated 4" xfId="7423" xr:uid="{00000000-0005-0000-0000-000011090000}"/>
    <cellStyle name="%_QR-Prism-Ph2-WSR-17-Sep10_HU-Risk-dashboard_SAPProjects_Template-Macro_2_Business Excellence Dashboard-Jul2012-ERP HU (OracleApps)-consolidated 5" xfId="6225" xr:uid="{00000000-0005-0000-0000-000012090000}"/>
    <cellStyle name="%_QR-Prism-Ph2-WSR-17-Sep10_HU-Risk-dashboard_SAPProjects_Template-Macro_2_Business Excellence Dashboard-Jul2012-ERP HU (OracleApps)-consolidated 6" xfId="5026" xr:uid="{00000000-0005-0000-0000-000013090000}"/>
    <cellStyle name="%_QR-Prism-Ph2-WSR-17-Sep10_HU-Risk-dashboard_SAPProjects_Template-Macro_2_Business Excellence Dashboard-Jul2012-ERP HU (OracleApps)-consolidated 7" xfId="3827" xr:uid="{00000000-0005-0000-0000-000014090000}"/>
    <cellStyle name="%_QR-Prism-Ph2-WSR-17-Sep10_HU-Risk-dashboard_SAPProjects_Template-Macro_2_Business Excellence Dashboard-Jul2012-ERP HU (OracleApps)-consolidated_BusinessExcellenceDashboard_OCt2012_MS HU-ERased" xfId="580" xr:uid="{00000000-0005-0000-0000-000015090000}"/>
    <cellStyle name="%_QR-Prism-Ph2-WSR-17-Sep10_HU-Risk-dashboard_SAPProjects_Template-Macro_2_BusinessExcellenceDashboard_OCt2012_MS HU-ERased" xfId="581" xr:uid="{00000000-0005-0000-0000-000016090000}"/>
    <cellStyle name="%_QR-Prism-Ph2-WSR-17-Sep10_HU-Risk-dashboard_SAPProjects_Template-Macro_2_copydatamacro" xfId="582" xr:uid="{00000000-0005-0000-0000-000017090000}"/>
    <cellStyle name="%_QR-Prism-Ph2-WSR-17-Sep10_HU-Risk-dashboard_SAPProjects_Template-Macro_2_copydatamacro 2" xfId="9820" xr:uid="{00000000-0005-0000-0000-000018090000}"/>
    <cellStyle name="%_QR-Prism-Ph2-WSR-17-Sep10_HU-Risk-dashboard_SAPProjects_Template-Macro_2_copydatamacro 3" xfId="8622" xr:uid="{00000000-0005-0000-0000-000019090000}"/>
    <cellStyle name="%_QR-Prism-Ph2-WSR-17-Sep10_HU-Risk-dashboard_SAPProjects_Template-Macro_2_copydatamacro 4" xfId="7424" xr:uid="{00000000-0005-0000-0000-00001A090000}"/>
    <cellStyle name="%_QR-Prism-Ph2-WSR-17-Sep10_HU-Risk-dashboard_SAPProjects_Template-Macro_2_copydatamacro 5" xfId="6226" xr:uid="{00000000-0005-0000-0000-00001B090000}"/>
    <cellStyle name="%_QR-Prism-Ph2-WSR-17-Sep10_HU-Risk-dashboard_SAPProjects_Template-Macro_2_copydatamacro 6" xfId="5027" xr:uid="{00000000-0005-0000-0000-00001C090000}"/>
    <cellStyle name="%_QR-Prism-Ph2-WSR-17-Sep10_HU-Risk-dashboard_SAPProjects_Template-Macro_2_copydatamacro 7" xfId="3828" xr:uid="{00000000-0005-0000-0000-00001D090000}"/>
    <cellStyle name="%_QR-Prism-Ph2-WSR-17-Sep10_HU-Risk-dashboard_SAPProjects_Template-Macro_2_copydatamacro_BusinessExcellenceDashboard_OCt2012_MS HU-ERased" xfId="583" xr:uid="{00000000-0005-0000-0000-00001E090000}"/>
    <cellStyle name="%_QR-Prism-Ph2-WSR-17-Sep10_HU-Risk-dashboard_SAPProjects_Template-Macro_Book1" xfId="584" xr:uid="{00000000-0005-0000-0000-00001F090000}"/>
    <cellStyle name="%_QR-Prism-Ph2-WSR-17-Sep10_HU-Risk-dashboard_SAPProjects_Template-Macro_Book1 2" xfId="9821" xr:uid="{00000000-0005-0000-0000-000020090000}"/>
    <cellStyle name="%_QR-Prism-Ph2-WSR-17-Sep10_HU-Risk-dashboard_SAPProjects_Template-Macro_Book1 3" xfId="8623" xr:uid="{00000000-0005-0000-0000-000021090000}"/>
    <cellStyle name="%_QR-Prism-Ph2-WSR-17-Sep10_HU-Risk-dashboard_SAPProjects_Template-Macro_Book1 4" xfId="7425" xr:uid="{00000000-0005-0000-0000-000022090000}"/>
    <cellStyle name="%_QR-Prism-Ph2-WSR-17-Sep10_HU-Risk-dashboard_SAPProjects_Template-Macro_Book1 5" xfId="6227" xr:uid="{00000000-0005-0000-0000-000023090000}"/>
    <cellStyle name="%_QR-Prism-Ph2-WSR-17-Sep10_HU-Risk-dashboard_SAPProjects_Template-Macro_Book1 6" xfId="5028" xr:uid="{00000000-0005-0000-0000-000024090000}"/>
    <cellStyle name="%_QR-Prism-Ph2-WSR-17-Sep10_HU-Risk-dashboard_SAPProjects_Template-Macro_Book1 7" xfId="3829" xr:uid="{00000000-0005-0000-0000-000025090000}"/>
    <cellStyle name="%_QR-Prism-Ph2-WSR-17-Sep10_HU-Risk-dashboard_SAPProjects_Template-Macro_Book1_Business Excellence Dashboard-Aug2012-ERP HU (OracleApps)" xfId="585" xr:uid="{00000000-0005-0000-0000-000026090000}"/>
    <cellStyle name="%_QR-Prism-Ph2-WSR-17-Sep10_HU-Risk-dashboard_SAPProjects_Template-Macro_Book1_Business Excellence Dashboard-Aug2012-ERP HU (OracleApps) 2" xfId="9822" xr:uid="{00000000-0005-0000-0000-000027090000}"/>
    <cellStyle name="%_QR-Prism-Ph2-WSR-17-Sep10_HU-Risk-dashboard_SAPProjects_Template-Macro_Book1_Business Excellence Dashboard-Aug2012-ERP HU (OracleApps) 3" xfId="8624" xr:uid="{00000000-0005-0000-0000-000028090000}"/>
    <cellStyle name="%_QR-Prism-Ph2-WSR-17-Sep10_HU-Risk-dashboard_SAPProjects_Template-Macro_Book1_Business Excellence Dashboard-Aug2012-ERP HU (OracleApps) 4" xfId="7426" xr:uid="{00000000-0005-0000-0000-000029090000}"/>
    <cellStyle name="%_QR-Prism-Ph2-WSR-17-Sep10_HU-Risk-dashboard_SAPProjects_Template-Macro_Book1_Business Excellence Dashboard-Aug2012-ERP HU (OracleApps) 5" xfId="6228" xr:uid="{00000000-0005-0000-0000-00002A090000}"/>
    <cellStyle name="%_QR-Prism-Ph2-WSR-17-Sep10_HU-Risk-dashboard_SAPProjects_Template-Macro_Book1_Business Excellence Dashboard-Aug2012-ERP HU (OracleApps) 6" xfId="5029" xr:uid="{00000000-0005-0000-0000-00002B090000}"/>
    <cellStyle name="%_QR-Prism-Ph2-WSR-17-Sep10_HU-Risk-dashboard_SAPProjects_Template-Macro_Book1_Business Excellence Dashboard-Aug2012-ERP HU (OracleApps) 7" xfId="3830" xr:uid="{00000000-0005-0000-0000-00002C090000}"/>
    <cellStyle name="%_QR-Prism-Ph2-WSR-17-Sep10_HU-Risk-dashboard_SAPProjects_Template-Macro_Book1_Business Excellence Dashboard-Aug2012-ERP HU (OracleApps)_BusinessExcellenceDashboard_OCt2012_MS HU-ERased" xfId="586" xr:uid="{00000000-0005-0000-0000-00002D090000}"/>
    <cellStyle name="%_QR-Prism-Ph2-WSR-17-Sep10_HU-Risk-dashboard_SAPProjects_Template-Macro_Book1_Business Excellence Dashboard-Jul2012-ERP HU (OracleApps)-consolidated" xfId="587" xr:uid="{00000000-0005-0000-0000-00002E090000}"/>
    <cellStyle name="%_QR-Prism-Ph2-WSR-17-Sep10_HU-Risk-dashboard_SAPProjects_Template-Macro_Book1_Business Excellence Dashboard-Jul2012-ERP HU (OracleApps)-consolidated 2" xfId="9823" xr:uid="{00000000-0005-0000-0000-00002F090000}"/>
    <cellStyle name="%_QR-Prism-Ph2-WSR-17-Sep10_HU-Risk-dashboard_SAPProjects_Template-Macro_Book1_Business Excellence Dashboard-Jul2012-ERP HU (OracleApps)-consolidated 3" xfId="8625" xr:uid="{00000000-0005-0000-0000-000030090000}"/>
    <cellStyle name="%_QR-Prism-Ph2-WSR-17-Sep10_HU-Risk-dashboard_SAPProjects_Template-Macro_Book1_Business Excellence Dashboard-Jul2012-ERP HU (OracleApps)-consolidated 4" xfId="7427" xr:uid="{00000000-0005-0000-0000-000031090000}"/>
    <cellStyle name="%_QR-Prism-Ph2-WSR-17-Sep10_HU-Risk-dashboard_SAPProjects_Template-Macro_Book1_Business Excellence Dashboard-Jul2012-ERP HU (OracleApps)-consolidated 5" xfId="6229" xr:uid="{00000000-0005-0000-0000-000032090000}"/>
    <cellStyle name="%_QR-Prism-Ph2-WSR-17-Sep10_HU-Risk-dashboard_SAPProjects_Template-Macro_Book1_Business Excellence Dashboard-Jul2012-ERP HU (OracleApps)-consolidated 6" xfId="5030" xr:uid="{00000000-0005-0000-0000-000033090000}"/>
    <cellStyle name="%_QR-Prism-Ph2-WSR-17-Sep10_HU-Risk-dashboard_SAPProjects_Template-Macro_Book1_Business Excellence Dashboard-Jul2012-ERP HU (OracleApps)-consolidated 7" xfId="3831" xr:uid="{00000000-0005-0000-0000-000034090000}"/>
    <cellStyle name="%_QR-Prism-Ph2-WSR-17-Sep10_HU-Risk-dashboard_SAPProjects_Template-Macro_Book1_Business Excellence Dashboard-Jul2012-ERP HU (OracleApps)-consolidated_BusinessExcellenceDashboard_OCt2012_MS HU-ERased" xfId="588" xr:uid="{00000000-0005-0000-0000-000035090000}"/>
    <cellStyle name="%_QR-Prism-Ph2-WSR-17-Sep10_HU-Risk-dashboard_SAPProjects_Template-Macro_Book1_BusinessExcellenceDashboard_OCt2012_MS HU-ERased" xfId="589" xr:uid="{00000000-0005-0000-0000-000036090000}"/>
    <cellStyle name="%_QR-Prism-Ph2-WSR-17-Sep10_HU-Risk-dashboard_SAPProjects_Template-Macro_Book1_copydatamacro" xfId="590" xr:uid="{00000000-0005-0000-0000-000037090000}"/>
    <cellStyle name="%_QR-Prism-Ph2-WSR-17-Sep10_HU-Risk-dashboard_SAPProjects_Template-Macro_Book1_copydatamacro 2" xfId="9824" xr:uid="{00000000-0005-0000-0000-000038090000}"/>
    <cellStyle name="%_QR-Prism-Ph2-WSR-17-Sep10_HU-Risk-dashboard_SAPProjects_Template-Macro_Book1_copydatamacro 3" xfId="8626" xr:uid="{00000000-0005-0000-0000-000039090000}"/>
    <cellStyle name="%_QR-Prism-Ph2-WSR-17-Sep10_HU-Risk-dashboard_SAPProjects_Template-Macro_Book1_copydatamacro 4" xfId="7428" xr:uid="{00000000-0005-0000-0000-00003A090000}"/>
    <cellStyle name="%_QR-Prism-Ph2-WSR-17-Sep10_HU-Risk-dashboard_SAPProjects_Template-Macro_Book1_copydatamacro 5" xfId="6230" xr:uid="{00000000-0005-0000-0000-00003B090000}"/>
    <cellStyle name="%_QR-Prism-Ph2-WSR-17-Sep10_HU-Risk-dashboard_SAPProjects_Template-Macro_Book1_copydatamacro 6" xfId="5031" xr:uid="{00000000-0005-0000-0000-00003C090000}"/>
    <cellStyle name="%_QR-Prism-Ph2-WSR-17-Sep10_HU-Risk-dashboard_SAPProjects_Template-Macro_Book1_copydatamacro 7" xfId="3832" xr:uid="{00000000-0005-0000-0000-00003D090000}"/>
    <cellStyle name="%_QR-Prism-Ph2-WSR-17-Sep10_HU-Risk-dashboard_SAPProjects_Template-Macro_Book1_copydatamacro_BusinessExcellenceDashboard_OCt2012_MS HU-ERased" xfId="591" xr:uid="{00000000-0005-0000-0000-00003E090000}"/>
    <cellStyle name="%_QR-Prism-Ph2-WSR-17-Sep10_HU-Risk-dashboard_SAPProjects_Template-Macro_Business Excellence Dashboard-Aug2012-ERP HU (OracleApps)" xfId="592" xr:uid="{00000000-0005-0000-0000-00003F090000}"/>
    <cellStyle name="%_QR-Prism-Ph2-WSR-17-Sep10_HU-Risk-dashboard_SAPProjects_Template-Macro_Business Excellence Dashboard-Aug2012-ERP HU (OracleApps) 2" xfId="9825" xr:uid="{00000000-0005-0000-0000-000040090000}"/>
    <cellStyle name="%_QR-Prism-Ph2-WSR-17-Sep10_HU-Risk-dashboard_SAPProjects_Template-Macro_Business Excellence Dashboard-Aug2012-ERP HU (OracleApps) 3" xfId="8627" xr:uid="{00000000-0005-0000-0000-000041090000}"/>
    <cellStyle name="%_QR-Prism-Ph2-WSR-17-Sep10_HU-Risk-dashboard_SAPProjects_Template-Macro_Business Excellence Dashboard-Aug2012-ERP HU (OracleApps) 4" xfId="7429" xr:uid="{00000000-0005-0000-0000-000042090000}"/>
    <cellStyle name="%_QR-Prism-Ph2-WSR-17-Sep10_HU-Risk-dashboard_SAPProjects_Template-Macro_Business Excellence Dashboard-Aug2012-ERP HU (OracleApps) 5" xfId="6231" xr:uid="{00000000-0005-0000-0000-000043090000}"/>
    <cellStyle name="%_QR-Prism-Ph2-WSR-17-Sep10_HU-Risk-dashboard_SAPProjects_Template-Macro_Business Excellence Dashboard-Aug2012-ERP HU (OracleApps) 6" xfId="5032" xr:uid="{00000000-0005-0000-0000-000044090000}"/>
    <cellStyle name="%_QR-Prism-Ph2-WSR-17-Sep10_HU-Risk-dashboard_SAPProjects_Template-Macro_Business Excellence Dashboard-Aug2012-ERP HU (OracleApps) 7" xfId="3833" xr:uid="{00000000-0005-0000-0000-000045090000}"/>
    <cellStyle name="%_QR-Prism-Ph2-WSR-17-Sep10_HU-Risk-dashboard_SAPProjects_Template-Macro_Business Excellence Dashboard-Aug2012-ERP HU (OracleApps)_BusinessExcellenceDashboard_OCt2012_MS HU-ERased" xfId="593" xr:uid="{00000000-0005-0000-0000-000046090000}"/>
    <cellStyle name="%_QR-Prism-Ph2-WSR-17-Sep10_HU-Risk-dashboard_SAPProjects_Template-Macro_Business Excellence Dashboard-Jul2012-ERP HU (OracleApps)-consolidated" xfId="594" xr:uid="{00000000-0005-0000-0000-000047090000}"/>
    <cellStyle name="%_QR-Prism-Ph2-WSR-17-Sep10_HU-Risk-dashboard_SAPProjects_Template-Macro_Business Excellence Dashboard-Jul2012-ERP HU (OracleApps)-consolidated 2" xfId="9826" xr:uid="{00000000-0005-0000-0000-000048090000}"/>
    <cellStyle name="%_QR-Prism-Ph2-WSR-17-Sep10_HU-Risk-dashboard_SAPProjects_Template-Macro_Business Excellence Dashboard-Jul2012-ERP HU (OracleApps)-consolidated 3" xfId="8628" xr:uid="{00000000-0005-0000-0000-000049090000}"/>
    <cellStyle name="%_QR-Prism-Ph2-WSR-17-Sep10_HU-Risk-dashboard_SAPProjects_Template-Macro_Business Excellence Dashboard-Jul2012-ERP HU (OracleApps)-consolidated 4" xfId="7430" xr:uid="{00000000-0005-0000-0000-00004A090000}"/>
    <cellStyle name="%_QR-Prism-Ph2-WSR-17-Sep10_HU-Risk-dashboard_SAPProjects_Template-Macro_Business Excellence Dashboard-Jul2012-ERP HU (OracleApps)-consolidated 5" xfId="6232" xr:uid="{00000000-0005-0000-0000-00004B090000}"/>
    <cellStyle name="%_QR-Prism-Ph2-WSR-17-Sep10_HU-Risk-dashboard_SAPProjects_Template-Macro_Business Excellence Dashboard-Jul2012-ERP HU (OracleApps)-consolidated 6" xfId="5033" xr:uid="{00000000-0005-0000-0000-00004C090000}"/>
    <cellStyle name="%_QR-Prism-Ph2-WSR-17-Sep10_HU-Risk-dashboard_SAPProjects_Template-Macro_Business Excellence Dashboard-Jul2012-ERP HU (OracleApps)-consolidated 7" xfId="3834" xr:uid="{00000000-0005-0000-0000-00004D090000}"/>
    <cellStyle name="%_QR-Prism-Ph2-WSR-17-Sep10_HU-Risk-dashboard_SAPProjects_Template-Macro_Business Excellence Dashboard-Jul2012-ERP HU (OracleApps)-consolidated_BusinessExcellenceDashboard_OCt2012_MS HU-ERased" xfId="595" xr:uid="{00000000-0005-0000-0000-00004E090000}"/>
    <cellStyle name="%_QR-Prism-Ph2-WSR-17-Sep10_HU-Risk-dashboard_SAPProjects_Template-Macro_BusinessExcellenceDashboard_OCt2012_MS HU-ERased" xfId="596" xr:uid="{00000000-0005-0000-0000-00004F090000}"/>
    <cellStyle name="%_QR-Prism-Ph2-WSR-17-Sep10_HU-Risk-dashboard_SAPProjects_Template-Macro_copydatamacro" xfId="597" xr:uid="{00000000-0005-0000-0000-000050090000}"/>
    <cellStyle name="%_QR-Prism-Ph2-WSR-17-Sep10_HU-Risk-dashboard_SAPProjects_Template-Macro_copydatamacro 2" xfId="9827" xr:uid="{00000000-0005-0000-0000-000051090000}"/>
    <cellStyle name="%_QR-Prism-Ph2-WSR-17-Sep10_HU-Risk-dashboard_SAPProjects_Template-Macro_copydatamacro 3" xfId="8629" xr:uid="{00000000-0005-0000-0000-000052090000}"/>
    <cellStyle name="%_QR-Prism-Ph2-WSR-17-Sep10_HU-Risk-dashboard_SAPProjects_Template-Macro_copydatamacro 4" xfId="7431" xr:uid="{00000000-0005-0000-0000-000053090000}"/>
    <cellStyle name="%_QR-Prism-Ph2-WSR-17-Sep10_HU-Risk-dashboard_SAPProjects_Template-Macro_copydatamacro 5" xfId="6233" xr:uid="{00000000-0005-0000-0000-000054090000}"/>
    <cellStyle name="%_QR-Prism-Ph2-WSR-17-Sep10_HU-Risk-dashboard_SAPProjects_Template-Macro_copydatamacro 6" xfId="5034" xr:uid="{00000000-0005-0000-0000-000055090000}"/>
    <cellStyle name="%_QR-Prism-Ph2-WSR-17-Sep10_HU-Risk-dashboard_SAPProjects_Template-Macro_copydatamacro 7" xfId="3835" xr:uid="{00000000-0005-0000-0000-000056090000}"/>
    <cellStyle name="%_QR-Prism-Ph2-WSR-17-Sep10_HU-Risk-dashboard_SAPProjects_Template-Macro_copydatamacro_BusinessExcellenceDashboard_OCt2012_MS HU-ERased" xfId="598" xr:uid="{00000000-0005-0000-0000-000057090000}"/>
    <cellStyle name="%_QR-Prism-Ph2-WSR-17-Sep10_HU-Risk-dashboard_SAPProjects_Template-Macro_MSHU_BusinessExcellenceDashboardV2.2-May2012-3" xfId="599" xr:uid="{00000000-0005-0000-0000-000058090000}"/>
    <cellStyle name="%_QR-Prism-Ph2-WSR-17-Sep10_HU-Risk-dashboard_SAPProjects_Template-Macro_MSHU_BusinessExcellenceDashboardV2.2-May2012-3 2" xfId="9828" xr:uid="{00000000-0005-0000-0000-000059090000}"/>
    <cellStyle name="%_QR-Prism-Ph2-WSR-17-Sep10_HU-Risk-dashboard_SAPProjects_Template-Macro_MSHU_BusinessExcellenceDashboardV2.2-May2012-3 3" xfId="8630" xr:uid="{00000000-0005-0000-0000-00005A090000}"/>
    <cellStyle name="%_QR-Prism-Ph2-WSR-17-Sep10_HU-Risk-dashboard_SAPProjects_Template-Macro_MSHU_BusinessExcellenceDashboardV2.2-May2012-3 4" xfId="7432" xr:uid="{00000000-0005-0000-0000-00005B090000}"/>
    <cellStyle name="%_QR-Prism-Ph2-WSR-17-Sep10_HU-Risk-dashboard_SAPProjects_Template-Macro_MSHU_BusinessExcellenceDashboardV2.2-May2012-3 5" xfId="6234" xr:uid="{00000000-0005-0000-0000-00005C090000}"/>
    <cellStyle name="%_QR-Prism-Ph2-WSR-17-Sep10_HU-Risk-dashboard_SAPProjects_Template-Macro_MSHU_BusinessExcellenceDashboardV2.2-May2012-3 6" xfId="5035" xr:uid="{00000000-0005-0000-0000-00005D090000}"/>
    <cellStyle name="%_QR-Prism-Ph2-WSR-17-Sep10_HU-Risk-dashboard_SAPProjects_Template-Macro_MSHU_BusinessExcellenceDashboardV2.2-May2012-3 7" xfId="3836" xr:uid="{00000000-0005-0000-0000-00005E090000}"/>
    <cellStyle name="%_QR-Prism-Ph2-WSR-17-Sep10_HU-Risk-dashboard_SAPProjects_Template-Macro_MSHU_BusinessExcellenceDashboardV2.2-May2012-3_Business Excellence Dashboard-Aug2012-ERP HU (OracleApps)" xfId="600" xr:uid="{00000000-0005-0000-0000-00005F090000}"/>
    <cellStyle name="%_QR-Prism-Ph2-WSR-17-Sep10_HU-Risk-dashboard_SAPProjects_Template-Macro_MSHU_BusinessExcellenceDashboardV2.2-May2012-3_Business Excellence Dashboard-Aug2012-ERP HU (OracleApps) 2" xfId="9829" xr:uid="{00000000-0005-0000-0000-000060090000}"/>
    <cellStyle name="%_QR-Prism-Ph2-WSR-17-Sep10_HU-Risk-dashboard_SAPProjects_Template-Macro_MSHU_BusinessExcellenceDashboardV2.2-May2012-3_Business Excellence Dashboard-Aug2012-ERP HU (OracleApps) 3" xfId="8631" xr:uid="{00000000-0005-0000-0000-000061090000}"/>
    <cellStyle name="%_QR-Prism-Ph2-WSR-17-Sep10_HU-Risk-dashboard_SAPProjects_Template-Macro_MSHU_BusinessExcellenceDashboardV2.2-May2012-3_Business Excellence Dashboard-Aug2012-ERP HU (OracleApps) 4" xfId="7433" xr:uid="{00000000-0005-0000-0000-000062090000}"/>
    <cellStyle name="%_QR-Prism-Ph2-WSR-17-Sep10_HU-Risk-dashboard_SAPProjects_Template-Macro_MSHU_BusinessExcellenceDashboardV2.2-May2012-3_Business Excellence Dashboard-Aug2012-ERP HU (OracleApps) 5" xfId="6235" xr:uid="{00000000-0005-0000-0000-000063090000}"/>
    <cellStyle name="%_QR-Prism-Ph2-WSR-17-Sep10_HU-Risk-dashboard_SAPProjects_Template-Macro_MSHU_BusinessExcellenceDashboardV2.2-May2012-3_Business Excellence Dashboard-Aug2012-ERP HU (OracleApps) 6" xfId="5036" xr:uid="{00000000-0005-0000-0000-000064090000}"/>
    <cellStyle name="%_QR-Prism-Ph2-WSR-17-Sep10_HU-Risk-dashboard_SAPProjects_Template-Macro_MSHU_BusinessExcellenceDashboardV2.2-May2012-3_Business Excellence Dashboard-Aug2012-ERP HU (OracleApps) 7" xfId="3837" xr:uid="{00000000-0005-0000-0000-000065090000}"/>
    <cellStyle name="%_QR-Prism-Ph2-WSR-17-Sep10_HU-Risk-dashboard_SAPProjects_Template-Macro_MSHU_BusinessExcellenceDashboardV2.2-May2012-3_Business Excellence Dashboard-Aug2012-ERP HU (OracleApps)_BusinessExcellenceDashboard_OCt2012_MS HU-ERased" xfId="601" xr:uid="{00000000-0005-0000-0000-000066090000}"/>
    <cellStyle name="%_QR-Prism-Ph2-WSR-17-Sep10_HU-Risk-dashboard_SAPProjects_Template-Macro_MSHU_BusinessExcellenceDashboardV2.2-May2012-3_Business Excellence Dashboard-Jul2012-ERP HU (OracleApps)-consolidated" xfId="602" xr:uid="{00000000-0005-0000-0000-000067090000}"/>
    <cellStyle name="%_QR-Prism-Ph2-WSR-17-Sep10_HU-Risk-dashboard_SAPProjects_Template-Macro_MSHU_BusinessExcellenceDashboardV2.2-May2012-3_Business Excellence Dashboard-Jul2012-ERP HU (OracleApps)-consolidated 2" xfId="9830" xr:uid="{00000000-0005-0000-0000-000068090000}"/>
    <cellStyle name="%_QR-Prism-Ph2-WSR-17-Sep10_HU-Risk-dashboard_SAPProjects_Template-Macro_MSHU_BusinessExcellenceDashboardV2.2-May2012-3_Business Excellence Dashboard-Jul2012-ERP HU (OracleApps)-consolidated 3" xfId="8632" xr:uid="{00000000-0005-0000-0000-000069090000}"/>
    <cellStyle name="%_QR-Prism-Ph2-WSR-17-Sep10_HU-Risk-dashboard_SAPProjects_Template-Macro_MSHU_BusinessExcellenceDashboardV2.2-May2012-3_Business Excellence Dashboard-Jul2012-ERP HU (OracleApps)-consolidated 4" xfId="7434" xr:uid="{00000000-0005-0000-0000-00006A090000}"/>
    <cellStyle name="%_QR-Prism-Ph2-WSR-17-Sep10_HU-Risk-dashboard_SAPProjects_Template-Macro_MSHU_BusinessExcellenceDashboardV2.2-May2012-3_Business Excellence Dashboard-Jul2012-ERP HU (OracleApps)-consolidated 5" xfId="6236" xr:uid="{00000000-0005-0000-0000-00006B090000}"/>
    <cellStyle name="%_QR-Prism-Ph2-WSR-17-Sep10_HU-Risk-dashboard_SAPProjects_Template-Macro_MSHU_BusinessExcellenceDashboardV2.2-May2012-3_Business Excellence Dashboard-Jul2012-ERP HU (OracleApps)-consolidated 6" xfId="5037" xr:uid="{00000000-0005-0000-0000-00006C090000}"/>
    <cellStyle name="%_QR-Prism-Ph2-WSR-17-Sep10_HU-Risk-dashboard_SAPProjects_Template-Macro_MSHU_BusinessExcellenceDashboardV2.2-May2012-3_Business Excellence Dashboard-Jul2012-ERP HU (OracleApps)-consolidated 7" xfId="3838" xr:uid="{00000000-0005-0000-0000-00006D090000}"/>
    <cellStyle name="%_QR-Prism-Ph2-WSR-17-Sep10_HU-Risk-dashboard_SAPProjects_Template-Macro_MSHU_BusinessExcellenceDashboardV2.2-May2012-3_Business Excellence Dashboard-Jul2012-ERP HU (OracleApps)-consolidated_BusinessExcellenceDashboard_OCt2012_MS HU-ERased" xfId="603" xr:uid="{00000000-0005-0000-0000-00006E090000}"/>
    <cellStyle name="%_QR-Prism-Ph2-WSR-17-Sep10_HU-Risk-dashboard_SAPProjects_Template-Macro_MSHU_BusinessExcellenceDashboardV2.2-May2012-3_BusinessExcellenceDashboard_OCt2012_MS HU-ERased" xfId="604" xr:uid="{00000000-0005-0000-0000-00006F090000}"/>
    <cellStyle name="%_QR-Prism-Ph2-WSR-17-Sep10_HU-Risk-dashboard_SAPProjects_Template-Macro_MSHU_BusinessExcellenceDashboardV2.2-May2012-3_copydatamacro" xfId="605" xr:uid="{00000000-0005-0000-0000-000070090000}"/>
    <cellStyle name="%_QR-Prism-Ph2-WSR-17-Sep10_HU-Risk-dashboard_SAPProjects_Template-Macro_MSHU_BusinessExcellenceDashboardV2.2-May2012-3_copydatamacro 2" xfId="9831" xr:uid="{00000000-0005-0000-0000-000071090000}"/>
    <cellStyle name="%_QR-Prism-Ph2-WSR-17-Sep10_HU-Risk-dashboard_SAPProjects_Template-Macro_MSHU_BusinessExcellenceDashboardV2.2-May2012-3_copydatamacro 3" xfId="8633" xr:uid="{00000000-0005-0000-0000-000072090000}"/>
    <cellStyle name="%_QR-Prism-Ph2-WSR-17-Sep10_HU-Risk-dashboard_SAPProjects_Template-Macro_MSHU_BusinessExcellenceDashboardV2.2-May2012-3_copydatamacro 4" xfId="7435" xr:uid="{00000000-0005-0000-0000-000073090000}"/>
    <cellStyle name="%_QR-Prism-Ph2-WSR-17-Sep10_HU-Risk-dashboard_SAPProjects_Template-Macro_MSHU_BusinessExcellenceDashboardV2.2-May2012-3_copydatamacro 5" xfId="6237" xr:uid="{00000000-0005-0000-0000-000074090000}"/>
    <cellStyle name="%_QR-Prism-Ph2-WSR-17-Sep10_HU-Risk-dashboard_SAPProjects_Template-Macro_MSHU_BusinessExcellenceDashboardV2.2-May2012-3_copydatamacro 6" xfId="5038" xr:uid="{00000000-0005-0000-0000-000075090000}"/>
    <cellStyle name="%_QR-Prism-Ph2-WSR-17-Sep10_HU-Risk-dashboard_SAPProjects_Template-Macro_MSHU_BusinessExcellenceDashboardV2.2-May2012-3_copydatamacro 7" xfId="3839" xr:uid="{00000000-0005-0000-0000-000076090000}"/>
    <cellStyle name="%_QR-Prism-Ph2-WSR-17-Sep10_HU-Risk-dashboard_SAPProjects_Template-Macro_MSHU_BusinessExcellenceDashboardV2.2-May2012-3_copydatamacro_BusinessExcellenceDashboard_OCt2012_MS HU-ERased" xfId="606" xr:uid="{00000000-0005-0000-0000-000077090000}"/>
    <cellStyle name="%_QR-Prism-Ph2-WSR-17-Sep10_MSHU_BusinessExcellenceDashboardV2.2-May2012-3" xfId="607" xr:uid="{00000000-0005-0000-0000-000078090000}"/>
    <cellStyle name="%_QR-Prism-Ph2-WSR-17-Sep10_MSHU_BusinessExcellenceDashboardV2.2-May2012-3 2" xfId="9832" xr:uid="{00000000-0005-0000-0000-000079090000}"/>
    <cellStyle name="%_QR-Prism-Ph2-WSR-17-Sep10_MSHU_BusinessExcellenceDashboardV2.2-May2012-3 3" xfId="8634" xr:uid="{00000000-0005-0000-0000-00007A090000}"/>
    <cellStyle name="%_QR-Prism-Ph2-WSR-17-Sep10_MSHU_BusinessExcellenceDashboardV2.2-May2012-3 4" xfId="7436" xr:uid="{00000000-0005-0000-0000-00007B090000}"/>
    <cellStyle name="%_QR-Prism-Ph2-WSR-17-Sep10_MSHU_BusinessExcellenceDashboardV2.2-May2012-3 5" xfId="6238" xr:uid="{00000000-0005-0000-0000-00007C090000}"/>
    <cellStyle name="%_QR-Prism-Ph2-WSR-17-Sep10_MSHU_BusinessExcellenceDashboardV2.2-May2012-3 6" xfId="5039" xr:uid="{00000000-0005-0000-0000-00007D090000}"/>
    <cellStyle name="%_QR-Prism-Ph2-WSR-17-Sep10_MSHU_BusinessExcellenceDashboardV2.2-May2012-3 7" xfId="3840" xr:uid="{00000000-0005-0000-0000-00007E090000}"/>
    <cellStyle name="%_QR-Prism-Ph2-WSR-17-Sep10_MSHU_BusinessExcellenceDashboardV2.2-May2012-3_Business Excellence Dashboard-Aug2012-ERP HU (OracleApps)" xfId="608" xr:uid="{00000000-0005-0000-0000-00007F090000}"/>
    <cellStyle name="%_QR-Prism-Ph2-WSR-17-Sep10_MSHU_BusinessExcellenceDashboardV2.2-May2012-3_Business Excellence Dashboard-Aug2012-ERP HU (OracleApps) 2" xfId="9833" xr:uid="{00000000-0005-0000-0000-000080090000}"/>
    <cellStyle name="%_QR-Prism-Ph2-WSR-17-Sep10_MSHU_BusinessExcellenceDashboardV2.2-May2012-3_Business Excellence Dashboard-Aug2012-ERP HU (OracleApps) 3" xfId="8635" xr:uid="{00000000-0005-0000-0000-000081090000}"/>
    <cellStyle name="%_QR-Prism-Ph2-WSR-17-Sep10_MSHU_BusinessExcellenceDashboardV2.2-May2012-3_Business Excellence Dashboard-Aug2012-ERP HU (OracleApps) 4" xfId="7437" xr:uid="{00000000-0005-0000-0000-000082090000}"/>
    <cellStyle name="%_QR-Prism-Ph2-WSR-17-Sep10_MSHU_BusinessExcellenceDashboardV2.2-May2012-3_Business Excellence Dashboard-Aug2012-ERP HU (OracleApps) 5" xfId="6239" xr:uid="{00000000-0005-0000-0000-000083090000}"/>
    <cellStyle name="%_QR-Prism-Ph2-WSR-17-Sep10_MSHU_BusinessExcellenceDashboardV2.2-May2012-3_Business Excellence Dashboard-Aug2012-ERP HU (OracleApps) 6" xfId="5040" xr:uid="{00000000-0005-0000-0000-000084090000}"/>
    <cellStyle name="%_QR-Prism-Ph2-WSR-17-Sep10_MSHU_BusinessExcellenceDashboardV2.2-May2012-3_Business Excellence Dashboard-Aug2012-ERP HU (OracleApps) 7" xfId="3841" xr:uid="{00000000-0005-0000-0000-000085090000}"/>
    <cellStyle name="%_QR-Prism-Ph2-WSR-17-Sep10_MSHU_BusinessExcellenceDashboardV2.2-May2012-3_Business Excellence Dashboard-Aug2012-ERP HU (OracleApps)_BusinessExcellenceDashboard_OCt2012_MS HU-ERased" xfId="609" xr:uid="{00000000-0005-0000-0000-000086090000}"/>
    <cellStyle name="%_QR-Prism-Ph2-WSR-17-Sep10_MSHU_BusinessExcellenceDashboardV2.2-May2012-3_Business Excellence Dashboard-Jul2012-ERP HU (OracleApps)-consolidated" xfId="610" xr:uid="{00000000-0005-0000-0000-000087090000}"/>
    <cellStyle name="%_QR-Prism-Ph2-WSR-17-Sep10_MSHU_BusinessExcellenceDashboardV2.2-May2012-3_Business Excellence Dashboard-Jul2012-ERP HU (OracleApps)-consolidated 2" xfId="9834" xr:uid="{00000000-0005-0000-0000-000088090000}"/>
    <cellStyle name="%_QR-Prism-Ph2-WSR-17-Sep10_MSHU_BusinessExcellenceDashboardV2.2-May2012-3_Business Excellence Dashboard-Jul2012-ERP HU (OracleApps)-consolidated 3" xfId="8636" xr:uid="{00000000-0005-0000-0000-000089090000}"/>
    <cellStyle name="%_QR-Prism-Ph2-WSR-17-Sep10_MSHU_BusinessExcellenceDashboardV2.2-May2012-3_Business Excellence Dashboard-Jul2012-ERP HU (OracleApps)-consolidated 4" xfId="7438" xr:uid="{00000000-0005-0000-0000-00008A090000}"/>
    <cellStyle name="%_QR-Prism-Ph2-WSR-17-Sep10_MSHU_BusinessExcellenceDashboardV2.2-May2012-3_Business Excellence Dashboard-Jul2012-ERP HU (OracleApps)-consolidated 5" xfId="6240" xr:uid="{00000000-0005-0000-0000-00008B090000}"/>
    <cellStyle name="%_QR-Prism-Ph2-WSR-17-Sep10_MSHU_BusinessExcellenceDashboardV2.2-May2012-3_Business Excellence Dashboard-Jul2012-ERP HU (OracleApps)-consolidated 6" xfId="5041" xr:uid="{00000000-0005-0000-0000-00008C090000}"/>
    <cellStyle name="%_QR-Prism-Ph2-WSR-17-Sep10_MSHU_BusinessExcellenceDashboardV2.2-May2012-3_Business Excellence Dashboard-Jul2012-ERP HU (OracleApps)-consolidated 7" xfId="3842" xr:uid="{00000000-0005-0000-0000-00008D090000}"/>
    <cellStyle name="%_QR-Prism-Ph2-WSR-17-Sep10_MSHU_BusinessExcellenceDashboardV2.2-May2012-3_Business Excellence Dashboard-Jul2012-ERP HU (OracleApps)-consolidated_BusinessExcellenceDashboard_OCt2012_MS HU-ERased" xfId="611" xr:uid="{00000000-0005-0000-0000-00008E090000}"/>
    <cellStyle name="%_QR-Prism-Ph2-WSR-17-Sep10_MSHU_BusinessExcellenceDashboardV2.2-May2012-3_BusinessExcellenceDashboard_OCt2012_MS HU-ERased" xfId="612" xr:uid="{00000000-0005-0000-0000-00008F090000}"/>
    <cellStyle name="%_QR-Prism-Ph2-WSR-17-Sep10_MSHU_BusinessExcellenceDashboardV2.2-May2012-3_copydatamacro" xfId="613" xr:uid="{00000000-0005-0000-0000-000090090000}"/>
    <cellStyle name="%_QR-Prism-Ph2-WSR-17-Sep10_MSHU_BusinessExcellenceDashboardV2.2-May2012-3_copydatamacro 2" xfId="9835" xr:uid="{00000000-0005-0000-0000-000091090000}"/>
    <cellStyle name="%_QR-Prism-Ph2-WSR-17-Sep10_MSHU_BusinessExcellenceDashboardV2.2-May2012-3_copydatamacro 3" xfId="8637" xr:uid="{00000000-0005-0000-0000-000092090000}"/>
    <cellStyle name="%_QR-Prism-Ph2-WSR-17-Sep10_MSHU_BusinessExcellenceDashboardV2.2-May2012-3_copydatamacro 4" xfId="7439" xr:uid="{00000000-0005-0000-0000-000093090000}"/>
    <cellStyle name="%_QR-Prism-Ph2-WSR-17-Sep10_MSHU_BusinessExcellenceDashboardV2.2-May2012-3_copydatamacro 5" xfId="6241" xr:uid="{00000000-0005-0000-0000-000094090000}"/>
    <cellStyle name="%_QR-Prism-Ph2-WSR-17-Sep10_MSHU_BusinessExcellenceDashboardV2.2-May2012-3_copydatamacro 6" xfId="5042" xr:uid="{00000000-0005-0000-0000-000095090000}"/>
    <cellStyle name="%_QR-Prism-Ph2-WSR-17-Sep10_MSHU_BusinessExcellenceDashboardV2.2-May2012-3_copydatamacro 7" xfId="3843" xr:uid="{00000000-0005-0000-0000-000096090000}"/>
    <cellStyle name="%_QR-Prism-Ph2-WSR-17-Sep10_MSHU_BusinessExcellenceDashboardV2.2-May2012-3_copydatamacro_BusinessExcellenceDashboard_OCt2012_MS HU-ERased" xfId="614" xr:uid="{00000000-0005-0000-0000-000097090000}"/>
    <cellStyle name="%_QR-Prism-Ph2-WSR-17-Sep10_OS HU Dashboard Apr 2012-macro-08May" xfId="615" xr:uid="{00000000-0005-0000-0000-000098090000}"/>
    <cellStyle name="%_QR-Prism-Ph2-WSR-17-Sep10_OS HU Dashboard Apr 2012-macro-08May 2" xfId="9836" xr:uid="{00000000-0005-0000-0000-000099090000}"/>
    <cellStyle name="%_QR-Prism-Ph2-WSR-17-Sep10_OS HU Dashboard Apr 2012-macro-08May 3" xfId="8638" xr:uid="{00000000-0005-0000-0000-00009A090000}"/>
    <cellStyle name="%_QR-Prism-Ph2-WSR-17-Sep10_OS HU Dashboard Apr 2012-macro-08May 4" xfId="7440" xr:uid="{00000000-0005-0000-0000-00009B090000}"/>
    <cellStyle name="%_QR-Prism-Ph2-WSR-17-Sep10_OS HU Dashboard Apr 2012-macro-08May 5" xfId="6242" xr:uid="{00000000-0005-0000-0000-00009C090000}"/>
    <cellStyle name="%_QR-Prism-Ph2-WSR-17-Sep10_OS HU Dashboard Apr 2012-macro-08May 6" xfId="5043" xr:uid="{00000000-0005-0000-0000-00009D090000}"/>
    <cellStyle name="%_QR-Prism-Ph2-WSR-17-Sep10_OS HU Dashboard Apr 2012-macro-08May 7" xfId="3844" xr:uid="{00000000-0005-0000-0000-00009E090000}"/>
    <cellStyle name="%_QR-Prism-Ph2-WSR-17-Sep10_OS HU Dashboard Apr 2012-macro-08May_2" xfId="616" xr:uid="{00000000-0005-0000-0000-00009F090000}"/>
    <cellStyle name="%_QR-Prism-Ph2-WSR-17-Sep10_OS HU Dashboard Apr 2012-macro-08May_2 2" xfId="9837" xr:uid="{00000000-0005-0000-0000-0000A0090000}"/>
    <cellStyle name="%_QR-Prism-Ph2-WSR-17-Sep10_OS HU Dashboard Apr 2012-macro-08May_2 3" xfId="8639" xr:uid="{00000000-0005-0000-0000-0000A1090000}"/>
    <cellStyle name="%_QR-Prism-Ph2-WSR-17-Sep10_OS HU Dashboard Apr 2012-macro-08May_2 4" xfId="7441" xr:uid="{00000000-0005-0000-0000-0000A2090000}"/>
    <cellStyle name="%_QR-Prism-Ph2-WSR-17-Sep10_OS HU Dashboard Apr 2012-macro-08May_2 5" xfId="6243" xr:uid="{00000000-0005-0000-0000-0000A3090000}"/>
    <cellStyle name="%_QR-Prism-Ph2-WSR-17-Sep10_OS HU Dashboard Apr 2012-macro-08May_2 6" xfId="5044" xr:uid="{00000000-0005-0000-0000-0000A4090000}"/>
    <cellStyle name="%_QR-Prism-Ph2-WSR-17-Sep10_OS HU Dashboard Apr 2012-macro-08May_2 7" xfId="3845" xr:uid="{00000000-0005-0000-0000-0000A5090000}"/>
    <cellStyle name="%_QR-Prism-Ph2-WSR-17-Sep10_OS HU Dashboard Apr 2012-macro-08May_2_1" xfId="617" xr:uid="{00000000-0005-0000-0000-0000A6090000}"/>
    <cellStyle name="%_QR-Prism-Ph2-WSR-17-Sep10_OS HU Dashboard Apr 2012-macro-08May_2_1 2" xfId="9838" xr:uid="{00000000-0005-0000-0000-0000A7090000}"/>
    <cellStyle name="%_QR-Prism-Ph2-WSR-17-Sep10_OS HU Dashboard Apr 2012-macro-08May_2_1 3" xfId="8640" xr:uid="{00000000-0005-0000-0000-0000A8090000}"/>
    <cellStyle name="%_QR-Prism-Ph2-WSR-17-Sep10_OS HU Dashboard Apr 2012-macro-08May_2_1 4" xfId="7442" xr:uid="{00000000-0005-0000-0000-0000A9090000}"/>
    <cellStyle name="%_QR-Prism-Ph2-WSR-17-Sep10_OS HU Dashboard Apr 2012-macro-08May_2_1 5" xfId="6244" xr:uid="{00000000-0005-0000-0000-0000AA090000}"/>
    <cellStyle name="%_QR-Prism-Ph2-WSR-17-Sep10_OS HU Dashboard Apr 2012-macro-08May_2_1 6" xfId="5045" xr:uid="{00000000-0005-0000-0000-0000AB090000}"/>
    <cellStyle name="%_QR-Prism-Ph2-WSR-17-Sep10_OS HU Dashboard Apr 2012-macro-08May_2_1 7" xfId="3846" xr:uid="{00000000-0005-0000-0000-0000AC090000}"/>
    <cellStyle name="%_QR-Prism-Ph2-WSR-17-Sep10_OS HU Dashboard Apr 2012-macro-08May_2_1_Business Excellence Dashboard-Aug2012-ERP HU (OracleApps)" xfId="618" xr:uid="{00000000-0005-0000-0000-0000AD090000}"/>
    <cellStyle name="%_QR-Prism-Ph2-WSR-17-Sep10_OS HU Dashboard Apr 2012-macro-08May_2_1_Business Excellence Dashboard-Aug2012-ERP HU (OracleApps) 2" xfId="9839" xr:uid="{00000000-0005-0000-0000-0000AE090000}"/>
    <cellStyle name="%_QR-Prism-Ph2-WSR-17-Sep10_OS HU Dashboard Apr 2012-macro-08May_2_1_Business Excellence Dashboard-Aug2012-ERP HU (OracleApps) 3" xfId="8641" xr:uid="{00000000-0005-0000-0000-0000AF090000}"/>
    <cellStyle name="%_QR-Prism-Ph2-WSR-17-Sep10_OS HU Dashboard Apr 2012-macro-08May_2_1_Business Excellence Dashboard-Aug2012-ERP HU (OracleApps) 4" xfId="7443" xr:uid="{00000000-0005-0000-0000-0000B0090000}"/>
    <cellStyle name="%_QR-Prism-Ph2-WSR-17-Sep10_OS HU Dashboard Apr 2012-macro-08May_2_1_Business Excellence Dashboard-Aug2012-ERP HU (OracleApps) 5" xfId="6245" xr:uid="{00000000-0005-0000-0000-0000B1090000}"/>
    <cellStyle name="%_QR-Prism-Ph2-WSR-17-Sep10_OS HU Dashboard Apr 2012-macro-08May_2_1_Business Excellence Dashboard-Aug2012-ERP HU (OracleApps) 6" xfId="5046" xr:uid="{00000000-0005-0000-0000-0000B2090000}"/>
    <cellStyle name="%_QR-Prism-Ph2-WSR-17-Sep10_OS HU Dashboard Apr 2012-macro-08May_2_1_Business Excellence Dashboard-Aug2012-ERP HU (OracleApps) 7" xfId="3847" xr:uid="{00000000-0005-0000-0000-0000B3090000}"/>
    <cellStyle name="%_QR-Prism-Ph2-WSR-17-Sep10_OS HU Dashboard Apr 2012-macro-08May_2_1_Business Excellence Dashboard-Aug2012-ERP HU (OracleApps)_BusinessExcellenceDashboard_OCt2012_MS HU-ERased" xfId="619" xr:uid="{00000000-0005-0000-0000-0000B4090000}"/>
    <cellStyle name="%_QR-Prism-Ph2-WSR-17-Sep10_OS HU Dashboard Apr 2012-macro-08May_2_1_BusinessExcellenceDashboard_OCt2012_MS HU-ERased" xfId="620" xr:uid="{00000000-0005-0000-0000-0000B5090000}"/>
    <cellStyle name="%_QR-Prism-Ph2-WSR-17-Sep10_OS HU Dashboard Apr 2012-macro-08May_2_2" xfId="621" xr:uid="{00000000-0005-0000-0000-0000B6090000}"/>
    <cellStyle name="%_QR-Prism-Ph2-WSR-17-Sep10_OS HU Dashboard Apr 2012-macro-08May_2_2 2" xfId="9840" xr:uid="{00000000-0005-0000-0000-0000B7090000}"/>
    <cellStyle name="%_QR-Prism-Ph2-WSR-17-Sep10_OS HU Dashboard Apr 2012-macro-08May_2_2 3" xfId="8642" xr:uid="{00000000-0005-0000-0000-0000B8090000}"/>
    <cellStyle name="%_QR-Prism-Ph2-WSR-17-Sep10_OS HU Dashboard Apr 2012-macro-08May_2_2 4" xfId="7444" xr:uid="{00000000-0005-0000-0000-0000B9090000}"/>
    <cellStyle name="%_QR-Prism-Ph2-WSR-17-Sep10_OS HU Dashboard Apr 2012-macro-08May_2_2 5" xfId="6246" xr:uid="{00000000-0005-0000-0000-0000BA090000}"/>
    <cellStyle name="%_QR-Prism-Ph2-WSR-17-Sep10_OS HU Dashboard Apr 2012-macro-08May_2_2 6" xfId="5047" xr:uid="{00000000-0005-0000-0000-0000BB090000}"/>
    <cellStyle name="%_QR-Prism-Ph2-WSR-17-Sep10_OS HU Dashboard Apr 2012-macro-08May_2_2 7" xfId="3848" xr:uid="{00000000-0005-0000-0000-0000BC090000}"/>
    <cellStyle name="%_QR-Prism-Ph2-WSR-17-Sep10_OS HU Dashboard Apr 2012-macro-08May_2_2_BusinessExcellenceDashboard_OCt2012_MS HU-ERased" xfId="622" xr:uid="{00000000-0005-0000-0000-0000BD090000}"/>
    <cellStyle name="%_QR-Prism-Ph2-WSR-17-Sep10_OS HU Dashboard Apr 2012-macro-08May_2_Business Excellence Dashboard-Aug2012-ERP HU (OracleApps)" xfId="623" xr:uid="{00000000-0005-0000-0000-0000BE090000}"/>
    <cellStyle name="%_QR-Prism-Ph2-WSR-17-Sep10_OS HU Dashboard Apr 2012-macro-08May_2_Business Excellence Dashboard-Aug2012-ERP HU (OracleApps) 2" xfId="9841" xr:uid="{00000000-0005-0000-0000-0000BF090000}"/>
    <cellStyle name="%_QR-Prism-Ph2-WSR-17-Sep10_OS HU Dashboard Apr 2012-macro-08May_2_Business Excellence Dashboard-Aug2012-ERP HU (OracleApps) 3" xfId="8643" xr:uid="{00000000-0005-0000-0000-0000C0090000}"/>
    <cellStyle name="%_QR-Prism-Ph2-WSR-17-Sep10_OS HU Dashboard Apr 2012-macro-08May_2_Business Excellence Dashboard-Aug2012-ERP HU (OracleApps) 4" xfId="7445" xr:uid="{00000000-0005-0000-0000-0000C1090000}"/>
    <cellStyle name="%_QR-Prism-Ph2-WSR-17-Sep10_OS HU Dashboard Apr 2012-macro-08May_2_Business Excellence Dashboard-Aug2012-ERP HU (OracleApps) 5" xfId="6247" xr:uid="{00000000-0005-0000-0000-0000C2090000}"/>
    <cellStyle name="%_QR-Prism-Ph2-WSR-17-Sep10_OS HU Dashboard Apr 2012-macro-08May_2_Business Excellence Dashboard-Aug2012-ERP HU (OracleApps) 6" xfId="5048" xr:uid="{00000000-0005-0000-0000-0000C3090000}"/>
    <cellStyle name="%_QR-Prism-Ph2-WSR-17-Sep10_OS HU Dashboard Apr 2012-macro-08May_2_Business Excellence Dashboard-Aug2012-ERP HU (OracleApps) 7" xfId="3849" xr:uid="{00000000-0005-0000-0000-0000C4090000}"/>
    <cellStyle name="%_QR-Prism-Ph2-WSR-17-Sep10_OS HU Dashboard Apr 2012-macro-08May_2_Business Excellence Dashboard-Aug2012-ERP HU (OracleApps)_BusinessExcellenceDashboard_OCt2012_MS HU-ERased" xfId="624" xr:uid="{00000000-0005-0000-0000-0000C5090000}"/>
    <cellStyle name="%_QR-Prism-Ph2-WSR-17-Sep10_OS HU Dashboard Apr 2012-macro-08May_2_Business Excellence Dashboard-Jul2012-ERP HU (OracleApps)-consolidated" xfId="625" xr:uid="{00000000-0005-0000-0000-0000C6090000}"/>
    <cellStyle name="%_QR-Prism-Ph2-WSR-17-Sep10_OS HU Dashboard Apr 2012-macro-08May_2_Business Excellence Dashboard-Jul2012-ERP HU (OracleApps)-consolidated 2" xfId="9842" xr:uid="{00000000-0005-0000-0000-0000C7090000}"/>
    <cellStyle name="%_QR-Prism-Ph2-WSR-17-Sep10_OS HU Dashboard Apr 2012-macro-08May_2_Business Excellence Dashboard-Jul2012-ERP HU (OracleApps)-consolidated 3" xfId="8644" xr:uid="{00000000-0005-0000-0000-0000C8090000}"/>
    <cellStyle name="%_QR-Prism-Ph2-WSR-17-Sep10_OS HU Dashboard Apr 2012-macro-08May_2_Business Excellence Dashboard-Jul2012-ERP HU (OracleApps)-consolidated 4" xfId="7446" xr:uid="{00000000-0005-0000-0000-0000C9090000}"/>
    <cellStyle name="%_QR-Prism-Ph2-WSR-17-Sep10_OS HU Dashboard Apr 2012-macro-08May_2_Business Excellence Dashboard-Jul2012-ERP HU (OracleApps)-consolidated 5" xfId="6248" xr:uid="{00000000-0005-0000-0000-0000CA090000}"/>
    <cellStyle name="%_QR-Prism-Ph2-WSR-17-Sep10_OS HU Dashboard Apr 2012-macro-08May_2_Business Excellence Dashboard-Jul2012-ERP HU (OracleApps)-consolidated 6" xfId="5049" xr:uid="{00000000-0005-0000-0000-0000CB090000}"/>
    <cellStyle name="%_QR-Prism-Ph2-WSR-17-Sep10_OS HU Dashboard Apr 2012-macro-08May_2_Business Excellence Dashboard-Jul2012-ERP HU (OracleApps)-consolidated 7" xfId="3850" xr:uid="{00000000-0005-0000-0000-0000CC090000}"/>
    <cellStyle name="%_QR-Prism-Ph2-WSR-17-Sep10_OS HU Dashboard Apr 2012-macro-08May_2_Business Excellence Dashboard-Jul2012-ERP HU (OracleApps)-consolidated_BusinessExcellenceDashboard_OCt2012_MS HU-ERased" xfId="626" xr:uid="{00000000-0005-0000-0000-0000CD090000}"/>
    <cellStyle name="%_QR-Prism-Ph2-WSR-17-Sep10_OS HU Dashboard Apr 2012-macro-08May_2_BusinessExcellenceDashboard_OCt2012_MS HU-ERased" xfId="627" xr:uid="{00000000-0005-0000-0000-0000CE090000}"/>
    <cellStyle name="%_QR-Prism-Ph2-WSR-17-Sep10_OS HU Dashboard Apr 2012-macro-08May_2_copydatamacro" xfId="628" xr:uid="{00000000-0005-0000-0000-0000CF090000}"/>
    <cellStyle name="%_QR-Prism-Ph2-WSR-17-Sep10_OS HU Dashboard Apr 2012-macro-08May_2_copydatamacro 2" xfId="9843" xr:uid="{00000000-0005-0000-0000-0000D0090000}"/>
    <cellStyle name="%_QR-Prism-Ph2-WSR-17-Sep10_OS HU Dashboard Apr 2012-macro-08May_2_copydatamacro 3" xfId="8645" xr:uid="{00000000-0005-0000-0000-0000D1090000}"/>
    <cellStyle name="%_QR-Prism-Ph2-WSR-17-Sep10_OS HU Dashboard Apr 2012-macro-08May_2_copydatamacro 4" xfId="7447" xr:uid="{00000000-0005-0000-0000-0000D2090000}"/>
    <cellStyle name="%_QR-Prism-Ph2-WSR-17-Sep10_OS HU Dashboard Apr 2012-macro-08May_2_copydatamacro 5" xfId="6249" xr:uid="{00000000-0005-0000-0000-0000D3090000}"/>
    <cellStyle name="%_QR-Prism-Ph2-WSR-17-Sep10_OS HU Dashboard Apr 2012-macro-08May_2_copydatamacro 6" xfId="5050" xr:uid="{00000000-0005-0000-0000-0000D4090000}"/>
    <cellStyle name="%_QR-Prism-Ph2-WSR-17-Sep10_OS HU Dashboard Apr 2012-macro-08May_2_copydatamacro 7" xfId="3851" xr:uid="{00000000-0005-0000-0000-0000D5090000}"/>
    <cellStyle name="%_QR-Prism-Ph2-WSR-17-Sep10_OS HU Dashboard Apr 2012-macro-08May_2_copydatamacro_BusinessExcellenceDashboard_OCt2012_MS HU-ERased" xfId="629" xr:uid="{00000000-0005-0000-0000-0000D6090000}"/>
    <cellStyle name="%_QR-Prism-Ph2-WSR-17-Sep10_OS HU Dashboard Apr 2012-macro-08May_Business Excellence Dashboard-Aug2012-ERP HU (OracleApps)" xfId="630" xr:uid="{00000000-0005-0000-0000-0000D7090000}"/>
    <cellStyle name="%_QR-Prism-Ph2-WSR-17-Sep10_OS HU Dashboard Apr 2012-macro-08May_Business Excellence Dashboard-Aug2012-ERP HU (OracleApps) 2" xfId="9844" xr:uid="{00000000-0005-0000-0000-0000D8090000}"/>
    <cellStyle name="%_QR-Prism-Ph2-WSR-17-Sep10_OS HU Dashboard Apr 2012-macro-08May_Business Excellence Dashboard-Aug2012-ERP HU (OracleApps) 3" xfId="8646" xr:uid="{00000000-0005-0000-0000-0000D9090000}"/>
    <cellStyle name="%_QR-Prism-Ph2-WSR-17-Sep10_OS HU Dashboard Apr 2012-macro-08May_Business Excellence Dashboard-Aug2012-ERP HU (OracleApps) 4" xfId="7448" xr:uid="{00000000-0005-0000-0000-0000DA090000}"/>
    <cellStyle name="%_QR-Prism-Ph2-WSR-17-Sep10_OS HU Dashboard Apr 2012-macro-08May_Business Excellence Dashboard-Aug2012-ERP HU (OracleApps) 5" xfId="6250" xr:uid="{00000000-0005-0000-0000-0000DB090000}"/>
    <cellStyle name="%_QR-Prism-Ph2-WSR-17-Sep10_OS HU Dashboard Apr 2012-macro-08May_Business Excellence Dashboard-Aug2012-ERP HU (OracleApps) 6" xfId="5051" xr:uid="{00000000-0005-0000-0000-0000DC090000}"/>
    <cellStyle name="%_QR-Prism-Ph2-WSR-17-Sep10_OS HU Dashboard Apr 2012-macro-08May_Business Excellence Dashboard-Aug2012-ERP HU (OracleApps) 7" xfId="3852" xr:uid="{00000000-0005-0000-0000-0000DD090000}"/>
    <cellStyle name="%_QR-Prism-Ph2-WSR-17-Sep10_OS HU Dashboard Apr 2012-macro-08May_Business Excellence Dashboard-Aug2012-ERP HU (OracleApps)_BusinessExcellenceDashboard_OCt2012_MS HU-ERased" xfId="631" xr:uid="{00000000-0005-0000-0000-0000DE090000}"/>
    <cellStyle name="%_QR-Prism-Ph2-WSR-17-Sep10_OS HU Dashboard Apr 2012-macro-08May_Business Excellence Dashboard-Jul2012-ERP HU (OracleApps)-consolidated" xfId="632" xr:uid="{00000000-0005-0000-0000-0000DF090000}"/>
    <cellStyle name="%_QR-Prism-Ph2-WSR-17-Sep10_OS HU Dashboard Apr 2012-macro-08May_Business Excellence Dashboard-Jul2012-ERP HU (OracleApps)-consolidated 2" xfId="9845" xr:uid="{00000000-0005-0000-0000-0000E0090000}"/>
    <cellStyle name="%_QR-Prism-Ph2-WSR-17-Sep10_OS HU Dashboard Apr 2012-macro-08May_Business Excellence Dashboard-Jul2012-ERP HU (OracleApps)-consolidated 3" xfId="8647" xr:uid="{00000000-0005-0000-0000-0000E1090000}"/>
    <cellStyle name="%_QR-Prism-Ph2-WSR-17-Sep10_OS HU Dashboard Apr 2012-macro-08May_Business Excellence Dashboard-Jul2012-ERP HU (OracleApps)-consolidated 4" xfId="7449" xr:uid="{00000000-0005-0000-0000-0000E2090000}"/>
    <cellStyle name="%_QR-Prism-Ph2-WSR-17-Sep10_OS HU Dashboard Apr 2012-macro-08May_Business Excellence Dashboard-Jul2012-ERP HU (OracleApps)-consolidated 5" xfId="6251" xr:uid="{00000000-0005-0000-0000-0000E3090000}"/>
    <cellStyle name="%_QR-Prism-Ph2-WSR-17-Sep10_OS HU Dashboard Apr 2012-macro-08May_Business Excellence Dashboard-Jul2012-ERP HU (OracleApps)-consolidated 6" xfId="5052" xr:uid="{00000000-0005-0000-0000-0000E4090000}"/>
    <cellStyle name="%_QR-Prism-Ph2-WSR-17-Sep10_OS HU Dashboard Apr 2012-macro-08May_Business Excellence Dashboard-Jul2012-ERP HU (OracleApps)-consolidated 7" xfId="3853" xr:uid="{00000000-0005-0000-0000-0000E5090000}"/>
    <cellStyle name="%_QR-Prism-Ph2-WSR-17-Sep10_OS HU Dashboard Apr 2012-macro-08May_Business Excellence Dashboard-Jul2012-ERP HU (OracleApps)-consolidated_BusinessExcellenceDashboard_OCt2012_MS HU-ERased" xfId="633" xr:uid="{00000000-0005-0000-0000-0000E6090000}"/>
    <cellStyle name="%_QR-Prism-Ph2-WSR-17-Sep10_OS HU Dashboard Apr 2012-macro-08May_BusinessExcellenceDashboard_OCt2012_MS HU-ERased" xfId="634" xr:uid="{00000000-0005-0000-0000-0000E7090000}"/>
    <cellStyle name="%_QR-Prism-Ph2-WSR-17-Sep10_OS HU Dashboard Apr 2012-macro-08May_copydatamacro" xfId="635" xr:uid="{00000000-0005-0000-0000-0000E8090000}"/>
    <cellStyle name="%_QR-Prism-Ph2-WSR-17-Sep10_OS HU Dashboard Apr 2012-macro-08May_copydatamacro 2" xfId="9846" xr:uid="{00000000-0005-0000-0000-0000E9090000}"/>
    <cellStyle name="%_QR-Prism-Ph2-WSR-17-Sep10_OS HU Dashboard Apr 2012-macro-08May_copydatamacro 3" xfId="8648" xr:uid="{00000000-0005-0000-0000-0000EA090000}"/>
    <cellStyle name="%_QR-Prism-Ph2-WSR-17-Sep10_OS HU Dashboard Apr 2012-macro-08May_copydatamacro 4" xfId="7450" xr:uid="{00000000-0005-0000-0000-0000EB090000}"/>
    <cellStyle name="%_QR-Prism-Ph2-WSR-17-Sep10_OS HU Dashboard Apr 2012-macro-08May_copydatamacro 5" xfId="6252" xr:uid="{00000000-0005-0000-0000-0000EC090000}"/>
    <cellStyle name="%_QR-Prism-Ph2-WSR-17-Sep10_OS HU Dashboard Apr 2012-macro-08May_copydatamacro 6" xfId="5053" xr:uid="{00000000-0005-0000-0000-0000ED090000}"/>
    <cellStyle name="%_QR-Prism-Ph2-WSR-17-Sep10_OS HU Dashboard Apr 2012-macro-08May_copydatamacro 7" xfId="3854" xr:uid="{00000000-0005-0000-0000-0000EE090000}"/>
    <cellStyle name="%_QR-Prism-Ph2-WSR-17-Sep10_OS HU Dashboard Apr 2012-macro-08May_copydatamacro_BusinessExcellenceDashboard_OCt2012_MS HU-ERased" xfId="636" xr:uid="{00000000-0005-0000-0000-0000EF090000}"/>
    <cellStyle name="%_QR-Prism-Ph2-WSR-24-Sep10" xfId="637" xr:uid="{00000000-0005-0000-0000-0000F0090000}"/>
    <cellStyle name="%_QR-Prism-Ph2-WSR-24-Sep10 2" xfId="9847" xr:uid="{00000000-0005-0000-0000-0000F1090000}"/>
    <cellStyle name="%_QR-Prism-Ph2-WSR-24-Sep10 3" xfId="8649" xr:uid="{00000000-0005-0000-0000-0000F2090000}"/>
    <cellStyle name="%_QR-Prism-Ph2-WSR-24-Sep10 4" xfId="7451" xr:uid="{00000000-0005-0000-0000-0000F3090000}"/>
    <cellStyle name="%_QR-Prism-Ph2-WSR-24-Sep10 5" xfId="6253" xr:uid="{00000000-0005-0000-0000-0000F4090000}"/>
    <cellStyle name="%_QR-Prism-Ph2-WSR-24-Sep10 6" xfId="5054" xr:uid="{00000000-0005-0000-0000-0000F5090000}"/>
    <cellStyle name="%_QR-Prism-Ph2-WSR-24-Sep10 7" xfId="3855" xr:uid="{00000000-0005-0000-0000-0000F6090000}"/>
    <cellStyle name="%_QR-Prism-Ph2-WSR-24-Sep10_2" xfId="638" xr:uid="{00000000-0005-0000-0000-0000F7090000}"/>
    <cellStyle name="%_QR-Prism-Ph2-WSR-24-Sep10_2 2" xfId="9848" xr:uid="{00000000-0005-0000-0000-0000F8090000}"/>
    <cellStyle name="%_QR-Prism-Ph2-WSR-24-Sep10_2 3" xfId="8650" xr:uid="{00000000-0005-0000-0000-0000F9090000}"/>
    <cellStyle name="%_QR-Prism-Ph2-WSR-24-Sep10_2 4" xfId="7452" xr:uid="{00000000-0005-0000-0000-0000FA090000}"/>
    <cellStyle name="%_QR-Prism-Ph2-WSR-24-Sep10_2 5" xfId="6254" xr:uid="{00000000-0005-0000-0000-0000FB090000}"/>
    <cellStyle name="%_QR-Prism-Ph2-WSR-24-Sep10_2 6" xfId="5055" xr:uid="{00000000-0005-0000-0000-0000FC090000}"/>
    <cellStyle name="%_QR-Prism-Ph2-WSR-24-Sep10_2 7" xfId="3856" xr:uid="{00000000-0005-0000-0000-0000FD090000}"/>
    <cellStyle name="%_QR-Prism-Ph2-WSR-24-Sep10_2_1" xfId="639" xr:uid="{00000000-0005-0000-0000-0000FE090000}"/>
    <cellStyle name="%_QR-Prism-Ph2-WSR-24-Sep10_2_1 2" xfId="9849" xr:uid="{00000000-0005-0000-0000-0000FF090000}"/>
    <cellStyle name="%_QR-Prism-Ph2-WSR-24-Sep10_2_1 3" xfId="8651" xr:uid="{00000000-0005-0000-0000-0000000A0000}"/>
    <cellStyle name="%_QR-Prism-Ph2-WSR-24-Sep10_2_1 4" xfId="7453" xr:uid="{00000000-0005-0000-0000-0000010A0000}"/>
    <cellStyle name="%_QR-Prism-Ph2-WSR-24-Sep10_2_1 5" xfId="6255" xr:uid="{00000000-0005-0000-0000-0000020A0000}"/>
    <cellStyle name="%_QR-Prism-Ph2-WSR-24-Sep10_2_1 6" xfId="5056" xr:uid="{00000000-0005-0000-0000-0000030A0000}"/>
    <cellStyle name="%_QR-Prism-Ph2-WSR-24-Sep10_2_1 7" xfId="3857" xr:uid="{00000000-0005-0000-0000-0000040A0000}"/>
    <cellStyle name="%_QR-Prism-Ph2-WSR-24-Sep10_2_1_Business Excellence Dashboard-Aug2012-ERP HU (OracleApps)" xfId="640" xr:uid="{00000000-0005-0000-0000-0000050A0000}"/>
    <cellStyle name="%_QR-Prism-Ph2-WSR-24-Sep10_2_1_Business Excellence Dashboard-Aug2012-ERP HU (OracleApps) 2" xfId="9850" xr:uid="{00000000-0005-0000-0000-0000060A0000}"/>
    <cellStyle name="%_QR-Prism-Ph2-WSR-24-Sep10_2_1_Business Excellence Dashboard-Aug2012-ERP HU (OracleApps) 3" xfId="8652" xr:uid="{00000000-0005-0000-0000-0000070A0000}"/>
    <cellStyle name="%_QR-Prism-Ph2-WSR-24-Sep10_2_1_Business Excellence Dashboard-Aug2012-ERP HU (OracleApps) 4" xfId="7454" xr:uid="{00000000-0005-0000-0000-0000080A0000}"/>
    <cellStyle name="%_QR-Prism-Ph2-WSR-24-Sep10_2_1_Business Excellence Dashboard-Aug2012-ERP HU (OracleApps) 5" xfId="6256" xr:uid="{00000000-0005-0000-0000-0000090A0000}"/>
    <cellStyle name="%_QR-Prism-Ph2-WSR-24-Sep10_2_1_Business Excellence Dashboard-Aug2012-ERP HU (OracleApps) 6" xfId="5057" xr:uid="{00000000-0005-0000-0000-00000A0A0000}"/>
    <cellStyle name="%_QR-Prism-Ph2-WSR-24-Sep10_2_1_Business Excellence Dashboard-Aug2012-ERP HU (OracleApps) 7" xfId="3858" xr:uid="{00000000-0005-0000-0000-00000B0A0000}"/>
    <cellStyle name="%_QR-Prism-Ph2-WSR-24-Sep10_2_1_Business Excellence Dashboard-Aug2012-ERP HU (OracleApps)_BusinessExcellenceDashboard_OCt2012_MS HU-ERased" xfId="641" xr:uid="{00000000-0005-0000-0000-00000C0A0000}"/>
    <cellStyle name="%_QR-Prism-Ph2-WSR-24-Sep10_2_1_BusinessExcellenceDashboard_OCt2012_MS HU-ERased" xfId="642" xr:uid="{00000000-0005-0000-0000-00000D0A0000}"/>
    <cellStyle name="%_QR-Prism-Ph2-WSR-24-Sep10_2_2" xfId="643" xr:uid="{00000000-0005-0000-0000-00000E0A0000}"/>
    <cellStyle name="%_QR-Prism-Ph2-WSR-24-Sep10_2_2 2" xfId="9851" xr:uid="{00000000-0005-0000-0000-00000F0A0000}"/>
    <cellStyle name="%_QR-Prism-Ph2-WSR-24-Sep10_2_2 3" xfId="8653" xr:uid="{00000000-0005-0000-0000-0000100A0000}"/>
    <cellStyle name="%_QR-Prism-Ph2-WSR-24-Sep10_2_2 4" xfId="7455" xr:uid="{00000000-0005-0000-0000-0000110A0000}"/>
    <cellStyle name="%_QR-Prism-Ph2-WSR-24-Sep10_2_2 5" xfId="6257" xr:uid="{00000000-0005-0000-0000-0000120A0000}"/>
    <cellStyle name="%_QR-Prism-Ph2-WSR-24-Sep10_2_2 6" xfId="5058" xr:uid="{00000000-0005-0000-0000-0000130A0000}"/>
    <cellStyle name="%_QR-Prism-Ph2-WSR-24-Sep10_2_2 7" xfId="3859" xr:uid="{00000000-0005-0000-0000-0000140A0000}"/>
    <cellStyle name="%_QR-Prism-Ph2-WSR-24-Sep10_2_2_BusinessExcellenceDashboard_OCt2012_MS HU-ERased" xfId="644" xr:uid="{00000000-0005-0000-0000-0000150A0000}"/>
    <cellStyle name="%_QR-Prism-Ph2-WSR-24-Sep10_2_Business Excellence Dashboard-Aug2012-ERP HU (OracleApps)" xfId="645" xr:uid="{00000000-0005-0000-0000-0000160A0000}"/>
    <cellStyle name="%_QR-Prism-Ph2-WSR-24-Sep10_2_Business Excellence Dashboard-Aug2012-ERP HU (OracleApps) 2" xfId="9852" xr:uid="{00000000-0005-0000-0000-0000170A0000}"/>
    <cellStyle name="%_QR-Prism-Ph2-WSR-24-Sep10_2_Business Excellence Dashboard-Aug2012-ERP HU (OracleApps) 3" xfId="8654" xr:uid="{00000000-0005-0000-0000-0000180A0000}"/>
    <cellStyle name="%_QR-Prism-Ph2-WSR-24-Sep10_2_Business Excellence Dashboard-Aug2012-ERP HU (OracleApps) 4" xfId="7456" xr:uid="{00000000-0005-0000-0000-0000190A0000}"/>
    <cellStyle name="%_QR-Prism-Ph2-WSR-24-Sep10_2_Business Excellence Dashboard-Aug2012-ERP HU (OracleApps) 5" xfId="6258" xr:uid="{00000000-0005-0000-0000-00001A0A0000}"/>
    <cellStyle name="%_QR-Prism-Ph2-WSR-24-Sep10_2_Business Excellence Dashboard-Aug2012-ERP HU (OracleApps) 6" xfId="5059" xr:uid="{00000000-0005-0000-0000-00001B0A0000}"/>
    <cellStyle name="%_QR-Prism-Ph2-WSR-24-Sep10_2_Business Excellence Dashboard-Aug2012-ERP HU (OracleApps) 7" xfId="3860" xr:uid="{00000000-0005-0000-0000-00001C0A0000}"/>
    <cellStyle name="%_QR-Prism-Ph2-WSR-24-Sep10_2_Business Excellence Dashboard-Aug2012-ERP HU (OracleApps)_BusinessExcellenceDashboard_OCt2012_MS HU-ERased" xfId="646" xr:uid="{00000000-0005-0000-0000-00001D0A0000}"/>
    <cellStyle name="%_QR-Prism-Ph2-WSR-24-Sep10_2_Business Excellence Dashboard-Jul2012-ERP HU (OracleApps)-consolidated" xfId="647" xr:uid="{00000000-0005-0000-0000-00001E0A0000}"/>
    <cellStyle name="%_QR-Prism-Ph2-WSR-24-Sep10_2_Business Excellence Dashboard-Jul2012-ERP HU (OracleApps)-consolidated 2" xfId="9853" xr:uid="{00000000-0005-0000-0000-00001F0A0000}"/>
    <cellStyle name="%_QR-Prism-Ph2-WSR-24-Sep10_2_Business Excellence Dashboard-Jul2012-ERP HU (OracleApps)-consolidated 3" xfId="8655" xr:uid="{00000000-0005-0000-0000-0000200A0000}"/>
    <cellStyle name="%_QR-Prism-Ph2-WSR-24-Sep10_2_Business Excellence Dashboard-Jul2012-ERP HU (OracleApps)-consolidated 4" xfId="7457" xr:uid="{00000000-0005-0000-0000-0000210A0000}"/>
    <cellStyle name="%_QR-Prism-Ph2-WSR-24-Sep10_2_Business Excellence Dashboard-Jul2012-ERP HU (OracleApps)-consolidated 5" xfId="6259" xr:uid="{00000000-0005-0000-0000-0000220A0000}"/>
    <cellStyle name="%_QR-Prism-Ph2-WSR-24-Sep10_2_Business Excellence Dashboard-Jul2012-ERP HU (OracleApps)-consolidated 6" xfId="5060" xr:uid="{00000000-0005-0000-0000-0000230A0000}"/>
    <cellStyle name="%_QR-Prism-Ph2-WSR-24-Sep10_2_Business Excellence Dashboard-Jul2012-ERP HU (OracleApps)-consolidated 7" xfId="3861" xr:uid="{00000000-0005-0000-0000-0000240A0000}"/>
    <cellStyle name="%_QR-Prism-Ph2-WSR-24-Sep10_2_Business Excellence Dashboard-Jul2012-ERP HU (OracleApps)-consolidated_BusinessExcellenceDashboard_OCt2012_MS HU-ERased" xfId="648" xr:uid="{00000000-0005-0000-0000-0000250A0000}"/>
    <cellStyle name="%_QR-Prism-Ph2-WSR-24-Sep10_2_BusinessExcellenceDashboard_OCt2012_MS HU-ERased" xfId="649" xr:uid="{00000000-0005-0000-0000-0000260A0000}"/>
    <cellStyle name="%_QR-Prism-Ph2-WSR-24-Sep10_2_copydatamacro" xfId="650" xr:uid="{00000000-0005-0000-0000-0000270A0000}"/>
    <cellStyle name="%_QR-Prism-Ph2-WSR-24-Sep10_2_copydatamacro 2" xfId="9854" xr:uid="{00000000-0005-0000-0000-0000280A0000}"/>
    <cellStyle name="%_QR-Prism-Ph2-WSR-24-Sep10_2_copydatamacro 3" xfId="8656" xr:uid="{00000000-0005-0000-0000-0000290A0000}"/>
    <cellStyle name="%_QR-Prism-Ph2-WSR-24-Sep10_2_copydatamacro 4" xfId="7458" xr:uid="{00000000-0005-0000-0000-00002A0A0000}"/>
    <cellStyle name="%_QR-Prism-Ph2-WSR-24-Sep10_2_copydatamacro 5" xfId="6260" xr:uid="{00000000-0005-0000-0000-00002B0A0000}"/>
    <cellStyle name="%_QR-Prism-Ph2-WSR-24-Sep10_2_copydatamacro 6" xfId="5061" xr:uid="{00000000-0005-0000-0000-00002C0A0000}"/>
    <cellStyle name="%_QR-Prism-Ph2-WSR-24-Sep10_2_copydatamacro 7" xfId="3862" xr:uid="{00000000-0005-0000-0000-00002D0A0000}"/>
    <cellStyle name="%_QR-Prism-Ph2-WSR-24-Sep10_2_copydatamacro_BusinessExcellenceDashboard_OCt2012_MS HU-ERased" xfId="651" xr:uid="{00000000-0005-0000-0000-00002E0A0000}"/>
    <cellStyle name="%_QR-Prism-Ph2-WSR-24-Sep10_Book1" xfId="652" xr:uid="{00000000-0005-0000-0000-00002F0A0000}"/>
    <cellStyle name="%_QR-Prism-Ph2-WSR-24-Sep10_Book1 2" xfId="9855" xr:uid="{00000000-0005-0000-0000-0000300A0000}"/>
    <cellStyle name="%_QR-Prism-Ph2-WSR-24-Sep10_Book1 3" xfId="8657" xr:uid="{00000000-0005-0000-0000-0000310A0000}"/>
    <cellStyle name="%_QR-Prism-Ph2-WSR-24-Sep10_Book1 4" xfId="7459" xr:uid="{00000000-0005-0000-0000-0000320A0000}"/>
    <cellStyle name="%_QR-Prism-Ph2-WSR-24-Sep10_Book1 5" xfId="6261" xr:uid="{00000000-0005-0000-0000-0000330A0000}"/>
    <cellStyle name="%_QR-Prism-Ph2-WSR-24-Sep10_Book1 6" xfId="5062" xr:uid="{00000000-0005-0000-0000-0000340A0000}"/>
    <cellStyle name="%_QR-Prism-Ph2-WSR-24-Sep10_Book1 7" xfId="3863" xr:uid="{00000000-0005-0000-0000-0000350A0000}"/>
    <cellStyle name="%_QR-Prism-Ph2-WSR-24-Sep10_Book1_Business Excellence Dashboard-Aug2012-ERP HU (OracleApps)" xfId="653" xr:uid="{00000000-0005-0000-0000-0000360A0000}"/>
    <cellStyle name="%_QR-Prism-Ph2-WSR-24-Sep10_Book1_Business Excellence Dashboard-Aug2012-ERP HU (OracleApps) 2" xfId="9856" xr:uid="{00000000-0005-0000-0000-0000370A0000}"/>
    <cellStyle name="%_QR-Prism-Ph2-WSR-24-Sep10_Book1_Business Excellence Dashboard-Aug2012-ERP HU (OracleApps) 3" xfId="8658" xr:uid="{00000000-0005-0000-0000-0000380A0000}"/>
    <cellStyle name="%_QR-Prism-Ph2-WSR-24-Sep10_Book1_Business Excellence Dashboard-Aug2012-ERP HU (OracleApps) 4" xfId="7460" xr:uid="{00000000-0005-0000-0000-0000390A0000}"/>
    <cellStyle name="%_QR-Prism-Ph2-WSR-24-Sep10_Book1_Business Excellence Dashboard-Aug2012-ERP HU (OracleApps) 5" xfId="6262" xr:uid="{00000000-0005-0000-0000-00003A0A0000}"/>
    <cellStyle name="%_QR-Prism-Ph2-WSR-24-Sep10_Book1_Business Excellence Dashboard-Aug2012-ERP HU (OracleApps) 6" xfId="5063" xr:uid="{00000000-0005-0000-0000-00003B0A0000}"/>
    <cellStyle name="%_QR-Prism-Ph2-WSR-24-Sep10_Book1_Business Excellence Dashboard-Aug2012-ERP HU (OracleApps) 7" xfId="3864" xr:uid="{00000000-0005-0000-0000-00003C0A0000}"/>
    <cellStyle name="%_QR-Prism-Ph2-WSR-24-Sep10_Book1_Business Excellence Dashboard-Aug2012-ERP HU (OracleApps)_BusinessExcellenceDashboard_OCt2012_MS HU-ERased" xfId="654" xr:uid="{00000000-0005-0000-0000-00003D0A0000}"/>
    <cellStyle name="%_QR-Prism-Ph2-WSR-24-Sep10_Book1_Business Excellence Dashboard-Jul2012-ERP HU (OracleApps)-consolidated" xfId="655" xr:uid="{00000000-0005-0000-0000-00003E0A0000}"/>
    <cellStyle name="%_QR-Prism-Ph2-WSR-24-Sep10_Book1_Business Excellence Dashboard-Jul2012-ERP HU (OracleApps)-consolidated 2" xfId="9857" xr:uid="{00000000-0005-0000-0000-00003F0A0000}"/>
    <cellStyle name="%_QR-Prism-Ph2-WSR-24-Sep10_Book1_Business Excellence Dashboard-Jul2012-ERP HU (OracleApps)-consolidated 3" xfId="8659" xr:uid="{00000000-0005-0000-0000-0000400A0000}"/>
    <cellStyle name="%_QR-Prism-Ph2-WSR-24-Sep10_Book1_Business Excellence Dashboard-Jul2012-ERP HU (OracleApps)-consolidated 4" xfId="7461" xr:uid="{00000000-0005-0000-0000-0000410A0000}"/>
    <cellStyle name="%_QR-Prism-Ph2-WSR-24-Sep10_Book1_Business Excellence Dashboard-Jul2012-ERP HU (OracleApps)-consolidated 5" xfId="6263" xr:uid="{00000000-0005-0000-0000-0000420A0000}"/>
    <cellStyle name="%_QR-Prism-Ph2-WSR-24-Sep10_Book1_Business Excellence Dashboard-Jul2012-ERP HU (OracleApps)-consolidated 6" xfId="5064" xr:uid="{00000000-0005-0000-0000-0000430A0000}"/>
    <cellStyle name="%_QR-Prism-Ph2-WSR-24-Sep10_Book1_Business Excellence Dashboard-Jul2012-ERP HU (OracleApps)-consolidated 7" xfId="3865" xr:uid="{00000000-0005-0000-0000-0000440A0000}"/>
    <cellStyle name="%_QR-Prism-Ph2-WSR-24-Sep10_Book1_Business Excellence Dashboard-Jul2012-ERP HU (OracleApps)-consolidated_BusinessExcellenceDashboard_OCt2012_MS HU-ERased" xfId="656" xr:uid="{00000000-0005-0000-0000-0000450A0000}"/>
    <cellStyle name="%_QR-Prism-Ph2-WSR-24-Sep10_Book1_BusinessExcellenceDashboard_OCt2012_MS HU-ERased" xfId="657" xr:uid="{00000000-0005-0000-0000-0000460A0000}"/>
    <cellStyle name="%_QR-Prism-Ph2-WSR-24-Sep10_Book1_copydatamacro" xfId="658" xr:uid="{00000000-0005-0000-0000-0000470A0000}"/>
    <cellStyle name="%_QR-Prism-Ph2-WSR-24-Sep10_Book1_copydatamacro 2" xfId="9858" xr:uid="{00000000-0005-0000-0000-0000480A0000}"/>
    <cellStyle name="%_QR-Prism-Ph2-WSR-24-Sep10_Book1_copydatamacro 3" xfId="8660" xr:uid="{00000000-0005-0000-0000-0000490A0000}"/>
    <cellStyle name="%_QR-Prism-Ph2-WSR-24-Sep10_Book1_copydatamacro 4" xfId="7462" xr:uid="{00000000-0005-0000-0000-00004A0A0000}"/>
    <cellStyle name="%_QR-Prism-Ph2-WSR-24-Sep10_Book1_copydatamacro 5" xfId="6264" xr:uid="{00000000-0005-0000-0000-00004B0A0000}"/>
    <cellStyle name="%_QR-Prism-Ph2-WSR-24-Sep10_Book1_copydatamacro 6" xfId="5065" xr:uid="{00000000-0005-0000-0000-00004C0A0000}"/>
    <cellStyle name="%_QR-Prism-Ph2-WSR-24-Sep10_Book1_copydatamacro 7" xfId="3866" xr:uid="{00000000-0005-0000-0000-00004D0A0000}"/>
    <cellStyle name="%_QR-Prism-Ph2-WSR-24-Sep10_Book1_copydatamacro_BusinessExcellenceDashboard_OCt2012_MS HU-ERased" xfId="659" xr:uid="{00000000-0005-0000-0000-00004E0A0000}"/>
    <cellStyle name="%_QR-Prism-Ph2-WSR-24-Sep10_Business Excellence Dashboard-Aug2012-ERP HU (OracleApps)" xfId="660" xr:uid="{00000000-0005-0000-0000-00004F0A0000}"/>
    <cellStyle name="%_QR-Prism-Ph2-WSR-24-Sep10_Business Excellence Dashboard-Aug2012-ERP HU (OracleApps) 2" xfId="9859" xr:uid="{00000000-0005-0000-0000-0000500A0000}"/>
    <cellStyle name="%_QR-Prism-Ph2-WSR-24-Sep10_Business Excellence Dashboard-Aug2012-ERP HU (OracleApps) 3" xfId="8661" xr:uid="{00000000-0005-0000-0000-0000510A0000}"/>
    <cellStyle name="%_QR-Prism-Ph2-WSR-24-Sep10_Business Excellence Dashboard-Aug2012-ERP HU (OracleApps) 4" xfId="7463" xr:uid="{00000000-0005-0000-0000-0000520A0000}"/>
    <cellStyle name="%_QR-Prism-Ph2-WSR-24-Sep10_Business Excellence Dashboard-Aug2012-ERP HU (OracleApps) 5" xfId="6265" xr:uid="{00000000-0005-0000-0000-0000530A0000}"/>
    <cellStyle name="%_QR-Prism-Ph2-WSR-24-Sep10_Business Excellence Dashboard-Aug2012-ERP HU (OracleApps) 6" xfId="5066" xr:uid="{00000000-0005-0000-0000-0000540A0000}"/>
    <cellStyle name="%_QR-Prism-Ph2-WSR-24-Sep10_Business Excellence Dashboard-Aug2012-ERP HU (OracleApps) 7" xfId="3867" xr:uid="{00000000-0005-0000-0000-0000550A0000}"/>
    <cellStyle name="%_QR-Prism-Ph2-WSR-24-Sep10_Business Excellence Dashboard-Aug2012-ERP HU (OracleApps)_BusinessExcellenceDashboard_OCt2012_MS HU-ERased" xfId="661" xr:uid="{00000000-0005-0000-0000-0000560A0000}"/>
    <cellStyle name="%_QR-Prism-Ph2-WSR-24-Sep10_Business Excellence Dashboard-Jul2012-ERP HU (OracleApps)-consolidated" xfId="662" xr:uid="{00000000-0005-0000-0000-0000570A0000}"/>
    <cellStyle name="%_QR-Prism-Ph2-WSR-24-Sep10_Business Excellence Dashboard-Jul2012-ERP HU (OracleApps)-consolidated 2" xfId="9860" xr:uid="{00000000-0005-0000-0000-0000580A0000}"/>
    <cellStyle name="%_QR-Prism-Ph2-WSR-24-Sep10_Business Excellence Dashboard-Jul2012-ERP HU (OracleApps)-consolidated 3" xfId="8662" xr:uid="{00000000-0005-0000-0000-0000590A0000}"/>
    <cellStyle name="%_QR-Prism-Ph2-WSR-24-Sep10_Business Excellence Dashboard-Jul2012-ERP HU (OracleApps)-consolidated 4" xfId="7464" xr:uid="{00000000-0005-0000-0000-00005A0A0000}"/>
    <cellStyle name="%_QR-Prism-Ph2-WSR-24-Sep10_Business Excellence Dashboard-Jul2012-ERP HU (OracleApps)-consolidated 5" xfId="6266" xr:uid="{00000000-0005-0000-0000-00005B0A0000}"/>
    <cellStyle name="%_QR-Prism-Ph2-WSR-24-Sep10_Business Excellence Dashboard-Jul2012-ERP HU (OracleApps)-consolidated 6" xfId="5067" xr:uid="{00000000-0005-0000-0000-00005C0A0000}"/>
    <cellStyle name="%_QR-Prism-Ph2-WSR-24-Sep10_Business Excellence Dashboard-Jul2012-ERP HU (OracleApps)-consolidated 7" xfId="3868" xr:uid="{00000000-0005-0000-0000-00005D0A0000}"/>
    <cellStyle name="%_QR-Prism-Ph2-WSR-24-Sep10_Business Excellence Dashboard-Jul2012-ERP HU (OracleApps)-consolidated_BusinessExcellenceDashboard_OCt2012_MS HU-ERased" xfId="663" xr:uid="{00000000-0005-0000-0000-00005E0A0000}"/>
    <cellStyle name="%_QR-Prism-Ph2-WSR-24-Sep10_BusinessExcellenceDashboard_OCt2012_MS HU-ERased" xfId="664" xr:uid="{00000000-0005-0000-0000-00005F0A0000}"/>
    <cellStyle name="%_QR-Prism-Ph2-WSR-24-Sep10_copydatamacro" xfId="665" xr:uid="{00000000-0005-0000-0000-0000600A0000}"/>
    <cellStyle name="%_QR-Prism-Ph2-WSR-24-Sep10_copydatamacro 2" xfId="9861" xr:uid="{00000000-0005-0000-0000-0000610A0000}"/>
    <cellStyle name="%_QR-Prism-Ph2-WSR-24-Sep10_copydatamacro 3" xfId="8663" xr:uid="{00000000-0005-0000-0000-0000620A0000}"/>
    <cellStyle name="%_QR-Prism-Ph2-WSR-24-Sep10_copydatamacro 4" xfId="7465" xr:uid="{00000000-0005-0000-0000-0000630A0000}"/>
    <cellStyle name="%_QR-Prism-Ph2-WSR-24-Sep10_copydatamacro 5" xfId="6267" xr:uid="{00000000-0005-0000-0000-0000640A0000}"/>
    <cellStyle name="%_QR-Prism-Ph2-WSR-24-Sep10_copydatamacro 6" xfId="5068" xr:uid="{00000000-0005-0000-0000-0000650A0000}"/>
    <cellStyle name="%_QR-Prism-Ph2-WSR-24-Sep10_copydatamacro 7" xfId="3869" xr:uid="{00000000-0005-0000-0000-0000660A0000}"/>
    <cellStyle name="%_QR-Prism-Ph2-WSR-24-Sep10_copydatamacro_BusinessExcellenceDashboard_OCt2012_MS HU-ERased" xfId="666" xr:uid="{00000000-0005-0000-0000-0000670A0000}"/>
    <cellStyle name="%_QR-Prism-Ph2-WSR-24-Sep10_HU Risk dashboard_Apr2012-1-macro" xfId="667" xr:uid="{00000000-0005-0000-0000-0000680A0000}"/>
    <cellStyle name="%_QR-Prism-Ph2-WSR-24-Sep10_HU Risk dashboard_Apr2012-1-macro 2" xfId="9862" xr:uid="{00000000-0005-0000-0000-0000690A0000}"/>
    <cellStyle name="%_QR-Prism-Ph2-WSR-24-Sep10_HU Risk dashboard_Apr2012-1-macro 3" xfId="8664" xr:uid="{00000000-0005-0000-0000-00006A0A0000}"/>
    <cellStyle name="%_QR-Prism-Ph2-WSR-24-Sep10_HU Risk dashboard_Apr2012-1-macro 4" xfId="7466" xr:uid="{00000000-0005-0000-0000-00006B0A0000}"/>
    <cellStyle name="%_QR-Prism-Ph2-WSR-24-Sep10_HU Risk dashboard_Apr2012-1-macro 5" xfId="6268" xr:uid="{00000000-0005-0000-0000-00006C0A0000}"/>
    <cellStyle name="%_QR-Prism-Ph2-WSR-24-Sep10_HU Risk dashboard_Apr2012-1-macro 6" xfId="5069" xr:uid="{00000000-0005-0000-0000-00006D0A0000}"/>
    <cellStyle name="%_QR-Prism-Ph2-WSR-24-Sep10_HU Risk dashboard_Apr2012-1-macro 7" xfId="3870" xr:uid="{00000000-0005-0000-0000-00006E0A0000}"/>
    <cellStyle name="%_QR-Prism-Ph2-WSR-24-Sep10_HU Risk dashboard_Apr2012-1-macro_2" xfId="668" xr:uid="{00000000-0005-0000-0000-00006F0A0000}"/>
    <cellStyle name="%_QR-Prism-Ph2-WSR-24-Sep10_HU Risk dashboard_Apr2012-1-macro_2 2" xfId="9863" xr:uid="{00000000-0005-0000-0000-0000700A0000}"/>
    <cellStyle name="%_QR-Prism-Ph2-WSR-24-Sep10_HU Risk dashboard_Apr2012-1-macro_2 3" xfId="8665" xr:uid="{00000000-0005-0000-0000-0000710A0000}"/>
    <cellStyle name="%_QR-Prism-Ph2-WSR-24-Sep10_HU Risk dashboard_Apr2012-1-macro_2 4" xfId="7467" xr:uid="{00000000-0005-0000-0000-0000720A0000}"/>
    <cellStyle name="%_QR-Prism-Ph2-WSR-24-Sep10_HU Risk dashboard_Apr2012-1-macro_2 5" xfId="6269" xr:uid="{00000000-0005-0000-0000-0000730A0000}"/>
    <cellStyle name="%_QR-Prism-Ph2-WSR-24-Sep10_HU Risk dashboard_Apr2012-1-macro_2 6" xfId="5070" xr:uid="{00000000-0005-0000-0000-0000740A0000}"/>
    <cellStyle name="%_QR-Prism-Ph2-WSR-24-Sep10_HU Risk dashboard_Apr2012-1-macro_2 7" xfId="3871" xr:uid="{00000000-0005-0000-0000-0000750A0000}"/>
    <cellStyle name="%_QR-Prism-Ph2-WSR-24-Sep10_HU Risk dashboard_Apr2012-1-macro_2_1" xfId="669" xr:uid="{00000000-0005-0000-0000-0000760A0000}"/>
    <cellStyle name="%_QR-Prism-Ph2-WSR-24-Sep10_HU Risk dashboard_Apr2012-1-macro_2_1 2" xfId="9864" xr:uid="{00000000-0005-0000-0000-0000770A0000}"/>
    <cellStyle name="%_QR-Prism-Ph2-WSR-24-Sep10_HU Risk dashboard_Apr2012-1-macro_2_1 3" xfId="8666" xr:uid="{00000000-0005-0000-0000-0000780A0000}"/>
    <cellStyle name="%_QR-Prism-Ph2-WSR-24-Sep10_HU Risk dashboard_Apr2012-1-macro_2_1 4" xfId="7468" xr:uid="{00000000-0005-0000-0000-0000790A0000}"/>
    <cellStyle name="%_QR-Prism-Ph2-WSR-24-Sep10_HU Risk dashboard_Apr2012-1-macro_2_1 5" xfId="6270" xr:uid="{00000000-0005-0000-0000-00007A0A0000}"/>
    <cellStyle name="%_QR-Prism-Ph2-WSR-24-Sep10_HU Risk dashboard_Apr2012-1-macro_2_1 6" xfId="5071" xr:uid="{00000000-0005-0000-0000-00007B0A0000}"/>
    <cellStyle name="%_QR-Prism-Ph2-WSR-24-Sep10_HU Risk dashboard_Apr2012-1-macro_2_1 7" xfId="3872" xr:uid="{00000000-0005-0000-0000-00007C0A0000}"/>
    <cellStyle name="%_QR-Prism-Ph2-WSR-24-Sep10_HU Risk dashboard_Apr2012-1-macro_2_1_Business Excellence Dashboard-Aug2012-ERP HU (OracleApps)" xfId="670" xr:uid="{00000000-0005-0000-0000-00007D0A0000}"/>
    <cellStyle name="%_QR-Prism-Ph2-WSR-24-Sep10_HU Risk dashboard_Apr2012-1-macro_2_1_Business Excellence Dashboard-Aug2012-ERP HU (OracleApps) 2" xfId="9865" xr:uid="{00000000-0005-0000-0000-00007E0A0000}"/>
    <cellStyle name="%_QR-Prism-Ph2-WSR-24-Sep10_HU Risk dashboard_Apr2012-1-macro_2_1_Business Excellence Dashboard-Aug2012-ERP HU (OracleApps) 3" xfId="8667" xr:uid="{00000000-0005-0000-0000-00007F0A0000}"/>
    <cellStyle name="%_QR-Prism-Ph2-WSR-24-Sep10_HU Risk dashboard_Apr2012-1-macro_2_1_Business Excellence Dashboard-Aug2012-ERP HU (OracleApps) 4" xfId="7469" xr:uid="{00000000-0005-0000-0000-0000800A0000}"/>
    <cellStyle name="%_QR-Prism-Ph2-WSR-24-Sep10_HU Risk dashboard_Apr2012-1-macro_2_1_Business Excellence Dashboard-Aug2012-ERP HU (OracleApps) 5" xfId="6271" xr:uid="{00000000-0005-0000-0000-0000810A0000}"/>
    <cellStyle name="%_QR-Prism-Ph2-WSR-24-Sep10_HU Risk dashboard_Apr2012-1-macro_2_1_Business Excellence Dashboard-Aug2012-ERP HU (OracleApps) 6" xfId="5072" xr:uid="{00000000-0005-0000-0000-0000820A0000}"/>
    <cellStyle name="%_QR-Prism-Ph2-WSR-24-Sep10_HU Risk dashboard_Apr2012-1-macro_2_1_Business Excellence Dashboard-Aug2012-ERP HU (OracleApps) 7" xfId="3873" xr:uid="{00000000-0005-0000-0000-0000830A0000}"/>
    <cellStyle name="%_QR-Prism-Ph2-WSR-24-Sep10_HU Risk dashboard_Apr2012-1-macro_2_1_Business Excellence Dashboard-Aug2012-ERP HU (OracleApps)_BusinessExcellenceDashboard_OCt2012_MS HU-ERased" xfId="671" xr:uid="{00000000-0005-0000-0000-0000840A0000}"/>
    <cellStyle name="%_QR-Prism-Ph2-WSR-24-Sep10_HU Risk dashboard_Apr2012-1-macro_2_1_BusinessExcellenceDashboard_OCt2012_MS HU-ERased" xfId="672" xr:uid="{00000000-0005-0000-0000-0000850A0000}"/>
    <cellStyle name="%_QR-Prism-Ph2-WSR-24-Sep10_HU Risk dashboard_Apr2012-1-macro_2_2" xfId="673" xr:uid="{00000000-0005-0000-0000-0000860A0000}"/>
    <cellStyle name="%_QR-Prism-Ph2-WSR-24-Sep10_HU Risk dashboard_Apr2012-1-macro_2_2 2" xfId="9866" xr:uid="{00000000-0005-0000-0000-0000870A0000}"/>
    <cellStyle name="%_QR-Prism-Ph2-WSR-24-Sep10_HU Risk dashboard_Apr2012-1-macro_2_2 3" xfId="8668" xr:uid="{00000000-0005-0000-0000-0000880A0000}"/>
    <cellStyle name="%_QR-Prism-Ph2-WSR-24-Sep10_HU Risk dashboard_Apr2012-1-macro_2_2 4" xfId="7470" xr:uid="{00000000-0005-0000-0000-0000890A0000}"/>
    <cellStyle name="%_QR-Prism-Ph2-WSR-24-Sep10_HU Risk dashboard_Apr2012-1-macro_2_2 5" xfId="6272" xr:uid="{00000000-0005-0000-0000-00008A0A0000}"/>
    <cellStyle name="%_QR-Prism-Ph2-WSR-24-Sep10_HU Risk dashboard_Apr2012-1-macro_2_2 6" xfId="5073" xr:uid="{00000000-0005-0000-0000-00008B0A0000}"/>
    <cellStyle name="%_QR-Prism-Ph2-WSR-24-Sep10_HU Risk dashboard_Apr2012-1-macro_2_2 7" xfId="3874" xr:uid="{00000000-0005-0000-0000-00008C0A0000}"/>
    <cellStyle name="%_QR-Prism-Ph2-WSR-24-Sep10_HU Risk dashboard_Apr2012-1-macro_2_2_BusinessExcellenceDashboard_OCt2012_MS HU-ERased" xfId="674" xr:uid="{00000000-0005-0000-0000-00008D0A0000}"/>
    <cellStyle name="%_QR-Prism-Ph2-WSR-24-Sep10_HU Risk dashboard_Apr2012-1-macro_2_Business Excellence Dashboard-Aug2012-ERP HU (OracleApps)" xfId="675" xr:uid="{00000000-0005-0000-0000-00008E0A0000}"/>
    <cellStyle name="%_QR-Prism-Ph2-WSR-24-Sep10_HU Risk dashboard_Apr2012-1-macro_2_Business Excellence Dashboard-Aug2012-ERP HU (OracleApps) 2" xfId="9867" xr:uid="{00000000-0005-0000-0000-00008F0A0000}"/>
    <cellStyle name="%_QR-Prism-Ph2-WSR-24-Sep10_HU Risk dashboard_Apr2012-1-macro_2_Business Excellence Dashboard-Aug2012-ERP HU (OracleApps) 3" xfId="8669" xr:uid="{00000000-0005-0000-0000-0000900A0000}"/>
    <cellStyle name="%_QR-Prism-Ph2-WSR-24-Sep10_HU Risk dashboard_Apr2012-1-macro_2_Business Excellence Dashboard-Aug2012-ERP HU (OracleApps) 4" xfId="7471" xr:uid="{00000000-0005-0000-0000-0000910A0000}"/>
    <cellStyle name="%_QR-Prism-Ph2-WSR-24-Sep10_HU Risk dashboard_Apr2012-1-macro_2_Business Excellence Dashboard-Aug2012-ERP HU (OracleApps) 5" xfId="6273" xr:uid="{00000000-0005-0000-0000-0000920A0000}"/>
    <cellStyle name="%_QR-Prism-Ph2-WSR-24-Sep10_HU Risk dashboard_Apr2012-1-macro_2_Business Excellence Dashboard-Aug2012-ERP HU (OracleApps) 6" xfId="5074" xr:uid="{00000000-0005-0000-0000-0000930A0000}"/>
    <cellStyle name="%_QR-Prism-Ph2-WSR-24-Sep10_HU Risk dashboard_Apr2012-1-macro_2_Business Excellence Dashboard-Aug2012-ERP HU (OracleApps) 7" xfId="3875" xr:uid="{00000000-0005-0000-0000-0000940A0000}"/>
    <cellStyle name="%_QR-Prism-Ph2-WSR-24-Sep10_HU Risk dashboard_Apr2012-1-macro_2_Business Excellence Dashboard-Aug2012-ERP HU (OracleApps)_BusinessExcellenceDashboard_OCt2012_MS HU-ERased" xfId="676" xr:uid="{00000000-0005-0000-0000-0000950A0000}"/>
    <cellStyle name="%_QR-Prism-Ph2-WSR-24-Sep10_HU Risk dashboard_Apr2012-1-macro_2_Business Excellence Dashboard-Jul2012-ERP HU (OracleApps)-consolidated" xfId="677" xr:uid="{00000000-0005-0000-0000-0000960A0000}"/>
    <cellStyle name="%_QR-Prism-Ph2-WSR-24-Sep10_HU Risk dashboard_Apr2012-1-macro_2_Business Excellence Dashboard-Jul2012-ERP HU (OracleApps)-consolidated 2" xfId="9868" xr:uid="{00000000-0005-0000-0000-0000970A0000}"/>
    <cellStyle name="%_QR-Prism-Ph2-WSR-24-Sep10_HU Risk dashboard_Apr2012-1-macro_2_Business Excellence Dashboard-Jul2012-ERP HU (OracleApps)-consolidated 3" xfId="8670" xr:uid="{00000000-0005-0000-0000-0000980A0000}"/>
    <cellStyle name="%_QR-Prism-Ph2-WSR-24-Sep10_HU Risk dashboard_Apr2012-1-macro_2_Business Excellence Dashboard-Jul2012-ERP HU (OracleApps)-consolidated 4" xfId="7472" xr:uid="{00000000-0005-0000-0000-0000990A0000}"/>
    <cellStyle name="%_QR-Prism-Ph2-WSR-24-Sep10_HU Risk dashboard_Apr2012-1-macro_2_Business Excellence Dashboard-Jul2012-ERP HU (OracleApps)-consolidated 5" xfId="6274" xr:uid="{00000000-0005-0000-0000-00009A0A0000}"/>
    <cellStyle name="%_QR-Prism-Ph2-WSR-24-Sep10_HU Risk dashboard_Apr2012-1-macro_2_Business Excellence Dashboard-Jul2012-ERP HU (OracleApps)-consolidated 6" xfId="5075" xr:uid="{00000000-0005-0000-0000-00009B0A0000}"/>
    <cellStyle name="%_QR-Prism-Ph2-WSR-24-Sep10_HU Risk dashboard_Apr2012-1-macro_2_Business Excellence Dashboard-Jul2012-ERP HU (OracleApps)-consolidated 7" xfId="3876" xr:uid="{00000000-0005-0000-0000-00009C0A0000}"/>
    <cellStyle name="%_QR-Prism-Ph2-WSR-24-Sep10_HU Risk dashboard_Apr2012-1-macro_2_Business Excellence Dashboard-Jul2012-ERP HU (OracleApps)-consolidated_BusinessExcellenceDashboard_OCt2012_MS HU-ERased" xfId="678" xr:uid="{00000000-0005-0000-0000-00009D0A0000}"/>
    <cellStyle name="%_QR-Prism-Ph2-WSR-24-Sep10_HU Risk dashboard_Apr2012-1-macro_2_BusinessExcellenceDashboard_OCt2012_MS HU-ERased" xfId="679" xr:uid="{00000000-0005-0000-0000-00009E0A0000}"/>
    <cellStyle name="%_QR-Prism-Ph2-WSR-24-Sep10_HU Risk dashboard_Apr2012-1-macro_2_copydatamacro" xfId="680" xr:uid="{00000000-0005-0000-0000-00009F0A0000}"/>
    <cellStyle name="%_QR-Prism-Ph2-WSR-24-Sep10_HU Risk dashboard_Apr2012-1-macro_2_copydatamacro 2" xfId="9869" xr:uid="{00000000-0005-0000-0000-0000A00A0000}"/>
    <cellStyle name="%_QR-Prism-Ph2-WSR-24-Sep10_HU Risk dashboard_Apr2012-1-macro_2_copydatamacro 3" xfId="8671" xr:uid="{00000000-0005-0000-0000-0000A10A0000}"/>
    <cellStyle name="%_QR-Prism-Ph2-WSR-24-Sep10_HU Risk dashboard_Apr2012-1-macro_2_copydatamacro 4" xfId="7473" xr:uid="{00000000-0005-0000-0000-0000A20A0000}"/>
    <cellStyle name="%_QR-Prism-Ph2-WSR-24-Sep10_HU Risk dashboard_Apr2012-1-macro_2_copydatamacro 5" xfId="6275" xr:uid="{00000000-0005-0000-0000-0000A30A0000}"/>
    <cellStyle name="%_QR-Prism-Ph2-WSR-24-Sep10_HU Risk dashboard_Apr2012-1-macro_2_copydatamacro 6" xfId="5076" xr:uid="{00000000-0005-0000-0000-0000A40A0000}"/>
    <cellStyle name="%_QR-Prism-Ph2-WSR-24-Sep10_HU Risk dashboard_Apr2012-1-macro_2_copydatamacro 7" xfId="3877" xr:uid="{00000000-0005-0000-0000-0000A50A0000}"/>
    <cellStyle name="%_QR-Prism-Ph2-WSR-24-Sep10_HU Risk dashboard_Apr2012-1-macro_2_copydatamacro_BusinessExcellenceDashboard_OCt2012_MS HU-ERased" xfId="681" xr:uid="{00000000-0005-0000-0000-0000A60A0000}"/>
    <cellStyle name="%_QR-Prism-Ph2-WSR-24-Sep10_HU Risk dashboard_Apr2012-1-macro_Book1" xfId="682" xr:uid="{00000000-0005-0000-0000-0000A70A0000}"/>
    <cellStyle name="%_QR-Prism-Ph2-WSR-24-Sep10_HU Risk dashboard_Apr2012-1-macro_Book1 2" xfId="9870" xr:uid="{00000000-0005-0000-0000-0000A80A0000}"/>
    <cellStyle name="%_QR-Prism-Ph2-WSR-24-Sep10_HU Risk dashboard_Apr2012-1-macro_Book1 3" xfId="8672" xr:uid="{00000000-0005-0000-0000-0000A90A0000}"/>
    <cellStyle name="%_QR-Prism-Ph2-WSR-24-Sep10_HU Risk dashboard_Apr2012-1-macro_Book1 4" xfId="7474" xr:uid="{00000000-0005-0000-0000-0000AA0A0000}"/>
    <cellStyle name="%_QR-Prism-Ph2-WSR-24-Sep10_HU Risk dashboard_Apr2012-1-macro_Book1 5" xfId="6276" xr:uid="{00000000-0005-0000-0000-0000AB0A0000}"/>
    <cellStyle name="%_QR-Prism-Ph2-WSR-24-Sep10_HU Risk dashboard_Apr2012-1-macro_Book1 6" xfId="5077" xr:uid="{00000000-0005-0000-0000-0000AC0A0000}"/>
    <cellStyle name="%_QR-Prism-Ph2-WSR-24-Sep10_HU Risk dashboard_Apr2012-1-macro_Book1 7" xfId="3878" xr:uid="{00000000-0005-0000-0000-0000AD0A0000}"/>
    <cellStyle name="%_QR-Prism-Ph2-WSR-24-Sep10_HU Risk dashboard_Apr2012-1-macro_Book1_Business Excellence Dashboard-Aug2012-ERP HU (OracleApps)" xfId="683" xr:uid="{00000000-0005-0000-0000-0000AE0A0000}"/>
    <cellStyle name="%_QR-Prism-Ph2-WSR-24-Sep10_HU Risk dashboard_Apr2012-1-macro_Book1_Business Excellence Dashboard-Aug2012-ERP HU (OracleApps) 2" xfId="9871" xr:uid="{00000000-0005-0000-0000-0000AF0A0000}"/>
    <cellStyle name="%_QR-Prism-Ph2-WSR-24-Sep10_HU Risk dashboard_Apr2012-1-macro_Book1_Business Excellence Dashboard-Aug2012-ERP HU (OracleApps) 3" xfId="8673" xr:uid="{00000000-0005-0000-0000-0000B00A0000}"/>
    <cellStyle name="%_QR-Prism-Ph2-WSR-24-Sep10_HU Risk dashboard_Apr2012-1-macro_Book1_Business Excellence Dashboard-Aug2012-ERP HU (OracleApps) 4" xfId="7475" xr:uid="{00000000-0005-0000-0000-0000B10A0000}"/>
    <cellStyle name="%_QR-Prism-Ph2-WSR-24-Sep10_HU Risk dashboard_Apr2012-1-macro_Book1_Business Excellence Dashboard-Aug2012-ERP HU (OracleApps) 5" xfId="6277" xr:uid="{00000000-0005-0000-0000-0000B20A0000}"/>
    <cellStyle name="%_QR-Prism-Ph2-WSR-24-Sep10_HU Risk dashboard_Apr2012-1-macro_Book1_Business Excellence Dashboard-Aug2012-ERP HU (OracleApps) 6" xfId="5078" xr:uid="{00000000-0005-0000-0000-0000B30A0000}"/>
    <cellStyle name="%_QR-Prism-Ph2-WSR-24-Sep10_HU Risk dashboard_Apr2012-1-macro_Book1_Business Excellence Dashboard-Aug2012-ERP HU (OracleApps) 7" xfId="3879" xr:uid="{00000000-0005-0000-0000-0000B40A0000}"/>
    <cellStyle name="%_QR-Prism-Ph2-WSR-24-Sep10_HU Risk dashboard_Apr2012-1-macro_Book1_Business Excellence Dashboard-Aug2012-ERP HU (OracleApps)_BusinessExcellenceDashboard_OCt2012_MS HU-ERased" xfId="684" xr:uid="{00000000-0005-0000-0000-0000B50A0000}"/>
    <cellStyle name="%_QR-Prism-Ph2-WSR-24-Sep10_HU Risk dashboard_Apr2012-1-macro_Book1_Business Excellence Dashboard-Jul2012-ERP HU (OracleApps)-consolidated" xfId="685" xr:uid="{00000000-0005-0000-0000-0000B60A0000}"/>
    <cellStyle name="%_QR-Prism-Ph2-WSR-24-Sep10_HU Risk dashboard_Apr2012-1-macro_Book1_Business Excellence Dashboard-Jul2012-ERP HU (OracleApps)-consolidated 2" xfId="9872" xr:uid="{00000000-0005-0000-0000-0000B70A0000}"/>
    <cellStyle name="%_QR-Prism-Ph2-WSR-24-Sep10_HU Risk dashboard_Apr2012-1-macro_Book1_Business Excellence Dashboard-Jul2012-ERP HU (OracleApps)-consolidated 3" xfId="8674" xr:uid="{00000000-0005-0000-0000-0000B80A0000}"/>
    <cellStyle name="%_QR-Prism-Ph2-WSR-24-Sep10_HU Risk dashboard_Apr2012-1-macro_Book1_Business Excellence Dashboard-Jul2012-ERP HU (OracleApps)-consolidated 4" xfId="7476" xr:uid="{00000000-0005-0000-0000-0000B90A0000}"/>
    <cellStyle name="%_QR-Prism-Ph2-WSR-24-Sep10_HU Risk dashboard_Apr2012-1-macro_Book1_Business Excellence Dashboard-Jul2012-ERP HU (OracleApps)-consolidated 5" xfId="6278" xr:uid="{00000000-0005-0000-0000-0000BA0A0000}"/>
    <cellStyle name="%_QR-Prism-Ph2-WSR-24-Sep10_HU Risk dashboard_Apr2012-1-macro_Book1_Business Excellence Dashboard-Jul2012-ERP HU (OracleApps)-consolidated 6" xfId="5079" xr:uid="{00000000-0005-0000-0000-0000BB0A0000}"/>
    <cellStyle name="%_QR-Prism-Ph2-WSR-24-Sep10_HU Risk dashboard_Apr2012-1-macro_Book1_Business Excellence Dashboard-Jul2012-ERP HU (OracleApps)-consolidated 7" xfId="3880" xr:uid="{00000000-0005-0000-0000-0000BC0A0000}"/>
    <cellStyle name="%_QR-Prism-Ph2-WSR-24-Sep10_HU Risk dashboard_Apr2012-1-macro_Book1_Business Excellence Dashboard-Jul2012-ERP HU (OracleApps)-consolidated_BusinessExcellenceDashboard_OCt2012_MS HU-ERased" xfId="686" xr:uid="{00000000-0005-0000-0000-0000BD0A0000}"/>
    <cellStyle name="%_QR-Prism-Ph2-WSR-24-Sep10_HU Risk dashboard_Apr2012-1-macro_Book1_BusinessExcellenceDashboard_OCt2012_MS HU-ERased" xfId="687" xr:uid="{00000000-0005-0000-0000-0000BE0A0000}"/>
    <cellStyle name="%_QR-Prism-Ph2-WSR-24-Sep10_HU Risk dashboard_Apr2012-1-macro_Book1_copydatamacro" xfId="688" xr:uid="{00000000-0005-0000-0000-0000BF0A0000}"/>
    <cellStyle name="%_QR-Prism-Ph2-WSR-24-Sep10_HU Risk dashboard_Apr2012-1-macro_Book1_copydatamacro 2" xfId="9873" xr:uid="{00000000-0005-0000-0000-0000C00A0000}"/>
    <cellStyle name="%_QR-Prism-Ph2-WSR-24-Sep10_HU Risk dashboard_Apr2012-1-macro_Book1_copydatamacro 3" xfId="8675" xr:uid="{00000000-0005-0000-0000-0000C10A0000}"/>
    <cellStyle name="%_QR-Prism-Ph2-WSR-24-Sep10_HU Risk dashboard_Apr2012-1-macro_Book1_copydatamacro 4" xfId="7477" xr:uid="{00000000-0005-0000-0000-0000C20A0000}"/>
    <cellStyle name="%_QR-Prism-Ph2-WSR-24-Sep10_HU Risk dashboard_Apr2012-1-macro_Book1_copydatamacro 5" xfId="6279" xr:uid="{00000000-0005-0000-0000-0000C30A0000}"/>
    <cellStyle name="%_QR-Prism-Ph2-WSR-24-Sep10_HU Risk dashboard_Apr2012-1-macro_Book1_copydatamacro 6" xfId="5080" xr:uid="{00000000-0005-0000-0000-0000C40A0000}"/>
    <cellStyle name="%_QR-Prism-Ph2-WSR-24-Sep10_HU Risk dashboard_Apr2012-1-macro_Book1_copydatamacro 7" xfId="3881" xr:uid="{00000000-0005-0000-0000-0000C50A0000}"/>
    <cellStyle name="%_QR-Prism-Ph2-WSR-24-Sep10_HU Risk dashboard_Apr2012-1-macro_Book1_copydatamacro_BusinessExcellenceDashboard_OCt2012_MS HU-ERased" xfId="689" xr:uid="{00000000-0005-0000-0000-0000C60A0000}"/>
    <cellStyle name="%_QR-Prism-Ph2-WSR-24-Sep10_HU Risk dashboard_Apr2012-1-macro_Business Excellence Dashboard-Aug2012-ERP HU (OracleApps)" xfId="690" xr:uid="{00000000-0005-0000-0000-0000C70A0000}"/>
    <cellStyle name="%_QR-Prism-Ph2-WSR-24-Sep10_HU Risk dashboard_Apr2012-1-macro_Business Excellence Dashboard-Aug2012-ERP HU (OracleApps) 2" xfId="9874" xr:uid="{00000000-0005-0000-0000-0000C80A0000}"/>
    <cellStyle name="%_QR-Prism-Ph2-WSR-24-Sep10_HU Risk dashboard_Apr2012-1-macro_Business Excellence Dashboard-Aug2012-ERP HU (OracleApps) 3" xfId="8676" xr:uid="{00000000-0005-0000-0000-0000C90A0000}"/>
    <cellStyle name="%_QR-Prism-Ph2-WSR-24-Sep10_HU Risk dashboard_Apr2012-1-macro_Business Excellence Dashboard-Aug2012-ERP HU (OracleApps) 4" xfId="7478" xr:uid="{00000000-0005-0000-0000-0000CA0A0000}"/>
    <cellStyle name="%_QR-Prism-Ph2-WSR-24-Sep10_HU Risk dashboard_Apr2012-1-macro_Business Excellence Dashboard-Aug2012-ERP HU (OracleApps) 5" xfId="6280" xr:uid="{00000000-0005-0000-0000-0000CB0A0000}"/>
    <cellStyle name="%_QR-Prism-Ph2-WSR-24-Sep10_HU Risk dashboard_Apr2012-1-macro_Business Excellence Dashboard-Aug2012-ERP HU (OracleApps) 6" xfId="5081" xr:uid="{00000000-0005-0000-0000-0000CC0A0000}"/>
    <cellStyle name="%_QR-Prism-Ph2-WSR-24-Sep10_HU Risk dashboard_Apr2012-1-macro_Business Excellence Dashboard-Aug2012-ERP HU (OracleApps) 7" xfId="3882" xr:uid="{00000000-0005-0000-0000-0000CD0A0000}"/>
    <cellStyle name="%_QR-Prism-Ph2-WSR-24-Sep10_HU Risk dashboard_Apr2012-1-macro_Business Excellence Dashboard-Aug2012-ERP HU (OracleApps)_BusinessExcellenceDashboard_OCt2012_MS HU-ERased" xfId="691" xr:uid="{00000000-0005-0000-0000-0000CE0A0000}"/>
    <cellStyle name="%_QR-Prism-Ph2-WSR-24-Sep10_HU Risk dashboard_Apr2012-1-macro_Business Excellence Dashboard-Jul2012-ERP HU (OracleApps)-consolidated" xfId="692" xr:uid="{00000000-0005-0000-0000-0000CF0A0000}"/>
    <cellStyle name="%_QR-Prism-Ph2-WSR-24-Sep10_HU Risk dashboard_Apr2012-1-macro_Business Excellence Dashboard-Jul2012-ERP HU (OracleApps)-consolidated 2" xfId="9875" xr:uid="{00000000-0005-0000-0000-0000D00A0000}"/>
    <cellStyle name="%_QR-Prism-Ph2-WSR-24-Sep10_HU Risk dashboard_Apr2012-1-macro_Business Excellence Dashboard-Jul2012-ERP HU (OracleApps)-consolidated 3" xfId="8677" xr:uid="{00000000-0005-0000-0000-0000D10A0000}"/>
    <cellStyle name="%_QR-Prism-Ph2-WSR-24-Sep10_HU Risk dashboard_Apr2012-1-macro_Business Excellence Dashboard-Jul2012-ERP HU (OracleApps)-consolidated 4" xfId="7479" xr:uid="{00000000-0005-0000-0000-0000D20A0000}"/>
    <cellStyle name="%_QR-Prism-Ph2-WSR-24-Sep10_HU Risk dashboard_Apr2012-1-macro_Business Excellence Dashboard-Jul2012-ERP HU (OracleApps)-consolidated 5" xfId="6281" xr:uid="{00000000-0005-0000-0000-0000D30A0000}"/>
    <cellStyle name="%_QR-Prism-Ph2-WSR-24-Sep10_HU Risk dashboard_Apr2012-1-macro_Business Excellence Dashboard-Jul2012-ERP HU (OracleApps)-consolidated 6" xfId="5082" xr:uid="{00000000-0005-0000-0000-0000D40A0000}"/>
    <cellStyle name="%_QR-Prism-Ph2-WSR-24-Sep10_HU Risk dashboard_Apr2012-1-macro_Business Excellence Dashboard-Jul2012-ERP HU (OracleApps)-consolidated 7" xfId="3883" xr:uid="{00000000-0005-0000-0000-0000D50A0000}"/>
    <cellStyle name="%_QR-Prism-Ph2-WSR-24-Sep10_HU Risk dashboard_Apr2012-1-macro_Business Excellence Dashboard-Jul2012-ERP HU (OracleApps)-consolidated_BusinessExcellenceDashboard_OCt2012_MS HU-ERased" xfId="693" xr:uid="{00000000-0005-0000-0000-0000D60A0000}"/>
    <cellStyle name="%_QR-Prism-Ph2-WSR-24-Sep10_HU Risk dashboard_Apr2012-1-macro_BusinessExcellenceDashboard_OCt2012_MS HU-ERased" xfId="694" xr:uid="{00000000-0005-0000-0000-0000D70A0000}"/>
    <cellStyle name="%_QR-Prism-Ph2-WSR-24-Sep10_HU Risk dashboard_Apr2012-1-macro_copydatamacro" xfId="695" xr:uid="{00000000-0005-0000-0000-0000D80A0000}"/>
    <cellStyle name="%_QR-Prism-Ph2-WSR-24-Sep10_HU Risk dashboard_Apr2012-1-macro_copydatamacro 2" xfId="9876" xr:uid="{00000000-0005-0000-0000-0000D90A0000}"/>
    <cellStyle name="%_QR-Prism-Ph2-WSR-24-Sep10_HU Risk dashboard_Apr2012-1-macro_copydatamacro 3" xfId="8678" xr:uid="{00000000-0005-0000-0000-0000DA0A0000}"/>
    <cellStyle name="%_QR-Prism-Ph2-WSR-24-Sep10_HU Risk dashboard_Apr2012-1-macro_copydatamacro 4" xfId="7480" xr:uid="{00000000-0005-0000-0000-0000DB0A0000}"/>
    <cellStyle name="%_QR-Prism-Ph2-WSR-24-Sep10_HU Risk dashboard_Apr2012-1-macro_copydatamacro 5" xfId="6282" xr:uid="{00000000-0005-0000-0000-0000DC0A0000}"/>
    <cellStyle name="%_QR-Prism-Ph2-WSR-24-Sep10_HU Risk dashboard_Apr2012-1-macro_copydatamacro 6" xfId="5083" xr:uid="{00000000-0005-0000-0000-0000DD0A0000}"/>
    <cellStyle name="%_QR-Prism-Ph2-WSR-24-Sep10_HU Risk dashboard_Apr2012-1-macro_copydatamacro 7" xfId="3884" xr:uid="{00000000-0005-0000-0000-0000DE0A0000}"/>
    <cellStyle name="%_QR-Prism-Ph2-WSR-24-Sep10_HU Risk dashboard_Apr2012-1-macro_copydatamacro_BusinessExcellenceDashboard_OCt2012_MS HU-ERased" xfId="696" xr:uid="{00000000-0005-0000-0000-0000DF0A0000}"/>
    <cellStyle name="%_QR-Prism-Ph2-WSR-24-Sep10_HU Risk dashboard_Apr2012-1-macro_MSHU_BusinessExcellenceDashboardV2.2-May2012-3" xfId="697" xr:uid="{00000000-0005-0000-0000-0000E00A0000}"/>
    <cellStyle name="%_QR-Prism-Ph2-WSR-24-Sep10_HU Risk dashboard_Apr2012-1-macro_MSHU_BusinessExcellenceDashboardV2.2-May2012-3 2" xfId="9877" xr:uid="{00000000-0005-0000-0000-0000E10A0000}"/>
    <cellStyle name="%_QR-Prism-Ph2-WSR-24-Sep10_HU Risk dashboard_Apr2012-1-macro_MSHU_BusinessExcellenceDashboardV2.2-May2012-3 3" xfId="8679" xr:uid="{00000000-0005-0000-0000-0000E20A0000}"/>
    <cellStyle name="%_QR-Prism-Ph2-WSR-24-Sep10_HU Risk dashboard_Apr2012-1-macro_MSHU_BusinessExcellenceDashboardV2.2-May2012-3 4" xfId="7481" xr:uid="{00000000-0005-0000-0000-0000E30A0000}"/>
    <cellStyle name="%_QR-Prism-Ph2-WSR-24-Sep10_HU Risk dashboard_Apr2012-1-macro_MSHU_BusinessExcellenceDashboardV2.2-May2012-3 5" xfId="6283" xr:uid="{00000000-0005-0000-0000-0000E40A0000}"/>
    <cellStyle name="%_QR-Prism-Ph2-WSR-24-Sep10_HU Risk dashboard_Apr2012-1-macro_MSHU_BusinessExcellenceDashboardV2.2-May2012-3 6" xfId="5084" xr:uid="{00000000-0005-0000-0000-0000E50A0000}"/>
    <cellStyle name="%_QR-Prism-Ph2-WSR-24-Sep10_HU Risk dashboard_Apr2012-1-macro_MSHU_BusinessExcellenceDashboardV2.2-May2012-3 7" xfId="3885" xr:uid="{00000000-0005-0000-0000-0000E60A0000}"/>
    <cellStyle name="%_QR-Prism-Ph2-WSR-24-Sep10_HU Risk dashboard_Apr2012-1-macro_MSHU_BusinessExcellenceDashboardV2.2-May2012-3_Business Excellence Dashboard-Aug2012-ERP HU (OracleApps)" xfId="698" xr:uid="{00000000-0005-0000-0000-0000E70A0000}"/>
    <cellStyle name="%_QR-Prism-Ph2-WSR-24-Sep10_HU Risk dashboard_Apr2012-1-macro_MSHU_BusinessExcellenceDashboardV2.2-May2012-3_Business Excellence Dashboard-Aug2012-ERP HU (OracleApps) 2" xfId="9878" xr:uid="{00000000-0005-0000-0000-0000E80A0000}"/>
    <cellStyle name="%_QR-Prism-Ph2-WSR-24-Sep10_HU Risk dashboard_Apr2012-1-macro_MSHU_BusinessExcellenceDashboardV2.2-May2012-3_Business Excellence Dashboard-Aug2012-ERP HU (OracleApps) 3" xfId="8680" xr:uid="{00000000-0005-0000-0000-0000E90A0000}"/>
    <cellStyle name="%_QR-Prism-Ph2-WSR-24-Sep10_HU Risk dashboard_Apr2012-1-macro_MSHU_BusinessExcellenceDashboardV2.2-May2012-3_Business Excellence Dashboard-Aug2012-ERP HU (OracleApps) 4" xfId="7482" xr:uid="{00000000-0005-0000-0000-0000EA0A0000}"/>
    <cellStyle name="%_QR-Prism-Ph2-WSR-24-Sep10_HU Risk dashboard_Apr2012-1-macro_MSHU_BusinessExcellenceDashboardV2.2-May2012-3_Business Excellence Dashboard-Aug2012-ERP HU (OracleApps) 5" xfId="6284" xr:uid="{00000000-0005-0000-0000-0000EB0A0000}"/>
    <cellStyle name="%_QR-Prism-Ph2-WSR-24-Sep10_HU Risk dashboard_Apr2012-1-macro_MSHU_BusinessExcellenceDashboardV2.2-May2012-3_Business Excellence Dashboard-Aug2012-ERP HU (OracleApps) 6" xfId="5085" xr:uid="{00000000-0005-0000-0000-0000EC0A0000}"/>
    <cellStyle name="%_QR-Prism-Ph2-WSR-24-Sep10_HU Risk dashboard_Apr2012-1-macro_MSHU_BusinessExcellenceDashboardV2.2-May2012-3_Business Excellence Dashboard-Aug2012-ERP HU (OracleApps) 7" xfId="3886" xr:uid="{00000000-0005-0000-0000-0000ED0A0000}"/>
    <cellStyle name="%_QR-Prism-Ph2-WSR-24-Sep10_HU Risk dashboard_Apr2012-1-macro_MSHU_BusinessExcellenceDashboardV2.2-May2012-3_Business Excellence Dashboard-Aug2012-ERP HU (OracleApps)_BusinessExcellenceDashboard_OCt2012_MS HU-ERased" xfId="699" xr:uid="{00000000-0005-0000-0000-0000EE0A0000}"/>
    <cellStyle name="%_QR-Prism-Ph2-WSR-24-Sep10_HU Risk dashboard_Apr2012-1-macro_MSHU_BusinessExcellenceDashboardV2.2-May2012-3_Business Excellence Dashboard-Jul2012-ERP HU (OracleApps)-consolidated" xfId="700" xr:uid="{00000000-0005-0000-0000-0000EF0A0000}"/>
    <cellStyle name="%_QR-Prism-Ph2-WSR-24-Sep10_HU Risk dashboard_Apr2012-1-macro_MSHU_BusinessExcellenceDashboardV2.2-May2012-3_Business Excellence Dashboard-Jul2012-ERP HU (OracleApps)-consolidated 2" xfId="9879" xr:uid="{00000000-0005-0000-0000-0000F00A0000}"/>
    <cellStyle name="%_QR-Prism-Ph2-WSR-24-Sep10_HU Risk dashboard_Apr2012-1-macro_MSHU_BusinessExcellenceDashboardV2.2-May2012-3_Business Excellence Dashboard-Jul2012-ERP HU (OracleApps)-consolidated 3" xfId="8681" xr:uid="{00000000-0005-0000-0000-0000F10A0000}"/>
    <cellStyle name="%_QR-Prism-Ph2-WSR-24-Sep10_HU Risk dashboard_Apr2012-1-macro_MSHU_BusinessExcellenceDashboardV2.2-May2012-3_Business Excellence Dashboard-Jul2012-ERP HU (OracleApps)-consolidated 4" xfId="7483" xr:uid="{00000000-0005-0000-0000-0000F20A0000}"/>
    <cellStyle name="%_QR-Prism-Ph2-WSR-24-Sep10_HU Risk dashboard_Apr2012-1-macro_MSHU_BusinessExcellenceDashboardV2.2-May2012-3_Business Excellence Dashboard-Jul2012-ERP HU (OracleApps)-consolidated 5" xfId="6285" xr:uid="{00000000-0005-0000-0000-0000F30A0000}"/>
    <cellStyle name="%_QR-Prism-Ph2-WSR-24-Sep10_HU Risk dashboard_Apr2012-1-macro_MSHU_BusinessExcellenceDashboardV2.2-May2012-3_Business Excellence Dashboard-Jul2012-ERP HU (OracleApps)-consolidated 6" xfId="5086" xr:uid="{00000000-0005-0000-0000-0000F40A0000}"/>
    <cellStyle name="%_QR-Prism-Ph2-WSR-24-Sep10_HU Risk dashboard_Apr2012-1-macro_MSHU_BusinessExcellenceDashboardV2.2-May2012-3_Business Excellence Dashboard-Jul2012-ERP HU (OracleApps)-consolidated 7" xfId="3887" xr:uid="{00000000-0005-0000-0000-0000F50A0000}"/>
    <cellStyle name="%_QR-Prism-Ph2-WSR-24-Sep10_HU Risk dashboard_Apr2012-1-macro_MSHU_BusinessExcellenceDashboardV2.2-May2012-3_Business Excellence Dashboard-Jul2012-ERP HU (OracleApps)-consolidated_BusinessExcellenceDashboard_OCt2012_MS HU-ERased" xfId="701" xr:uid="{00000000-0005-0000-0000-0000F60A0000}"/>
    <cellStyle name="%_QR-Prism-Ph2-WSR-24-Sep10_HU Risk dashboard_Apr2012-1-macro_MSHU_BusinessExcellenceDashboardV2.2-May2012-3_BusinessExcellenceDashboard_OCt2012_MS HU-ERased" xfId="702" xr:uid="{00000000-0005-0000-0000-0000F70A0000}"/>
    <cellStyle name="%_QR-Prism-Ph2-WSR-24-Sep10_HU Risk dashboard_Apr2012-1-macro_MSHU_BusinessExcellenceDashboardV2.2-May2012-3_copydatamacro" xfId="703" xr:uid="{00000000-0005-0000-0000-0000F80A0000}"/>
    <cellStyle name="%_QR-Prism-Ph2-WSR-24-Sep10_HU Risk dashboard_Apr2012-1-macro_MSHU_BusinessExcellenceDashboardV2.2-May2012-3_copydatamacro 2" xfId="9880" xr:uid="{00000000-0005-0000-0000-0000F90A0000}"/>
    <cellStyle name="%_QR-Prism-Ph2-WSR-24-Sep10_HU Risk dashboard_Apr2012-1-macro_MSHU_BusinessExcellenceDashboardV2.2-May2012-3_copydatamacro 3" xfId="8682" xr:uid="{00000000-0005-0000-0000-0000FA0A0000}"/>
    <cellStyle name="%_QR-Prism-Ph2-WSR-24-Sep10_HU Risk dashboard_Apr2012-1-macro_MSHU_BusinessExcellenceDashboardV2.2-May2012-3_copydatamacro 4" xfId="7484" xr:uid="{00000000-0005-0000-0000-0000FB0A0000}"/>
    <cellStyle name="%_QR-Prism-Ph2-WSR-24-Sep10_HU Risk dashboard_Apr2012-1-macro_MSHU_BusinessExcellenceDashboardV2.2-May2012-3_copydatamacro 5" xfId="6286" xr:uid="{00000000-0005-0000-0000-0000FC0A0000}"/>
    <cellStyle name="%_QR-Prism-Ph2-WSR-24-Sep10_HU Risk dashboard_Apr2012-1-macro_MSHU_BusinessExcellenceDashboardV2.2-May2012-3_copydatamacro 6" xfId="5087" xr:uid="{00000000-0005-0000-0000-0000FD0A0000}"/>
    <cellStyle name="%_QR-Prism-Ph2-WSR-24-Sep10_HU Risk dashboard_Apr2012-1-macro_MSHU_BusinessExcellenceDashboardV2.2-May2012-3_copydatamacro 7" xfId="3888" xr:uid="{00000000-0005-0000-0000-0000FE0A0000}"/>
    <cellStyle name="%_QR-Prism-Ph2-WSR-24-Sep10_HU Risk dashboard_Apr2012-1-macro_MSHU_BusinessExcellenceDashboardV2.2-May2012-3_copydatamacro_BusinessExcellenceDashboard_OCt2012_MS HU-ERased" xfId="704" xr:uid="{00000000-0005-0000-0000-0000FF0A0000}"/>
    <cellStyle name="%_QR-Prism-Ph2-WSR-24-Sep10_HU Risk dashboard_Apr2012-1-macro-7MAY2012-1" xfId="705" xr:uid="{00000000-0005-0000-0000-0000000B0000}"/>
    <cellStyle name="%_QR-Prism-Ph2-WSR-24-Sep10_HU Risk dashboard_Apr2012-1-macro-7MAY2012-1 2" xfId="9881" xr:uid="{00000000-0005-0000-0000-0000010B0000}"/>
    <cellStyle name="%_QR-Prism-Ph2-WSR-24-Sep10_HU Risk dashboard_Apr2012-1-macro-7MAY2012-1 3" xfId="8683" xr:uid="{00000000-0005-0000-0000-0000020B0000}"/>
    <cellStyle name="%_QR-Prism-Ph2-WSR-24-Sep10_HU Risk dashboard_Apr2012-1-macro-7MAY2012-1 4" xfId="7485" xr:uid="{00000000-0005-0000-0000-0000030B0000}"/>
    <cellStyle name="%_QR-Prism-Ph2-WSR-24-Sep10_HU Risk dashboard_Apr2012-1-macro-7MAY2012-1 5" xfId="6287" xr:uid="{00000000-0005-0000-0000-0000040B0000}"/>
    <cellStyle name="%_QR-Prism-Ph2-WSR-24-Sep10_HU Risk dashboard_Apr2012-1-macro-7MAY2012-1 6" xfId="5088" xr:uid="{00000000-0005-0000-0000-0000050B0000}"/>
    <cellStyle name="%_QR-Prism-Ph2-WSR-24-Sep10_HU Risk dashboard_Apr2012-1-macro-7MAY2012-1 7" xfId="3889" xr:uid="{00000000-0005-0000-0000-0000060B0000}"/>
    <cellStyle name="%_QR-Prism-Ph2-WSR-24-Sep10_HU Risk dashboard_Apr2012-1-macro-7MAY2012-1_2" xfId="706" xr:uid="{00000000-0005-0000-0000-0000070B0000}"/>
    <cellStyle name="%_QR-Prism-Ph2-WSR-24-Sep10_HU Risk dashboard_Apr2012-1-macro-7MAY2012-1_2 2" xfId="9882" xr:uid="{00000000-0005-0000-0000-0000080B0000}"/>
    <cellStyle name="%_QR-Prism-Ph2-WSR-24-Sep10_HU Risk dashboard_Apr2012-1-macro-7MAY2012-1_2 3" xfId="8684" xr:uid="{00000000-0005-0000-0000-0000090B0000}"/>
    <cellStyle name="%_QR-Prism-Ph2-WSR-24-Sep10_HU Risk dashboard_Apr2012-1-macro-7MAY2012-1_2 4" xfId="7486" xr:uid="{00000000-0005-0000-0000-00000A0B0000}"/>
    <cellStyle name="%_QR-Prism-Ph2-WSR-24-Sep10_HU Risk dashboard_Apr2012-1-macro-7MAY2012-1_2 5" xfId="6288" xr:uid="{00000000-0005-0000-0000-00000B0B0000}"/>
    <cellStyle name="%_QR-Prism-Ph2-WSR-24-Sep10_HU Risk dashboard_Apr2012-1-macro-7MAY2012-1_2 6" xfId="5089" xr:uid="{00000000-0005-0000-0000-00000C0B0000}"/>
    <cellStyle name="%_QR-Prism-Ph2-WSR-24-Sep10_HU Risk dashboard_Apr2012-1-macro-7MAY2012-1_2 7" xfId="3890" xr:uid="{00000000-0005-0000-0000-00000D0B0000}"/>
    <cellStyle name="%_QR-Prism-Ph2-WSR-24-Sep10_HU Risk dashboard_Apr2012-1-macro-7MAY2012-1_2_1" xfId="707" xr:uid="{00000000-0005-0000-0000-00000E0B0000}"/>
    <cellStyle name="%_QR-Prism-Ph2-WSR-24-Sep10_HU Risk dashboard_Apr2012-1-macro-7MAY2012-1_2_1 2" xfId="9883" xr:uid="{00000000-0005-0000-0000-00000F0B0000}"/>
    <cellStyle name="%_QR-Prism-Ph2-WSR-24-Sep10_HU Risk dashboard_Apr2012-1-macro-7MAY2012-1_2_1 3" xfId="8685" xr:uid="{00000000-0005-0000-0000-0000100B0000}"/>
    <cellStyle name="%_QR-Prism-Ph2-WSR-24-Sep10_HU Risk dashboard_Apr2012-1-macro-7MAY2012-1_2_1 4" xfId="7487" xr:uid="{00000000-0005-0000-0000-0000110B0000}"/>
    <cellStyle name="%_QR-Prism-Ph2-WSR-24-Sep10_HU Risk dashboard_Apr2012-1-macro-7MAY2012-1_2_1 5" xfId="6289" xr:uid="{00000000-0005-0000-0000-0000120B0000}"/>
    <cellStyle name="%_QR-Prism-Ph2-WSR-24-Sep10_HU Risk dashboard_Apr2012-1-macro-7MAY2012-1_2_1 6" xfId="5090" xr:uid="{00000000-0005-0000-0000-0000130B0000}"/>
    <cellStyle name="%_QR-Prism-Ph2-WSR-24-Sep10_HU Risk dashboard_Apr2012-1-macro-7MAY2012-1_2_1 7" xfId="3891" xr:uid="{00000000-0005-0000-0000-0000140B0000}"/>
    <cellStyle name="%_QR-Prism-Ph2-WSR-24-Sep10_HU Risk dashboard_Apr2012-1-macro-7MAY2012-1_2_1_Business Excellence Dashboard-Aug2012-ERP HU (OracleApps)" xfId="708" xr:uid="{00000000-0005-0000-0000-0000150B0000}"/>
    <cellStyle name="%_QR-Prism-Ph2-WSR-24-Sep10_HU Risk dashboard_Apr2012-1-macro-7MAY2012-1_2_1_Business Excellence Dashboard-Aug2012-ERP HU (OracleApps) 2" xfId="9884" xr:uid="{00000000-0005-0000-0000-0000160B0000}"/>
    <cellStyle name="%_QR-Prism-Ph2-WSR-24-Sep10_HU Risk dashboard_Apr2012-1-macro-7MAY2012-1_2_1_Business Excellence Dashboard-Aug2012-ERP HU (OracleApps) 3" xfId="8686" xr:uid="{00000000-0005-0000-0000-0000170B0000}"/>
    <cellStyle name="%_QR-Prism-Ph2-WSR-24-Sep10_HU Risk dashboard_Apr2012-1-macro-7MAY2012-1_2_1_Business Excellence Dashboard-Aug2012-ERP HU (OracleApps) 4" xfId="7488" xr:uid="{00000000-0005-0000-0000-0000180B0000}"/>
    <cellStyle name="%_QR-Prism-Ph2-WSR-24-Sep10_HU Risk dashboard_Apr2012-1-macro-7MAY2012-1_2_1_Business Excellence Dashboard-Aug2012-ERP HU (OracleApps) 5" xfId="6290" xr:uid="{00000000-0005-0000-0000-0000190B0000}"/>
    <cellStyle name="%_QR-Prism-Ph2-WSR-24-Sep10_HU Risk dashboard_Apr2012-1-macro-7MAY2012-1_2_1_Business Excellence Dashboard-Aug2012-ERP HU (OracleApps) 6" xfId="5091" xr:uid="{00000000-0005-0000-0000-00001A0B0000}"/>
    <cellStyle name="%_QR-Prism-Ph2-WSR-24-Sep10_HU Risk dashboard_Apr2012-1-macro-7MAY2012-1_2_1_Business Excellence Dashboard-Aug2012-ERP HU (OracleApps) 7" xfId="3892" xr:uid="{00000000-0005-0000-0000-00001B0B0000}"/>
    <cellStyle name="%_QR-Prism-Ph2-WSR-24-Sep10_HU Risk dashboard_Apr2012-1-macro-7MAY2012-1_2_1_Business Excellence Dashboard-Aug2012-ERP HU (OracleApps)_BusinessExcellenceDashboard_OCt2012_MS HU-ERased" xfId="709" xr:uid="{00000000-0005-0000-0000-00001C0B0000}"/>
    <cellStyle name="%_QR-Prism-Ph2-WSR-24-Sep10_HU Risk dashboard_Apr2012-1-macro-7MAY2012-1_2_1_BusinessExcellenceDashboard_OCt2012_MS HU-ERased" xfId="710" xr:uid="{00000000-0005-0000-0000-00001D0B0000}"/>
    <cellStyle name="%_QR-Prism-Ph2-WSR-24-Sep10_HU Risk dashboard_Apr2012-1-macro-7MAY2012-1_2_2" xfId="711" xr:uid="{00000000-0005-0000-0000-00001E0B0000}"/>
    <cellStyle name="%_QR-Prism-Ph2-WSR-24-Sep10_HU Risk dashboard_Apr2012-1-macro-7MAY2012-1_2_2 2" xfId="9885" xr:uid="{00000000-0005-0000-0000-00001F0B0000}"/>
    <cellStyle name="%_QR-Prism-Ph2-WSR-24-Sep10_HU Risk dashboard_Apr2012-1-macro-7MAY2012-1_2_2 3" xfId="8687" xr:uid="{00000000-0005-0000-0000-0000200B0000}"/>
    <cellStyle name="%_QR-Prism-Ph2-WSR-24-Sep10_HU Risk dashboard_Apr2012-1-macro-7MAY2012-1_2_2 4" xfId="7489" xr:uid="{00000000-0005-0000-0000-0000210B0000}"/>
    <cellStyle name="%_QR-Prism-Ph2-WSR-24-Sep10_HU Risk dashboard_Apr2012-1-macro-7MAY2012-1_2_2 5" xfId="6291" xr:uid="{00000000-0005-0000-0000-0000220B0000}"/>
    <cellStyle name="%_QR-Prism-Ph2-WSR-24-Sep10_HU Risk dashboard_Apr2012-1-macro-7MAY2012-1_2_2 6" xfId="5092" xr:uid="{00000000-0005-0000-0000-0000230B0000}"/>
    <cellStyle name="%_QR-Prism-Ph2-WSR-24-Sep10_HU Risk dashboard_Apr2012-1-macro-7MAY2012-1_2_2 7" xfId="3893" xr:uid="{00000000-0005-0000-0000-0000240B0000}"/>
    <cellStyle name="%_QR-Prism-Ph2-WSR-24-Sep10_HU Risk dashboard_Apr2012-1-macro-7MAY2012-1_2_2_BusinessExcellenceDashboard_OCt2012_MS HU-ERased" xfId="712" xr:uid="{00000000-0005-0000-0000-0000250B0000}"/>
    <cellStyle name="%_QR-Prism-Ph2-WSR-24-Sep10_HU Risk dashboard_Apr2012-1-macro-7MAY2012-1_2_Business Excellence Dashboard-Aug2012-ERP HU (OracleApps)" xfId="713" xr:uid="{00000000-0005-0000-0000-0000260B0000}"/>
    <cellStyle name="%_QR-Prism-Ph2-WSR-24-Sep10_HU Risk dashboard_Apr2012-1-macro-7MAY2012-1_2_Business Excellence Dashboard-Aug2012-ERP HU (OracleApps) 2" xfId="9886" xr:uid="{00000000-0005-0000-0000-0000270B0000}"/>
    <cellStyle name="%_QR-Prism-Ph2-WSR-24-Sep10_HU Risk dashboard_Apr2012-1-macro-7MAY2012-1_2_Business Excellence Dashboard-Aug2012-ERP HU (OracleApps) 3" xfId="8688" xr:uid="{00000000-0005-0000-0000-0000280B0000}"/>
    <cellStyle name="%_QR-Prism-Ph2-WSR-24-Sep10_HU Risk dashboard_Apr2012-1-macro-7MAY2012-1_2_Business Excellence Dashboard-Aug2012-ERP HU (OracleApps) 4" xfId="7490" xr:uid="{00000000-0005-0000-0000-0000290B0000}"/>
    <cellStyle name="%_QR-Prism-Ph2-WSR-24-Sep10_HU Risk dashboard_Apr2012-1-macro-7MAY2012-1_2_Business Excellence Dashboard-Aug2012-ERP HU (OracleApps) 5" xfId="6292" xr:uid="{00000000-0005-0000-0000-00002A0B0000}"/>
    <cellStyle name="%_QR-Prism-Ph2-WSR-24-Sep10_HU Risk dashboard_Apr2012-1-macro-7MAY2012-1_2_Business Excellence Dashboard-Aug2012-ERP HU (OracleApps) 6" xfId="5093" xr:uid="{00000000-0005-0000-0000-00002B0B0000}"/>
    <cellStyle name="%_QR-Prism-Ph2-WSR-24-Sep10_HU Risk dashboard_Apr2012-1-macro-7MAY2012-1_2_Business Excellence Dashboard-Aug2012-ERP HU (OracleApps) 7" xfId="3894" xr:uid="{00000000-0005-0000-0000-00002C0B0000}"/>
    <cellStyle name="%_QR-Prism-Ph2-WSR-24-Sep10_HU Risk dashboard_Apr2012-1-macro-7MAY2012-1_2_Business Excellence Dashboard-Aug2012-ERP HU (OracleApps)_BusinessExcellenceDashboard_OCt2012_MS HU-ERased" xfId="714" xr:uid="{00000000-0005-0000-0000-00002D0B0000}"/>
    <cellStyle name="%_QR-Prism-Ph2-WSR-24-Sep10_HU Risk dashboard_Apr2012-1-macro-7MAY2012-1_2_Business Excellence Dashboard-Jul2012-ERP HU (OracleApps)-consolidated" xfId="715" xr:uid="{00000000-0005-0000-0000-00002E0B0000}"/>
    <cellStyle name="%_QR-Prism-Ph2-WSR-24-Sep10_HU Risk dashboard_Apr2012-1-macro-7MAY2012-1_2_Business Excellence Dashboard-Jul2012-ERP HU (OracleApps)-consolidated 2" xfId="9887" xr:uid="{00000000-0005-0000-0000-00002F0B0000}"/>
    <cellStyle name="%_QR-Prism-Ph2-WSR-24-Sep10_HU Risk dashboard_Apr2012-1-macro-7MAY2012-1_2_Business Excellence Dashboard-Jul2012-ERP HU (OracleApps)-consolidated 3" xfId="8689" xr:uid="{00000000-0005-0000-0000-0000300B0000}"/>
    <cellStyle name="%_QR-Prism-Ph2-WSR-24-Sep10_HU Risk dashboard_Apr2012-1-macro-7MAY2012-1_2_Business Excellence Dashboard-Jul2012-ERP HU (OracleApps)-consolidated 4" xfId="7491" xr:uid="{00000000-0005-0000-0000-0000310B0000}"/>
    <cellStyle name="%_QR-Prism-Ph2-WSR-24-Sep10_HU Risk dashboard_Apr2012-1-macro-7MAY2012-1_2_Business Excellence Dashboard-Jul2012-ERP HU (OracleApps)-consolidated 5" xfId="6293" xr:uid="{00000000-0005-0000-0000-0000320B0000}"/>
    <cellStyle name="%_QR-Prism-Ph2-WSR-24-Sep10_HU Risk dashboard_Apr2012-1-macro-7MAY2012-1_2_Business Excellence Dashboard-Jul2012-ERP HU (OracleApps)-consolidated 6" xfId="5094" xr:uid="{00000000-0005-0000-0000-0000330B0000}"/>
    <cellStyle name="%_QR-Prism-Ph2-WSR-24-Sep10_HU Risk dashboard_Apr2012-1-macro-7MAY2012-1_2_Business Excellence Dashboard-Jul2012-ERP HU (OracleApps)-consolidated 7" xfId="3895" xr:uid="{00000000-0005-0000-0000-0000340B0000}"/>
    <cellStyle name="%_QR-Prism-Ph2-WSR-24-Sep10_HU Risk dashboard_Apr2012-1-macro-7MAY2012-1_2_Business Excellence Dashboard-Jul2012-ERP HU (OracleApps)-consolidated_BusinessExcellenceDashboard_OCt2012_MS HU-ERased" xfId="716" xr:uid="{00000000-0005-0000-0000-0000350B0000}"/>
    <cellStyle name="%_QR-Prism-Ph2-WSR-24-Sep10_HU Risk dashboard_Apr2012-1-macro-7MAY2012-1_2_BusinessExcellenceDashboard_OCt2012_MS HU-ERased" xfId="717" xr:uid="{00000000-0005-0000-0000-0000360B0000}"/>
    <cellStyle name="%_QR-Prism-Ph2-WSR-24-Sep10_HU Risk dashboard_Apr2012-1-macro-7MAY2012-1_2_copydatamacro" xfId="718" xr:uid="{00000000-0005-0000-0000-0000370B0000}"/>
    <cellStyle name="%_QR-Prism-Ph2-WSR-24-Sep10_HU Risk dashboard_Apr2012-1-macro-7MAY2012-1_2_copydatamacro 2" xfId="9888" xr:uid="{00000000-0005-0000-0000-0000380B0000}"/>
    <cellStyle name="%_QR-Prism-Ph2-WSR-24-Sep10_HU Risk dashboard_Apr2012-1-macro-7MAY2012-1_2_copydatamacro 3" xfId="8690" xr:uid="{00000000-0005-0000-0000-0000390B0000}"/>
    <cellStyle name="%_QR-Prism-Ph2-WSR-24-Sep10_HU Risk dashboard_Apr2012-1-macro-7MAY2012-1_2_copydatamacro 4" xfId="7492" xr:uid="{00000000-0005-0000-0000-00003A0B0000}"/>
    <cellStyle name="%_QR-Prism-Ph2-WSR-24-Sep10_HU Risk dashboard_Apr2012-1-macro-7MAY2012-1_2_copydatamacro 5" xfId="6294" xr:uid="{00000000-0005-0000-0000-00003B0B0000}"/>
    <cellStyle name="%_QR-Prism-Ph2-WSR-24-Sep10_HU Risk dashboard_Apr2012-1-macro-7MAY2012-1_2_copydatamacro 6" xfId="5095" xr:uid="{00000000-0005-0000-0000-00003C0B0000}"/>
    <cellStyle name="%_QR-Prism-Ph2-WSR-24-Sep10_HU Risk dashboard_Apr2012-1-macro-7MAY2012-1_2_copydatamacro 7" xfId="3896" xr:uid="{00000000-0005-0000-0000-00003D0B0000}"/>
    <cellStyle name="%_QR-Prism-Ph2-WSR-24-Sep10_HU Risk dashboard_Apr2012-1-macro-7MAY2012-1_2_copydatamacro_BusinessExcellenceDashboard_OCt2012_MS HU-ERased" xfId="719" xr:uid="{00000000-0005-0000-0000-00003E0B0000}"/>
    <cellStyle name="%_QR-Prism-Ph2-WSR-24-Sep10_HU Risk dashboard_Apr2012-1-macro-7MAY2012-1_Book1" xfId="720" xr:uid="{00000000-0005-0000-0000-00003F0B0000}"/>
    <cellStyle name="%_QR-Prism-Ph2-WSR-24-Sep10_HU Risk dashboard_Apr2012-1-macro-7MAY2012-1_Book1 2" xfId="9889" xr:uid="{00000000-0005-0000-0000-0000400B0000}"/>
    <cellStyle name="%_QR-Prism-Ph2-WSR-24-Sep10_HU Risk dashboard_Apr2012-1-macro-7MAY2012-1_Book1 3" xfId="8691" xr:uid="{00000000-0005-0000-0000-0000410B0000}"/>
    <cellStyle name="%_QR-Prism-Ph2-WSR-24-Sep10_HU Risk dashboard_Apr2012-1-macro-7MAY2012-1_Book1 4" xfId="7493" xr:uid="{00000000-0005-0000-0000-0000420B0000}"/>
    <cellStyle name="%_QR-Prism-Ph2-WSR-24-Sep10_HU Risk dashboard_Apr2012-1-macro-7MAY2012-1_Book1 5" xfId="6295" xr:uid="{00000000-0005-0000-0000-0000430B0000}"/>
    <cellStyle name="%_QR-Prism-Ph2-WSR-24-Sep10_HU Risk dashboard_Apr2012-1-macro-7MAY2012-1_Book1 6" xfId="5096" xr:uid="{00000000-0005-0000-0000-0000440B0000}"/>
    <cellStyle name="%_QR-Prism-Ph2-WSR-24-Sep10_HU Risk dashboard_Apr2012-1-macro-7MAY2012-1_Book1 7" xfId="3897" xr:uid="{00000000-0005-0000-0000-0000450B0000}"/>
    <cellStyle name="%_QR-Prism-Ph2-WSR-24-Sep10_HU Risk dashboard_Apr2012-1-macro-7MAY2012-1_Book1_Business Excellence Dashboard-Aug2012-ERP HU (OracleApps)" xfId="721" xr:uid="{00000000-0005-0000-0000-0000460B0000}"/>
    <cellStyle name="%_QR-Prism-Ph2-WSR-24-Sep10_HU Risk dashboard_Apr2012-1-macro-7MAY2012-1_Book1_Business Excellence Dashboard-Aug2012-ERP HU (OracleApps) 2" xfId="9890" xr:uid="{00000000-0005-0000-0000-0000470B0000}"/>
    <cellStyle name="%_QR-Prism-Ph2-WSR-24-Sep10_HU Risk dashboard_Apr2012-1-macro-7MAY2012-1_Book1_Business Excellence Dashboard-Aug2012-ERP HU (OracleApps) 3" xfId="8692" xr:uid="{00000000-0005-0000-0000-0000480B0000}"/>
    <cellStyle name="%_QR-Prism-Ph2-WSR-24-Sep10_HU Risk dashboard_Apr2012-1-macro-7MAY2012-1_Book1_Business Excellence Dashboard-Aug2012-ERP HU (OracleApps) 4" xfId="7494" xr:uid="{00000000-0005-0000-0000-0000490B0000}"/>
    <cellStyle name="%_QR-Prism-Ph2-WSR-24-Sep10_HU Risk dashboard_Apr2012-1-macro-7MAY2012-1_Book1_Business Excellence Dashboard-Aug2012-ERP HU (OracleApps) 5" xfId="6296" xr:uid="{00000000-0005-0000-0000-00004A0B0000}"/>
    <cellStyle name="%_QR-Prism-Ph2-WSR-24-Sep10_HU Risk dashboard_Apr2012-1-macro-7MAY2012-1_Book1_Business Excellence Dashboard-Aug2012-ERP HU (OracleApps) 6" xfId="5097" xr:uid="{00000000-0005-0000-0000-00004B0B0000}"/>
    <cellStyle name="%_QR-Prism-Ph2-WSR-24-Sep10_HU Risk dashboard_Apr2012-1-macro-7MAY2012-1_Book1_Business Excellence Dashboard-Aug2012-ERP HU (OracleApps) 7" xfId="3898" xr:uid="{00000000-0005-0000-0000-00004C0B0000}"/>
    <cellStyle name="%_QR-Prism-Ph2-WSR-24-Sep10_HU Risk dashboard_Apr2012-1-macro-7MAY2012-1_Book1_Business Excellence Dashboard-Aug2012-ERP HU (OracleApps)_BusinessExcellenceDashboard_OCt2012_MS HU-ERased" xfId="722" xr:uid="{00000000-0005-0000-0000-00004D0B0000}"/>
    <cellStyle name="%_QR-Prism-Ph2-WSR-24-Sep10_HU Risk dashboard_Apr2012-1-macro-7MAY2012-1_Book1_Business Excellence Dashboard-Jul2012-ERP HU (OracleApps)-consolidated" xfId="723" xr:uid="{00000000-0005-0000-0000-00004E0B0000}"/>
    <cellStyle name="%_QR-Prism-Ph2-WSR-24-Sep10_HU Risk dashboard_Apr2012-1-macro-7MAY2012-1_Book1_Business Excellence Dashboard-Jul2012-ERP HU (OracleApps)-consolidated 2" xfId="9891" xr:uid="{00000000-0005-0000-0000-00004F0B0000}"/>
    <cellStyle name="%_QR-Prism-Ph2-WSR-24-Sep10_HU Risk dashboard_Apr2012-1-macro-7MAY2012-1_Book1_Business Excellence Dashboard-Jul2012-ERP HU (OracleApps)-consolidated 3" xfId="8693" xr:uid="{00000000-0005-0000-0000-0000500B0000}"/>
    <cellStyle name="%_QR-Prism-Ph2-WSR-24-Sep10_HU Risk dashboard_Apr2012-1-macro-7MAY2012-1_Book1_Business Excellence Dashboard-Jul2012-ERP HU (OracleApps)-consolidated 4" xfId="7495" xr:uid="{00000000-0005-0000-0000-0000510B0000}"/>
    <cellStyle name="%_QR-Prism-Ph2-WSR-24-Sep10_HU Risk dashboard_Apr2012-1-macro-7MAY2012-1_Book1_Business Excellence Dashboard-Jul2012-ERP HU (OracleApps)-consolidated 5" xfId="6297" xr:uid="{00000000-0005-0000-0000-0000520B0000}"/>
    <cellStyle name="%_QR-Prism-Ph2-WSR-24-Sep10_HU Risk dashboard_Apr2012-1-macro-7MAY2012-1_Book1_Business Excellence Dashboard-Jul2012-ERP HU (OracleApps)-consolidated 6" xfId="5098" xr:uid="{00000000-0005-0000-0000-0000530B0000}"/>
    <cellStyle name="%_QR-Prism-Ph2-WSR-24-Sep10_HU Risk dashboard_Apr2012-1-macro-7MAY2012-1_Book1_Business Excellence Dashboard-Jul2012-ERP HU (OracleApps)-consolidated 7" xfId="3899" xr:uid="{00000000-0005-0000-0000-0000540B0000}"/>
    <cellStyle name="%_QR-Prism-Ph2-WSR-24-Sep10_HU Risk dashboard_Apr2012-1-macro-7MAY2012-1_Book1_Business Excellence Dashboard-Jul2012-ERP HU (OracleApps)-consolidated_BusinessExcellenceDashboard_OCt2012_MS HU-ERased" xfId="724" xr:uid="{00000000-0005-0000-0000-0000550B0000}"/>
    <cellStyle name="%_QR-Prism-Ph2-WSR-24-Sep10_HU Risk dashboard_Apr2012-1-macro-7MAY2012-1_Book1_BusinessExcellenceDashboard_OCt2012_MS HU-ERased" xfId="725" xr:uid="{00000000-0005-0000-0000-0000560B0000}"/>
    <cellStyle name="%_QR-Prism-Ph2-WSR-24-Sep10_HU Risk dashboard_Apr2012-1-macro-7MAY2012-1_Book1_copydatamacro" xfId="726" xr:uid="{00000000-0005-0000-0000-0000570B0000}"/>
    <cellStyle name="%_QR-Prism-Ph2-WSR-24-Sep10_HU Risk dashboard_Apr2012-1-macro-7MAY2012-1_Book1_copydatamacro 2" xfId="9892" xr:uid="{00000000-0005-0000-0000-0000580B0000}"/>
    <cellStyle name="%_QR-Prism-Ph2-WSR-24-Sep10_HU Risk dashboard_Apr2012-1-macro-7MAY2012-1_Book1_copydatamacro 3" xfId="8694" xr:uid="{00000000-0005-0000-0000-0000590B0000}"/>
    <cellStyle name="%_QR-Prism-Ph2-WSR-24-Sep10_HU Risk dashboard_Apr2012-1-macro-7MAY2012-1_Book1_copydatamacro 4" xfId="7496" xr:uid="{00000000-0005-0000-0000-00005A0B0000}"/>
    <cellStyle name="%_QR-Prism-Ph2-WSR-24-Sep10_HU Risk dashboard_Apr2012-1-macro-7MAY2012-1_Book1_copydatamacro 5" xfId="6298" xr:uid="{00000000-0005-0000-0000-00005B0B0000}"/>
    <cellStyle name="%_QR-Prism-Ph2-WSR-24-Sep10_HU Risk dashboard_Apr2012-1-macro-7MAY2012-1_Book1_copydatamacro 6" xfId="5099" xr:uid="{00000000-0005-0000-0000-00005C0B0000}"/>
    <cellStyle name="%_QR-Prism-Ph2-WSR-24-Sep10_HU Risk dashboard_Apr2012-1-macro-7MAY2012-1_Book1_copydatamacro 7" xfId="3900" xr:uid="{00000000-0005-0000-0000-00005D0B0000}"/>
    <cellStyle name="%_QR-Prism-Ph2-WSR-24-Sep10_HU Risk dashboard_Apr2012-1-macro-7MAY2012-1_Book1_copydatamacro_BusinessExcellenceDashboard_OCt2012_MS HU-ERased" xfId="727" xr:uid="{00000000-0005-0000-0000-00005E0B0000}"/>
    <cellStyle name="%_QR-Prism-Ph2-WSR-24-Sep10_HU Risk dashboard_Apr2012-1-macro-7MAY2012-1_Business Excellence Dashboard-Aug2012-ERP HU (OracleApps)" xfId="728" xr:uid="{00000000-0005-0000-0000-00005F0B0000}"/>
    <cellStyle name="%_QR-Prism-Ph2-WSR-24-Sep10_HU Risk dashboard_Apr2012-1-macro-7MAY2012-1_Business Excellence Dashboard-Aug2012-ERP HU (OracleApps) 2" xfId="9893" xr:uid="{00000000-0005-0000-0000-0000600B0000}"/>
    <cellStyle name="%_QR-Prism-Ph2-WSR-24-Sep10_HU Risk dashboard_Apr2012-1-macro-7MAY2012-1_Business Excellence Dashboard-Aug2012-ERP HU (OracleApps) 3" xfId="8695" xr:uid="{00000000-0005-0000-0000-0000610B0000}"/>
    <cellStyle name="%_QR-Prism-Ph2-WSR-24-Sep10_HU Risk dashboard_Apr2012-1-macro-7MAY2012-1_Business Excellence Dashboard-Aug2012-ERP HU (OracleApps) 4" xfId="7497" xr:uid="{00000000-0005-0000-0000-0000620B0000}"/>
    <cellStyle name="%_QR-Prism-Ph2-WSR-24-Sep10_HU Risk dashboard_Apr2012-1-macro-7MAY2012-1_Business Excellence Dashboard-Aug2012-ERP HU (OracleApps) 5" xfId="6299" xr:uid="{00000000-0005-0000-0000-0000630B0000}"/>
    <cellStyle name="%_QR-Prism-Ph2-WSR-24-Sep10_HU Risk dashboard_Apr2012-1-macro-7MAY2012-1_Business Excellence Dashboard-Aug2012-ERP HU (OracleApps) 6" xfId="5100" xr:uid="{00000000-0005-0000-0000-0000640B0000}"/>
    <cellStyle name="%_QR-Prism-Ph2-WSR-24-Sep10_HU Risk dashboard_Apr2012-1-macro-7MAY2012-1_Business Excellence Dashboard-Aug2012-ERP HU (OracleApps) 7" xfId="3901" xr:uid="{00000000-0005-0000-0000-0000650B0000}"/>
    <cellStyle name="%_QR-Prism-Ph2-WSR-24-Sep10_HU Risk dashboard_Apr2012-1-macro-7MAY2012-1_Business Excellence Dashboard-Aug2012-ERP HU (OracleApps)_BusinessExcellenceDashboard_OCt2012_MS HU-ERased" xfId="729" xr:uid="{00000000-0005-0000-0000-0000660B0000}"/>
    <cellStyle name="%_QR-Prism-Ph2-WSR-24-Sep10_HU Risk dashboard_Apr2012-1-macro-7MAY2012-1_Business Excellence Dashboard-Jul2012-ERP HU (OracleApps)-consolidated" xfId="730" xr:uid="{00000000-0005-0000-0000-0000670B0000}"/>
    <cellStyle name="%_QR-Prism-Ph2-WSR-24-Sep10_HU Risk dashboard_Apr2012-1-macro-7MAY2012-1_Business Excellence Dashboard-Jul2012-ERP HU (OracleApps)-consolidated 2" xfId="9894" xr:uid="{00000000-0005-0000-0000-0000680B0000}"/>
    <cellStyle name="%_QR-Prism-Ph2-WSR-24-Sep10_HU Risk dashboard_Apr2012-1-macro-7MAY2012-1_Business Excellence Dashboard-Jul2012-ERP HU (OracleApps)-consolidated 3" xfId="8696" xr:uid="{00000000-0005-0000-0000-0000690B0000}"/>
    <cellStyle name="%_QR-Prism-Ph2-WSR-24-Sep10_HU Risk dashboard_Apr2012-1-macro-7MAY2012-1_Business Excellence Dashboard-Jul2012-ERP HU (OracleApps)-consolidated 4" xfId="7498" xr:uid="{00000000-0005-0000-0000-00006A0B0000}"/>
    <cellStyle name="%_QR-Prism-Ph2-WSR-24-Sep10_HU Risk dashboard_Apr2012-1-macro-7MAY2012-1_Business Excellence Dashboard-Jul2012-ERP HU (OracleApps)-consolidated 5" xfId="6300" xr:uid="{00000000-0005-0000-0000-00006B0B0000}"/>
    <cellStyle name="%_QR-Prism-Ph2-WSR-24-Sep10_HU Risk dashboard_Apr2012-1-macro-7MAY2012-1_Business Excellence Dashboard-Jul2012-ERP HU (OracleApps)-consolidated 6" xfId="5101" xr:uid="{00000000-0005-0000-0000-00006C0B0000}"/>
    <cellStyle name="%_QR-Prism-Ph2-WSR-24-Sep10_HU Risk dashboard_Apr2012-1-macro-7MAY2012-1_Business Excellence Dashboard-Jul2012-ERP HU (OracleApps)-consolidated 7" xfId="3902" xr:uid="{00000000-0005-0000-0000-00006D0B0000}"/>
    <cellStyle name="%_QR-Prism-Ph2-WSR-24-Sep10_HU Risk dashboard_Apr2012-1-macro-7MAY2012-1_Business Excellence Dashboard-Jul2012-ERP HU (OracleApps)-consolidated_BusinessExcellenceDashboard_OCt2012_MS HU-ERased" xfId="731" xr:uid="{00000000-0005-0000-0000-00006E0B0000}"/>
    <cellStyle name="%_QR-Prism-Ph2-WSR-24-Sep10_HU Risk dashboard_Apr2012-1-macro-7MAY2012-1_BusinessExcellenceDashboard_OCt2012_MS HU-ERased" xfId="732" xr:uid="{00000000-0005-0000-0000-00006F0B0000}"/>
    <cellStyle name="%_QR-Prism-Ph2-WSR-24-Sep10_HU Risk dashboard_Apr2012-1-macro-7MAY2012-1_copydatamacro" xfId="733" xr:uid="{00000000-0005-0000-0000-0000700B0000}"/>
    <cellStyle name="%_QR-Prism-Ph2-WSR-24-Sep10_HU Risk dashboard_Apr2012-1-macro-7MAY2012-1_copydatamacro 2" xfId="9895" xr:uid="{00000000-0005-0000-0000-0000710B0000}"/>
    <cellStyle name="%_QR-Prism-Ph2-WSR-24-Sep10_HU Risk dashboard_Apr2012-1-macro-7MAY2012-1_copydatamacro 3" xfId="8697" xr:uid="{00000000-0005-0000-0000-0000720B0000}"/>
    <cellStyle name="%_QR-Prism-Ph2-WSR-24-Sep10_HU Risk dashboard_Apr2012-1-macro-7MAY2012-1_copydatamacro 4" xfId="7499" xr:uid="{00000000-0005-0000-0000-0000730B0000}"/>
    <cellStyle name="%_QR-Prism-Ph2-WSR-24-Sep10_HU Risk dashboard_Apr2012-1-macro-7MAY2012-1_copydatamacro 5" xfId="6301" xr:uid="{00000000-0005-0000-0000-0000740B0000}"/>
    <cellStyle name="%_QR-Prism-Ph2-WSR-24-Sep10_HU Risk dashboard_Apr2012-1-macro-7MAY2012-1_copydatamacro 6" xfId="5102" xr:uid="{00000000-0005-0000-0000-0000750B0000}"/>
    <cellStyle name="%_QR-Prism-Ph2-WSR-24-Sep10_HU Risk dashboard_Apr2012-1-macro-7MAY2012-1_copydatamacro 7" xfId="3903" xr:uid="{00000000-0005-0000-0000-0000760B0000}"/>
    <cellStyle name="%_QR-Prism-Ph2-WSR-24-Sep10_HU Risk dashboard_Apr2012-1-macro-7MAY2012-1_copydatamacro_BusinessExcellenceDashboard_OCt2012_MS HU-ERased" xfId="734" xr:uid="{00000000-0005-0000-0000-0000770B0000}"/>
    <cellStyle name="%_QR-Prism-Ph2-WSR-24-Sep10_HU Risk dashboard_Apr2012-1-macro-7MAY2012-1_MSHU_BusinessExcellenceDashboardV2.2-May2012-3" xfId="735" xr:uid="{00000000-0005-0000-0000-0000780B0000}"/>
    <cellStyle name="%_QR-Prism-Ph2-WSR-24-Sep10_HU Risk dashboard_Apr2012-1-macro-7MAY2012-1_MSHU_BusinessExcellenceDashboardV2.2-May2012-3 2" xfId="9896" xr:uid="{00000000-0005-0000-0000-0000790B0000}"/>
    <cellStyle name="%_QR-Prism-Ph2-WSR-24-Sep10_HU Risk dashboard_Apr2012-1-macro-7MAY2012-1_MSHU_BusinessExcellenceDashboardV2.2-May2012-3 3" xfId="8698" xr:uid="{00000000-0005-0000-0000-00007A0B0000}"/>
    <cellStyle name="%_QR-Prism-Ph2-WSR-24-Sep10_HU Risk dashboard_Apr2012-1-macro-7MAY2012-1_MSHU_BusinessExcellenceDashboardV2.2-May2012-3 4" xfId="7500" xr:uid="{00000000-0005-0000-0000-00007B0B0000}"/>
    <cellStyle name="%_QR-Prism-Ph2-WSR-24-Sep10_HU Risk dashboard_Apr2012-1-macro-7MAY2012-1_MSHU_BusinessExcellenceDashboardV2.2-May2012-3 5" xfId="6302" xr:uid="{00000000-0005-0000-0000-00007C0B0000}"/>
    <cellStyle name="%_QR-Prism-Ph2-WSR-24-Sep10_HU Risk dashboard_Apr2012-1-macro-7MAY2012-1_MSHU_BusinessExcellenceDashboardV2.2-May2012-3 6" xfId="5103" xr:uid="{00000000-0005-0000-0000-00007D0B0000}"/>
    <cellStyle name="%_QR-Prism-Ph2-WSR-24-Sep10_HU Risk dashboard_Apr2012-1-macro-7MAY2012-1_MSHU_BusinessExcellenceDashboardV2.2-May2012-3 7" xfId="3904" xr:uid="{00000000-0005-0000-0000-00007E0B0000}"/>
    <cellStyle name="%_QR-Prism-Ph2-WSR-24-Sep10_HU Risk dashboard_Apr2012-1-macro-7MAY2012-1_MSHU_BusinessExcellenceDashboardV2.2-May2012-3_Business Excellence Dashboard-Aug2012-ERP HU (OracleApps)" xfId="736" xr:uid="{00000000-0005-0000-0000-00007F0B0000}"/>
    <cellStyle name="%_QR-Prism-Ph2-WSR-24-Sep10_HU Risk dashboard_Apr2012-1-macro-7MAY2012-1_MSHU_BusinessExcellenceDashboardV2.2-May2012-3_Business Excellence Dashboard-Aug2012-ERP HU (OracleApps) 2" xfId="9897" xr:uid="{00000000-0005-0000-0000-0000800B0000}"/>
    <cellStyle name="%_QR-Prism-Ph2-WSR-24-Sep10_HU Risk dashboard_Apr2012-1-macro-7MAY2012-1_MSHU_BusinessExcellenceDashboardV2.2-May2012-3_Business Excellence Dashboard-Aug2012-ERP HU (OracleApps) 3" xfId="8699" xr:uid="{00000000-0005-0000-0000-0000810B0000}"/>
    <cellStyle name="%_QR-Prism-Ph2-WSR-24-Sep10_HU Risk dashboard_Apr2012-1-macro-7MAY2012-1_MSHU_BusinessExcellenceDashboardV2.2-May2012-3_Business Excellence Dashboard-Aug2012-ERP HU (OracleApps) 4" xfId="7501" xr:uid="{00000000-0005-0000-0000-0000820B0000}"/>
    <cellStyle name="%_QR-Prism-Ph2-WSR-24-Sep10_HU Risk dashboard_Apr2012-1-macro-7MAY2012-1_MSHU_BusinessExcellenceDashboardV2.2-May2012-3_Business Excellence Dashboard-Aug2012-ERP HU (OracleApps) 5" xfId="6303" xr:uid="{00000000-0005-0000-0000-0000830B0000}"/>
    <cellStyle name="%_QR-Prism-Ph2-WSR-24-Sep10_HU Risk dashboard_Apr2012-1-macro-7MAY2012-1_MSHU_BusinessExcellenceDashboardV2.2-May2012-3_Business Excellence Dashboard-Aug2012-ERP HU (OracleApps) 6" xfId="5104" xr:uid="{00000000-0005-0000-0000-0000840B0000}"/>
    <cellStyle name="%_QR-Prism-Ph2-WSR-24-Sep10_HU Risk dashboard_Apr2012-1-macro-7MAY2012-1_MSHU_BusinessExcellenceDashboardV2.2-May2012-3_Business Excellence Dashboard-Aug2012-ERP HU (OracleApps) 7" xfId="3905" xr:uid="{00000000-0005-0000-0000-0000850B0000}"/>
    <cellStyle name="%_QR-Prism-Ph2-WSR-24-Sep10_HU Risk dashboard_Apr2012-1-macro-7MAY2012-1_MSHU_BusinessExcellenceDashboardV2.2-May2012-3_Business Excellence Dashboard-Aug2012-ERP HU (OracleApps)_BusinessExcellenceDashboard_OCt2012_MS HU-ERased" xfId="737" xr:uid="{00000000-0005-0000-0000-0000860B0000}"/>
    <cellStyle name="%_QR-Prism-Ph2-WSR-24-Sep10_HU Risk dashboard_Apr2012-1-macro-7MAY2012-1_MSHU_BusinessExcellenceDashboardV2.2-May2012-3_Business Excellence Dashboard-Jul2012-ERP HU (OracleApps)-consolidated" xfId="738" xr:uid="{00000000-0005-0000-0000-0000870B0000}"/>
    <cellStyle name="%_QR-Prism-Ph2-WSR-24-Sep10_HU Risk dashboard_Apr2012-1-macro-7MAY2012-1_MSHU_BusinessExcellenceDashboardV2.2-May2012-3_Business Excellence Dashboard-Jul2012-ERP HU (OracleApps)-consolidated 2" xfId="9898" xr:uid="{00000000-0005-0000-0000-0000880B0000}"/>
    <cellStyle name="%_QR-Prism-Ph2-WSR-24-Sep10_HU Risk dashboard_Apr2012-1-macro-7MAY2012-1_MSHU_BusinessExcellenceDashboardV2.2-May2012-3_Business Excellence Dashboard-Jul2012-ERP HU (OracleApps)-consolidated 3" xfId="8700" xr:uid="{00000000-0005-0000-0000-0000890B0000}"/>
    <cellStyle name="%_QR-Prism-Ph2-WSR-24-Sep10_HU Risk dashboard_Apr2012-1-macro-7MAY2012-1_MSHU_BusinessExcellenceDashboardV2.2-May2012-3_Business Excellence Dashboard-Jul2012-ERP HU (OracleApps)-consolidated 4" xfId="7502" xr:uid="{00000000-0005-0000-0000-00008A0B0000}"/>
    <cellStyle name="%_QR-Prism-Ph2-WSR-24-Sep10_HU Risk dashboard_Apr2012-1-macro-7MAY2012-1_MSHU_BusinessExcellenceDashboardV2.2-May2012-3_Business Excellence Dashboard-Jul2012-ERP HU (OracleApps)-consolidated 5" xfId="6304" xr:uid="{00000000-0005-0000-0000-00008B0B0000}"/>
    <cellStyle name="%_QR-Prism-Ph2-WSR-24-Sep10_HU Risk dashboard_Apr2012-1-macro-7MAY2012-1_MSHU_BusinessExcellenceDashboardV2.2-May2012-3_Business Excellence Dashboard-Jul2012-ERP HU (OracleApps)-consolidated 6" xfId="5105" xr:uid="{00000000-0005-0000-0000-00008C0B0000}"/>
    <cellStyle name="%_QR-Prism-Ph2-WSR-24-Sep10_HU Risk dashboard_Apr2012-1-macro-7MAY2012-1_MSHU_BusinessExcellenceDashboardV2.2-May2012-3_Business Excellence Dashboard-Jul2012-ERP HU (OracleApps)-consolidated 7" xfId="3906" xr:uid="{00000000-0005-0000-0000-00008D0B0000}"/>
    <cellStyle name="%_QR-Prism-Ph2-WSR-24-Sep10_HU Risk dashboard_Apr2012-1-macro-7MAY2012-1_MSHU_BusinessExcellenceDashboardV2.2-May2012-3_Business Excellence Dashboard-Jul2012-ERP HU (OracleApps)-consolidated_BusinessExcellenceDashboard_OCt2012_MS HU-ERased" xfId="739" xr:uid="{00000000-0005-0000-0000-00008E0B0000}"/>
    <cellStyle name="%_QR-Prism-Ph2-WSR-24-Sep10_HU Risk dashboard_Apr2012-1-macro-7MAY2012-1_MSHU_BusinessExcellenceDashboardV2.2-May2012-3_BusinessExcellenceDashboard_OCt2012_MS HU-ERased" xfId="740" xr:uid="{00000000-0005-0000-0000-00008F0B0000}"/>
    <cellStyle name="%_QR-Prism-Ph2-WSR-24-Sep10_HU Risk dashboard_Apr2012-1-macro-7MAY2012-1_MSHU_BusinessExcellenceDashboardV2.2-May2012-3_copydatamacro" xfId="741" xr:uid="{00000000-0005-0000-0000-0000900B0000}"/>
    <cellStyle name="%_QR-Prism-Ph2-WSR-24-Sep10_HU Risk dashboard_Apr2012-1-macro-7MAY2012-1_MSHU_BusinessExcellenceDashboardV2.2-May2012-3_copydatamacro 2" xfId="9899" xr:uid="{00000000-0005-0000-0000-0000910B0000}"/>
    <cellStyle name="%_QR-Prism-Ph2-WSR-24-Sep10_HU Risk dashboard_Apr2012-1-macro-7MAY2012-1_MSHU_BusinessExcellenceDashboardV2.2-May2012-3_copydatamacro 3" xfId="8701" xr:uid="{00000000-0005-0000-0000-0000920B0000}"/>
    <cellStyle name="%_QR-Prism-Ph2-WSR-24-Sep10_HU Risk dashboard_Apr2012-1-macro-7MAY2012-1_MSHU_BusinessExcellenceDashboardV2.2-May2012-3_copydatamacro 4" xfId="7503" xr:uid="{00000000-0005-0000-0000-0000930B0000}"/>
    <cellStyle name="%_QR-Prism-Ph2-WSR-24-Sep10_HU Risk dashboard_Apr2012-1-macro-7MAY2012-1_MSHU_BusinessExcellenceDashboardV2.2-May2012-3_copydatamacro 5" xfId="6305" xr:uid="{00000000-0005-0000-0000-0000940B0000}"/>
    <cellStyle name="%_QR-Prism-Ph2-WSR-24-Sep10_HU Risk dashboard_Apr2012-1-macro-7MAY2012-1_MSHU_BusinessExcellenceDashboardV2.2-May2012-3_copydatamacro 6" xfId="5106" xr:uid="{00000000-0005-0000-0000-0000950B0000}"/>
    <cellStyle name="%_QR-Prism-Ph2-WSR-24-Sep10_HU Risk dashboard_Apr2012-1-macro-7MAY2012-1_MSHU_BusinessExcellenceDashboardV2.2-May2012-3_copydatamacro 7" xfId="3907" xr:uid="{00000000-0005-0000-0000-0000960B0000}"/>
    <cellStyle name="%_QR-Prism-Ph2-WSR-24-Sep10_HU Risk dashboard_Apr2012-1-macro-7MAY2012-1_MSHU_BusinessExcellenceDashboardV2.2-May2012-3_copydatamacro_BusinessExcellenceDashboard_OCt2012_MS HU-ERased" xfId="742" xr:uid="{00000000-0005-0000-0000-0000970B0000}"/>
    <cellStyle name="%_QR-Prism-Ph2-WSR-24-Sep10_HU-Risk-dashboard_OracleAppsProjects_Template-Macro" xfId="743" xr:uid="{00000000-0005-0000-0000-0000980B0000}"/>
    <cellStyle name="%_QR-Prism-Ph2-WSR-24-Sep10_HU-Risk-dashboard_OracleAppsProjects_Template-Macro 2" xfId="9900" xr:uid="{00000000-0005-0000-0000-0000990B0000}"/>
    <cellStyle name="%_QR-Prism-Ph2-WSR-24-Sep10_HU-Risk-dashboard_OracleAppsProjects_Template-Macro 3" xfId="8702" xr:uid="{00000000-0005-0000-0000-00009A0B0000}"/>
    <cellStyle name="%_QR-Prism-Ph2-WSR-24-Sep10_HU-Risk-dashboard_OracleAppsProjects_Template-Macro 4" xfId="7504" xr:uid="{00000000-0005-0000-0000-00009B0B0000}"/>
    <cellStyle name="%_QR-Prism-Ph2-WSR-24-Sep10_HU-Risk-dashboard_OracleAppsProjects_Template-Macro 5" xfId="6306" xr:uid="{00000000-0005-0000-0000-00009C0B0000}"/>
    <cellStyle name="%_QR-Prism-Ph2-WSR-24-Sep10_HU-Risk-dashboard_OracleAppsProjects_Template-Macro 6" xfId="5107" xr:uid="{00000000-0005-0000-0000-00009D0B0000}"/>
    <cellStyle name="%_QR-Prism-Ph2-WSR-24-Sep10_HU-Risk-dashboard_OracleAppsProjects_Template-Macro 7" xfId="3908" xr:uid="{00000000-0005-0000-0000-00009E0B0000}"/>
    <cellStyle name="%_QR-Prism-Ph2-WSR-24-Sep10_HU-Risk-dashboard_OracleAppsProjects_Template-Macro_2" xfId="744" xr:uid="{00000000-0005-0000-0000-00009F0B0000}"/>
    <cellStyle name="%_QR-Prism-Ph2-WSR-24-Sep10_HU-Risk-dashboard_OracleAppsProjects_Template-Macro_2 2" xfId="9901" xr:uid="{00000000-0005-0000-0000-0000A00B0000}"/>
    <cellStyle name="%_QR-Prism-Ph2-WSR-24-Sep10_HU-Risk-dashboard_OracleAppsProjects_Template-Macro_2 3" xfId="8703" xr:uid="{00000000-0005-0000-0000-0000A10B0000}"/>
    <cellStyle name="%_QR-Prism-Ph2-WSR-24-Sep10_HU-Risk-dashboard_OracleAppsProjects_Template-Macro_2 4" xfId="7505" xr:uid="{00000000-0005-0000-0000-0000A20B0000}"/>
    <cellStyle name="%_QR-Prism-Ph2-WSR-24-Sep10_HU-Risk-dashboard_OracleAppsProjects_Template-Macro_2 5" xfId="6307" xr:uid="{00000000-0005-0000-0000-0000A30B0000}"/>
    <cellStyle name="%_QR-Prism-Ph2-WSR-24-Sep10_HU-Risk-dashboard_OracleAppsProjects_Template-Macro_2 6" xfId="5108" xr:uid="{00000000-0005-0000-0000-0000A40B0000}"/>
    <cellStyle name="%_QR-Prism-Ph2-WSR-24-Sep10_HU-Risk-dashboard_OracleAppsProjects_Template-Macro_2 7" xfId="3909" xr:uid="{00000000-0005-0000-0000-0000A50B0000}"/>
    <cellStyle name="%_QR-Prism-Ph2-WSR-24-Sep10_HU-Risk-dashboard_OracleAppsProjects_Template-Macro_2_1" xfId="745" xr:uid="{00000000-0005-0000-0000-0000A60B0000}"/>
    <cellStyle name="%_QR-Prism-Ph2-WSR-24-Sep10_HU-Risk-dashboard_OracleAppsProjects_Template-Macro_2_1 2" xfId="9902" xr:uid="{00000000-0005-0000-0000-0000A70B0000}"/>
    <cellStyle name="%_QR-Prism-Ph2-WSR-24-Sep10_HU-Risk-dashboard_OracleAppsProjects_Template-Macro_2_1 3" xfId="8704" xr:uid="{00000000-0005-0000-0000-0000A80B0000}"/>
    <cellStyle name="%_QR-Prism-Ph2-WSR-24-Sep10_HU-Risk-dashboard_OracleAppsProjects_Template-Macro_2_1 4" xfId="7506" xr:uid="{00000000-0005-0000-0000-0000A90B0000}"/>
    <cellStyle name="%_QR-Prism-Ph2-WSR-24-Sep10_HU-Risk-dashboard_OracleAppsProjects_Template-Macro_2_1 5" xfId="6308" xr:uid="{00000000-0005-0000-0000-0000AA0B0000}"/>
    <cellStyle name="%_QR-Prism-Ph2-WSR-24-Sep10_HU-Risk-dashboard_OracleAppsProjects_Template-Macro_2_1 6" xfId="5109" xr:uid="{00000000-0005-0000-0000-0000AB0B0000}"/>
    <cellStyle name="%_QR-Prism-Ph2-WSR-24-Sep10_HU-Risk-dashboard_OracleAppsProjects_Template-Macro_2_1 7" xfId="3910" xr:uid="{00000000-0005-0000-0000-0000AC0B0000}"/>
    <cellStyle name="%_QR-Prism-Ph2-WSR-24-Sep10_HU-Risk-dashboard_OracleAppsProjects_Template-Macro_2_1_Business Excellence Dashboard-Aug2012-ERP HU (OracleApps)" xfId="746" xr:uid="{00000000-0005-0000-0000-0000AD0B0000}"/>
    <cellStyle name="%_QR-Prism-Ph2-WSR-24-Sep10_HU-Risk-dashboard_OracleAppsProjects_Template-Macro_2_1_Business Excellence Dashboard-Aug2012-ERP HU (OracleApps) 2" xfId="9903" xr:uid="{00000000-0005-0000-0000-0000AE0B0000}"/>
    <cellStyle name="%_QR-Prism-Ph2-WSR-24-Sep10_HU-Risk-dashboard_OracleAppsProjects_Template-Macro_2_1_Business Excellence Dashboard-Aug2012-ERP HU (OracleApps) 3" xfId="8705" xr:uid="{00000000-0005-0000-0000-0000AF0B0000}"/>
    <cellStyle name="%_QR-Prism-Ph2-WSR-24-Sep10_HU-Risk-dashboard_OracleAppsProjects_Template-Macro_2_1_Business Excellence Dashboard-Aug2012-ERP HU (OracleApps) 4" xfId="7507" xr:uid="{00000000-0005-0000-0000-0000B00B0000}"/>
    <cellStyle name="%_QR-Prism-Ph2-WSR-24-Sep10_HU-Risk-dashboard_OracleAppsProjects_Template-Macro_2_1_Business Excellence Dashboard-Aug2012-ERP HU (OracleApps) 5" xfId="6309" xr:uid="{00000000-0005-0000-0000-0000B10B0000}"/>
    <cellStyle name="%_QR-Prism-Ph2-WSR-24-Sep10_HU-Risk-dashboard_OracleAppsProjects_Template-Macro_2_1_Business Excellence Dashboard-Aug2012-ERP HU (OracleApps) 6" xfId="5110" xr:uid="{00000000-0005-0000-0000-0000B20B0000}"/>
    <cellStyle name="%_QR-Prism-Ph2-WSR-24-Sep10_HU-Risk-dashboard_OracleAppsProjects_Template-Macro_2_1_Business Excellence Dashboard-Aug2012-ERP HU (OracleApps) 7" xfId="3911" xr:uid="{00000000-0005-0000-0000-0000B30B0000}"/>
    <cellStyle name="%_QR-Prism-Ph2-WSR-24-Sep10_HU-Risk-dashboard_OracleAppsProjects_Template-Macro_2_1_Business Excellence Dashboard-Aug2012-ERP HU (OracleApps)_BusinessExcellenceDashboard_OCt2012_MS HU-ERased" xfId="747" xr:uid="{00000000-0005-0000-0000-0000B40B0000}"/>
    <cellStyle name="%_QR-Prism-Ph2-WSR-24-Sep10_HU-Risk-dashboard_OracleAppsProjects_Template-Macro_2_1_BusinessExcellenceDashboard_OCt2012_MS HU-ERased" xfId="748" xr:uid="{00000000-0005-0000-0000-0000B50B0000}"/>
    <cellStyle name="%_QR-Prism-Ph2-WSR-24-Sep10_HU-Risk-dashboard_OracleAppsProjects_Template-Macro_2_2" xfId="749" xr:uid="{00000000-0005-0000-0000-0000B60B0000}"/>
    <cellStyle name="%_QR-Prism-Ph2-WSR-24-Sep10_HU-Risk-dashboard_OracleAppsProjects_Template-Macro_2_2 2" xfId="9904" xr:uid="{00000000-0005-0000-0000-0000B70B0000}"/>
    <cellStyle name="%_QR-Prism-Ph2-WSR-24-Sep10_HU-Risk-dashboard_OracleAppsProjects_Template-Macro_2_2 3" xfId="8706" xr:uid="{00000000-0005-0000-0000-0000B80B0000}"/>
    <cellStyle name="%_QR-Prism-Ph2-WSR-24-Sep10_HU-Risk-dashboard_OracleAppsProjects_Template-Macro_2_2 4" xfId="7508" xr:uid="{00000000-0005-0000-0000-0000B90B0000}"/>
    <cellStyle name="%_QR-Prism-Ph2-WSR-24-Sep10_HU-Risk-dashboard_OracleAppsProjects_Template-Macro_2_2 5" xfId="6310" xr:uid="{00000000-0005-0000-0000-0000BA0B0000}"/>
    <cellStyle name="%_QR-Prism-Ph2-WSR-24-Sep10_HU-Risk-dashboard_OracleAppsProjects_Template-Macro_2_2 6" xfId="5111" xr:uid="{00000000-0005-0000-0000-0000BB0B0000}"/>
    <cellStyle name="%_QR-Prism-Ph2-WSR-24-Sep10_HU-Risk-dashboard_OracleAppsProjects_Template-Macro_2_2 7" xfId="3912" xr:uid="{00000000-0005-0000-0000-0000BC0B0000}"/>
    <cellStyle name="%_QR-Prism-Ph2-WSR-24-Sep10_HU-Risk-dashboard_OracleAppsProjects_Template-Macro_2_2_BusinessExcellenceDashboard_OCt2012_MS HU-ERased" xfId="750" xr:uid="{00000000-0005-0000-0000-0000BD0B0000}"/>
    <cellStyle name="%_QR-Prism-Ph2-WSR-24-Sep10_HU-Risk-dashboard_OracleAppsProjects_Template-Macro_2_Business Excellence Dashboard-Aug2012-ERP HU (OracleApps)" xfId="751" xr:uid="{00000000-0005-0000-0000-0000BE0B0000}"/>
    <cellStyle name="%_QR-Prism-Ph2-WSR-24-Sep10_HU-Risk-dashboard_OracleAppsProjects_Template-Macro_2_Business Excellence Dashboard-Aug2012-ERP HU (OracleApps) 2" xfId="9905" xr:uid="{00000000-0005-0000-0000-0000BF0B0000}"/>
    <cellStyle name="%_QR-Prism-Ph2-WSR-24-Sep10_HU-Risk-dashboard_OracleAppsProjects_Template-Macro_2_Business Excellence Dashboard-Aug2012-ERP HU (OracleApps) 3" xfId="8707" xr:uid="{00000000-0005-0000-0000-0000C00B0000}"/>
    <cellStyle name="%_QR-Prism-Ph2-WSR-24-Sep10_HU-Risk-dashboard_OracleAppsProjects_Template-Macro_2_Business Excellence Dashboard-Aug2012-ERP HU (OracleApps) 4" xfId="7509" xr:uid="{00000000-0005-0000-0000-0000C10B0000}"/>
    <cellStyle name="%_QR-Prism-Ph2-WSR-24-Sep10_HU-Risk-dashboard_OracleAppsProjects_Template-Macro_2_Business Excellence Dashboard-Aug2012-ERP HU (OracleApps) 5" xfId="6311" xr:uid="{00000000-0005-0000-0000-0000C20B0000}"/>
    <cellStyle name="%_QR-Prism-Ph2-WSR-24-Sep10_HU-Risk-dashboard_OracleAppsProjects_Template-Macro_2_Business Excellence Dashboard-Aug2012-ERP HU (OracleApps) 6" xfId="5112" xr:uid="{00000000-0005-0000-0000-0000C30B0000}"/>
    <cellStyle name="%_QR-Prism-Ph2-WSR-24-Sep10_HU-Risk-dashboard_OracleAppsProjects_Template-Macro_2_Business Excellence Dashboard-Aug2012-ERP HU (OracleApps) 7" xfId="3913" xr:uid="{00000000-0005-0000-0000-0000C40B0000}"/>
    <cellStyle name="%_QR-Prism-Ph2-WSR-24-Sep10_HU-Risk-dashboard_OracleAppsProjects_Template-Macro_2_Business Excellence Dashboard-Aug2012-ERP HU (OracleApps)_BusinessExcellenceDashboard_OCt2012_MS HU-ERased" xfId="752" xr:uid="{00000000-0005-0000-0000-0000C50B0000}"/>
    <cellStyle name="%_QR-Prism-Ph2-WSR-24-Sep10_HU-Risk-dashboard_OracleAppsProjects_Template-Macro_2_Business Excellence Dashboard-Jul2012-ERP HU (OracleApps)-consolidated" xfId="753" xr:uid="{00000000-0005-0000-0000-0000C60B0000}"/>
    <cellStyle name="%_QR-Prism-Ph2-WSR-24-Sep10_HU-Risk-dashboard_OracleAppsProjects_Template-Macro_2_Business Excellence Dashboard-Jul2012-ERP HU (OracleApps)-consolidated 2" xfId="9906" xr:uid="{00000000-0005-0000-0000-0000C70B0000}"/>
    <cellStyle name="%_QR-Prism-Ph2-WSR-24-Sep10_HU-Risk-dashboard_OracleAppsProjects_Template-Macro_2_Business Excellence Dashboard-Jul2012-ERP HU (OracleApps)-consolidated 3" xfId="8708" xr:uid="{00000000-0005-0000-0000-0000C80B0000}"/>
    <cellStyle name="%_QR-Prism-Ph2-WSR-24-Sep10_HU-Risk-dashboard_OracleAppsProjects_Template-Macro_2_Business Excellence Dashboard-Jul2012-ERP HU (OracleApps)-consolidated 4" xfId="7510" xr:uid="{00000000-0005-0000-0000-0000C90B0000}"/>
    <cellStyle name="%_QR-Prism-Ph2-WSR-24-Sep10_HU-Risk-dashboard_OracleAppsProjects_Template-Macro_2_Business Excellence Dashboard-Jul2012-ERP HU (OracleApps)-consolidated 5" xfId="6312" xr:uid="{00000000-0005-0000-0000-0000CA0B0000}"/>
    <cellStyle name="%_QR-Prism-Ph2-WSR-24-Sep10_HU-Risk-dashboard_OracleAppsProjects_Template-Macro_2_Business Excellence Dashboard-Jul2012-ERP HU (OracleApps)-consolidated 6" xfId="5113" xr:uid="{00000000-0005-0000-0000-0000CB0B0000}"/>
    <cellStyle name="%_QR-Prism-Ph2-WSR-24-Sep10_HU-Risk-dashboard_OracleAppsProjects_Template-Macro_2_Business Excellence Dashboard-Jul2012-ERP HU (OracleApps)-consolidated 7" xfId="3914" xr:uid="{00000000-0005-0000-0000-0000CC0B0000}"/>
    <cellStyle name="%_QR-Prism-Ph2-WSR-24-Sep10_HU-Risk-dashboard_OracleAppsProjects_Template-Macro_2_Business Excellence Dashboard-Jul2012-ERP HU (OracleApps)-consolidated_BusinessExcellenceDashboard_OCt2012_MS HU-ERased" xfId="754" xr:uid="{00000000-0005-0000-0000-0000CD0B0000}"/>
    <cellStyle name="%_QR-Prism-Ph2-WSR-24-Sep10_HU-Risk-dashboard_OracleAppsProjects_Template-Macro_2_BusinessExcellenceDashboard_OCt2012_MS HU-ERased" xfId="755" xr:uid="{00000000-0005-0000-0000-0000CE0B0000}"/>
    <cellStyle name="%_QR-Prism-Ph2-WSR-24-Sep10_HU-Risk-dashboard_OracleAppsProjects_Template-Macro_2_copydatamacro" xfId="756" xr:uid="{00000000-0005-0000-0000-0000CF0B0000}"/>
    <cellStyle name="%_QR-Prism-Ph2-WSR-24-Sep10_HU-Risk-dashboard_OracleAppsProjects_Template-Macro_2_copydatamacro 2" xfId="9907" xr:uid="{00000000-0005-0000-0000-0000D00B0000}"/>
    <cellStyle name="%_QR-Prism-Ph2-WSR-24-Sep10_HU-Risk-dashboard_OracleAppsProjects_Template-Macro_2_copydatamacro 3" xfId="8709" xr:uid="{00000000-0005-0000-0000-0000D10B0000}"/>
    <cellStyle name="%_QR-Prism-Ph2-WSR-24-Sep10_HU-Risk-dashboard_OracleAppsProjects_Template-Macro_2_copydatamacro 4" xfId="7511" xr:uid="{00000000-0005-0000-0000-0000D20B0000}"/>
    <cellStyle name="%_QR-Prism-Ph2-WSR-24-Sep10_HU-Risk-dashboard_OracleAppsProjects_Template-Macro_2_copydatamacro 5" xfId="6313" xr:uid="{00000000-0005-0000-0000-0000D30B0000}"/>
    <cellStyle name="%_QR-Prism-Ph2-WSR-24-Sep10_HU-Risk-dashboard_OracleAppsProjects_Template-Macro_2_copydatamacro 6" xfId="5114" xr:uid="{00000000-0005-0000-0000-0000D40B0000}"/>
    <cellStyle name="%_QR-Prism-Ph2-WSR-24-Sep10_HU-Risk-dashboard_OracleAppsProjects_Template-Macro_2_copydatamacro 7" xfId="3915" xr:uid="{00000000-0005-0000-0000-0000D50B0000}"/>
    <cellStyle name="%_QR-Prism-Ph2-WSR-24-Sep10_HU-Risk-dashboard_OracleAppsProjects_Template-Macro_2_copydatamacro_BusinessExcellenceDashboard_OCt2012_MS HU-ERased" xfId="757" xr:uid="{00000000-0005-0000-0000-0000D60B0000}"/>
    <cellStyle name="%_QR-Prism-Ph2-WSR-24-Sep10_HU-Risk-dashboard_OracleAppsProjects_Template-Macro_Book1" xfId="758" xr:uid="{00000000-0005-0000-0000-0000D70B0000}"/>
    <cellStyle name="%_QR-Prism-Ph2-WSR-24-Sep10_HU-Risk-dashboard_OracleAppsProjects_Template-Macro_Book1 2" xfId="9908" xr:uid="{00000000-0005-0000-0000-0000D80B0000}"/>
    <cellStyle name="%_QR-Prism-Ph2-WSR-24-Sep10_HU-Risk-dashboard_OracleAppsProjects_Template-Macro_Book1 3" xfId="8710" xr:uid="{00000000-0005-0000-0000-0000D90B0000}"/>
    <cellStyle name="%_QR-Prism-Ph2-WSR-24-Sep10_HU-Risk-dashboard_OracleAppsProjects_Template-Macro_Book1 4" xfId="7512" xr:uid="{00000000-0005-0000-0000-0000DA0B0000}"/>
    <cellStyle name="%_QR-Prism-Ph2-WSR-24-Sep10_HU-Risk-dashboard_OracleAppsProjects_Template-Macro_Book1 5" xfId="6314" xr:uid="{00000000-0005-0000-0000-0000DB0B0000}"/>
    <cellStyle name="%_QR-Prism-Ph2-WSR-24-Sep10_HU-Risk-dashboard_OracleAppsProjects_Template-Macro_Book1 6" xfId="5115" xr:uid="{00000000-0005-0000-0000-0000DC0B0000}"/>
    <cellStyle name="%_QR-Prism-Ph2-WSR-24-Sep10_HU-Risk-dashboard_OracleAppsProjects_Template-Macro_Book1 7" xfId="3916" xr:uid="{00000000-0005-0000-0000-0000DD0B0000}"/>
    <cellStyle name="%_QR-Prism-Ph2-WSR-24-Sep10_HU-Risk-dashboard_OracleAppsProjects_Template-Macro_Book1_Business Excellence Dashboard-Aug2012-ERP HU (OracleApps)" xfId="759" xr:uid="{00000000-0005-0000-0000-0000DE0B0000}"/>
    <cellStyle name="%_QR-Prism-Ph2-WSR-24-Sep10_HU-Risk-dashboard_OracleAppsProjects_Template-Macro_Book1_Business Excellence Dashboard-Aug2012-ERP HU (OracleApps) 2" xfId="9909" xr:uid="{00000000-0005-0000-0000-0000DF0B0000}"/>
    <cellStyle name="%_QR-Prism-Ph2-WSR-24-Sep10_HU-Risk-dashboard_OracleAppsProjects_Template-Macro_Book1_Business Excellence Dashboard-Aug2012-ERP HU (OracleApps) 3" xfId="8711" xr:uid="{00000000-0005-0000-0000-0000E00B0000}"/>
    <cellStyle name="%_QR-Prism-Ph2-WSR-24-Sep10_HU-Risk-dashboard_OracleAppsProjects_Template-Macro_Book1_Business Excellence Dashboard-Aug2012-ERP HU (OracleApps) 4" xfId="7513" xr:uid="{00000000-0005-0000-0000-0000E10B0000}"/>
    <cellStyle name="%_QR-Prism-Ph2-WSR-24-Sep10_HU-Risk-dashboard_OracleAppsProjects_Template-Macro_Book1_Business Excellence Dashboard-Aug2012-ERP HU (OracleApps) 5" xfId="6315" xr:uid="{00000000-0005-0000-0000-0000E20B0000}"/>
    <cellStyle name="%_QR-Prism-Ph2-WSR-24-Sep10_HU-Risk-dashboard_OracleAppsProjects_Template-Macro_Book1_Business Excellence Dashboard-Aug2012-ERP HU (OracleApps) 6" xfId="5116" xr:uid="{00000000-0005-0000-0000-0000E30B0000}"/>
    <cellStyle name="%_QR-Prism-Ph2-WSR-24-Sep10_HU-Risk-dashboard_OracleAppsProjects_Template-Macro_Book1_Business Excellence Dashboard-Aug2012-ERP HU (OracleApps) 7" xfId="3917" xr:uid="{00000000-0005-0000-0000-0000E40B0000}"/>
    <cellStyle name="%_QR-Prism-Ph2-WSR-24-Sep10_HU-Risk-dashboard_OracleAppsProjects_Template-Macro_Book1_Business Excellence Dashboard-Aug2012-ERP HU (OracleApps)_BusinessExcellenceDashboard_OCt2012_MS HU-ERased" xfId="760" xr:uid="{00000000-0005-0000-0000-0000E50B0000}"/>
    <cellStyle name="%_QR-Prism-Ph2-WSR-24-Sep10_HU-Risk-dashboard_OracleAppsProjects_Template-Macro_Book1_Business Excellence Dashboard-Jul2012-ERP HU (OracleApps)-consolidated" xfId="761" xr:uid="{00000000-0005-0000-0000-0000E60B0000}"/>
    <cellStyle name="%_QR-Prism-Ph2-WSR-24-Sep10_HU-Risk-dashboard_OracleAppsProjects_Template-Macro_Book1_Business Excellence Dashboard-Jul2012-ERP HU (OracleApps)-consolidated 2" xfId="9910" xr:uid="{00000000-0005-0000-0000-0000E70B0000}"/>
    <cellStyle name="%_QR-Prism-Ph2-WSR-24-Sep10_HU-Risk-dashboard_OracleAppsProjects_Template-Macro_Book1_Business Excellence Dashboard-Jul2012-ERP HU (OracleApps)-consolidated 3" xfId="8712" xr:uid="{00000000-0005-0000-0000-0000E80B0000}"/>
    <cellStyle name="%_QR-Prism-Ph2-WSR-24-Sep10_HU-Risk-dashboard_OracleAppsProjects_Template-Macro_Book1_Business Excellence Dashboard-Jul2012-ERP HU (OracleApps)-consolidated 4" xfId="7514" xr:uid="{00000000-0005-0000-0000-0000E90B0000}"/>
    <cellStyle name="%_QR-Prism-Ph2-WSR-24-Sep10_HU-Risk-dashboard_OracleAppsProjects_Template-Macro_Book1_Business Excellence Dashboard-Jul2012-ERP HU (OracleApps)-consolidated 5" xfId="6316" xr:uid="{00000000-0005-0000-0000-0000EA0B0000}"/>
    <cellStyle name="%_QR-Prism-Ph2-WSR-24-Sep10_HU-Risk-dashboard_OracleAppsProjects_Template-Macro_Book1_Business Excellence Dashboard-Jul2012-ERP HU (OracleApps)-consolidated 6" xfId="5117" xr:uid="{00000000-0005-0000-0000-0000EB0B0000}"/>
    <cellStyle name="%_QR-Prism-Ph2-WSR-24-Sep10_HU-Risk-dashboard_OracleAppsProjects_Template-Macro_Book1_Business Excellence Dashboard-Jul2012-ERP HU (OracleApps)-consolidated 7" xfId="3918" xr:uid="{00000000-0005-0000-0000-0000EC0B0000}"/>
    <cellStyle name="%_QR-Prism-Ph2-WSR-24-Sep10_HU-Risk-dashboard_OracleAppsProjects_Template-Macro_Book1_Business Excellence Dashboard-Jul2012-ERP HU (OracleApps)-consolidated_BusinessExcellenceDashboard_OCt2012_MS HU-ERased" xfId="762" xr:uid="{00000000-0005-0000-0000-0000ED0B0000}"/>
    <cellStyle name="%_QR-Prism-Ph2-WSR-24-Sep10_HU-Risk-dashboard_OracleAppsProjects_Template-Macro_Book1_BusinessExcellenceDashboard_OCt2012_MS HU-ERased" xfId="763" xr:uid="{00000000-0005-0000-0000-0000EE0B0000}"/>
    <cellStyle name="%_QR-Prism-Ph2-WSR-24-Sep10_HU-Risk-dashboard_OracleAppsProjects_Template-Macro_Book1_copydatamacro" xfId="764" xr:uid="{00000000-0005-0000-0000-0000EF0B0000}"/>
    <cellStyle name="%_QR-Prism-Ph2-WSR-24-Sep10_HU-Risk-dashboard_OracleAppsProjects_Template-Macro_Book1_copydatamacro 2" xfId="9911" xr:uid="{00000000-0005-0000-0000-0000F00B0000}"/>
    <cellStyle name="%_QR-Prism-Ph2-WSR-24-Sep10_HU-Risk-dashboard_OracleAppsProjects_Template-Macro_Book1_copydatamacro 3" xfId="8713" xr:uid="{00000000-0005-0000-0000-0000F10B0000}"/>
    <cellStyle name="%_QR-Prism-Ph2-WSR-24-Sep10_HU-Risk-dashboard_OracleAppsProjects_Template-Macro_Book1_copydatamacro 4" xfId="7515" xr:uid="{00000000-0005-0000-0000-0000F20B0000}"/>
    <cellStyle name="%_QR-Prism-Ph2-WSR-24-Sep10_HU-Risk-dashboard_OracleAppsProjects_Template-Macro_Book1_copydatamacro 5" xfId="6317" xr:uid="{00000000-0005-0000-0000-0000F30B0000}"/>
    <cellStyle name="%_QR-Prism-Ph2-WSR-24-Sep10_HU-Risk-dashboard_OracleAppsProjects_Template-Macro_Book1_copydatamacro 6" xfId="5118" xr:uid="{00000000-0005-0000-0000-0000F40B0000}"/>
    <cellStyle name="%_QR-Prism-Ph2-WSR-24-Sep10_HU-Risk-dashboard_OracleAppsProjects_Template-Macro_Book1_copydatamacro 7" xfId="3919" xr:uid="{00000000-0005-0000-0000-0000F50B0000}"/>
    <cellStyle name="%_QR-Prism-Ph2-WSR-24-Sep10_HU-Risk-dashboard_OracleAppsProjects_Template-Macro_Book1_copydatamacro_BusinessExcellenceDashboard_OCt2012_MS HU-ERased" xfId="765" xr:uid="{00000000-0005-0000-0000-0000F60B0000}"/>
    <cellStyle name="%_QR-Prism-Ph2-WSR-24-Sep10_HU-Risk-dashboard_OracleAppsProjects_Template-Macro_Business Excellence Dashboard-Aug2012-ERP HU (OracleApps)" xfId="766" xr:uid="{00000000-0005-0000-0000-0000F70B0000}"/>
    <cellStyle name="%_QR-Prism-Ph2-WSR-24-Sep10_HU-Risk-dashboard_OracleAppsProjects_Template-Macro_Business Excellence Dashboard-Aug2012-ERP HU (OracleApps) 2" xfId="9912" xr:uid="{00000000-0005-0000-0000-0000F80B0000}"/>
    <cellStyle name="%_QR-Prism-Ph2-WSR-24-Sep10_HU-Risk-dashboard_OracleAppsProjects_Template-Macro_Business Excellence Dashboard-Aug2012-ERP HU (OracleApps) 3" xfId="8714" xr:uid="{00000000-0005-0000-0000-0000F90B0000}"/>
    <cellStyle name="%_QR-Prism-Ph2-WSR-24-Sep10_HU-Risk-dashboard_OracleAppsProjects_Template-Macro_Business Excellence Dashboard-Aug2012-ERP HU (OracleApps) 4" xfId="7516" xr:uid="{00000000-0005-0000-0000-0000FA0B0000}"/>
    <cellStyle name="%_QR-Prism-Ph2-WSR-24-Sep10_HU-Risk-dashboard_OracleAppsProjects_Template-Macro_Business Excellence Dashboard-Aug2012-ERP HU (OracleApps) 5" xfId="6318" xr:uid="{00000000-0005-0000-0000-0000FB0B0000}"/>
    <cellStyle name="%_QR-Prism-Ph2-WSR-24-Sep10_HU-Risk-dashboard_OracleAppsProjects_Template-Macro_Business Excellence Dashboard-Aug2012-ERP HU (OracleApps) 6" xfId="5119" xr:uid="{00000000-0005-0000-0000-0000FC0B0000}"/>
    <cellStyle name="%_QR-Prism-Ph2-WSR-24-Sep10_HU-Risk-dashboard_OracleAppsProjects_Template-Macro_Business Excellence Dashboard-Aug2012-ERP HU (OracleApps) 7" xfId="3920" xr:uid="{00000000-0005-0000-0000-0000FD0B0000}"/>
    <cellStyle name="%_QR-Prism-Ph2-WSR-24-Sep10_HU-Risk-dashboard_OracleAppsProjects_Template-Macro_Business Excellence Dashboard-Aug2012-ERP HU (OracleApps)_BusinessExcellenceDashboard_OCt2012_MS HU-ERased" xfId="767" xr:uid="{00000000-0005-0000-0000-0000FE0B0000}"/>
    <cellStyle name="%_QR-Prism-Ph2-WSR-24-Sep10_HU-Risk-dashboard_OracleAppsProjects_Template-Macro_Business Excellence Dashboard-Jul2012-ERP HU (OracleApps)-consolidated" xfId="768" xr:uid="{00000000-0005-0000-0000-0000FF0B0000}"/>
    <cellStyle name="%_QR-Prism-Ph2-WSR-24-Sep10_HU-Risk-dashboard_OracleAppsProjects_Template-Macro_Business Excellence Dashboard-Jul2012-ERP HU (OracleApps)-consolidated 2" xfId="9913" xr:uid="{00000000-0005-0000-0000-0000000C0000}"/>
    <cellStyle name="%_QR-Prism-Ph2-WSR-24-Sep10_HU-Risk-dashboard_OracleAppsProjects_Template-Macro_Business Excellence Dashboard-Jul2012-ERP HU (OracleApps)-consolidated 3" xfId="8715" xr:uid="{00000000-0005-0000-0000-0000010C0000}"/>
    <cellStyle name="%_QR-Prism-Ph2-WSR-24-Sep10_HU-Risk-dashboard_OracleAppsProjects_Template-Macro_Business Excellence Dashboard-Jul2012-ERP HU (OracleApps)-consolidated 4" xfId="7517" xr:uid="{00000000-0005-0000-0000-0000020C0000}"/>
    <cellStyle name="%_QR-Prism-Ph2-WSR-24-Sep10_HU-Risk-dashboard_OracleAppsProjects_Template-Macro_Business Excellence Dashboard-Jul2012-ERP HU (OracleApps)-consolidated 5" xfId="6319" xr:uid="{00000000-0005-0000-0000-0000030C0000}"/>
    <cellStyle name="%_QR-Prism-Ph2-WSR-24-Sep10_HU-Risk-dashboard_OracleAppsProjects_Template-Macro_Business Excellence Dashboard-Jul2012-ERP HU (OracleApps)-consolidated 6" xfId="5120" xr:uid="{00000000-0005-0000-0000-0000040C0000}"/>
    <cellStyle name="%_QR-Prism-Ph2-WSR-24-Sep10_HU-Risk-dashboard_OracleAppsProjects_Template-Macro_Business Excellence Dashboard-Jul2012-ERP HU (OracleApps)-consolidated 7" xfId="3921" xr:uid="{00000000-0005-0000-0000-0000050C0000}"/>
    <cellStyle name="%_QR-Prism-Ph2-WSR-24-Sep10_HU-Risk-dashboard_OracleAppsProjects_Template-Macro_Business Excellence Dashboard-Jul2012-ERP HU (OracleApps)-consolidated_BusinessExcellenceDashboard_OCt2012_MS HU-ERased" xfId="769" xr:uid="{00000000-0005-0000-0000-0000060C0000}"/>
    <cellStyle name="%_QR-Prism-Ph2-WSR-24-Sep10_HU-Risk-dashboard_OracleAppsProjects_Template-Macro_BusinessExcellenceDashboard_OCt2012_MS HU-ERased" xfId="770" xr:uid="{00000000-0005-0000-0000-0000070C0000}"/>
    <cellStyle name="%_QR-Prism-Ph2-WSR-24-Sep10_HU-Risk-dashboard_OracleAppsProjects_Template-Macro_copydatamacro" xfId="771" xr:uid="{00000000-0005-0000-0000-0000080C0000}"/>
    <cellStyle name="%_QR-Prism-Ph2-WSR-24-Sep10_HU-Risk-dashboard_OracleAppsProjects_Template-Macro_copydatamacro 2" xfId="9914" xr:uid="{00000000-0005-0000-0000-0000090C0000}"/>
    <cellStyle name="%_QR-Prism-Ph2-WSR-24-Sep10_HU-Risk-dashboard_OracleAppsProjects_Template-Macro_copydatamacro 3" xfId="8716" xr:uid="{00000000-0005-0000-0000-00000A0C0000}"/>
    <cellStyle name="%_QR-Prism-Ph2-WSR-24-Sep10_HU-Risk-dashboard_OracleAppsProjects_Template-Macro_copydatamacro 4" xfId="7518" xr:uid="{00000000-0005-0000-0000-00000B0C0000}"/>
    <cellStyle name="%_QR-Prism-Ph2-WSR-24-Sep10_HU-Risk-dashboard_OracleAppsProjects_Template-Macro_copydatamacro 5" xfId="6320" xr:uid="{00000000-0005-0000-0000-00000C0C0000}"/>
    <cellStyle name="%_QR-Prism-Ph2-WSR-24-Sep10_HU-Risk-dashboard_OracleAppsProjects_Template-Macro_copydatamacro 6" xfId="5121" xr:uid="{00000000-0005-0000-0000-00000D0C0000}"/>
    <cellStyle name="%_QR-Prism-Ph2-WSR-24-Sep10_HU-Risk-dashboard_OracleAppsProjects_Template-Macro_copydatamacro 7" xfId="3922" xr:uid="{00000000-0005-0000-0000-00000E0C0000}"/>
    <cellStyle name="%_QR-Prism-Ph2-WSR-24-Sep10_HU-Risk-dashboard_OracleAppsProjects_Template-Macro_copydatamacro_BusinessExcellenceDashboard_OCt2012_MS HU-ERased" xfId="772" xr:uid="{00000000-0005-0000-0000-00000F0C0000}"/>
    <cellStyle name="%_QR-Prism-Ph2-WSR-24-Sep10_HU-Risk-dashboard_OracleAppsProjects_Template-Macro_MSHU_BusinessExcellenceDashboardV2.2-May2012-3" xfId="773" xr:uid="{00000000-0005-0000-0000-0000100C0000}"/>
    <cellStyle name="%_QR-Prism-Ph2-WSR-24-Sep10_HU-Risk-dashboard_OracleAppsProjects_Template-Macro_MSHU_BusinessExcellenceDashboardV2.2-May2012-3 2" xfId="9915" xr:uid="{00000000-0005-0000-0000-0000110C0000}"/>
    <cellStyle name="%_QR-Prism-Ph2-WSR-24-Sep10_HU-Risk-dashboard_OracleAppsProjects_Template-Macro_MSHU_BusinessExcellenceDashboardV2.2-May2012-3 3" xfId="8717" xr:uid="{00000000-0005-0000-0000-0000120C0000}"/>
    <cellStyle name="%_QR-Prism-Ph2-WSR-24-Sep10_HU-Risk-dashboard_OracleAppsProjects_Template-Macro_MSHU_BusinessExcellenceDashboardV2.2-May2012-3 4" xfId="7519" xr:uid="{00000000-0005-0000-0000-0000130C0000}"/>
    <cellStyle name="%_QR-Prism-Ph2-WSR-24-Sep10_HU-Risk-dashboard_OracleAppsProjects_Template-Macro_MSHU_BusinessExcellenceDashboardV2.2-May2012-3 5" xfId="6321" xr:uid="{00000000-0005-0000-0000-0000140C0000}"/>
    <cellStyle name="%_QR-Prism-Ph2-WSR-24-Sep10_HU-Risk-dashboard_OracleAppsProjects_Template-Macro_MSHU_BusinessExcellenceDashboardV2.2-May2012-3 6" xfId="5122" xr:uid="{00000000-0005-0000-0000-0000150C0000}"/>
    <cellStyle name="%_QR-Prism-Ph2-WSR-24-Sep10_HU-Risk-dashboard_OracleAppsProjects_Template-Macro_MSHU_BusinessExcellenceDashboardV2.2-May2012-3 7" xfId="3923" xr:uid="{00000000-0005-0000-0000-0000160C0000}"/>
    <cellStyle name="%_QR-Prism-Ph2-WSR-24-Sep10_HU-Risk-dashboard_OracleAppsProjects_Template-Macro_MSHU_BusinessExcellenceDashboardV2.2-May2012-3_Business Excellence Dashboard-Aug2012-ERP HU (OracleApps)" xfId="774" xr:uid="{00000000-0005-0000-0000-0000170C0000}"/>
    <cellStyle name="%_QR-Prism-Ph2-WSR-24-Sep10_HU-Risk-dashboard_OracleAppsProjects_Template-Macro_MSHU_BusinessExcellenceDashboardV2.2-May2012-3_Business Excellence Dashboard-Aug2012-ERP HU (OracleApps) 2" xfId="9916" xr:uid="{00000000-0005-0000-0000-0000180C0000}"/>
    <cellStyle name="%_QR-Prism-Ph2-WSR-24-Sep10_HU-Risk-dashboard_OracleAppsProjects_Template-Macro_MSHU_BusinessExcellenceDashboardV2.2-May2012-3_Business Excellence Dashboard-Aug2012-ERP HU (OracleApps) 3" xfId="8718" xr:uid="{00000000-0005-0000-0000-0000190C0000}"/>
    <cellStyle name="%_QR-Prism-Ph2-WSR-24-Sep10_HU-Risk-dashboard_OracleAppsProjects_Template-Macro_MSHU_BusinessExcellenceDashboardV2.2-May2012-3_Business Excellence Dashboard-Aug2012-ERP HU (OracleApps) 4" xfId="7520" xr:uid="{00000000-0005-0000-0000-00001A0C0000}"/>
    <cellStyle name="%_QR-Prism-Ph2-WSR-24-Sep10_HU-Risk-dashboard_OracleAppsProjects_Template-Macro_MSHU_BusinessExcellenceDashboardV2.2-May2012-3_Business Excellence Dashboard-Aug2012-ERP HU (OracleApps) 5" xfId="6322" xr:uid="{00000000-0005-0000-0000-00001B0C0000}"/>
    <cellStyle name="%_QR-Prism-Ph2-WSR-24-Sep10_HU-Risk-dashboard_OracleAppsProjects_Template-Macro_MSHU_BusinessExcellenceDashboardV2.2-May2012-3_Business Excellence Dashboard-Aug2012-ERP HU (OracleApps) 6" xfId="5123" xr:uid="{00000000-0005-0000-0000-00001C0C0000}"/>
    <cellStyle name="%_QR-Prism-Ph2-WSR-24-Sep10_HU-Risk-dashboard_OracleAppsProjects_Template-Macro_MSHU_BusinessExcellenceDashboardV2.2-May2012-3_Business Excellence Dashboard-Aug2012-ERP HU (OracleApps) 7" xfId="3924" xr:uid="{00000000-0005-0000-0000-00001D0C0000}"/>
    <cellStyle name="%_QR-Prism-Ph2-WSR-24-Sep10_HU-Risk-dashboard_OracleAppsProjects_Template-Macro_MSHU_BusinessExcellenceDashboardV2.2-May2012-3_Business Excellence Dashboard-Aug2012-ERP HU (OracleApps)_BusinessExcellenceDashboard_OCt2012_MS HU-ERased" xfId="775" xr:uid="{00000000-0005-0000-0000-00001E0C0000}"/>
    <cellStyle name="%_QR-Prism-Ph2-WSR-24-Sep10_HU-Risk-dashboard_OracleAppsProjects_Template-Macro_MSHU_BusinessExcellenceDashboardV2.2-May2012-3_Business Excellence Dashboard-Jul2012-ERP HU (OracleApps)-consolidated" xfId="776" xr:uid="{00000000-0005-0000-0000-00001F0C0000}"/>
    <cellStyle name="%_QR-Prism-Ph2-WSR-24-Sep10_HU-Risk-dashboard_OracleAppsProjects_Template-Macro_MSHU_BusinessExcellenceDashboardV2.2-May2012-3_Business Excellence Dashboard-Jul2012-ERP HU (OracleApps)-consolidated 2" xfId="9917" xr:uid="{00000000-0005-0000-0000-0000200C0000}"/>
    <cellStyle name="%_QR-Prism-Ph2-WSR-24-Sep10_HU-Risk-dashboard_OracleAppsProjects_Template-Macro_MSHU_BusinessExcellenceDashboardV2.2-May2012-3_Business Excellence Dashboard-Jul2012-ERP HU (OracleApps)-consolidated 3" xfId="8719" xr:uid="{00000000-0005-0000-0000-0000210C0000}"/>
    <cellStyle name="%_QR-Prism-Ph2-WSR-24-Sep10_HU-Risk-dashboard_OracleAppsProjects_Template-Macro_MSHU_BusinessExcellenceDashboardV2.2-May2012-3_Business Excellence Dashboard-Jul2012-ERP HU (OracleApps)-consolidated 4" xfId="7521" xr:uid="{00000000-0005-0000-0000-0000220C0000}"/>
    <cellStyle name="%_QR-Prism-Ph2-WSR-24-Sep10_HU-Risk-dashboard_OracleAppsProjects_Template-Macro_MSHU_BusinessExcellenceDashboardV2.2-May2012-3_Business Excellence Dashboard-Jul2012-ERP HU (OracleApps)-consolidated 5" xfId="6323" xr:uid="{00000000-0005-0000-0000-0000230C0000}"/>
    <cellStyle name="%_QR-Prism-Ph2-WSR-24-Sep10_HU-Risk-dashboard_OracleAppsProjects_Template-Macro_MSHU_BusinessExcellenceDashboardV2.2-May2012-3_Business Excellence Dashboard-Jul2012-ERP HU (OracleApps)-consolidated 6" xfId="5124" xr:uid="{00000000-0005-0000-0000-0000240C0000}"/>
    <cellStyle name="%_QR-Prism-Ph2-WSR-24-Sep10_HU-Risk-dashboard_OracleAppsProjects_Template-Macro_MSHU_BusinessExcellenceDashboardV2.2-May2012-3_Business Excellence Dashboard-Jul2012-ERP HU (OracleApps)-consolidated 7" xfId="3925" xr:uid="{00000000-0005-0000-0000-0000250C0000}"/>
    <cellStyle name="%_QR-Prism-Ph2-WSR-24-Sep10_HU-Risk-dashboard_OracleAppsProjects_Template-Macro_MSHU_BusinessExcellenceDashboardV2.2-May2012-3_Business Excellence Dashboard-Jul2012-ERP HU (OracleApps)-consolidated_BusinessExcellenceDashboard_OCt2012_MS HU-ERased" xfId="777" xr:uid="{00000000-0005-0000-0000-0000260C0000}"/>
    <cellStyle name="%_QR-Prism-Ph2-WSR-24-Sep10_HU-Risk-dashboard_OracleAppsProjects_Template-Macro_MSHU_BusinessExcellenceDashboardV2.2-May2012-3_BusinessExcellenceDashboard_OCt2012_MS HU-ERased" xfId="778" xr:uid="{00000000-0005-0000-0000-0000270C0000}"/>
    <cellStyle name="%_QR-Prism-Ph2-WSR-24-Sep10_HU-Risk-dashboard_OracleAppsProjects_Template-Macro_MSHU_BusinessExcellenceDashboardV2.2-May2012-3_copydatamacro" xfId="779" xr:uid="{00000000-0005-0000-0000-0000280C0000}"/>
    <cellStyle name="%_QR-Prism-Ph2-WSR-24-Sep10_HU-Risk-dashboard_OracleAppsProjects_Template-Macro_MSHU_BusinessExcellenceDashboardV2.2-May2012-3_copydatamacro 2" xfId="9918" xr:uid="{00000000-0005-0000-0000-0000290C0000}"/>
    <cellStyle name="%_QR-Prism-Ph2-WSR-24-Sep10_HU-Risk-dashboard_OracleAppsProjects_Template-Macro_MSHU_BusinessExcellenceDashboardV2.2-May2012-3_copydatamacro 3" xfId="8720" xr:uid="{00000000-0005-0000-0000-00002A0C0000}"/>
    <cellStyle name="%_QR-Prism-Ph2-WSR-24-Sep10_HU-Risk-dashboard_OracleAppsProjects_Template-Macro_MSHU_BusinessExcellenceDashboardV2.2-May2012-3_copydatamacro 4" xfId="7522" xr:uid="{00000000-0005-0000-0000-00002B0C0000}"/>
    <cellStyle name="%_QR-Prism-Ph2-WSR-24-Sep10_HU-Risk-dashboard_OracleAppsProjects_Template-Macro_MSHU_BusinessExcellenceDashboardV2.2-May2012-3_copydatamacro 5" xfId="6324" xr:uid="{00000000-0005-0000-0000-00002C0C0000}"/>
    <cellStyle name="%_QR-Prism-Ph2-WSR-24-Sep10_HU-Risk-dashboard_OracleAppsProjects_Template-Macro_MSHU_BusinessExcellenceDashboardV2.2-May2012-3_copydatamacro 6" xfId="5125" xr:uid="{00000000-0005-0000-0000-00002D0C0000}"/>
    <cellStyle name="%_QR-Prism-Ph2-WSR-24-Sep10_HU-Risk-dashboard_OracleAppsProjects_Template-Macro_MSHU_BusinessExcellenceDashboardV2.2-May2012-3_copydatamacro 7" xfId="3926" xr:uid="{00000000-0005-0000-0000-00002E0C0000}"/>
    <cellStyle name="%_QR-Prism-Ph2-WSR-24-Sep10_HU-Risk-dashboard_OracleAppsProjects_Template-Macro_MSHU_BusinessExcellenceDashboardV2.2-May2012-3_copydatamacro_BusinessExcellenceDashboard_OCt2012_MS HU-ERased" xfId="780" xr:uid="{00000000-0005-0000-0000-00002F0C0000}"/>
    <cellStyle name="%_QR-Prism-Ph2-WSR-24-Sep10_HU-Risk-dashboard_SAPProjects_Template-Macro" xfId="781" xr:uid="{00000000-0005-0000-0000-0000300C0000}"/>
    <cellStyle name="%_QR-Prism-Ph2-WSR-24-Sep10_HU-Risk-dashboard_SAPProjects_Template-Macro 2" xfId="9919" xr:uid="{00000000-0005-0000-0000-0000310C0000}"/>
    <cellStyle name="%_QR-Prism-Ph2-WSR-24-Sep10_HU-Risk-dashboard_SAPProjects_Template-Macro 3" xfId="8721" xr:uid="{00000000-0005-0000-0000-0000320C0000}"/>
    <cellStyle name="%_QR-Prism-Ph2-WSR-24-Sep10_HU-Risk-dashboard_SAPProjects_Template-Macro 4" xfId="7523" xr:uid="{00000000-0005-0000-0000-0000330C0000}"/>
    <cellStyle name="%_QR-Prism-Ph2-WSR-24-Sep10_HU-Risk-dashboard_SAPProjects_Template-Macro 5" xfId="6325" xr:uid="{00000000-0005-0000-0000-0000340C0000}"/>
    <cellStyle name="%_QR-Prism-Ph2-WSR-24-Sep10_HU-Risk-dashboard_SAPProjects_Template-Macro 6" xfId="5126" xr:uid="{00000000-0005-0000-0000-0000350C0000}"/>
    <cellStyle name="%_QR-Prism-Ph2-WSR-24-Sep10_HU-Risk-dashboard_SAPProjects_Template-Macro 7" xfId="3927" xr:uid="{00000000-0005-0000-0000-0000360C0000}"/>
    <cellStyle name="%_QR-Prism-Ph2-WSR-24-Sep10_HU-Risk-dashboard_SAPProjects_Template-Macro_2" xfId="782" xr:uid="{00000000-0005-0000-0000-0000370C0000}"/>
    <cellStyle name="%_QR-Prism-Ph2-WSR-24-Sep10_HU-Risk-dashboard_SAPProjects_Template-Macro_2 2" xfId="9920" xr:uid="{00000000-0005-0000-0000-0000380C0000}"/>
    <cellStyle name="%_QR-Prism-Ph2-WSR-24-Sep10_HU-Risk-dashboard_SAPProjects_Template-Macro_2 3" xfId="8722" xr:uid="{00000000-0005-0000-0000-0000390C0000}"/>
    <cellStyle name="%_QR-Prism-Ph2-WSR-24-Sep10_HU-Risk-dashboard_SAPProjects_Template-Macro_2 4" xfId="7524" xr:uid="{00000000-0005-0000-0000-00003A0C0000}"/>
    <cellStyle name="%_QR-Prism-Ph2-WSR-24-Sep10_HU-Risk-dashboard_SAPProjects_Template-Macro_2 5" xfId="6326" xr:uid="{00000000-0005-0000-0000-00003B0C0000}"/>
    <cellStyle name="%_QR-Prism-Ph2-WSR-24-Sep10_HU-Risk-dashboard_SAPProjects_Template-Macro_2 6" xfId="5127" xr:uid="{00000000-0005-0000-0000-00003C0C0000}"/>
    <cellStyle name="%_QR-Prism-Ph2-WSR-24-Sep10_HU-Risk-dashboard_SAPProjects_Template-Macro_2 7" xfId="3928" xr:uid="{00000000-0005-0000-0000-00003D0C0000}"/>
    <cellStyle name="%_QR-Prism-Ph2-WSR-24-Sep10_HU-Risk-dashboard_SAPProjects_Template-Macro_2_1" xfId="783" xr:uid="{00000000-0005-0000-0000-00003E0C0000}"/>
    <cellStyle name="%_QR-Prism-Ph2-WSR-24-Sep10_HU-Risk-dashboard_SAPProjects_Template-Macro_2_1 2" xfId="9921" xr:uid="{00000000-0005-0000-0000-00003F0C0000}"/>
    <cellStyle name="%_QR-Prism-Ph2-WSR-24-Sep10_HU-Risk-dashboard_SAPProjects_Template-Macro_2_1 3" xfId="8723" xr:uid="{00000000-0005-0000-0000-0000400C0000}"/>
    <cellStyle name="%_QR-Prism-Ph2-WSR-24-Sep10_HU-Risk-dashboard_SAPProjects_Template-Macro_2_1 4" xfId="7525" xr:uid="{00000000-0005-0000-0000-0000410C0000}"/>
    <cellStyle name="%_QR-Prism-Ph2-WSR-24-Sep10_HU-Risk-dashboard_SAPProjects_Template-Macro_2_1 5" xfId="6327" xr:uid="{00000000-0005-0000-0000-0000420C0000}"/>
    <cellStyle name="%_QR-Prism-Ph2-WSR-24-Sep10_HU-Risk-dashboard_SAPProjects_Template-Macro_2_1 6" xfId="5128" xr:uid="{00000000-0005-0000-0000-0000430C0000}"/>
    <cellStyle name="%_QR-Prism-Ph2-WSR-24-Sep10_HU-Risk-dashboard_SAPProjects_Template-Macro_2_1 7" xfId="3929" xr:uid="{00000000-0005-0000-0000-0000440C0000}"/>
    <cellStyle name="%_QR-Prism-Ph2-WSR-24-Sep10_HU-Risk-dashboard_SAPProjects_Template-Macro_2_1_Business Excellence Dashboard-Aug2012-ERP HU (OracleApps)" xfId="784" xr:uid="{00000000-0005-0000-0000-0000450C0000}"/>
    <cellStyle name="%_QR-Prism-Ph2-WSR-24-Sep10_HU-Risk-dashboard_SAPProjects_Template-Macro_2_1_Business Excellence Dashboard-Aug2012-ERP HU (OracleApps) 2" xfId="9922" xr:uid="{00000000-0005-0000-0000-0000460C0000}"/>
    <cellStyle name="%_QR-Prism-Ph2-WSR-24-Sep10_HU-Risk-dashboard_SAPProjects_Template-Macro_2_1_Business Excellence Dashboard-Aug2012-ERP HU (OracleApps) 3" xfId="8724" xr:uid="{00000000-0005-0000-0000-0000470C0000}"/>
    <cellStyle name="%_QR-Prism-Ph2-WSR-24-Sep10_HU-Risk-dashboard_SAPProjects_Template-Macro_2_1_Business Excellence Dashboard-Aug2012-ERP HU (OracleApps) 4" xfId="7526" xr:uid="{00000000-0005-0000-0000-0000480C0000}"/>
    <cellStyle name="%_QR-Prism-Ph2-WSR-24-Sep10_HU-Risk-dashboard_SAPProjects_Template-Macro_2_1_Business Excellence Dashboard-Aug2012-ERP HU (OracleApps) 5" xfId="6328" xr:uid="{00000000-0005-0000-0000-0000490C0000}"/>
    <cellStyle name="%_QR-Prism-Ph2-WSR-24-Sep10_HU-Risk-dashboard_SAPProjects_Template-Macro_2_1_Business Excellence Dashboard-Aug2012-ERP HU (OracleApps) 6" xfId="5129" xr:uid="{00000000-0005-0000-0000-00004A0C0000}"/>
    <cellStyle name="%_QR-Prism-Ph2-WSR-24-Sep10_HU-Risk-dashboard_SAPProjects_Template-Macro_2_1_Business Excellence Dashboard-Aug2012-ERP HU (OracleApps) 7" xfId="3930" xr:uid="{00000000-0005-0000-0000-00004B0C0000}"/>
    <cellStyle name="%_QR-Prism-Ph2-WSR-24-Sep10_HU-Risk-dashboard_SAPProjects_Template-Macro_2_1_Business Excellence Dashboard-Aug2012-ERP HU (OracleApps)_BusinessExcellenceDashboard_OCt2012_MS HU-ERased" xfId="785" xr:uid="{00000000-0005-0000-0000-00004C0C0000}"/>
    <cellStyle name="%_QR-Prism-Ph2-WSR-24-Sep10_HU-Risk-dashboard_SAPProjects_Template-Macro_2_1_BusinessExcellenceDashboard_OCt2012_MS HU-ERased" xfId="786" xr:uid="{00000000-0005-0000-0000-00004D0C0000}"/>
    <cellStyle name="%_QR-Prism-Ph2-WSR-24-Sep10_HU-Risk-dashboard_SAPProjects_Template-Macro_2_2" xfId="787" xr:uid="{00000000-0005-0000-0000-00004E0C0000}"/>
    <cellStyle name="%_QR-Prism-Ph2-WSR-24-Sep10_HU-Risk-dashboard_SAPProjects_Template-Macro_2_2 2" xfId="9923" xr:uid="{00000000-0005-0000-0000-00004F0C0000}"/>
    <cellStyle name="%_QR-Prism-Ph2-WSR-24-Sep10_HU-Risk-dashboard_SAPProjects_Template-Macro_2_2 3" xfId="8725" xr:uid="{00000000-0005-0000-0000-0000500C0000}"/>
    <cellStyle name="%_QR-Prism-Ph2-WSR-24-Sep10_HU-Risk-dashboard_SAPProjects_Template-Macro_2_2 4" xfId="7527" xr:uid="{00000000-0005-0000-0000-0000510C0000}"/>
    <cellStyle name="%_QR-Prism-Ph2-WSR-24-Sep10_HU-Risk-dashboard_SAPProjects_Template-Macro_2_2 5" xfId="6329" xr:uid="{00000000-0005-0000-0000-0000520C0000}"/>
    <cellStyle name="%_QR-Prism-Ph2-WSR-24-Sep10_HU-Risk-dashboard_SAPProjects_Template-Macro_2_2 6" xfId="5130" xr:uid="{00000000-0005-0000-0000-0000530C0000}"/>
    <cellStyle name="%_QR-Prism-Ph2-WSR-24-Sep10_HU-Risk-dashboard_SAPProjects_Template-Macro_2_2 7" xfId="3931" xr:uid="{00000000-0005-0000-0000-0000540C0000}"/>
    <cellStyle name="%_QR-Prism-Ph2-WSR-24-Sep10_HU-Risk-dashboard_SAPProjects_Template-Macro_2_2_BusinessExcellenceDashboard_OCt2012_MS HU-ERased" xfId="788" xr:uid="{00000000-0005-0000-0000-0000550C0000}"/>
    <cellStyle name="%_QR-Prism-Ph2-WSR-24-Sep10_HU-Risk-dashboard_SAPProjects_Template-Macro_2_Business Excellence Dashboard-Aug2012-ERP HU (OracleApps)" xfId="789" xr:uid="{00000000-0005-0000-0000-0000560C0000}"/>
    <cellStyle name="%_QR-Prism-Ph2-WSR-24-Sep10_HU-Risk-dashboard_SAPProjects_Template-Macro_2_Business Excellence Dashboard-Aug2012-ERP HU (OracleApps) 2" xfId="9924" xr:uid="{00000000-0005-0000-0000-0000570C0000}"/>
    <cellStyle name="%_QR-Prism-Ph2-WSR-24-Sep10_HU-Risk-dashboard_SAPProjects_Template-Macro_2_Business Excellence Dashboard-Aug2012-ERP HU (OracleApps) 3" xfId="8726" xr:uid="{00000000-0005-0000-0000-0000580C0000}"/>
    <cellStyle name="%_QR-Prism-Ph2-WSR-24-Sep10_HU-Risk-dashboard_SAPProjects_Template-Macro_2_Business Excellence Dashboard-Aug2012-ERP HU (OracleApps) 4" xfId="7528" xr:uid="{00000000-0005-0000-0000-0000590C0000}"/>
    <cellStyle name="%_QR-Prism-Ph2-WSR-24-Sep10_HU-Risk-dashboard_SAPProjects_Template-Macro_2_Business Excellence Dashboard-Aug2012-ERP HU (OracleApps) 5" xfId="6330" xr:uid="{00000000-0005-0000-0000-00005A0C0000}"/>
    <cellStyle name="%_QR-Prism-Ph2-WSR-24-Sep10_HU-Risk-dashboard_SAPProjects_Template-Macro_2_Business Excellence Dashboard-Aug2012-ERP HU (OracleApps) 6" xfId="5131" xr:uid="{00000000-0005-0000-0000-00005B0C0000}"/>
    <cellStyle name="%_QR-Prism-Ph2-WSR-24-Sep10_HU-Risk-dashboard_SAPProjects_Template-Macro_2_Business Excellence Dashboard-Aug2012-ERP HU (OracleApps) 7" xfId="3932" xr:uid="{00000000-0005-0000-0000-00005C0C0000}"/>
    <cellStyle name="%_QR-Prism-Ph2-WSR-24-Sep10_HU-Risk-dashboard_SAPProjects_Template-Macro_2_Business Excellence Dashboard-Aug2012-ERP HU (OracleApps)_BusinessExcellenceDashboard_OCt2012_MS HU-ERased" xfId="790" xr:uid="{00000000-0005-0000-0000-00005D0C0000}"/>
    <cellStyle name="%_QR-Prism-Ph2-WSR-24-Sep10_HU-Risk-dashboard_SAPProjects_Template-Macro_2_Business Excellence Dashboard-Jul2012-ERP HU (OracleApps)-consolidated" xfId="791" xr:uid="{00000000-0005-0000-0000-00005E0C0000}"/>
    <cellStyle name="%_QR-Prism-Ph2-WSR-24-Sep10_HU-Risk-dashboard_SAPProjects_Template-Macro_2_Business Excellence Dashboard-Jul2012-ERP HU (OracleApps)-consolidated 2" xfId="9925" xr:uid="{00000000-0005-0000-0000-00005F0C0000}"/>
    <cellStyle name="%_QR-Prism-Ph2-WSR-24-Sep10_HU-Risk-dashboard_SAPProjects_Template-Macro_2_Business Excellence Dashboard-Jul2012-ERP HU (OracleApps)-consolidated 3" xfId="8727" xr:uid="{00000000-0005-0000-0000-0000600C0000}"/>
    <cellStyle name="%_QR-Prism-Ph2-WSR-24-Sep10_HU-Risk-dashboard_SAPProjects_Template-Macro_2_Business Excellence Dashboard-Jul2012-ERP HU (OracleApps)-consolidated 4" xfId="7529" xr:uid="{00000000-0005-0000-0000-0000610C0000}"/>
    <cellStyle name="%_QR-Prism-Ph2-WSR-24-Sep10_HU-Risk-dashboard_SAPProjects_Template-Macro_2_Business Excellence Dashboard-Jul2012-ERP HU (OracleApps)-consolidated 5" xfId="6331" xr:uid="{00000000-0005-0000-0000-0000620C0000}"/>
    <cellStyle name="%_QR-Prism-Ph2-WSR-24-Sep10_HU-Risk-dashboard_SAPProjects_Template-Macro_2_Business Excellence Dashboard-Jul2012-ERP HU (OracleApps)-consolidated 6" xfId="5132" xr:uid="{00000000-0005-0000-0000-0000630C0000}"/>
    <cellStyle name="%_QR-Prism-Ph2-WSR-24-Sep10_HU-Risk-dashboard_SAPProjects_Template-Macro_2_Business Excellence Dashboard-Jul2012-ERP HU (OracleApps)-consolidated 7" xfId="3933" xr:uid="{00000000-0005-0000-0000-0000640C0000}"/>
    <cellStyle name="%_QR-Prism-Ph2-WSR-24-Sep10_HU-Risk-dashboard_SAPProjects_Template-Macro_2_Business Excellence Dashboard-Jul2012-ERP HU (OracleApps)-consolidated_BusinessExcellenceDashboard_OCt2012_MS HU-ERased" xfId="792" xr:uid="{00000000-0005-0000-0000-0000650C0000}"/>
    <cellStyle name="%_QR-Prism-Ph2-WSR-24-Sep10_HU-Risk-dashboard_SAPProjects_Template-Macro_2_BusinessExcellenceDashboard_OCt2012_MS HU-ERased" xfId="793" xr:uid="{00000000-0005-0000-0000-0000660C0000}"/>
    <cellStyle name="%_QR-Prism-Ph2-WSR-24-Sep10_HU-Risk-dashboard_SAPProjects_Template-Macro_2_copydatamacro" xfId="794" xr:uid="{00000000-0005-0000-0000-0000670C0000}"/>
    <cellStyle name="%_QR-Prism-Ph2-WSR-24-Sep10_HU-Risk-dashboard_SAPProjects_Template-Macro_2_copydatamacro 2" xfId="9926" xr:uid="{00000000-0005-0000-0000-0000680C0000}"/>
    <cellStyle name="%_QR-Prism-Ph2-WSR-24-Sep10_HU-Risk-dashboard_SAPProjects_Template-Macro_2_copydatamacro 3" xfId="8728" xr:uid="{00000000-0005-0000-0000-0000690C0000}"/>
    <cellStyle name="%_QR-Prism-Ph2-WSR-24-Sep10_HU-Risk-dashboard_SAPProjects_Template-Macro_2_copydatamacro 4" xfId="7530" xr:uid="{00000000-0005-0000-0000-00006A0C0000}"/>
    <cellStyle name="%_QR-Prism-Ph2-WSR-24-Sep10_HU-Risk-dashboard_SAPProjects_Template-Macro_2_copydatamacro 5" xfId="6332" xr:uid="{00000000-0005-0000-0000-00006B0C0000}"/>
    <cellStyle name="%_QR-Prism-Ph2-WSR-24-Sep10_HU-Risk-dashboard_SAPProjects_Template-Macro_2_copydatamacro 6" xfId="5133" xr:uid="{00000000-0005-0000-0000-00006C0C0000}"/>
    <cellStyle name="%_QR-Prism-Ph2-WSR-24-Sep10_HU-Risk-dashboard_SAPProjects_Template-Macro_2_copydatamacro 7" xfId="3934" xr:uid="{00000000-0005-0000-0000-00006D0C0000}"/>
    <cellStyle name="%_QR-Prism-Ph2-WSR-24-Sep10_HU-Risk-dashboard_SAPProjects_Template-Macro_2_copydatamacro_BusinessExcellenceDashboard_OCt2012_MS HU-ERased" xfId="795" xr:uid="{00000000-0005-0000-0000-00006E0C0000}"/>
    <cellStyle name="%_QR-Prism-Ph2-WSR-24-Sep10_HU-Risk-dashboard_SAPProjects_Template-Macro_Book1" xfId="796" xr:uid="{00000000-0005-0000-0000-00006F0C0000}"/>
    <cellStyle name="%_QR-Prism-Ph2-WSR-24-Sep10_HU-Risk-dashboard_SAPProjects_Template-Macro_Book1 2" xfId="9927" xr:uid="{00000000-0005-0000-0000-0000700C0000}"/>
    <cellStyle name="%_QR-Prism-Ph2-WSR-24-Sep10_HU-Risk-dashboard_SAPProjects_Template-Macro_Book1 3" xfId="8729" xr:uid="{00000000-0005-0000-0000-0000710C0000}"/>
    <cellStyle name="%_QR-Prism-Ph2-WSR-24-Sep10_HU-Risk-dashboard_SAPProjects_Template-Macro_Book1 4" xfId="7531" xr:uid="{00000000-0005-0000-0000-0000720C0000}"/>
    <cellStyle name="%_QR-Prism-Ph2-WSR-24-Sep10_HU-Risk-dashboard_SAPProjects_Template-Macro_Book1 5" xfId="6333" xr:uid="{00000000-0005-0000-0000-0000730C0000}"/>
    <cellStyle name="%_QR-Prism-Ph2-WSR-24-Sep10_HU-Risk-dashboard_SAPProjects_Template-Macro_Book1 6" xfId="5134" xr:uid="{00000000-0005-0000-0000-0000740C0000}"/>
    <cellStyle name="%_QR-Prism-Ph2-WSR-24-Sep10_HU-Risk-dashboard_SAPProjects_Template-Macro_Book1 7" xfId="3935" xr:uid="{00000000-0005-0000-0000-0000750C0000}"/>
    <cellStyle name="%_QR-Prism-Ph2-WSR-24-Sep10_HU-Risk-dashboard_SAPProjects_Template-Macro_Book1_Business Excellence Dashboard-Aug2012-ERP HU (OracleApps)" xfId="797" xr:uid="{00000000-0005-0000-0000-0000760C0000}"/>
    <cellStyle name="%_QR-Prism-Ph2-WSR-24-Sep10_HU-Risk-dashboard_SAPProjects_Template-Macro_Book1_Business Excellence Dashboard-Aug2012-ERP HU (OracleApps) 2" xfId="9928" xr:uid="{00000000-0005-0000-0000-0000770C0000}"/>
    <cellStyle name="%_QR-Prism-Ph2-WSR-24-Sep10_HU-Risk-dashboard_SAPProjects_Template-Macro_Book1_Business Excellence Dashboard-Aug2012-ERP HU (OracleApps) 3" xfId="8730" xr:uid="{00000000-0005-0000-0000-0000780C0000}"/>
    <cellStyle name="%_QR-Prism-Ph2-WSR-24-Sep10_HU-Risk-dashboard_SAPProjects_Template-Macro_Book1_Business Excellence Dashboard-Aug2012-ERP HU (OracleApps) 4" xfId="7532" xr:uid="{00000000-0005-0000-0000-0000790C0000}"/>
    <cellStyle name="%_QR-Prism-Ph2-WSR-24-Sep10_HU-Risk-dashboard_SAPProjects_Template-Macro_Book1_Business Excellence Dashboard-Aug2012-ERP HU (OracleApps) 5" xfId="6334" xr:uid="{00000000-0005-0000-0000-00007A0C0000}"/>
    <cellStyle name="%_QR-Prism-Ph2-WSR-24-Sep10_HU-Risk-dashboard_SAPProjects_Template-Macro_Book1_Business Excellence Dashboard-Aug2012-ERP HU (OracleApps) 6" xfId="5135" xr:uid="{00000000-0005-0000-0000-00007B0C0000}"/>
    <cellStyle name="%_QR-Prism-Ph2-WSR-24-Sep10_HU-Risk-dashboard_SAPProjects_Template-Macro_Book1_Business Excellence Dashboard-Aug2012-ERP HU (OracleApps) 7" xfId="3936" xr:uid="{00000000-0005-0000-0000-00007C0C0000}"/>
    <cellStyle name="%_QR-Prism-Ph2-WSR-24-Sep10_HU-Risk-dashboard_SAPProjects_Template-Macro_Book1_Business Excellence Dashboard-Aug2012-ERP HU (OracleApps)_BusinessExcellenceDashboard_OCt2012_MS HU-ERased" xfId="798" xr:uid="{00000000-0005-0000-0000-00007D0C0000}"/>
    <cellStyle name="%_QR-Prism-Ph2-WSR-24-Sep10_HU-Risk-dashboard_SAPProjects_Template-Macro_Book1_Business Excellence Dashboard-Jul2012-ERP HU (OracleApps)-consolidated" xfId="799" xr:uid="{00000000-0005-0000-0000-00007E0C0000}"/>
    <cellStyle name="%_QR-Prism-Ph2-WSR-24-Sep10_HU-Risk-dashboard_SAPProjects_Template-Macro_Book1_Business Excellence Dashboard-Jul2012-ERP HU (OracleApps)-consolidated 2" xfId="9929" xr:uid="{00000000-0005-0000-0000-00007F0C0000}"/>
    <cellStyle name="%_QR-Prism-Ph2-WSR-24-Sep10_HU-Risk-dashboard_SAPProjects_Template-Macro_Book1_Business Excellence Dashboard-Jul2012-ERP HU (OracleApps)-consolidated 3" xfId="8731" xr:uid="{00000000-0005-0000-0000-0000800C0000}"/>
    <cellStyle name="%_QR-Prism-Ph2-WSR-24-Sep10_HU-Risk-dashboard_SAPProjects_Template-Macro_Book1_Business Excellence Dashboard-Jul2012-ERP HU (OracleApps)-consolidated 4" xfId="7533" xr:uid="{00000000-0005-0000-0000-0000810C0000}"/>
    <cellStyle name="%_QR-Prism-Ph2-WSR-24-Sep10_HU-Risk-dashboard_SAPProjects_Template-Macro_Book1_Business Excellence Dashboard-Jul2012-ERP HU (OracleApps)-consolidated 5" xfId="6335" xr:uid="{00000000-0005-0000-0000-0000820C0000}"/>
    <cellStyle name="%_QR-Prism-Ph2-WSR-24-Sep10_HU-Risk-dashboard_SAPProjects_Template-Macro_Book1_Business Excellence Dashboard-Jul2012-ERP HU (OracleApps)-consolidated 6" xfId="5136" xr:uid="{00000000-0005-0000-0000-0000830C0000}"/>
    <cellStyle name="%_QR-Prism-Ph2-WSR-24-Sep10_HU-Risk-dashboard_SAPProjects_Template-Macro_Book1_Business Excellence Dashboard-Jul2012-ERP HU (OracleApps)-consolidated 7" xfId="3937" xr:uid="{00000000-0005-0000-0000-0000840C0000}"/>
    <cellStyle name="%_QR-Prism-Ph2-WSR-24-Sep10_HU-Risk-dashboard_SAPProjects_Template-Macro_Book1_Business Excellence Dashboard-Jul2012-ERP HU (OracleApps)-consolidated_BusinessExcellenceDashboard_OCt2012_MS HU-ERased" xfId="800" xr:uid="{00000000-0005-0000-0000-0000850C0000}"/>
    <cellStyle name="%_QR-Prism-Ph2-WSR-24-Sep10_HU-Risk-dashboard_SAPProjects_Template-Macro_Book1_BusinessExcellenceDashboard_OCt2012_MS HU-ERased" xfId="801" xr:uid="{00000000-0005-0000-0000-0000860C0000}"/>
    <cellStyle name="%_QR-Prism-Ph2-WSR-24-Sep10_HU-Risk-dashboard_SAPProjects_Template-Macro_Book1_copydatamacro" xfId="802" xr:uid="{00000000-0005-0000-0000-0000870C0000}"/>
    <cellStyle name="%_QR-Prism-Ph2-WSR-24-Sep10_HU-Risk-dashboard_SAPProjects_Template-Macro_Book1_copydatamacro 2" xfId="9930" xr:uid="{00000000-0005-0000-0000-0000880C0000}"/>
    <cellStyle name="%_QR-Prism-Ph2-WSR-24-Sep10_HU-Risk-dashboard_SAPProjects_Template-Macro_Book1_copydatamacro 3" xfId="8732" xr:uid="{00000000-0005-0000-0000-0000890C0000}"/>
    <cellStyle name="%_QR-Prism-Ph2-WSR-24-Sep10_HU-Risk-dashboard_SAPProjects_Template-Macro_Book1_copydatamacro 4" xfId="7534" xr:uid="{00000000-0005-0000-0000-00008A0C0000}"/>
    <cellStyle name="%_QR-Prism-Ph2-WSR-24-Sep10_HU-Risk-dashboard_SAPProjects_Template-Macro_Book1_copydatamacro 5" xfId="6336" xr:uid="{00000000-0005-0000-0000-00008B0C0000}"/>
    <cellStyle name="%_QR-Prism-Ph2-WSR-24-Sep10_HU-Risk-dashboard_SAPProjects_Template-Macro_Book1_copydatamacro 6" xfId="5137" xr:uid="{00000000-0005-0000-0000-00008C0C0000}"/>
    <cellStyle name="%_QR-Prism-Ph2-WSR-24-Sep10_HU-Risk-dashboard_SAPProjects_Template-Macro_Book1_copydatamacro 7" xfId="3938" xr:uid="{00000000-0005-0000-0000-00008D0C0000}"/>
    <cellStyle name="%_QR-Prism-Ph2-WSR-24-Sep10_HU-Risk-dashboard_SAPProjects_Template-Macro_Book1_copydatamacro_BusinessExcellenceDashboard_OCt2012_MS HU-ERased" xfId="803" xr:uid="{00000000-0005-0000-0000-00008E0C0000}"/>
    <cellStyle name="%_QR-Prism-Ph2-WSR-24-Sep10_HU-Risk-dashboard_SAPProjects_Template-Macro_Business Excellence Dashboard-Aug2012-ERP HU (OracleApps)" xfId="804" xr:uid="{00000000-0005-0000-0000-00008F0C0000}"/>
    <cellStyle name="%_QR-Prism-Ph2-WSR-24-Sep10_HU-Risk-dashboard_SAPProjects_Template-Macro_Business Excellence Dashboard-Aug2012-ERP HU (OracleApps) 2" xfId="9931" xr:uid="{00000000-0005-0000-0000-0000900C0000}"/>
    <cellStyle name="%_QR-Prism-Ph2-WSR-24-Sep10_HU-Risk-dashboard_SAPProjects_Template-Macro_Business Excellence Dashboard-Aug2012-ERP HU (OracleApps) 3" xfId="8733" xr:uid="{00000000-0005-0000-0000-0000910C0000}"/>
    <cellStyle name="%_QR-Prism-Ph2-WSR-24-Sep10_HU-Risk-dashboard_SAPProjects_Template-Macro_Business Excellence Dashboard-Aug2012-ERP HU (OracleApps) 4" xfId="7535" xr:uid="{00000000-0005-0000-0000-0000920C0000}"/>
    <cellStyle name="%_QR-Prism-Ph2-WSR-24-Sep10_HU-Risk-dashboard_SAPProjects_Template-Macro_Business Excellence Dashboard-Aug2012-ERP HU (OracleApps) 5" xfId="6337" xr:uid="{00000000-0005-0000-0000-0000930C0000}"/>
    <cellStyle name="%_QR-Prism-Ph2-WSR-24-Sep10_HU-Risk-dashboard_SAPProjects_Template-Macro_Business Excellence Dashboard-Aug2012-ERP HU (OracleApps) 6" xfId="5138" xr:uid="{00000000-0005-0000-0000-0000940C0000}"/>
    <cellStyle name="%_QR-Prism-Ph2-WSR-24-Sep10_HU-Risk-dashboard_SAPProjects_Template-Macro_Business Excellence Dashboard-Aug2012-ERP HU (OracleApps) 7" xfId="3939" xr:uid="{00000000-0005-0000-0000-0000950C0000}"/>
    <cellStyle name="%_QR-Prism-Ph2-WSR-24-Sep10_HU-Risk-dashboard_SAPProjects_Template-Macro_Business Excellence Dashboard-Aug2012-ERP HU (OracleApps)_BusinessExcellenceDashboard_OCt2012_MS HU-ERased" xfId="805" xr:uid="{00000000-0005-0000-0000-0000960C0000}"/>
    <cellStyle name="%_QR-Prism-Ph2-WSR-24-Sep10_HU-Risk-dashboard_SAPProjects_Template-Macro_Business Excellence Dashboard-Jul2012-ERP HU (OracleApps)-consolidated" xfId="806" xr:uid="{00000000-0005-0000-0000-0000970C0000}"/>
    <cellStyle name="%_QR-Prism-Ph2-WSR-24-Sep10_HU-Risk-dashboard_SAPProjects_Template-Macro_Business Excellence Dashboard-Jul2012-ERP HU (OracleApps)-consolidated 2" xfId="9932" xr:uid="{00000000-0005-0000-0000-0000980C0000}"/>
    <cellStyle name="%_QR-Prism-Ph2-WSR-24-Sep10_HU-Risk-dashboard_SAPProjects_Template-Macro_Business Excellence Dashboard-Jul2012-ERP HU (OracleApps)-consolidated 3" xfId="8734" xr:uid="{00000000-0005-0000-0000-0000990C0000}"/>
    <cellStyle name="%_QR-Prism-Ph2-WSR-24-Sep10_HU-Risk-dashboard_SAPProjects_Template-Macro_Business Excellence Dashboard-Jul2012-ERP HU (OracleApps)-consolidated 4" xfId="7536" xr:uid="{00000000-0005-0000-0000-00009A0C0000}"/>
    <cellStyle name="%_QR-Prism-Ph2-WSR-24-Sep10_HU-Risk-dashboard_SAPProjects_Template-Macro_Business Excellence Dashboard-Jul2012-ERP HU (OracleApps)-consolidated 5" xfId="6338" xr:uid="{00000000-0005-0000-0000-00009B0C0000}"/>
    <cellStyle name="%_QR-Prism-Ph2-WSR-24-Sep10_HU-Risk-dashboard_SAPProjects_Template-Macro_Business Excellence Dashboard-Jul2012-ERP HU (OracleApps)-consolidated 6" xfId="5139" xr:uid="{00000000-0005-0000-0000-00009C0C0000}"/>
    <cellStyle name="%_QR-Prism-Ph2-WSR-24-Sep10_HU-Risk-dashboard_SAPProjects_Template-Macro_Business Excellence Dashboard-Jul2012-ERP HU (OracleApps)-consolidated 7" xfId="3940" xr:uid="{00000000-0005-0000-0000-00009D0C0000}"/>
    <cellStyle name="%_QR-Prism-Ph2-WSR-24-Sep10_HU-Risk-dashboard_SAPProjects_Template-Macro_Business Excellence Dashboard-Jul2012-ERP HU (OracleApps)-consolidated_BusinessExcellenceDashboard_OCt2012_MS HU-ERased" xfId="807" xr:uid="{00000000-0005-0000-0000-00009E0C0000}"/>
    <cellStyle name="%_QR-Prism-Ph2-WSR-24-Sep10_HU-Risk-dashboard_SAPProjects_Template-Macro_BusinessExcellenceDashboard_OCt2012_MS HU-ERased" xfId="808" xr:uid="{00000000-0005-0000-0000-00009F0C0000}"/>
    <cellStyle name="%_QR-Prism-Ph2-WSR-24-Sep10_HU-Risk-dashboard_SAPProjects_Template-Macro_copydatamacro" xfId="809" xr:uid="{00000000-0005-0000-0000-0000A00C0000}"/>
    <cellStyle name="%_QR-Prism-Ph2-WSR-24-Sep10_HU-Risk-dashboard_SAPProjects_Template-Macro_copydatamacro 2" xfId="9933" xr:uid="{00000000-0005-0000-0000-0000A10C0000}"/>
    <cellStyle name="%_QR-Prism-Ph2-WSR-24-Sep10_HU-Risk-dashboard_SAPProjects_Template-Macro_copydatamacro 3" xfId="8735" xr:uid="{00000000-0005-0000-0000-0000A20C0000}"/>
    <cellStyle name="%_QR-Prism-Ph2-WSR-24-Sep10_HU-Risk-dashboard_SAPProjects_Template-Macro_copydatamacro 4" xfId="7537" xr:uid="{00000000-0005-0000-0000-0000A30C0000}"/>
    <cellStyle name="%_QR-Prism-Ph2-WSR-24-Sep10_HU-Risk-dashboard_SAPProjects_Template-Macro_copydatamacro 5" xfId="6339" xr:uid="{00000000-0005-0000-0000-0000A40C0000}"/>
    <cellStyle name="%_QR-Prism-Ph2-WSR-24-Sep10_HU-Risk-dashboard_SAPProjects_Template-Macro_copydatamacro 6" xfId="5140" xr:uid="{00000000-0005-0000-0000-0000A50C0000}"/>
    <cellStyle name="%_QR-Prism-Ph2-WSR-24-Sep10_HU-Risk-dashboard_SAPProjects_Template-Macro_copydatamacro 7" xfId="3941" xr:uid="{00000000-0005-0000-0000-0000A60C0000}"/>
    <cellStyle name="%_QR-Prism-Ph2-WSR-24-Sep10_HU-Risk-dashboard_SAPProjects_Template-Macro_copydatamacro_BusinessExcellenceDashboard_OCt2012_MS HU-ERased" xfId="810" xr:uid="{00000000-0005-0000-0000-0000A70C0000}"/>
    <cellStyle name="%_QR-Prism-Ph2-WSR-24-Sep10_HU-Risk-dashboard_SAPProjects_Template-Macro_MSHU_BusinessExcellenceDashboardV2.2-May2012-3" xfId="811" xr:uid="{00000000-0005-0000-0000-0000A80C0000}"/>
    <cellStyle name="%_QR-Prism-Ph2-WSR-24-Sep10_HU-Risk-dashboard_SAPProjects_Template-Macro_MSHU_BusinessExcellenceDashboardV2.2-May2012-3 2" xfId="9934" xr:uid="{00000000-0005-0000-0000-0000A90C0000}"/>
    <cellStyle name="%_QR-Prism-Ph2-WSR-24-Sep10_HU-Risk-dashboard_SAPProjects_Template-Macro_MSHU_BusinessExcellenceDashboardV2.2-May2012-3 3" xfId="8736" xr:uid="{00000000-0005-0000-0000-0000AA0C0000}"/>
    <cellStyle name="%_QR-Prism-Ph2-WSR-24-Sep10_HU-Risk-dashboard_SAPProjects_Template-Macro_MSHU_BusinessExcellenceDashboardV2.2-May2012-3 4" xfId="7538" xr:uid="{00000000-0005-0000-0000-0000AB0C0000}"/>
    <cellStyle name="%_QR-Prism-Ph2-WSR-24-Sep10_HU-Risk-dashboard_SAPProjects_Template-Macro_MSHU_BusinessExcellenceDashboardV2.2-May2012-3 5" xfId="6340" xr:uid="{00000000-0005-0000-0000-0000AC0C0000}"/>
    <cellStyle name="%_QR-Prism-Ph2-WSR-24-Sep10_HU-Risk-dashboard_SAPProjects_Template-Macro_MSHU_BusinessExcellenceDashboardV2.2-May2012-3 6" xfId="5141" xr:uid="{00000000-0005-0000-0000-0000AD0C0000}"/>
    <cellStyle name="%_QR-Prism-Ph2-WSR-24-Sep10_HU-Risk-dashboard_SAPProjects_Template-Macro_MSHU_BusinessExcellenceDashboardV2.2-May2012-3 7" xfId="3942" xr:uid="{00000000-0005-0000-0000-0000AE0C0000}"/>
    <cellStyle name="%_QR-Prism-Ph2-WSR-24-Sep10_HU-Risk-dashboard_SAPProjects_Template-Macro_MSHU_BusinessExcellenceDashboardV2.2-May2012-3_Business Excellence Dashboard-Aug2012-ERP HU (OracleApps)" xfId="812" xr:uid="{00000000-0005-0000-0000-0000AF0C0000}"/>
    <cellStyle name="%_QR-Prism-Ph2-WSR-24-Sep10_HU-Risk-dashboard_SAPProjects_Template-Macro_MSHU_BusinessExcellenceDashboardV2.2-May2012-3_Business Excellence Dashboard-Aug2012-ERP HU (OracleApps) 2" xfId="9935" xr:uid="{00000000-0005-0000-0000-0000B00C0000}"/>
    <cellStyle name="%_QR-Prism-Ph2-WSR-24-Sep10_HU-Risk-dashboard_SAPProjects_Template-Macro_MSHU_BusinessExcellenceDashboardV2.2-May2012-3_Business Excellence Dashboard-Aug2012-ERP HU (OracleApps) 3" xfId="8737" xr:uid="{00000000-0005-0000-0000-0000B10C0000}"/>
    <cellStyle name="%_QR-Prism-Ph2-WSR-24-Sep10_HU-Risk-dashboard_SAPProjects_Template-Macro_MSHU_BusinessExcellenceDashboardV2.2-May2012-3_Business Excellence Dashboard-Aug2012-ERP HU (OracleApps) 4" xfId="7539" xr:uid="{00000000-0005-0000-0000-0000B20C0000}"/>
    <cellStyle name="%_QR-Prism-Ph2-WSR-24-Sep10_HU-Risk-dashboard_SAPProjects_Template-Macro_MSHU_BusinessExcellenceDashboardV2.2-May2012-3_Business Excellence Dashboard-Aug2012-ERP HU (OracleApps) 5" xfId="6341" xr:uid="{00000000-0005-0000-0000-0000B30C0000}"/>
    <cellStyle name="%_QR-Prism-Ph2-WSR-24-Sep10_HU-Risk-dashboard_SAPProjects_Template-Macro_MSHU_BusinessExcellenceDashboardV2.2-May2012-3_Business Excellence Dashboard-Aug2012-ERP HU (OracleApps) 6" xfId="5142" xr:uid="{00000000-0005-0000-0000-0000B40C0000}"/>
    <cellStyle name="%_QR-Prism-Ph2-WSR-24-Sep10_HU-Risk-dashboard_SAPProjects_Template-Macro_MSHU_BusinessExcellenceDashboardV2.2-May2012-3_Business Excellence Dashboard-Aug2012-ERP HU (OracleApps) 7" xfId="3943" xr:uid="{00000000-0005-0000-0000-0000B50C0000}"/>
    <cellStyle name="%_QR-Prism-Ph2-WSR-24-Sep10_HU-Risk-dashboard_SAPProjects_Template-Macro_MSHU_BusinessExcellenceDashboardV2.2-May2012-3_Business Excellence Dashboard-Jul2012-ERP HU (OracleApps)-consolidated" xfId="813" xr:uid="{00000000-0005-0000-0000-0000B60C0000}"/>
    <cellStyle name="%_QR-Prism-Ph2-WSR-24-Sep10_HU-Risk-dashboard_SAPProjects_Template-Macro_MSHU_BusinessExcellenceDashboardV2.2-May2012-3_Business Excellence Dashboard-Jul2012-ERP HU (OracleApps)-consolidated 2" xfId="9936" xr:uid="{00000000-0005-0000-0000-0000B70C0000}"/>
    <cellStyle name="%_QR-Prism-Ph2-WSR-24-Sep10_HU-Risk-dashboard_SAPProjects_Template-Macro_MSHU_BusinessExcellenceDashboardV2.2-May2012-3_Business Excellence Dashboard-Jul2012-ERP HU (OracleApps)-consolidated 3" xfId="8738" xr:uid="{00000000-0005-0000-0000-0000B80C0000}"/>
    <cellStyle name="%_QR-Prism-Ph2-WSR-24-Sep10_HU-Risk-dashboard_SAPProjects_Template-Macro_MSHU_BusinessExcellenceDashboardV2.2-May2012-3_Business Excellence Dashboard-Jul2012-ERP HU (OracleApps)-consolidated 4" xfId="7540" xr:uid="{00000000-0005-0000-0000-0000B90C0000}"/>
    <cellStyle name="%_QR-Prism-Ph2-WSR-24-Sep10_HU-Risk-dashboard_SAPProjects_Template-Macro_MSHU_BusinessExcellenceDashboardV2.2-May2012-3_Business Excellence Dashboard-Jul2012-ERP HU (OracleApps)-consolidated 5" xfId="6342" xr:uid="{00000000-0005-0000-0000-0000BA0C0000}"/>
    <cellStyle name="%_QR-Prism-Ph2-WSR-24-Sep10_HU-Risk-dashboard_SAPProjects_Template-Macro_MSHU_BusinessExcellenceDashboardV2.2-May2012-3_Business Excellence Dashboard-Jul2012-ERP HU (OracleApps)-consolidated 6" xfId="5143" xr:uid="{00000000-0005-0000-0000-0000BB0C0000}"/>
    <cellStyle name="%_QR-Prism-Ph2-WSR-24-Sep10_HU-Risk-dashboard_SAPProjects_Template-Macro_MSHU_BusinessExcellenceDashboardV2.2-May2012-3_Business Excellence Dashboard-Jul2012-ERP HU (OracleApps)-consolidated 7" xfId="3944" xr:uid="{00000000-0005-0000-0000-0000BC0C0000}"/>
    <cellStyle name="%_QR-Prism-Ph2-WSR-24-Sep10_HU-Risk-dashboard_SAPProjects_Template-Macro_MSHU_BusinessExcellenceDashboardV2.2-May2012-3_BusinessExcellenceDashboard_OCt2012_MS HU-ERased" xfId="814" xr:uid="{00000000-0005-0000-0000-0000BD0C0000}"/>
    <cellStyle name="%_QR-Prism-Ph2-WSR-24-Sep10_HU-Risk-dashboard_SAPProjects_Template-Macro_MSHU_BusinessExcellenceDashboardV2.2-May2012-3_copydatamacro" xfId="815" xr:uid="{00000000-0005-0000-0000-0000BE0C0000}"/>
    <cellStyle name="%_QR-Prism-Ph2-WSR-24-Sep10_HU-Risk-dashboard_SAPProjects_Template-Macro_MSHU_BusinessExcellenceDashboardV2.2-May2012-3_copydatamacro 2" xfId="9937" xr:uid="{00000000-0005-0000-0000-0000BF0C0000}"/>
    <cellStyle name="%_QR-Prism-Ph2-WSR-24-Sep10_HU-Risk-dashboard_SAPProjects_Template-Macro_MSHU_BusinessExcellenceDashboardV2.2-May2012-3_copydatamacro 3" xfId="8739" xr:uid="{00000000-0005-0000-0000-0000C00C0000}"/>
    <cellStyle name="%_QR-Prism-Ph2-WSR-24-Sep10_HU-Risk-dashboard_SAPProjects_Template-Macro_MSHU_BusinessExcellenceDashboardV2.2-May2012-3_copydatamacro 4" xfId="7541" xr:uid="{00000000-0005-0000-0000-0000C10C0000}"/>
    <cellStyle name="%_QR-Prism-Ph2-WSR-24-Sep10_HU-Risk-dashboard_SAPProjects_Template-Macro_MSHU_BusinessExcellenceDashboardV2.2-May2012-3_copydatamacro 5" xfId="6343" xr:uid="{00000000-0005-0000-0000-0000C20C0000}"/>
    <cellStyle name="%_QR-Prism-Ph2-WSR-24-Sep10_HU-Risk-dashboard_SAPProjects_Template-Macro_MSHU_BusinessExcellenceDashboardV2.2-May2012-3_copydatamacro 6" xfId="5144" xr:uid="{00000000-0005-0000-0000-0000C30C0000}"/>
    <cellStyle name="%_QR-Prism-Ph2-WSR-24-Sep10_HU-Risk-dashboard_SAPProjects_Template-Macro_MSHU_BusinessExcellenceDashboardV2.2-May2012-3_copydatamacro 7" xfId="3945" xr:uid="{00000000-0005-0000-0000-0000C40C0000}"/>
    <cellStyle name="%_QR-Prism-Ph2-WSR-24-Sep10_MSHU_BusinessExcellenceDashboardV2.2-May2012-3" xfId="816" xr:uid="{00000000-0005-0000-0000-0000C50C0000}"/>
    <cellStyle name="%_QR-Prism-Ph2-WSR-24-Sep10_MSHU_BusinessExcellenceDashboardV2.2-May2012-3 2" xfId="9938" xr:uid="{00000000-0005-0000-0000-0000C60C0000}"/>
    <cellStyle name="%_QR-Prism-Ph2-WSR-24-Sep10_MSHU_BusinessExcellenceDashboardV2.2-May2012-3 3" xfId="8740" xr:uid="{00000000-0005-0000-0000-0000C70C0000}"/>
    <cellStyle name="%_QR-Prism-Ph2-WSR-24-Sep10_MSHU_BusinessExcellenceDashboardV2.2-May2012-3 4" xfId="7542" xr:uid="{00000000-0005-0000-0000-0000C80C0000}"/>
    <cellStyle name="%_QR-Prism-Ph2-WSR-24-Sep10_MSHU_BusinessExcellenceDashboardV2.2-May2012-3 5" xfId="6344" xr:uid="{00000000-0005-0000-0000-0000C90C0000}"/>
    <cellStyle name="%_QR-Prism-Ph2-WSR-24-Sep10_MSHU_BusinessExcellenceDashboardV2.2-May2012-3 6" xfId="5145" xr:uid="{00000000-0005-0000-0000-0000CA0C0000}"/>
    <cellStyle name="%_QR-Prism-Ph2-WSR-24-Sep10_MSHU_BusinessExcellenceDashboardV2.2-May2012-3 7" xfId="3946" xr:uid="{00000000-0005-0000-0000-0000CB0C0000}"/>
    <cellStyle name="%_QR-Prism-Ph2-WSR-24-Sep10_MSHU_BusinessExcellenceDashboardV2.2-May2012-3_Business Excellence Dashboard-Aug2012-ERP HU (OracleApps)" xfId="817" xr:uid="{00000000-0005-0000-0000-0000CC0C0000}"/>
    <cellStyle name="%_QR-Prism-Ph2-WSR-24-Sep10_MSHU_BusinessExcellenceDashboardV2.2-May2012-3_Business Excellence Dashboard-Aug2012-ERP HU (OracleApps) 2" xfId="9939" xr:uid="{00000000-0005-0000-0000-0000CD0C0000}"/>
    <cellStyle name="%_QR-Prism-Ph2-WSR-24-Sep10_MSHU_BusinessExcellenceDashboardV2.2-May2012-3_Business Excellence Dashboard-Aug2012-ERP HU (OracleApps) 3" xfId="8741" xr:uid="{00000000-0005-0000-0000-0000CE0C0000}"/>
    <cellStyle name="%_QR-Prism-Ph2-WSR-24-Sep10_MSHU_BusinessExcellenceDashboardV2.2-May2012-3_Business Excellence Dashboard-Aug2012-ERP HU (OracleApps) 4" xfId="7543" xr:uid="{00000000-0005-0000-0000-0000CF0C0000}"/>
    <cellStyle name="%_QR-Prism-Ph2-WSR-24-Sep10_MSHU_BusinessExcellenceDashboardV2.2-May2012-3_Business Excellence Dashboard-Aug2012-ERP HU (OracleApps) 5" xfId="6345" xr:uid="{00000000-0005-0000-0000-0000D00C0000}"/>
    <cellStyle name="%_QR-Prism-Ph2-WSR-24-Sep10_MSHU_BusinessExcellenceDashboardV2.2-May2012-3_Business Excellence Dashboard-Aug2012-ERP HU (OracleApps) 6" xfId="5146" xr:uid="{00000000-0005-0000-0000-0000D10C0000}"/>
    <cellStyle name="%_QR-Prism-Ph2-WSR-24-Sep10_MSHU_BusinessExcellenceDashboardV2.2-May2012-3_Business Excellence Dashboard-Aug2012-ERP HU (OracleApps) 7" xfId="3947" xr:uid="{00000000-0005-0000-0000-0000D20C0000}"/>
    <cellStyle name="%_QR-Prism-Ph2-WSR-24-Sep10_MSHU_BusinessExcellenceDashboardV2.2-May2012-3_Business Excellence Dashboard-Jul2012-ERP HU (OracleApps)-consolidated" xfId="818" xr:uid="{00000000-0005-0000-0000-0000D30C0000}"/>
    <cellStyle name="%_QR-Prism-Ph2-WSR-24-Sep10_MSHU_BusinessExcellenceDashboardV2.2-May2012-3_Business Excellence Dashboard-Jul2012-ERP HU (OracleApps)-consolidated 2" xfId="9940" xr:uid="{00000000-0005-0000-0000-0000D40C0000}"/>
    <cellStyle name="%_QR-Prism-Ph2-WSR-24-Sep10_MSHU_BusinessExcellenceDashboardV2.2-May2012-3_Business Excellence Dashboard-Jul2012-ERP HU (OracleApps)-consolidated 3" xfId="8742" xr:uid="{00000000-0005-0000-0000-0000D50C0000}"/>
    <cellStyle name="%_QR-Prism-Ph2-WSR-24-Sep10_MSHU_BusinessExcellenceDashboardV2.2-May2012-3_Business Excellence Dashboard-Jul2012-ERP HU (OracleApps)-consolidated 4" xfId="7544" xr:uid="{00000000-0005-0000-0000-0000D60C0000}"/>
    <cellStyle name="%_QR-Prism-Ph2-WSR-24-Sep10_MSHU_BusinessExcellenceDashboardV2.2-May2012-3_Business Excellence Dashboard-Jul2012-ERP HU (OracleApps)-consolidated 5" xfId="6346" xr:uid="{00000000-0005-0000-0000-0000D70C0000}"/>
    <cellStyle name="%_QR-Prism-Ph2-WSR-24-Sep10_MSHU_BusinessExcellenceDashboardV2.2-May2012-3_Business Excellence Dashboard-Jul2012-ERP HU (OracleApps)-consolidated 6" xfId="5147" xr:uid="{00000000-0005-0000-0000-0000D80C0000}"/>
    <cellStyle name="%_QR-Prism-Ph2-WSR-24-Sep10_MSHU_BusinessExcellenceDashboardV2.2-May2012-3_Business Excellence Dashboard-Jul2012-ERP HU (OracleApps)-consolidated 7" xfId="3948" xr:uid="{00000000-0005-0000-0000-0000D90C0000}"/>
    <cellStyle name="%_QR-Prism-Ph2-WSR-24-Sep10_MSHU_BusinessExcellenceDashboardV2.2-May2012-3_copydatamacro" xfId="819" xr:uid="{00000000-0005-0000-0000-0000DA0C0000}"/>
    <cellStyle name="%_QR-Prism-Ph2-WSR-24-Sep10_MSHU_BusinessExcellenceDashboardV2.2-May2012-3_copydatamacro 2" xfId="9941" xr:uid="{00000000-0005-0000-0000-0000DB0C0000}"/>
    <cellStyle name="%_QR-Prism-Ph2-WSR-24-Sep10_MSHU_BusinessExcellenceDashboardV2.2-May2012-3_copydatamacro 3" xfId="8743" xr:uid="{00000000-0005-0000-0000-0000DC0C0000}"/>
    <cellStyle name="%_QR-Prism-Ph2-WSR-24-Sep10_MSHU_BusinessExcellenceDashboardV2.2-May2012-3_copydatamacro 4" xfId="7545" xr:uid="{00000000-0005-0000-0000-0000DD0C0000}"/>
    <cellStyle name="%_QR-Prism-Ph2-WSR-24-Sep10_MSHU_BusinessExcellenceDashboardV2.2-May2012-3_copydatamacro 5" xfId="6347" xr:uid="{00000000-0005-0000-0000-0000DE0C0000}"/>
    <cellStyle name="%_QR-Prism-Ph2-WSR-24-Sep10_MSHU_BusinessExcellenceDashboardV2.2-May2012-3_copydatamacro 6" xfId="5148" xr:uid="{00000000-0005-0000-0000-0000DF0C0000}"/>
    <cellStyle name="%_QR-Prism-Ph2-WSR-24-Sep10_MSHU_BusinessExcellenceDashboardV2.2-May2012-3_copydatamacro 7" xfId="3949" xr:uid="{00000000-0005-0000-0000-0000E00C0000}"/>
    <cellStyle name="%_QR-Prism-Ph2-WSR-24-Sep10_OS HU Dashboard Apr 2012-macro-08May" xfId="820" xr:uid="{00000000-0005-0000-0000-0000E10C0000}"/>
    <cellStyle name="%_QR-Prism-Ph2-WSR-24-Sep10_OS HU Dashboard Apr 2012-macro-08May 2" xfId="9942" xr:uid="{00000000-0005-0000-0000-0000E20C0000}"/>
    <cellStyle name="%_QR-Prism-Ph2-WSR-24-Sep10_OS HU Dashboard Apr 2012-macro-08May 3" xfId="8744" xr:uid="{00000000-0005-0000-0000-0000E30C0000}"/>
    <cellStyle name="%_QR-Prism-Ph2-WSR-24-Sep10_OS HU Dashboard Apr 2012-macro-08May 4" xfId="7546" xr:uid="{00000000-0005-0000-0000-0000E40C0000}"/>
    <cellStyle name="%_QR-Prism-Ph2-WSR-24-Sep10_OS HU Dashboard Apr 2012-macro-08May 5" xfId="6348" xr:uid="{00000000-0005-0000-0000-0000E50C0000}"/>
    <cellStyle name="%_QR-Prism-Ph2-WSR-24-Sep10_OS HU Dashboard Apr 2012-macro-08May 6" xfId="5149" xr:uid="{00000000-0005-0000-0000-0000E60C0000}"/>
    <cellStyle name="%_QR-Prism-Ph2-WSR-24-Sep10_OS HU Dashboard Apr 2012-macro-08May 7" xfId="3950" xr:uid="{00000000-0005-0000-0000-0000E70C0000}"/>
    <cellStyle name="%_QR-Prism-Ph2-WSR-24-Sep10_OS HU Dashboard Apr 2012-macro-08May_2" xfId="821" xr:uid="{00000000-0005-0000-0000-0000E80C0000}"/>
    <cellStyle name="%_QR-Prism-Ph2-WSR-24-Sep10_OS HU Dashboard Apr 2012-macro-08May_2 2" xfId="9943" xr:uid="{00000000-0005-0000-0000-0000E90C0000}"/>
    <cellStyle name="%_QR-Prism-Ph2-WSR-24-Sep10_OS HU Dashboard Apr 2012-macro-08May_2 3" xfId="8745" xr:uid="{00000000-0005-0000-0000-0000EA0C0000}"/>
    <cellStyle name="%_QR-Prism-Ph2-WSR-24-Sep10_OS HU Dashboard Apr 2012-macro-08May_2 4" xfId="7547" xr:uid="{00000000-0005-0000-0000-0000EB0C0000}"/>
    <cellStyle name="%_QR-Prism-Ph2-WSR-24-Sep10_OS HU Dashboard Apr 2012-macro-08May_2 5" xfId="6349" xr:uid="{00000000-0005-0000-0000-0000EC0C0000}"/>
    <cellStyle name="%_QR-Prism-Ph2-WSR-24-Sep10_OS HU Dashboard Apr 2012-macro-08May_2 6" xfId="5150" xr:uid="{00000000-0005-0000-0000-0000ED0C0000}"/>
    <cellStyle name="%_QR-Prism-Ph2-WSR-24-Sep10_OS HU Dashboard Apr 2012-macro-08May_2 7" xfId="3951" xr:uid="{00000000-0005-0000-0000-0000EE0C0000}"/>
    <cellStyle name="%_QR-Prism-Ph2-WSR-24-Sep10_OS HU Dashboard Apr 2012-macro-08May_2_1" xfId="822" xr:uid="{00000000-0005-0000-0000-0000EF0C0000}"/>
    <cellStyle name="%_QR-Prism-Ph2-WSR-24-Sep10_OS HU Dashboard Apr 2012-macro-08May_2_1 2" xfId="9944" xr:uid="{00000000-0005-0000-0000-0000F00C0000}"/>
    <cellStyle name="%_QR-Prism-Ph2-WSR-24-Sep10_OS HU Dashboard Apr 2012-macro-08May_2_1 3" xfId="8746" xr:uid="{00000000-0005-0000-0000-0000F10C0000}"/>
    <cellStyle name="%_QR-Prism-Ph2-WSR-24-Sep10_OS HU Dashboard Apr 2012-macro-08May_2_1 4" xfId="7548" xr:uid="{00000000-0005-0000-0000-0000F20C0000}"/>
    <cellStyle name="%_QR-Prism-Ph2-WSR-24-Sep10_OS HU Dashboard Apr 2012-macro-08May_2_1 5" xfId="6350" xr:uid="{00000000-0005-0000-0000-0000F30C0000}"/>
    <cellStyle name="%_QR-Prism-Ph2-WSR-24-Sep10_OS HU Dashboard Apr 2012-macro-08May_2_1 6" xfId="5151" xr:uid="{00000000-0005-0000-0000-0000F40C0000}"/>
    <cellStyle name="%_QR-Prism-Ph2-WSR-24-Sep10_OS HU Dashboard Apr 2012-macro-08May_2_1 7" xfId="3952" xr:uid="{00000000-0005-0000-0000-0000F50C0000}"/>
    <cellStyle name="%_QR-Prism-Ph2-WSR-24-Sep10_OS HU Dashboard Apr 2012-macro-08May_2_1_Business Excellence Dashboard-Aug2012-ERP HU (OracleApps)" xfId="823" xr:uid="{00000000-0005-0000-0000-0000F60C0000}"/>
    <cellStyle name="%_QR-Prism-Ph2-WSR-24-Sep10_OS HU Dashboard Apr 2012-macro-08May_2_1_Business Excellence Dashboard-Aug2012-ERP HU (OracleApps) 2" xfId="9945" xr:uid="{00000000-0005-0000-0000-0000F70C0000}"/>
    <cellStyle name="%_QR-Prism-Ph2-WSR-24-Sep10_OS HU Dashboard Apr 2012-macro-08May_2_1_Business Excellence Dashboard-Aug2012-ERP HU (OracleApps) 3" xfId="8747" xr:uid="{00000000-0005-0000-0000-0000F80C0000}"/>
    <cellStyle name="%_QR-Prism-Ph2-WSR-24-Sep10_OS HU Dashboard Apr 2012-macro-08May_2_1_Business Excellence Dashboard-Aug2012-ERP HU (OracleApps) 4" xfId="7549" xr:uid="{00000000-0005-0000-0000-0000F90C0000}"/>
    <cellStyle name="%_QR-Prism-Ph2-WSR-24-Sep10_OS HU Dashboard Apr 2012-macro-08May_2_1_Business Excellence Dashboard-Aug2012-ERP HU (OracleApps) 5" xfId="6351" xr:uid="{00000000-0005-0000-0000-0000FA0C0000}"/>
    <cellStyle name="%_QR-Prism-Ph2-WSR-24-Sep10_OS HU Dashboard Apr 2012-macro-08May_2_1_Business Excellence Dashboard-Aug2012-ERP HU (OracleApps) 6" xfId="5152" xr:uid="{00000000-0005-0000-0000-0000FB0C0000}"/>
    <cellStyle name="%_QR-Prism-Ph2-WSR-24-Sep10_OS HU Dashboard Apr 2012-macro-08May_2_1_Business Excellence Dashboard-Aug2012-ERP HU (OracleApps) 7" xfId="3953" xr:uid="{00000000-0005-0000-0000-0000FC0C0000}"/>
    <cellStyle name="%_QR-Prism-Ph2-WSR-24-Sep10_OS HU Dashboard Apr 2012-macro-08May_2_2" xfId="824" xr:uid="{00000000-0005-0000-0000-0000FD0C0000}"/>
    <cellStyle name="%_QR-Prism-Ph2-WSR-24-Sep10_OS HU Dashboard Apr 2012-macro-08May_2_2 2" xfId="9946" xr:uid="{00000000-0005-0000-0000-0000FE0C0000}"/>
    <cellStyle name="%_QR-Prism-Ph2-WSR-24-Sep10_OS HU Dashboard Apr 2012-macro-08May_2_2 3" xfId="8748" xr:uid="{00000000-0005-0000-0000-0000FF0C0000}"/>
    <cellStyle name="%_QR-Prism-Ph2-WSR-24-Sep10_OS HU Dashboard Apr 2012-macro-08May_2_2 4" xfId="7550" xr:uid="{00000000-0005-0000-0000-0000000D0000}"/>
    <cellStyle name="%_QR-Prism-Ph2-WSR-24-Sep10_OS HU Dashboard Apr 2012-macro-08May_2_2 5" xfId="6352" xr:uid="{00000000-0005-0000-0000-0000010D0000}"/>
    <cellStyle name="%_QR-Prism-Ph2-WSR-24-Sep10_OS HU Dashboard Apr 2012-macro-08May_2_2 6" xfId="5153" xr:uid="{00000000-0005-0000-0000-0000020D0000}"/>
    <cellStyle name="%_QR-Prism-Ph2-WSR-24-Sep10_OS HU Dashboard Apr 2012-macro-08May_2_2 7" xfId="3954" xr:uid="{00000000-0005-0000-0000-0000030D0000}"/>
    <cellStyle name="%_QR-Prism-Ph2-WSR-24-Sep10_OS HU Dashboard Apr 2012-macro-08May_2_Business Excellence Dashboard-Aug2012-ERP HU (OracleApps)" xfId="825" xr:uid="{00000000-0005-0000-0000-0000040D0000}"/>
    <cellStyle name="%_QR-Prism-Ph2-WSR-24-Sep10_OS HU Dashboard Apr 2012-macro-08May_2_Business Excellence Dashboard-Aug2012-ERP HU (OracleApps) 2" xfId="9947" xr:uid="{00000000-0005-0000-0000-0000050D0000}"/>
    <cellStyle name="%_QR-Prism-Ph2-WSR-24-Sep10_OS HU Dashboard Apr 2012-macro-08May_2_Business Excellence Dashboard-Aug2012-ERP HU (OracleApps) 3" xfId="8749" xr:uid="{00000000-0005-0000-0000-0000060D0000}"/>
    <cellStyle name="%_QR-Prism-Ph2-WSR-24-Sep10_OS HU Dashboard Apr 2012-macro-08May_2_Business Excellence Dashboard-Aug2012-ERP HU (OracleApps) 4" xfId="7551" xr:uid="{00000000-0005-0000-0000-0000070D0000}"/>
    <cellStyle name="%_QR-Prism-Ph2-WSR-24-Sep10_OS HU Dashboard Apr 2012-macro-08May_2_Business Excellence Dashboard-Aug2012-ERP HU (OracleApps) 5" xfId="6353" xr:uid="{00000000-0005-0000-0000-0000080D0000}"/>
    <cellStyle name="%_QR-Prism-Ph2-WSR-24-Sep10_OS HU Dashboard Apr 2012-macro-08May_2_Business Excellence Dashboard-Aug2012-ERP HU (OracleApps) 6" xfId="5154" xr:uid="{00000000-0005-0000-0000-0000090D0000}"/>
    <cellStyle name="%_QR-Prism-Ph2-WSR-24-Sep10_OS HU Dashboard Apr 2012-macro-08May_2_Business Excellence Dashboard-Aug2012-ERP HU (OracleApps) 7" xfId="3955" xr:uid="{00000000-0005-0000-0000-00000A0D0000}"/>
    <cellStyle name="%_QR-Prism-Ph2-WSR-24-Sep10_OS HU Dashboard Apr 2012-macro-08May_2_Business Excellence Dashboard-Jul2012-ERP HU (OracleApps)-consolidated" xfId="826" xr:uid="{00000000-0005-0000-0000-00000B0D0000}"/>
    <cellStyle name="%_QR-Prism-Ph2-WSR-24-Sep10_OS HU Dashboard Apr 2012-macro-08May_2_Business Excellence Dashboard-Jul2012-ERP HU (OracleApps)-consolidated 2" xfId="9948" xr:uid="{00000000-0005-0000-0000-00000C0D0000}"/>
    <cellStyle name="%_QR-Prism-Ph2-WSR-24-Sep10_OS HU Dashboard Apr 2012-macro-08May_2_Business Excellence Dashboard-Jul2012-ERP HU (OracleApps)-consolidated 3" xfId="8750" xr:uid="{00000000-0005-0000-0000-00000D0D0000}"/>
    <cellStyle name="%_QR-Prism-Ph2-WSR-24-Sep10_OS HU Dashboard Apr 2012-macro-08May_2_Business Excellence Dashboard-Jul2012-ERP HU (OracleApps)-consolidated 4" xfId="7552" xr:uid="{00000000-0005-0000-0000-00000E0D0000}"/>
    <cellStyle name="%_QR-Prism-Ph2-WSR-24-Sep10_OS HU Dashboard Apr 2012-macro-08May_2_Business Excellence Dashboard-Jul2012-ERP HU (OracleApps)-consolidated 5" xfId="6354" xr:uid="{00000000-0005-0000-0000-00000F0D0000}"/>
    <cellStyle name="%_QR-Prism-Ph2-WSR-24-Sep10_OS HU Dashboard Apr 2012-macro-08May_2_Business Excellence Dashboard-Jul2012-ERP HU (OracleApps)-consolidated 6" xfId="5155" xr:uid="{00000000-0005-0000-0000-0000100D0000}"/>
    <cellStyle name="%_QR-Prism-Ph2-WSR-24-Sep10_OS HU Dashboard Apr 2012-macro-08May_2_Business Excellence Dashboard-Jul2012-ERP HU (OracleApps)-consolidated 7" xfId="3956" xr:uid="{00000000-0005-0000-0000-0000110D0000}"/>
    <cellStyle name="%_QR-Prism-Ph2-WSR-24-Sep10_OS HU Dashboard Apr 2012-macro-08May_2_copydatamacro" xfId="827" xr:uid="{00000000-0005-0000-0000-0000120D0000}"/>
    <cellStyle name="%_QR-Prism-Ph2-WSR-24-Sep10_OS HU Dashboard Apr 2012-macro-08May_2_copydatamacro 2" xfId="9949" xr:uid="{00000000-0005-0000-0000-0000130D0000}"/>
    <cellStyle name="%_QR-Prism-Ph2-WSR-24-Sep10_OS HU Dashboard Apr 2012-macro-08May_2_copydatamacro 3" xfId="8751" xr:uid="{00000000-0005-0000-0000-0000140D0000}"/>
    <cellStyle name="%_QR-Prism-Ph2-WSR-24-Sep10_OS HU Dashboard Apr 2012-macro-08May_2_copydatamacro 4" xfId="7553" xr:uid="{00000000-0005-0000-0000-0000150D0000}"/>
    <cellStyle name="%_QR-Prism-Ph2-WSR-24-Sep10_OS HU Dashboard Apr 2012-macro-08May_2_copydatamacro 5" xfId="6355" xr:uid="{00000000-0005-0000-0000-0000160D0000}"/>
    <cellStyle name="%_QR-Prism-Ph2-WSR-24-Sep10_OS HU Dashboard Apr 2012-macro-08May_2_copydatamacro 6" xfId="5156" xr:uid="{00000000-0005-0000-0000-0000170D0000}"/>
    <cellStyle name="%_QR-Prism-Ph2-WSR-24-Sep10_OS HU Dashboard Apr 2012-macro-08May_2_copydatamacro 7" xfId="3957" xr:uid="{00000000-0005-0000-0000-0000180D0000}"/>
    <cellStyle name="%_QR-Prism-Ph2-WSR-24-Sep10_OS HU Dashboard Apr 2012-macro-08May_Business Excellence Dashboard-Aug2012-ERP HU (OracleApps)" xfId="828" xr:uid="{00000000-0005-0000-0000-0000190D0000}"/>
    <cellStyle name="%_QR-Prism-Ph2-WSR-24-Sep10_OS HU Dashboard Apr 2012-macro-08May_Business Excellence Dashboard-Aug2012-ERP HU (OracleApps) 2" xfId="9950" xr:uid="{00000000-0005-0000-0000-00001A0D0000}"/>
    <cellStyle name="%_QR-Prism-Ph2-WSR-24-Sep10_OS HU Dashboard Apr 2012-macro-08May_Business Excellence Dashboard-Aug2012-ERP HU (OracleApps) 3" xfId="8752" xr:uid="{00000000-0005-0000-0000-00001B0D0000}"/>
    <cellStyle name="%_QR-Prism-Ph2-WSR-24-Sep10_OS HU Dashboard Apr 2012-macro-08May_Business Excellence Dashboard-Aug2012-ERP HU (OracleApps) 4" xfId="7554" xr:uid="{00000000-0005-0000-0000-00001C0D0000}"/>
    <cellStyle name="%_QR-Prism-Ph2-WSR-24-Sep10_OS HU Dashboard Apr 2012-macro-08May_Business Excellence Dashboard-Aug2012-ERP HU (OracleApps) 5" xfId="6356" xr:uid="{00000000-0005-0000-0000-00001D0D0000}"/>
    <cellStyle name="%_QR-Prism-Ph2-WSR-24-Sep10_OS HU Dashboard Apr 2012-macro-08May_Business Excellence Dashboard-Aug2012-ERP HU (OracleApps) 6" xfId="5157" xr:uid="{00000000-0005-0000-0000-00001E0D0000}"/>
    <cellStyle name="%_QR-Prism-Ph2-WSR-24-Sep10_OS HU Dashboard Apr 2012-macro-08May_Business Excellence Dashboard-Aug2012-ERP HU (OracleApps) 7" xfId="3958" xr:uid="{00000000-0005-0000-0000-00001F0D0000}"/>
    <cellStyle name="%_QR-Prism-Ph2-WSR-24-Sep10_OS HU Dashboard Apr 2012-macro-08May_Business Excellence Dashboard-Jul2012-ERP HU (OracleApps)-consolidated" xfId="829" xr:uid="{00000000-0005-0000-0000-0000200D0000}"/>
    <cellStyle name="%_QR-Prism-Ph2-WSR-24-Sep10_OS HU Dashboard Apr 2012-macro-08May_Business Excellence Dashboard-Jul2012-ERP HU (OracleApps)-consolidated 2" xfId="9951" xr:uid="{00000000-0005-0000-0000-0000210D0000}"/>
    <cellStyle name="%_QR-Prism-Ph2-WSR-24-Sep10_OS HU Dashboard Apr 2012-macro-08May_Business Excellence Dashboard-Jul2012-ERP HU (OracleApps)-consolidated 3" xfId="8753" xr:uid="{00000000-0005-0000-0000-0000220D0000}"/>
    <cellStyle name="%_QR-Prism-Ph2-WSR-24-Sep10_OS HU Dashboard Apr 2012-macro-08May_Business Excellence Dashboard-Jul2012-ERP HU (OracleApps)-consolidated 4" xfId="7555" xr:uid="{00000000-0005-0000-0000-0000230D0000}"/>
    <cellStyle name="%_QR-Prism-Ph2-WSR-24-Sep10_OS HU Dashboard Apr 2012-macro-08May_Business Excellence Dashboard-Jul2012-ERP HU (OracleApps)-consolidated 5" xfId="6357" xr:uid="{00000000-0005-0000-0000-0000240D0000}"/>
    <cellStyle name="%_QR-Prism-Ph2-WSR-24-Sep10_OS HU Dashboard Apr 2012-macro-08May_Business Excellence Dashboard-Jul2012-ERP HU (OracleApps)-consolidated 6" xfId="5158" xr:uid="{00000000-0005-0000-0000-0000250D0000}"/>
    <cellStyle name="%_QR-Prism-Ph2-WSR-24-Sep10_OS HU Dashboard Apr 2012-macro-08May_Business Excellence Dashboard-Jul2012-ERP HU (OracleApps)-consolidated 7" xfId="3959" xr:uid="{00000000-0005-0000-0000-0000260D0000}"/>
    <cellStyle name="%_QR-Prism-Ph2-WSR-24-Sep10_OS HU Dashboard Apr 2012-macro-08May_copydatamacro" xfId="830" xr:uid="{00000000-0005-0000-0000-0000270D0000}"/>
    <cellStyle name="%_QR-Prism-Ph2-WSR-24-Sep10_OS HU Dashboard Apr 2012-macro-08May_copydatamacro 2" xfId="9952" xr:uid="{00000000-0005-0000-0000-0000280D0000}"/>
    <cellStyle name="%_QR-Prism-Ph2-WSR-24-Sep10_OS HU Dashboard Apr 2012-macro-08May_copydatamacro 3" xfId="8754" xr:uid="{00000000-0005-0000-0000-0000290D0000}"/>
    <cellStyle name="%_QR-Prism-Ph2-WSR-24-Sep10_OS HU Dashboard Apr 2012-macro-08May_copydatamacro 4" xfId="7556" xr:uid="{00000000-0005-0000-0000-00002A0D0000}"/>
    <cellStyle name="%_QR-Prism-Ph2-WSR-24-Sep10_OS HU Dashboard Apr 2012-macro-08May_copydatamacro 5" xfId="6358" xr:uid="{00000000-0005-0000-0000-00002B0D0000}"/>
    <cellStyle name="%_QR-Prism-Ph2-WSR-24-Sep10_OS HU Dashboard Apr 2012-macro-08May_copydatamacro 6" xfId="5159" xr:uid="{00000000-0005-0000-0000-00002C0D0000}"/>
    <cellStyle name="%_QR-Prism-Ph2-WSR-24-Sep10_OS HU Dashboard Apr 2012-macro-08May_copydatamacro 7" xfId="3960" xr:uid="{00000000-0005-0000-0000-00002D0D0000}"/>
    <cellStyle name="%_QR-Prism-Ph2-WSR-Sep10-WIP" xfId="831" xr:uid="{00000000-0005-0000-0000-00002E0D0000}"/>
    <cellStyle name="%_QR-Prism-Ph2-WSR-Sep10-WIP 2" xfId="9953" xr:uid="{00000000-0005-0000-0000-00002F0D0000}"/>
    <cellStyle name="%_QR-Prism-Ph2-WSR-Sep10-WIP 3" xfId="8755" xr:uid="{00000000-0005-0000-0000-0000300D0000}"/>
    <cellStyle name="%_QR-Prism-Ph2-WSR-Sep10-WIP 4" xfId="7557" xr:uid="{00000000-0005-0000-0000-0000310D0000}"/>
    <cellStyle name="%_QR-Prism-Ph2-WSR-Sep10-WIP 5" xfId="6359" xr:uid="{00000000-0005-0000-0000-0000320D0000}"/>
    <cellStyle name="%_QR-Prism-Ph2-WSR-Sep10-WIP 6" xfId="5160" xr:uid="{00000000-0005-0000-0000-0000330D0000}"/>
    <cellStyle name="%_QR-Prism-Ph2-WSR-Sep10-WIP 7" xfId="3961" xr:uid="{00000000-0005-0000-0000-0000340D0000}"/>
    <cellStyle name="%_QR-Prism-Ph2-WSR-Sep10-WIP_2" xfId="832" xr:uid="{00000000-0005-0000-0000-0000350D0000}"/>
    <cellStyle name="%_QR-Prism-Ph2-WSR-Sep10-WIP_2 2" xfId="9954" xr:uid="{00000000-0005-0000-0000-0000360D0000}"/>
    <cellStyle name="%_QR-Prism-Ph2-WSR-Sep10-WIP_2 3" xfId="8756" xr:uid="{00000000-0005-0000-0000-0000370D0000}"/>
    <cellStyle name="%_QR-Prism-Ph2-WSR-Sep10-WIP_2 4" xfId="7558" xr:uid="{00000000-0005-0000-0000-0000380D0000}"/>
    <cellStyle name="%_QR-Prism-Ph2-WSR-Sep10-WIP_2 5" xfId="6360" xr:uid="{00000000-0005-0000-0000-0000390D0000}"/>
    <cellStyle name="%_QR-Prism-Ph2-WSR-Sep10-WIP_2 6" xfId="5161" xr:uid="{00000000-0005-0000-0000-00003A0D0000}"/>
    <cellStyle name="%_QR-Prism-Ph2-WSR-Sep10-WIP_2 7" xfId="3962" xr:uid="{00000000-0005-0000-0000-00003B0D0000}"/>
    <cellStyle name="%_QR-Prism-Ph2-WSR-Sep10-WIP_2_1" xfId="833" xr:uid="{00000000-0005-0000-0000-00003C0D0000}"/>
    <cellStyle name="%_QR-Prism-Ph2-WSR-Sep10-WIP_2_1 2" xfId="9955" xr:uid="{00000000-0005-0000-0000-00003D0D0000}"/>
    <cellStyle name="%_QR-Prism-Ph2-WSR-Sep10-WIP_2_1 3" xfId="8757" xr:uid="{00000000-0005-0000-0000-00003E0D0000}"/>
    <cellStyle name="%_QR-Prism-Ph2-WSR-Sep10-WIP_2_1 4" xfId="7559" xr:uid="{00000000-0005-0000-0000-00003F0D0000}"/>
    <cellStyle name="%_QR-Prism-Ph2-WSR-Sep10-WIP_2_1 5" xfId="6361" xr:uid="{00000000-0005-0000-0000-0000400D0000}"/>
    <cellStyle name="%_QR-Prism-Ph2-WSR-Sep10-WIP_2_1 6" xfId="5162" xr:uid="{00000000-0005-0000-0000-0000410D0000}"/>
    <cellStyle name="%_QR-Prism-Ph2-WSR-Sep10-WIP_2_1 7" xfId="3963" xr:uid="{00000000-0005-0000-0000-0000420D0000}"/>
    <cellStyle name="%_QR-Prism-Ph2-WSR-Sep10-WIP_2_1_Business Excellence Dashboard-Aug2012-ERP HU (OracleApps)" xfId="834" xr:uid="{00000000-0005-0000-0000-0000430D0000}"/>
    <cellStyle name="%_QR-Prism-Ph2-WSR-Sep10-WIP_2_1_Business Excellence Dashboard-Aug2012-ERP HU (OracleApps) 2" xfId="9956" xr:uid="{00000000-0005-0000-0000-0000440D0000}"/>
    <cellStyle name="%_QR-Prism-Ph2-WSR-Sep10-WIP_2_1_Business Excellence Dashboard-Aug2012-ERP HU (OracleApps) 3" xfId="8758" xr:uid="{00000000-0005-0000-0000-0000450D0000}"/>
    <cellStyle name="%_QR-Prism-Ph2-WSR-Sep10-WIP_2_1_Business Excellence Dashboard-Aug2012-ERP HU (OracleApps) 4" xfId="7560" xr:uid="{00000000-0005-0000-0000-0000460D0000}"/>
    <cellStyle name="%_QR-Prism-Ph2-WSR-Sep10-WIP_2_1_Business Excellence Dashboard-Aug2012-ERP HU (OracleApps) 5" xfId="6362" xr:uid="{00000000-0005-0000-0000-0000470D0000}"/>
    <cellStyle name="%_QR-Prism-Ph2-WSR-Sep10-WIP_2_1_Business Excellence Dashboard-Aug2012-ERP HU (OracleApps) 6" xfId="5163" xr:uid="{00000000-0005-0000-0000-0000480D0000}"/>
    <cellStyle name="%_QR-Prism-Ph2-WSR-Sep10-WIP_2_1_Business Excellence Dashboard-Aug2012-ERP HU (OracleApps) 7" xfId="3964" xr:uid="{00000000-0005-0000-0000-0000490D0000}"/>
    <cellStyle name="%_QR-Prism-Ph2-WSR-Sep10-WIP_2_2" xfId="835" xr:uid="{00000000-0005-0000-0000-00004A0D0000}"/>
    <cellStyle name="%_QR-Prism-Ph2-WSR-Sep10-WIP_2_2 2" xfId="9957" xr:uid="{00000000-0005-0000-0000-00004B0D0000}"/>
    <cellStyle name="%_QR-Prism-Ph2-WSR-Sep10-WIP_2_2 3" xfId="8759" xr:uid="{00000000-0005-0000-0000-00004C0D0000}"/>
    <cellStyle name="%_QR-Prism-Ph2-WSR-Sep10-WIP_2_2 4" xfId="7561" xr:uid="{00000000-0005-0000-0000-00004D0D0000}"/>
    <cellStyle name="%_QR-Prism-Ph2-WSR-Sep10-WIP_2_2 5" xfId="6363" xr:uid="{00000000-0005-0000-0000-00004E0D0000}"/>
    <cellStyle name="%_QR-Prism-Ph2-WSR-Sep10-WIP_2_2 6" xfId="5164" xr:uid="{00000000-0005-0000-0000-00004F0D0000}"/>
    <cellStyle name="%_QR-Prism-Ph2-WSR-Sep10-WIP_2_2 7" xfId="3965" xr:uid="{00000000-0005-0000-0000-0000500D0000}"/>
    <cellStyle name="%_QR-Prism-Ph2-WSR-Sep10-WIP_2_Business Excellence Dashboard-Aug2012-ERP HU (OracleApps)" xfId="836" xr:uid="{00000000-0005-0000-0000-0000510D0000}"/>
    <cellStyle name="%_QR-Prism-Ph2-WSR-Sep10-WIP_2_Business Excellence Dashboard-Aug2012-ERP HU (OracleApps) 2" xfId="9958" xr:uid="{00000000-0005-0000-0000-0000520D0000}"/>
    <cellStyle name="%_QR-Prism-Ph2-WSR-Sep10-WIP_2_Business Excellence Dashboard-Aug2012-ERP HU (OracleApps) 3" xfId="8760" xr:uid="{00000000-0005-0000-0000-0000530D0000}"/>
    <cellStyle name="%_QR-Prism-Ph2-WSR-Sep10-WIP_2_Business Excellence Dashboard-Aug2012-ERP HU (OracleApps) 4" xfId="7562" xr:uid="{00000000-0005-0000-0000-0000540D0000}"/>
    <cellStyle name="%_QR-Prism-Ph2-WSR-Sep10-WIP_2_Business Excellence Dashboard-Aug2012-ERP HU (OracleApps) 5" xfId="6364" xr:uid="{00000000-0005-0000-0000-0000550D0000}"/>
    <cellStyle name="%_QR-Prism-Ph2-WSR-Sep10-WIP_2_Business Excellence Dashboard-Aug2012-ERP HU (OracleApps) 6" xfId="5165" xr:uid="{00000000-0005-0000-0000-0000560D0000}"/>
    <cellStyle name="%_QR-Prism-Ph2-WSR-Sep10-WIP_2_Business Excellence Dashboard-Aug2012-ERP HU (OracleApps) 7" xfId="3966" xr:uid="{00000000-0005-0000-0000-0000570D0000}"/>
    <cellStyle name="%_QR-Prism-Ph2-WSR-Sep10-WIP_2_Business Excellence Dashboard-Jul2012-ERP HU (OracleApps)-consolidated" xfId="837" xr:uid="{00000000-0005-0000-0000-0000580D0000}"/>
    <cellStyle name="%_QR-Prism-Ph2-WSR-Sep10-WIP_2_Business Excellence Dashboard-Jul2012-ERP HU (OracleApps)-consolidated 2" xfId="9959" xr:uid="{00000000-0005-0000-0000-0000590D0000}"/>
    <cellStyle name="%_QR-Prism-Ph2-WSR-Sep10-WIP_2_Business Excellence Dashboard-Jul2012-ERP HU (OracleApps)-consolidated 3" xfId="8761" xr:uid="{00000000-0005-0000-0000-00005A0D0000}"/>
    <cellStyle name="%_QR-Prism-Ph2-WSR-Sep10-WIP_2_Business Excellence Dashboard-Jul2012-ERP HU (OracleApps)-consolidated 4" xfId="7563" xr:uid="{00000000-0005-0000-0000-00005B0D0000}"/>
    <cellStyle name="%_QR-Prism-Ph2-WSR-Sep10-WIP_2_Business Excellence Dashboard-Jul2012-ERP HU (OracleApps)-consolidated 5" xfId="6365" xr:uid="{00000000-0005-0000-0000-00005C0D0000}"/>
    <cellStyle name="%_QR-Prism-Ph2-WSR-Sep10-WIP_2_Business Excellence Dashboard-Jul2012-ERP HU (OracleApps)-consolidated 6" xfId="5166" xr:uid="{00000000-0005-0000-0000-00005D0D0000}"/>
    <cellStyle name="%_QR-Prism-Ph2-WSR-Sep10-WIP_2_Business Excellence Dashboard-Jul2012-ERP HU (OracleApps)-consolidated 7" xfId="3967" xr:uid="{00000000-0005-0000-0000-00005E0D0000}"/>
    <cellStyle name="%_QR-Prism-Ph2-WSR-Sep10-WIP_2_copydatamacro" xfId="838" xr:uid="{00000000-0005-0000-0000-00005F0D0000}"/>
    <cellStyle name="%_QR-Prism-Ph2-WSR-Sep10-WIP_2_copydatamacro 2" xfId="9960" xr:uid="{00000000-0005-0000-0000-0000600D0000}"/>
    <cellStyle name="%_QR-Prism-Ph2-WSR-Sep10-WIP_2_copydatamacro 3" xfId="8762" xr:uid="{00000000-0005-0000-0000-0000610D0000}"/>
    <cellStyle name="%_QR-Prism-Ph2-WSR-Sep10-WIP_2_copydatamacro 4" xfId="7564" xr:uid="{00000000-0005-0000-0000-0000620D0000}"/>
    <cellStyle name="%_QR-Prism-Ph2-WSR-Sep10-WIP_2_copydatamacro 5" xfId="6366" xr:uid="{00000000-0005-0000-0000-0000630D0000}"/>
    <cellStyle name="%_QR-Prism-Ph2-WSR-Sep10-WIP_2_copydatamacro 6" xfId="5167" xr:uid="{00000000-0005-0000-0000-0000640D0000}"/>
    <cellStyle name="%_QR-Prism-Ph2-WSR-Sep10-WIP_2_copydatamacro 7" xfId="3968" xr:uid="{00000000-0005-0000-0000-0000650D0000}"/>
    <cellStyle name="%_QR-Prism-Ph2-WSR-Sep10-WIP_Book1" xfId="839" xr:uid="{00000000-0005-0000-0000-0000660D0000}"/>
    <cellStyle name="%_QR-Prism-Ph2-WSR-Sep10-WIP_Book1 2" xfId="9961" xr:uid="{00000000-0005-0000-0000-0000670D0000}"/>
    <cellStyle name="%_QR-Prism-Ph2-WSR-Sep10-WIP_Book1 3" xfId="8763" xr:uid="{00000000-0005-0000-0000-0000680D0000}"/>
    <cellStyle name="%_QR-Prism-Ph2-WSR-Sep10-WIP_Book1 4" xfId="7565" xr:uid="{00000000-0005-0000-0000-0000690D0000}"/>
    <cellStyle name="%_QR-Prism-Ph2-WSR-Sep10-WIP_Book1 5" xfId="6367" xr:uid="{00000000-0005-0000-0000-00006A0D0000}"/>
    <cellStyle name="%_QR-Prism-Ph2-WSR-Sep10-WIP_Book1 6" xfId="5168" xr:uid="{00000000-0005-0000-0000-00006B0D0000}"/>
    <cellStyle name="%_QR-Prism-Ph2-WSR-Sep10-WIP_Book1 7" xfId="3969" xr:uid="{00000000-0005-0000-0000-00006C0D0000}"/>
    <cellStyle name="%_QR-Prism-Ph2-WSR-Sep10-WIP_Book1_Business Excellence Dashboard-Aug2012-ERP HU (OracleApps)" xfId="840" xr:uid="{00000000-0005-0000-0000-00006D0D0000}"/>
    <cellStyle name="%_QR-Prism-Ph2-WSR-Sep10-WIP_Book1_Business Excellence Dashboard-Aug2012-ERP HU (OracleApps) 2" xfId="9962" xr:uid="{00000000-0005-0000-0000-00006E0D0000}"/>
    <cellStyle name="%_QR-Prism-Ph2-WSR-Sep10-WIP_Book1_Business Excellence Dashboard-Aug2012-ERP HU (OracleApps) 3" xfId="8764" xr:uid="{00000000-0005-0000-0000-00006F0D0000}"/>
    <cellStyle name="%_QR-Prism-Ph2-WSR-Sep10-WIP_Book1_Business Excellence Dashboard-Aug2012-ERP HU (OracleApps) 4" xfId="7566" xr:uid="{00000000-0005-0000-0000-0000700D0000}"/>
    <cellStyle name="%_QR-Prism-Ph2-WSR-Sep10-WIP_Book1_Business Excellence Dashboard-Aug2012-ERP HU (OracleApps) 5" xfId="6368" xr:uid="{00000000-0005-0000-0000-0000710D0000}"/>
    <cellStyle name="%_QR-Prism-Ph2-WSR-Sep10-WIP_Book1_Business Excellence Dashboard-Aug2012-ERP HU (OracleApps) 6" xfId="5169" xr:uid="{00000000-0005-0000-0000-0000720D0000}"/>
    <cellStyle name="%_QR-Prism-Ph2-WSR-Sep10-WIP_Book1_Business Excellence Dashboard-Aug2012-ERP HU (OracleApps) 7" xfId="3970" xr:uid="{00000000-0005-0000-0000-0000730D0000}"/>
    <cellStyle name="%_QR-Prism-Ph2-WSR-Sep10-WIP_Book1_Business Excellence Dashboard-Jul2012-ERP HU (OracleApps)-consolidated" xfId="841" xr:uid="{00000000-0005-0000-0000-0000740D0000}"/>
    <cellStyle name="%_QR-Prism-Ph2-WSR-Sep10-WIP_Book1_Business Excellence Dashboard-Jul2012-ERP HU (OracleApps)-consolidated 2" xfId="9963" xr:uid="{00000000-0005-0000-0000-0000750D0000}"/>
    <cellStyle name="%_QR-Prism-Ph2-WSR-Sep10-WIP_Book1_Business Excellence Dashboard-Jul2012-ERP HU (OracleApps)-consolidated 3" xfId="8765" xr:uid="{00000000-0005-0000-0000-0000760D0000}"/>
    <cellStyle name="%_QR-Prism-Ph2-WSR-Sep10-WIP_Book1_Business Excellence Dashboard-Jul2012-ERP HU (OracleApps)-consolidated 4" xfId="7567" xr:uid="{00000000-0005-0000-0000-0000770D0000}"/>
    <cellStyle name="%_QR-Prism-Ph2-WSR-Sep10-WIP_Book1_Business Excellence Dashboard-Jul2012-ERP HU (OracleApps)-consolidated 5" xfId="6369" xr:uid="{00000000-0005-0000-0000-0000780D0000}"/>
    <cellStyle name="%_QR-Prism-Ph2-WSR-Sep10-WIP_Book1_Business Excellence Dashboard-Jul2012-ERP HU (OracleApps)-consolidated 6" xfId="5170" xr:uid="{00000000-0005-0000-0000-0000790D0000}"/>
    <cellStyle name="%_QR-Prism-Ph2-WSR-Sep10-WIP_Book1_Business Excellence Dashboard-Jul2012-ERP HU (OracleApps)-consolidated 7" xfId="3971" xr:uid="{00000000-0005-0000-0000-00007A0D0000}"/>
    <cellStyle name="%_QR-Prism-Ph2-WSR-Sep10-WIP_Book1_copydatamacro" xfId="842" xr:uid="{00000000-0005-0000-0000-00007B0D0000}"/>
    <cellStyle name="%_QR-Prism-Ph2-WSR-Sep10-WIP_Book1_copydatamacro 2" xfId="9964" xr:uid="{00000000-0005-0000-0000-00007C0D0000}"/>
    <cellStyle name="%_QR-Prism-Ph2-WSR-Sep10-WIP_Book1_copydatamacro 3" xfId="8766" xr:uid="{00000000-0005-0000-0000-00007D0D0000}"/>
    <cellStyle name="%_QR-Prism-Ph2-WSR-Sep10-WIP_Book1_copydatamacro 4" xfId="7568" xr:uid="{00000000-0005-0000-0000-00007E0D0000}"/>
    <cellStyle name="%_QR-Prism-Ph2-WSR-Sep10-WIP_Book1_copydatamacro 5" xfId="6370" xr:uid="{00000000-0005-0000-0000-00007F0D0000}"/>
    <cellStyle name="%_QR-Prism-Ph2-WSR-Sep10-WIP_Book1_copydatamacro 6" xfId="5171" xr:uid="{00000000-0005-0000-0000-0000800D0000}"/>
    <cellStyle name="%_QR-Prism-Ph2-WSR-Sep10-WIP_Book1_copydatamacro 7" xfId="3972" xr:uid="{00000000-0005-0000-0000-0000810D0000}"/>
    <cellStyle name="%_QR-Prism-Ph2-WSR-Sep10-WIP_Business Excellence Dashboard-Aug2012-ERP HU (OracleApps)" xfId="843" xr:uid="{00000000-0005-0000-0000-0000820D0000}"/>
    <cellStyle name="%_QR-Prism-Ph2-WSR-Sep10-WIP_Business Excellence Dashboard-Aug2012-ERP HU (OracleApps) 2" xfId="9965" xr:uid="{00000000-0005-0000-0000-0000830D0000}"/>
    <cellStyle name="%_QR-Prism-Ph2-WSR-Sep10-WIP_Business Excellence Dashboard-Aug2012-ERP HU (OracleApps) 3" xfId="8767" xr:uid="{00000000-0005-0000-0000-0000840D0000}"/>
    <cellStyle name="%_QR-Prism-Ph2-WSR-Sep10-WIP_Business Excellence Dashboard-Aug2012-ERP HU (OracleApps) 4" xfId="7569" xr:uid="{00000000-0005-0000-0000-0000850D0000}"/>
    <cellStyle name="%_QR-Prism-Ph2-WSR-Sep10-WIP_Business Excellence Dashboard-Aug2012-ERP HU (OracleApps) 5" xfId="6371" xr:uid="{00000000-0005-0000-0000-0000860D0000}"/>
    <cellStyle name="%_QR-Prism-Ph2-WSR-Sep10-WIP_Business Excellence Dashboard-Aug2012-ERP HU (OracleApps) 6" xfId="5172" xr:uid="{00000000-0005-0000-0000-0000870D0000}"/>
    <cellStyle name="%_QR-Prism-Ph2-WSR-Sep10-WIP_Business Excellence Dashboard-Aug2012-ERP HU (OracleApps) 7" xfId="3973" xr:uid="{00000000-0005-0000-0000-0000880D0000}"/>
    <cellStyle name="%_QR-Prism-Ph2-WSR-Sep10-WIP_Business Excellence Dashboard-Jul2012-ERP HU (OracleApps)-consolidated" xfId="844" xr:uid="{00000000-0005-0000-0000-0000890D0000}"/>
    <cellStyle name="%_QR-Prism-Ph2-WSR-Sep10-WIP_Business Excellence Dashboard-Jul2012-ERP HU (OracleApps)-consolidated 2" xfId="9966" xr:uid="{00000000-0005-0000-0000-00008A0D0000}"/>
    <cellStyle name="%_QR-Prism-Ph2-WSR-Sep10-WIP_Business Excellence Dashboard-Jul2012-ERP HU (OracleApps)-consolidated 3" xfId="8768" xr:uid="{00000000-0005-0000-0000-00008B0D0000}"/>
    <cellStyle name="%_QR-Prism-Ph2-WSR-Sep10-WIP_Business Excellence Dashboard-Jul2012-ERP HU (OracleApps)-consolidated 4" xfId="7570" xr:uid="{00000000-0005-0000-0000-00008C0D0000}"/>
    <cellStyle name="%_QR-Prism-Ph2-WSR-Sep10-WIP_Business Excellence Dashboard-Jul2012-ERP HU (OracleApps)-consolidated 5" xfId="6372" xr:uid="{00000000-0005-0000-0000-00008D0D0000}"/>
    <cellStyle name="%_QR-Prism-Ph2-WSR-Sep10-WIP_Business Excellence Dashboard-Jul2012-ERP HU (OracleApps)-consolidated 6" xfId="5173" xr:uid="{00000000-0005-0000-0000-00008E0D0000}"/>
    <cellStyle name="%_QR-Prism-Ph2-WSR-Sep10-WIP_Business Excellence Dashboard-Jul2012-ERP HU (OracleApps)-consolidated 7" xfId="3974" xr:uid="{00000000-0005-0000-0000-00008F0D0000}"/>
    <cellStyle name="%_QR-Prism-Ph2-WSR-Sep10-WIP_copydatamacro" xfId="845" xr:uid="{00000000-0005-0000-0000-0000900D0000}"/>
    <cellStyle name="%_QR-Prism-Ph2-WSR-Sep10-WIP_copydatamacro 2" xfId="9967" xr:uid="{00000000-0005-0000-0000-0000910D0000}"/>
    <cellStyle name="%_QR-Prism-Ph2-WSR-Sep10-WIP_copydatamacro 3" xfId="8769" xr:uid="{00000000-0005-0000-0000-0000920D0000}"/>
    <cellStyle name="%_QR-Prism-Ph2-WSR-Sep10-WIP_copydatamacro 4" xfId="7571" xr:uid="{00000000-0005-0000-0000-0000930D0000}"/>
    <cellStyle name="%_QR-Prism-Ph2-WSR-Sep10-WIP_copydatamacro 5" xfId="6373" xr:uid="{00000000-0005-0000-0000-0000940D0000}"/>
    <cellStyle name="%_QR-Prism-Ph2-WSR-Sep10-WIP_copydatamacro 6" xfId="5174" xr:uid="{00000000-0005-0000-0000-0000950D0000}"/>
    <cellStyle name="%_QR-Prism-Ph2-WSR-Sep10-WIP_copydatamacro 7" xfId="3975" xr:uid="{00000000-0005-0000-0000-0000960D0000}"/>
    <cellStyle name="%_QR-Prism-Ph2-WSR-Sep10-WIP_HU Risk dashboard_Apr2012-1-macro" xfId="846" xr:uid="{00000000-0005-0000-0000-0000970D0000}"/>
    <cellStyle name="%_QR-Prism-Ph2-WSR-Sep10-WIP_HU Risk dashboard_Apr2012-1-macro 2" xfId="9968" xr:uid="{00000000-0005-0000-0000-0000980D0000}"/>
    <cellStyle name="%_QR-Prism-Ph2-WSR-Sep10-WIP_HU Risk dashboard_Apr2012-1-macro 3" xfId="8770" xr:uid="{00000000-0005-0000-0000-0000990D0000}"/>
    <cellStyle name="%_QR-Prism-Ph2-WSR-Sep10-WIP_HU Risk dashboard_Apr2012-1-macro 4" xfId="7572" xr:uid="{00000000-0005-0000-0000-00009A0D0000}"/>
    <cellStyle name="%_QR-Prism-Ph2-WSR-Sep10-WIP_HU Risk dashboard_Apr2012-1-macro 5" xfId="6374" xr:uid="{00000000-0005-0000-0000-00009B0D0000}"/>
    <cellStyle name="%_QR-Prism-Ph2-WSR-Sep10-WIP_HU Risk dashboard_Apr2012-1-macro 6" xfId="5175" xr:uid="{00000000-0005-0000-0000-00009C0D0000}"/>
    <cellStyle name="%_QR-Prism-Ph2-WSR-Sep10-WIP_HU Risk dashboard_Apr2012-1-macro 7" xfId="3976" xr:uid="{00000000-0005-0000-0000-00009D0D0000}"/>
    <cellStyle name="%_QR-Prism-Ph2-WSR-Sep10-WIP_HU Risk dashboard_Apr2012-1-macro_2" xfId="847" xr:uid="{00000000-0005-0000-0000-00009E0D0000}"/>
    <cellStyle name="%_QR-Prism-Ph2-WSR-Sep10-WIP_HU Risk dashboard_Apr2012-1-macro_2 2" xfId="9969" xr:uid="{00000000-0005-0000-0000-00009F0D0000}"/>
    <cellStyle name="%_QR-Prism-Ph2-WSR-Sep10-WIP_HU Risk dashboard_Apr2012-1-macro_2 3" xfId="8771" xr:uid="{00000000-0005-0000-0000-0000A00D0000}"/>
    <cellStyle name="%_QR-Prism-Ph2-WSR-Sep10-WIP_HU Risk dashboard_Apr2012-1-macro_2 4" xfId="7573" xr:uid="{00000000-0005-0000-0000-0000A10D0000}"/>
    <cellStyle name="%_QR-Prism-Ph2-WSR-Sep10-WIP_HU Risk dashboard_Apr2012-1-macro_2 5" xfId="6375" xr:uid="{00000000-0005-0000-0000-0000A20D0000}"/>
    <cellStyle name="%_QR-Prism-Ph2-WSR-Sep10-WIP_HU Risk dashboard_Apr2012-1-macro_2 6" xfId="5176" xr:uid="{00000000-0005-0000-0000-0000A30D0000}"/>
    <cellStyle name="%_QR-Prism-Ph2-WSR-Sep10-WIP_HU Risk dashboard_Apr2012-1-macro_2 7" xfId="3977" xr:uid="{00000000-0005-0000-0000-0000A40D0000}"/>
    <cellStyle name="%_QR-Prism-Ph2-WSR-Sep10-WIP_HU Risk dashboard_Apr2012-1-macro_2_1" xfId="848" xr:uid="{00000000-0005-0000-0000-0000A50D0000}"/>
    <cellStyle name="%_QR-Prism-Ph2-WSR-Sep10-WIP_HU Risk dashboard_Apr2012-1-macro_2_1 2" xfId="9970" xr:uid="{00000000-0005-0000-0000-0000A60D0000}"/>
    <cellStyle name="%_QR-Prism-Ph2-WSR-Sep10-WIP_HU Risk dashboard_Apr2012-1-macro_2_1 3" xfId="8772" xr:uid="{00000000-0005-0000-0000-0000A70D0000}"/>
    <cellStyle name="%_QR-Prism-Ph2-WSR-Sep10-WIP_HU Risk dashboard_Apr2012-1-macro_2_1 4" xfId="7574" xr:uid="{00000000-0005-0000-0000-0000A80D0000}"/>
    <cellStyle name="%_QR-Prism-Ph2-WSR-Sep10-WIP_HU Risk dashboard_Apr2012-1-macro_2_1 5" xfId="6376" xr:uid="{00000000-0005-0000-0000-0000A90D0000}"/>
    <cellStyle name="%_QR-Prism-Ph2-WSR-Sep10-WIP_HU Risk dashboard_Apr2012-1-macro_2_1 6" xfId="5177" xr:uid="{00000000-0005-0000-0000-0000AA0D0000}"/>
    <cellStyle name="%_QR-Prism-Ph2-WSR-Sep10-WIP_HU Risk dashboard_Apr2012-1-macro_2_1 7" xfId="3978" xr:uid="{00000000-0005-0000-0000-0000AB0D0000}"/>
    <cellStyle name="%_QR-Prism-Ph2-WSR-Sep10-WIP_HU Risk dashboard_Apr2012-1-macro_2_1_Business Excellence Dashboard-Aug2012-ERP HU (OracleApps)" xfId="849" xr:uid="{00000000-0005-0000-0000-0000AC0D0000}"/>
    <cellStyle name="%_QR-Prism-Ph2-WSR-Sep10-WIP_HU Risk dashboard_Apr2012-1-macro_2_1_Business Excellence Dashboard-Aug2012-ERP HU (OracleApps) 2" xfId="9971" xr:uid="{00000000-0005-0000-0000-0000AD0D0000}"/>
    <cellStyle name="%_QR-Prism-Ph2-WSR-Sep10-WIP_HU Risk dashboard_Apr2012-1-macro_2_1_Business Excellence Dashboard-Aug2012-ERP HU (OracleApps) 3" xfId="8773" xr:uid="{00000000-0005-0000-0000-0000AE0D0000}"/>
    <cellStyle name="%_QR-Prism-Ph2-WSR-Sep10-WIP_HU Risk dashboard_Apr2012-1-macro_2_1_Business Excellence Dashboard-Aug2012-ERP HU (OracleApps) 4" xfId="7575" xr:uid="{00000000-0005-0000-0000-0000AF0D0000}"/>
    <cellStyle name="%_QR-Prism-Ph2-WSR-Sep10-WIP_HU Risk dashboard_Apr2012-1-macro_2_1_Business Excellence Dashboard-Aug2012-ERP HU (OracleApps) 5" xfId="6377" xr:uid="{00000000-0005-0000-0000-0000B00D0000}"/>
    <cellStyle name="%_QR-Prism-Ph2-WSR-Sep10-WIP_HU Risk dashboard_Apr2012-1-macro_2_1_Business Excellence Dashboard-Aug2012-ERP HU (OracleApps) 6" xfId="5178" xr:uid="{00000000-0005-0000-0000-0000B10D0000}"/>
    <cellStyle name="%_QR-Prism-Ph2-WSR-Sep10-WIP_HU Risk dashboard_Apr2012-1-macro_2_1_Business Excellence Dashboard-Aug2012-ERP HU (OracleApps) 7" xfId="3979" xr:uid="{00000000-0005-0000-0000-0000B20D0000}"/>
    <cellStyle name="%_QR-Prism-Ph2-WSR-Sep10-WIP_HU Risk dashboard_Apr2012-1-macro_2_2" xfId="850" xr:uid="{00000000-0005-0000-0000-0000B30D0000}"/>
    <cellStyle name="%_QR-Prism-Ph2-WSR-Sep10-WIP_HU Risk dashboard_Apr2012-1-macro_2_2 2" xfId="9972" xr:uid="{00000000-0005-0000-0000-0000B40D0000}"/>
    <cellStyle name="%_QR-Prism-Ph2-WSR-Sep10-WIP_HU Risk dashboard_Apr2012-1-macro_2_2 3" xfId="8774" xr:uid="{00000000-0005-0000-0000-0000B50D0000}"/>
    <cellStyle name="%_QR-Prism-Ph2-WSR-Sep10-WIP_HU Risk dashboard_Apr2012-1-macro_2_2 4" xfId="7576" xr:uid="{00000000-0005-0000-0000-0000B60D0000}"/>
    <cellStyle name="%_QR-Prism-Ph2-WSR-Sep10-WIP_HU Risk dashboard_Apr2012-1-macro_2_2 5" xfId="6378" xr:uid="{00000000-0005-0000-0000-0000B70D0000}"/>
    <cellStyle name="%_QR-Prism-Ph2-WSR-Sep10-WIP_HU Risk dashboard_Apr2012-1-macro_2_2 6" xfId="5179" xr:uid="{00000000-0005-0000-0000-0000B80D0000}"/>
    <cellStyle name="%_QR-Prism-Ph2-WSR-Sep10-WIP_HU Risk dashboard_Apr2012-1-macro_2_2 7" xfId="3980" xr:uid="{00000000-0005-0000-0000-0000B90D0000}"/>
    <cellStyle name="%_QR-Prism-Ph2-WSR-Sep10-WIP_HU Risk dashboard_Apr2012-1-macro_2_Business Excellence Dashboard-Aug2012-ERP HU (OracleApps)" xfId="851" xr:uid="{00000000-0005-0000-0000-0000BA0D0000}"/>
    <cellStyle name="%_QR-Prism-Ph2-WSR-Sep10-WIP_HU Risk dashboard_Apr2012-1-macro_2_Business Excellence Dashboard-Aug2012-ERP HU (OracleApps) 2" xfId="9973" xr:uid="{00000000-0005-0000-0000-0000BB0D0000}"/>
    <cellStyle name="%_QR-Prism-Ph2-WSR-Sep10-WIP_HU Risk dashboard_Apr2012-1-macro_2_Business Excellence Dashboard-Aug2012-ERP HU (OracleApps) 3" xfId="8775" xr:uid="{00000000-0005-0000-0000-0000BC0D0000}"/>
    <cellStyle name="%_QR-Prism-Ph2-WSR-Sep10-WIP_HU Risk dashboard_Apr2012-1-macro_2_Business Excellence Dashboard-Aug2012-ERP HU (OracleApps) 4" xfId="7577" xr:uid="{00000000-0005-0000-0000-0000BD0D0000}"/>
    <cellStyle name="%_QR-Prism-Ph2-WSR-Sep10-WIP_HU Risk dashboard_Apr2012-1-macro_2_Business Excellence Dashboard-Aug2012-ERP HU (OracleApps) 5" xfId="6379" xr:uid="{00000000-0005-0000-0000-0000BE0D0000}"/>
    <cellStyle name="%_QR-Prism-Ph2-WSR-Sep10-WIP_HU Risk dashboard_Apr2012-1-macro_2_Business Excellence Dashboard-Aug2012-ERP HU (OracleApps) 6" xfId="5180" xr:uid="{00000000-0005-0000-0000-0000BF0D0000}"/>
    <cellStyle name="%_QR-Prism-Ph2-WSR-Sep10-WIP_HU Risk dashboard_Apr2012-1-macro_2_Business Excellence Dashboard-Aug2012-ERP HU (OracleApps) 7" xfId="3981" xr:uid="{00000000-0005-0000-0000-0000C00D0000}"/>
    <cellStyle name="%_QR-Prism-Ph2-WSR-Sep10-WIP_HU Risk dashboard_Apr2012-1-macro_2_Business Excellence Dashboard-Jul2012-ERP HU (OracleApps)-consolidated" xfId="852" xr:uid="{00000000-0005-0000-0000-0000C10D0000}"/>
    <cellStyle name="%_QR-Prism-Ph2-WSR-Sep10-WIP_HU Risk dashboard_Apr2012-1-macro_2_Business Excellence Dashboard-Jul2012-ERP HU (OracleApps)-consolidated 2" xfId="9974" xr:uid="{00000000-0005-0000-0000-0000C20D0000}"/>
    <cellStyle name="%_QR-Prism-Ph2-WSR-Sep10-WIP_HU Risk dashboard_Apr2012-1-macro_2_Business Excellence Dashboard-Jul2012-ERP HU (OracleApps)-consolidated 3" xfId="8776" xr:uid="{00000000-0005-0000-0000-0000C30D0000}"/>
    <cellStyle name="%_QR-Prism-Ph2-WSR-Sep10-WIP_HU Risk dashboard_Apr2012-1-macro_2_Business Excellence Dashboard-Jul2012-ERP HU (OracleApps)-consolidated 4" xfId="7578" xr:uid="{00000000-0005-0000-0000-0000C40D0000}"/>
    <cellStyle name="%_QR-Prism-Ph2-WSR-Sep10-WIP_HU Risk dashboard_Apr2012-1-macro_2_Business Excellence Dashboard-Jul2012-ERP HU (OracleApps)-consolidated 5" xfId="6380" xr:uid="{00000000-0005-0000-0000-0000C50D0000}"/>
    <cellStyle name="%_QR-Prism-Ph2-WSR-Sep10-WIP_HU Risk dashboard_Apr2012-1-macro_2_Business Excellence Dashboard-Jul2012-ERP HU (OracleApps)-consolidated 6" xfId="5181" xr:uid="{00000000-0005-0000-0000-0000C60D0000}"/>
    <cellStyle name="%_QR-Prism-Ph2-WSR-Sep10-WIP_HU Risk dashboard_Apr2012-1-macro_2_Business Excellence Dashboard-Jul2012-ERP HU (OracleApps)-consolidated 7" xfId="3982" xr:uid="{00000000-0005-0000-0000-0000C70D0000}"/>
    <cellStyle name="%_QR-Prism-Ph2-WSR-Sep10-WIP_HU Risk dashboard_Apr2012-1-macro_2_copydatamacro" xfId="853" xr:uid="{00000000-0005-0000-0000-0000C80D0000}"/>
    <cellStyle name="%_QR-Prism-Ph2-WSR-Sep10-WIP_HU Risk dashboard_Apr2012-1-macro_2_copydatamacro 2" xfId="9975" xr:uid="{00000000-0005-0000-0000-0000C90D0000}"/>
    <cellStyle name="%_QR-Prism-Ph2-WSR-Sep10-WIP_HU Risk dashboard_Apr2012-1-macro_2_copydatamacro 3" xfId="8777" xr:uid="{00000000-0005-0000-0000-0000CA0D0000}"/>
    <cellStyle name="%_QR-Prism-Ph2-WSR-Sep10-WIP_HU Risk dashboard_Apr2012-1-macro_2_copydatamacro 4" xfId="7579" xr:uid="{00000000-0005-0000-0000-0000CB0D0000}"/>
    <cellStyle name="%_QR-Prism-Ph2-WSR-Sep10-WIP_HU Risk dashboard_Apr2012-1-macro_2_copydatamacro 5" xfId="6381" xr:uid="{00000000-0005-0000-0000-0000CC0D0000}"/>
    <cellStyle name="%_QR-Prism-Ph2-WSR-Sep10-WIP_HU Risk dashboard_Apr2012-1-macro_2_copydatamacro 6" xfId="5182" xr:uid="{00000000-0005-0000-0000-0000CD0D0000}"/>
    <cellStyle name="%_QR-Prism-Ph2-WSR-Sep10-WIP_HU Risk dashboard_Apr2012-1-macro_2_copydatamacro 7" xfId="3983" xr:uid="{00000000-0005-0000-0000-0000CE0D0000}"/>
    <cellStyle name="%_QR-Prism-Ph2-WSR-Sep10-WIP_HU Risk dashboard_Apr2012-1-macro_Book1" xfId="854" xr:uid="{00000000-0005-0000-0000-0000CF0D0000}"/>
    <cellStyle name="%_QR-Prism-Ph2-WSR-Sep10-WIP_HU Risk dashboard_Apr2012-1-macro_Book1 2" xfId="9976" xr:uid="{00000000-0005-0000-0000-0000D00D0000}"/>
    <cellStyle name="%_QR-Prism-Ph2-WSR-Sep10-WIP_HU Risk dashboard_Apr2012-1-macro_Book1 3" xfId="8778" xr:uid="{00000000-0005-0000-0000-0000D10D0000}"/>
    <cellStyle name="%_QR-Prism-Ph2-WSR-Sep10-WIP_HU Risk dashboard_Apr2012-1-macro_Book1 4" xfId="7580" xr:uid="{00000000-0005-0000-0000-0000D20D0000}"/>
    <cellStyle name="%_QR-Prism-Ph2-WSR-Sep10-WIP_HU Risk dashboard_Apr2012-1-macro_Book1 5" xfId="6382" xr:uid="{00000000-0005-0000-0000-0000D30D0000}"/>
    <cellStyle name="%_QR-Prism-Ph2-WSR-Sep10-WIP_HU Risk dashboard_Apr2012-1-macro_Book1 6" xfId="5183" xr:uid="{00000000-0005-0000-0000-0000D40D0000}"/>
    <cellStyle name="%_QR-Prism-Ph2-WSR-Sep10-WIP_HU Risk dashboard_Apr2012-1-macro_Book1 7" xfId="3984" xr:uid="{00000000-0005-0000-0000-0000D50D0000}"/>
    <cellStyle name="%_QR-Prism-Ph2-WSR-Sep10-WIP_HU Risk dashboard_Apr2012-1-macro_Book1_Business Excellence Dashboard-Aug2012-ERP HU (OracleApps)" xfId="855" xr:uid="{00000000-0005-0000-0000-0000D60D0000}"/>
    <cellStyle name="%_QR-Prism-Ph2-WSR-Sep10-WIP_HU Risk dashboard_Apr2012-1-macro_Book1_Business Excellence Dashboard-Aug2012-ERP HU (OracleApps) 2" xfId="9977" xr:uid="{00000000-0005-0000-0000-0000D70D0000}"/>
    <cellStyle name="%_QR-Prism-Ph2-WSR-Sep10-WIP_HU Risk dashboard_Apr2012-1-macro_Book1_Business Excellence Dashboard-Aug2012-ERP HU (OracleApps) 3" xfId="8779" xr:uid="{00000000-0005-0000-0000-0000D80D0000}"/>
    <cellStyle name="%_QR-Prism-Ph2-WSR-Sep10-WIP_HU Risk dashboard_Apr2012-1-macro_Book1_Business Excellence Dashboard-Aug2012-ERP HU (OracleApps) 4" xfId="7581" xr:uid="{00000000-0005-0000-0000-0000D90D0000}"/>
    <cellStyle name="%_QR-Prism-Ph2-WSR-Sep10-WIP_HU Risk dashboard_Apr2012-1-macro_Book1_Business Excellence Dashboard-Aug2012-ERP HU (OracleApps) 5" xfId="6383" xr:uid="{00000000-0005-0000-0000-0000DA0D0000}"/>
    <cellStyle name="%_QR-Prism-Ph2-WSR-Sep10-WIP_HU Risk dashboard_Apr2012-1-macro_Book1_Business Excellence Dashboard-Aug2012-ERP HU (OracleApps) 6" xfId="5184" xr:uid="{00000000-0005-0000-0000-0000DB0D0000}"/>
    <cellStyle name="%_QR-Prism-Ph2-WSR-Sep10-WIP_HU Risk dashboard_Apr2012-1-macro_Book1_Business Excellence Dashboard-Aug2012-ERP HU (OracleApps) 7" xfId="3985" xr:uid="{00000000-0005-0000-0000-0000DC0D0000}"/>
    <cellStyle name="%_QR-Prism-Ph2-WSR-Sep10-WIP_HU Risk dashboard_Apr2012-1-macro_Book1_Business Excellence Dashboard-Jul2012-ERP HU (OracleApps)-consolidated" xfId="856" xr:uid="{00000000-0005-0000-0000-0000DD0D0000}"/>
    <cellStyle name="%_QR-Prism-Ph2-WSR-Sep10-WIP_HU Risk dashboard_Apr2012-1-macro_Book1_Business Excellence Dashboard-Jul2012-ERP HU (OracleApps)-consolidated 2" xfId="9978" xr:uid="{00000000-0005-0000-0000-0000DE0D0000}"/>
    <cellStyle name="%_QR-Prism-Ph2-WSR-Sep10-WIP_HU Risk dashboard_Apr2012-1-macro_Book1_Business Excellence Dashboard-Jul2012-ERP HU (OracleApps)-consolidated 3" xfId="8780" xr:uid="{00000000-0005-0000-0000-0000DF0D0000}"/>
    <cellStyle name="%_QR-Prism-Ph2-WSR-Sep10-WIP_HU Risk dashboard_Apr2012-1-macro_Book1_Business Excellence Dashboard-Jul2012-ERP HU (OracleApps)-consolidated 4" xfId="7582" xr:uid="{00000000-0005-0000-0000-0000E00D0000}"/>
    <cellStyle name="%_QR-Prism-Ph2-WSR-Sep10-WIP_HU Risk dashboard_Apr2012-1-macro_Book1_Business Excellence Dashboard-Jul2012-ERP HU (OracleApps)-consolidated 5" xfId="6384" xr:uid="{00000000-0005-0000-0000-0000E10D0000}"/>
    <cellStyle name="%_QR-Prism-Ph2-WSR-Sep10-WIP_HU Risk dashboard_Apr2012-1-macro_Book1_Business Excellence Dashboard-Jul2012-ERP HU (OracleApps)-consolidated 6" xfId="5185" xr:uid="{00000000-0005-0000-0000-0000E20D0000}"/>
    <cellStyle name="%_QR-Prism-Ph2-WSR-Sep10-WIP_HU Risk dashboard_Apr2012-1-macro_Book1_Business Excellence Dashboard-Jul2012-ERP HU (OracleApps)-consolidated 7" xfId="3986" xr:uid="{00000000-0005-0000-0000-0000E30D0000}"/>
    <cellStyle name="%_QR-Prism-Ph2-WSR-Sep10-WIP_HU Risk dashboard_Apr2012-1-macro_Book1_copydatamacro" xfId="857" xr:uid="{00000000-0005-0000-0000-0000E40D0000}"/>
    <cellStyle name="%_QR-Prism-Ph2-WSR-Sep10-WIP_HU Risk dashboard_Apr2012-1-macro_Book1_copydatamacro 2" xfId="9979" xr:uid="{00000000-0005-0000-0000-0000E50D0000}"/>
    <cellStyle name="%_QR-Prism-Ph2-WSR-Sep10-WIP_HU Risk dashboard_Apr2012-1-macro_Book1_copydatamacro 3" xfId="8781" xr:uid="{00000000-0005-0000-0000-0000E60D0000}"/>
    <cellStyle name="%_QR-Prism-Ph2-WSR-Sep10-WIP_HU Risk dashboard_Apr2012-1-macro_Book1_copydatamacro 4" xfId="7583" xr:uid="{00000000-0005-0000-0000-0000E70D0000}"/>
    <cellStyle name="%_QR-Prism-Ph2-WSR-Sep10-WIP_HU Risk dashboard_Apr2012-1-macro_Book1_copydatamacro 5" xfId="6385" xr:uid="{00000000-0005-0000-0000-0000E80D0000}"/>
    <cellStyle name="%_QR-Prism-Ph2-WSR-Sep10-WIP_HU Risk dashboard_Apr2012-1-macro_Book1_copydatamacro 6" xfId="5186" xr:uid="{00000000-0005-0000-0000-0000E90D0000}"/>
    <cellStyle name="%_QR-Prism-Ph2-WSR-Sep10-WIP_HU Risk dashboard_Apr2012-1-macro_Book1_copydatamacro 7" xfId="3987" xr:uid="{00000000-0005-0000-0000-0000EA0D0000}"/>
    <cellStyle name="%_QR-Prism-Ph2-WSR-Sep10-WIP_HU Risk dashboard_Apr2012-1-macro_Business Excellence Dashboard-Aug2012-ERP HU (OracleApps)" xfId="858" xr:uid="{00000000-0005-0000-0000-0000EB0D0000}"/>
    <cellStyle name="%_QR-Prism-Ph2-WSR-Sep10-WIP_HU Risk dashboard_Apr2012-1-macro_Business Excellence Dashboard-Aug2012-ERP HU (OracleApps) 2" xfId="9980" xr:uid="{00000000-0005-0000-0000-0000EC0D0000}"/>
    <cellStyle name="%_QR-Prism-Ph2-WSR-Sep10-WIP_HU Risk dashboard_Apr2012-1-macro_Business Excellence Dashboard-Aug2012-ERP HU (OracleApps) 3" xfId="8782" xr:uid="{00000000-0005-0000-0000-0000ED0D0000}"/>
    <cellStyle name="%_QR-Prism-Ph2-WSR-Sep10-WIP_HU Risk dashboard_Apr2012-1-macro_Business Excellence Dashboard-Aug2012-ERP HU (OracleApps) 4" xfId="7584" xr:uid="{00000000-0005-0000-0000-0000EE0D0000}"/>
    <cellStyle name="%_QR-Prism-Ph2-WSR-Sep10-WIP_HU Risk dashboard_Apr2012-1-macro_Business Excellence Dashboard-Aug2012-ERP HU (OracleApps) 5" xfId="6386" xr:uid="{00000000-0005-0000-0000-0000EF0D0000}"/>
    <cellStyle name="%_QR-Prism-Ph2-WSR-Sep10-WIP_HU Risk dashboard_Apr2012-1-macro_Business Excellence Dashboard-Aug2012-ERP HU (OracleApps) 6" xfId="5187" xr:uid="{00000000-0005-0000-0000-0000F00D0000}"/>
    <cellStyle name="%_QR-Prism-Ph2-WSR-Sep10-WIP_HU Risk dashboard_Apr2012-1-macro_Business Excellence Dashboard-Aug2012-ERP HU (OracleApps) 7" xfId="3988" xr:uid="{00000000-0005-0000-0000-0000F10D0000}"/>
    <cellStyle name="%_QR-Prism-Ph2-WSR-Sep10-WIP_HU Risk dashboard_Apr2012-1-macro_Business Excellence Dashboard-Jul2012-ERP HU (OracleApps)-consolidated" xfId="859" xr:uid="{00000000-0005-0000-0000-0000F20D0000}"/>
    <cellStyle name="%_QR-Prism-Ph2-WSR-Sep10-WIP_HU Risk dashboard_Apr2012-1-macro_Business Excellence Dashboard-Jul2012-ERP HU (OracleApps)-consolidated 2" xfId="9981" xr:uid="{00000000-0005-0000-0000-0000F30D0000}"/>
    <cellStyle name="%_QR-Prism-Ph2-WSR-Sep10-WIP_HU Risk dashboard_Apr2012-1-macro_Business Excellence Dashboard-Jul2012-ERP HU (OracleApps)-consolidated 3" xfId="8783" xr:uid="{00000000-0005-0000-0000-0000F40D0000}"/>
    <cellStyle name="%_QR-Prism-Ph2-WSR-Sep10-WIP_HU Risk dashboard_Apr2012-1-macro_Business Excellence Dashboard-Jul2012-ERP HU (OracleApps)-consolidated 4" xfId="7585" xr:uid="{00000000-0005-0000-0000-0000F50D0000}"/>
    <cellStyle name="%_QR-Prism-Ph2-WSR-Sep10-WIP_HU Risk dashboard_Apr2012-1-macro_Business Excellence Dashboard-Jul2012-ERP HU (OracleApps)-consolidated 5" xfId="6387" xr:uid="{00000000-0005-0000-0000-0000F60D0000}"/>
    <cellStyle name="%_QR-Prism-Ph2-WSR-Sep10-WIP_HU Risk dashboard_Apr2012-1-macro_Business Excellence Dashboard-Jul2012-ERP HU (OracleApps)-consolidated 6" xfId="5188" xr:uid="{00000000-0005-0000-0000-0000F70D0000}"/>
    <cellStyle name="%_QR-Prism-Ph2-WSR-Sep10-WIP_HU Risk dashboard_Apr2012-1-macro_Business Excellence Dashboard-Jul2012-ERP HU (OracleApps)-consolidated 7" xfId="3989" xr:uid="{00000000-0005-0000-0000-0000F80D0000}"/>
    <cellStyle name="%_QR-Prism-Ph2-WSR-Sep10-WIP_HU Risk dashboard_Apr2012-1-macro_copydatamacro" xfId="860" xr:uid="{00000000-0005-0000-0000-0000F90D0000}"/>
    <cellStyle name="%_QR-Prism-Ph2-WSR-Sep10-WIP_HU Risk dashboard_Apr2012-1-macro_copydatamacro 2" xfId="9982" xr:uid="{00000000-0005-0000-0000-0000FA0D0000}"/>
    <cellStyle name="%_QR-Prism-Ph2-WSR-Sep10-WIP_HU Risk dashboard_Apr2012-1-macro_copydatamacro 3" xfId="8784" xr:uid="{00000000-0005-0000-0000-0000FB0D0000}"/>
    <cellStyle name="%_QR-Prism-Ph2-WSR-Sep10-WIP_HU Risk dashboard_Apr2012-1-macro_copydatamacro 4" xfId="7586" xr:uid="{00000000-0005-0000-0000-0000FC0D0000}"/>
    <cellStyle name="%_QR-Prism-Ph2-WSR-Sep10-WIP_HU Risk dashboard_Apr2012-1-macro_copydatamacro 5" xfId="6388" xr:uid="{00000000-0005-0000-0000-0000FD0D0000}"/>
    <cellStyle name="%_QR-Prism-Ph2-WSR-Sep10-WIP_HU Risk dashboard_Apr2012-1-macro_copydatamacro 6" xfId="5189" xr:uid="{00000000-0005-0000-0000-0000FE0D0000}"/>
    <cellStyle name="%_QR-Prism-Ph2-WSR-Sep10-WIP_HU Risk dashboard_Apr2012-1-macro_copydatamacro 7" xfId="3990" xr:uid="{00000000-0005-0000-0000-0000FF0D0000}"/>
    <cellStyle name="%_QR-Prism-Ph2-WSR-Sep10-WIP_HU Risk dashboard_Apr2012-1-macro_MSHU_BusinessExcellenceDashboardV2.2-May2012-3" xfId="861" xr:uid="{00000000-0005-0000-0000-0000000E0000}"/>
    <cellStyle name="%_QR-Prism-Ph2-WSR-Sep10-WIP_HU Risk dashboard_Apr2012-1-macro_MSHU_BusinessExcellenceDashboardV2.2-May2012-3 2" xfId="9983" xr:uid="{00000000-0005-0000-0000-0000010E0000}"/>
    <cellStyle name="%_QR-Prism-Ph2-WSR-Sep10-WIP_HU Risk dashboard_Apr2012-1-macro_MSHU_BusinessExcellenceDashboardV2.2-May2012-3 3" xfId="8785" xr:uid="{00000000-0005-0000-0000-0000020E0000}"/>
    <cellStyle name="%_QR-Prism-Ph2-WSR-Sep10-WIP_HU Risk dashboard_Apr2012-1-macro_MSHU_BusinessExcellenceDashboardV2.2-May2012-3 4" xfId="7587" xr:uid="{00000000-0005-0000-0000-0000030E0000}"/>
    <cellStyle name="%_QR-Prism-Ph2-WSR-Sep10-WIP_HU Risk dashboard_Apr2012-1-macro_MSHU_BusinessExcellenceDashboardV2.2-May2012-3 5" xfId="6389" xr:uid="{00000000-0005-0000-0000-0000040E0000}"/>
    <cellStyle name="%_QR-Prism-Ph2-WSR-Sep10-WIP_HU Risk dashboard_Apr2012-1-macro_MSHU_BusinessExcellenceDashboardV2.2-May2012-3 6" xfId="5190" xr:uid="{00000000-0005-0000-0000-0000050E0000}"/>
    <cellStyle name="%_QR-Prism-Ph2-WSR-Sep10-WIP_HU Risk dashboard_Apr2012-1-macro_MSHU_BusinessExcellenceDashboardV2.2-May2012-3 7" xfId="3991" xr:uid="{00000000-0005-0000-0000-0000060E0000}"/>
    <cellStyle name="%_QR-Prism-Ph2-WSR-Sep10-WIP_HU Risk dashboard_Apr2012-1-macro_MSHU_BusinessExcellenceDashboardV2.2-May2012-3_Business Excellence Dashboard-Aug2012-ERP HU (OracleApps)" xfId="862" xr:uid="{00000000-0005-0000-0000-0000070E0000}"/>
    <cellStyle name="%_QR-Prism-Ph2-WSR-Sep10-WIP_HU Risk dashboard_Apr2012-1-macro_MSHU_BusinessExcellenceDashboardV2.2-May2012-3_Business Excellence Dashboard-Aug2012-ERP HU (OracleApps) 2" xfId="9984" xr:uid="{00000000-0005-0000-0000-0000080E0000}"/>
    <cellStyle name="%_QR-Prism-Ph2-WSR-Sep10-WIP_HU Risk dashboard_Apr2012-1-macro_MSHU_BusinessExcellenceDashboardV2.2-May2012-3_Business Excellence Dashboard-Aug2012-ERP HU (OracleApps) 3" xfId="8786" xr:uid="{00000000-0005-0000-0000-0000090E0000}"/>
    <cellStyle name="%_QR-Prism-Ph2-WSR-Sep10-WIP_HU Risk dashboard_Apr2012-1-macro_MSHU_BusinessExcellenceDashboardV2.2-May2012-3_Business Excellence Dashboard-Aug2012-ERP HU (OracleApps) 4" xfId="7588" xr:uid="{00000000-0005-0000-0000-00000A0E0000}"/>
    <cellStyle name="%_QR-Prism-Ph2-WSR-Sep10-WIP_HU Risk dashboard_Apr2012-1-macro_MSHU_BusinessExcellenceDashboardV2.2-May2012-3_Business Excellence Dashboard-Aug2012-ERP HU (OracleApps) 5" xfId="6390" xr:uid="{00000000-0005-0000-0000-00000B0E0000}"/>
    <cellStyle name="%_QR-Prism-Ph2-WSR-Sep10-WIP_HU Risk dashboard_Apr2012-1-macro_MSHU_BusinessExcellenceDashboardV2.2-May2012-3_Business Excellence Dashboard-Aug2012-ERP HU (OracleApps) 6" xfId="5191" xr:uid="{00000000-0005-0000-0000-00000C0E0000}"/>
    <cellStyle name="%_QR-Prism-Ph2-WSR-Sep10-WIP_HU Risk dashboard_Apr2012-1-macro_MSHU_BusinessExcellenceDashboardV2.2-May2012-3_Business Excellence Dashboard-Aug2012-ERP HU (OracleApps) 7" xfId="3992" xr:uid="{00000000-0005-0000-0000-00000D0E0000}"/>
    <cellStyle name="%_QR-Prism-Ph2-WSR-Sep10-WIP_HU Risk dashboard_Apr2012-1-macro_MSHU_BusinessExcellenceDashboardV2.2-May2012-3_Business Excellence Dashboard-Jul2012-ERP HU (OracleApps)-consolidated" xfId="863" xr:uid="{00000000-0005-0000-0000-00000E0E0000}"/>
    <cellStyle name="%_QR-Prism-Ph2-WSR-Sep10-WIP_HU Risk dashboard_Apr2012-1-macro_MSHU_BusinessExcellenceDashboardV2.2-May2012-3_Business Excellence Dashboard-Jul2012-ERP HU (OracleApps)-consolidated 2" xfId="9985" xr:uid="{00000000-0005-0000-0000-00000F0E0000}"/>
    <cellStyle name="%_QR-Prism-Ph2-WSR-Sep10-WIP_HU Risk dashboard_Apr2012-1-macro_MSHU_BusinessExcellenceDashboardV2.2-May2012-3_Business Excellence Dashboard-Jul2012-ERP HU (OracleApps)-consolidated 3" xfId="8787" xr:uid="{00000000-0005-0000-0000-0000100E0000}"/>
    <cellStyle name="%_QR-Prism-Ph2-WSR-Sep10-WIP_HU Risk dashboard_Apr2012-1-macro_MSHU_BusinessExcellenceDashboardV2.2-May2012-3_Business Excellence Dashboard-Jul2012-ERP HU (OracleApps)-consolidated 4" xfId="7589" xr:uid="{00000000-0005-0000-0000-0000110E0000}"/>
    <cellStyle name="%_QR-Prism-Ph2-WSR-Sep10-WIP_HU Risk dashboard_Apr2012-1-macro_MSHU_BusinessExcellenceDashboardV2.2-May2012-3_Business Excellence Dashboard-Jul2012-ERP HU (OracleApps)-consolidated 5" xfId="6391" xr:uid="{00000000-0005-0000-0000-0000120E0000}"/>
    <cellStyle name="%_QR-Prism-Ph2-WSR-Sep10-WIP_HU Risk dashboard_Apr2012-1-macro_MSHU_BusinessExcellenceDashboardV2.2-May2012-3_Business Excellence Dashboard-Jul2012-ERP HU (OracleApps)-consolidated 6" xfId="5192" xr:uid="{00000000-0005-0000-0000-0000130E0000}"/>
    <cellStyle name="%_QR-Prism-Ph2-WSR-Sep10-WIP_HU Risk dashboard_Apr2012-1-macro_MSHU_BusinessExcellenceDashboardV2.2-May2012-3_Business Excellence Dashboard-Jul2012-ERP HU (OracleApps)-consolidated 7" xfId="3993" xr:uid="{00000000-0005-0000-0000-0000140E0000}"/>
    <cellStyle name="%_QR-Prism-Ph2-WSR-Sep10-WIP_HU Risk dashboard_Apr2012-1-macro_MSHU_BusinessExcellenceDashboardV2.2-May2012-3_copydatamacro" xfId="864" xr:uid="{00000000-0005-0000-0000-0000150E0000}"/>
    <cellStyle name="%_QR-Prism-Ph2-WSR-Sep10-WIP_HU Risk dashboard_Apr2012-1-macro_MSHU_BusinessExcellenceDashboardV2.2-May2012-3_copydatamacro 2" xfId="9986" xr:uid="{00000000-0005-0000-0000-0000160E0000}"/>
    <cellStyle name="%_QR-Prism-Ph2-WSR-Sep10-WIP_HU Risk dashboard_Apr2012-1-macro_MSHU_BusinessExcellenceDashboardV2.2-May2012-3_copydatamacro 3" xfId="8788" xr:uid="{00000000-0005-0000-0000-0000170E0000}"/>
    <cellStyle name="%_QR-Prism-Ph2-WSR-Sep10-WIP_HU Risk dashboard_Apr2012-1-macro_MSHU_BusinessExcellenceDashboardV2.2-May2012-3_copydatamacro 4" xfId="7590" xr:uid="{00000000-0005-0000-0000-0000180E0000}"/>
    <cellStyle name="%_QR-Prism-Ph2-WSR-Sep10-WIP_HU Risk dashboard_Apr2012-1-macro_MSHU_BusinessExcellenceDashboardV2.2-May2012-3_copydatamacro 5" xfId="6392" xr:uid="{00000000-0005-0000-0000-0000190E0000}"/>
    <cellStyle name="%_QR-Prism-Ph2-WSR-Sep10-WIP_HU Risk dashboard_Apr2012-1-macro_MSHU_BusinessExcellenceDashboardV2.2-May2012-3_copydatamacro 6" xfId="5193" xr:uid="{00000000-0005-0000-0000-00001A0E0000}"/>
    <cellStyle name="%_QR-Prism-Ph2-WSR-Sep10-WIP_HU Risk dashboard_Apr2012-1-macro_MSHU_BusinessExcellenceDashboardV2.2-May2012-3_copydatamacro 7" xfId="3994" xr:uid="{00000000-0005-0000-0000-00001B0E0000}"/>
    <cellStyle name="%_QR-Prism-Ph2-WSR-Sep10-WIP_HU Risk dashboard_Apr2012-1-macro-7MAY2012-1" xfId="865" xr:uid="{00000000-0005-0000-0000-00001C0E0000}"/>
    <cellStyle name="%_QR-Prism-Ph2-WSR-Sep10-WIP_HU Risk dashboard_Apr2012-1-macro-7MAY2012-1 2" xfId="9987" xr:uid="{00000000-0005-0000-0000-00001D0E0000}"/>
    <cellStyle name="%_QR-Prism-Ph2-WSR-Sep10-WIP_HU Risk dashboard_Apr2012-1-macro-7MAY2012-1 3" xfId="8789" xr:uid="{00000000-0005-0000-0000-00001E0E0000}"/>
    <cellStyle name="%_QR-Prism-Ph2-WSR-Sep10-WIP_HU Risk dashboard_Apr2012-1-macro-7MAY2012-1 4" xfId="7591" xr:uid="{00000000-0005-0000-0000-00001F0E0000}"/>
    <cellStyle name="%_QR-Prism-Ph2-WSR-Sep10-WIP_HU Risk dashboard_Apr2012-1-macro-7MAY2012-1 5" xfId="6393" xr:uid="{00000000-0005-0000-0000-0000200E0000}"/>
    <cellStyle name="%_QR-Prism-Ph2-WSR-Sep10-WIP_HU Risk dashboard_Apr2012-1-macro-7MAY2012-1 6" xfId="5194" xr:uid="{00000000-0005-0000-0000-0000210E0000}"/>
    <cellStyle name="%_QR-Prism-Ph2-WSR-Sep10-WIP_HU Risk dashboard_Apr2012-1-macro-7MAY2012-1 7" xfId="3995" xr:uid="{00000000-0005-0000-0000-0000220E0000}"/>
    <cellStyle name="%_QR-Prism-Ph2-WSR-Sep10-WIP_HU Risk dashboard_Apr2012-1-macro-7MAY2012-1_2" xfId="866" xr:uid="{00000000-0005-0000-0000-0000230E0000}"/>
    <cellStyle name="%_QR-Prism-Ph2-WSR-Sep10-WIP_HU Risk dashboard_Apr2012-1-macro-7MAY2012-1_2 2" xfId="9988" xr:uid="{00000000-0005-0000-0000-0000240E0000}"/>
    <cellStyle name="%_QR-Prism-Ph2-WSR-Sep10-WIP_HU Risk dashboard_Apr2012-1-macro-7MAY2012-1_2 3" xfId="8790" xr:uid="{00000000-0005-0000-0000-0000250E0000}"/>
    <cellStyle name="%_QR-Prism-Ph2-WSR-Sep10-WIP_HU Risk dashboard_Apr2012-1-macro-7MAY2012-1_2 4" xfId="7592" xr:uid="{00000000-0005-0000-0000-0000260E0000}"/>
    <cellStyle name="%_QR-Prism-Ph2-WSR-Sep10-WIP_HU Risk dashboard_Apr2012-1-macro-7MAY2012-1_2 5" xfId="6394" xr:uid="{00000000-0005-0000-0000-0000270E0000}"/>
    <cellStyle name="%_QR-Prism-Ph2-WSR-Sep10-WIP_HU Risk dashboard_Apr2012-1-macro-7MAY2012-1_2 6" xfId="5195" xr:uid="{00000000-0005-0000-0000-0000280E0000}"/>
    <cellStyle name="%_QR-Prism-Ph2-WSR-Sep10-WIP_HU Risk dashboard_Apr2012-1-macro-7MAY2012-1_2 7" xfId="3996" xr:uid="{00000000-0005-0000-0000-0000290E0000}"/>
    <cellStyle name="%_QR-Prism-Ph2-WSR-Sep10-WIP_HU Risk dashboard_Apr2012-1-macro-7MAY2012-1_2_1" xfId="867" xr:uid="{00000000-0005-0000-0000-00002A0E0000}"/>
    <cellStyle name="%_QR-Prism-Ph2-WSR-Sep10-WIP_HU Risk dashboard_Apr2012-1-macro-7MAY2012-1_2_1 2" xfId="9989" xr:uid="{00000000-0005-0000-0000-00002B0E0000}"/>
    <cellStyle name="%_QR-Prism-Ph2-WSR-Sep10-WIP_HU Risk dashboard_Apr2012-1-macro-7MAY2012-1_2_1 3" xfId="8791" xr:uid="{00000000-0005-0000-0000-00002C0E0000}"/>
    <cellStyle name="%_QR-Prism-Ph2-WSR-Sep10-WIP_HU Risk dashboard_Apr2012-1-macro-7MAY2012-1_2_1 4" xfId="7593" xr:uid="{00000000-0005-0000-0000-00002D0E0000}"/>
    <cellStyle name="%_QR-Prism-Ph2-WSR-Sep10-WIP_HU Risk dashboard_Apr2012-1-macro-7MAY2012-1_2_1 5" xfId="6395" xr:uid="{00000000-0005-0000-0000-00002E0E0000}"/>
    <cellStyle name="%_QR-Prism-Ph2-WSR-Sep10-WIP_HU Risk dashboard_Apr2012-1-macro-7MAY2012-1_2_1 6" xfId="5196" xr:uid="{00000000-0005-0000-0000-00002F0E0000}"/>
    <cellStyle name="%_QR-Prism-Ph2-WSR-Sep10-WIP_HU Risk dashboard_Apr2012-1-macro-7MAY2012-1_2_1 7" xfId="3997" xr:uid="{00000000-0005-0000-0000-0000300E0000}"/>
    <cellStyle name="%_QR-Prism-Ph2-WSR-Sep10-WIP_HU Risk dashboard_Apr2012-1-macro-7MAY2012-1_2_1_Business Excellence Dashboard-Aug2012-ERP HU (OracleApps)" xfId="868" xr:uid="{00000000-0005-0000-0000-0000310E0000}"/>
    <cellStyle name="%_QR-Prism-Ph2-WSR-Sep10-WIP_HU Risk dashboard_Apr2012-1-macro-7MAY2012-1_2_1_Business Excellence Dashboard-Aug2012-ERP HU (OracleApps) 2" xfId="9990" xr:uid="{00000000-0005-0000-0000-0000320E0000}"/>
    <cellStyle name="%_QR-Prism-Ph2-WSR-Sep10-WIP_HU Risk dashboard_Apr2012-1-macro-7MAY2012-1_2_1_Business Excellence Dashboard-Aug2012-ERP HU (OracleApps) 3" xfId="8792" xr:uid="{00000000-0005-0000-0000-0000330E0000}"/>
    <cellStyle name="%_QR-Prism-Ph2-WSR-Sep10-WIP_HU Risk dashboard_Apr2012-1-macro-7MAY2012-1_2_1_Business Excellence Dashboard-Aug2012-ERP HU (OracleApps) 4" xfId="7594" xr:uid="{00000000-0005-0000-0000-0000340E0000}"/>
    <cellStyle name="%_QR-Prism-Ph2-WSR-Sep10-WIP_HU Risk dashboard_Apr2012-1-macro-7MAY2012-1_2_1_Business Excellence Dashboard-Aug2012-ERP HU (OracleApps) 5" xfId="6396" xr:uid="{00000000-0005-0000-0000-0000350E0000}"/>
    <cellStyle name="%_QR-Prism-Ph2-WSR-Sep10-WIP_HU Risk dashboard_Apr2012-1-macro-7MAY2012-1_2_1_Business Excellence Dashboard-Aug2012-ERP HU (OracleApps) 6" xfId="5197" xr:uid="{00000000-0005-0000-0000-0000360E0000}"/>
    <cellStyle name="%_QR-Prism-Ph2-WSR-Sep10-WIP_HU Risk dashboard_Apr2012-1-macro-7MAY2012-1_2_1_Business Excellence Dashboard-Aug2012-ERP HU (OracleApps) 7" xfId="3998" xr:uid="{00000000-0005-0000-0000-0000370E0000}"/>
    <cellStyle name="%_QR-Prism-Ph2-WSR-Sep10-WIP_HU Risk dashboard_Apr2012-1-macro-7MAY2012-1_2_2" xfId="869" xr:uid="{00000000-0005-0000-0000-0000380E0000}"/>
    <cellStyle name="%_QR-Prism-Ph2-WSR-Sep10-WIP_HU Risk dashboard_Apr2012-1-macro-7MAY2012-1_2_2 2" xfId="9991" xr:uid="{00000000-0005-0000-0000-0000390E0000}"/>
    <cellStyle name="%_QR-Prism-Ph2-WSR-Sep10-WIP_HU Risk dashboard_Apr2012-1-macro-7MAY2012-1_2_2 3" xfId="8793" xr:uid="{00000000-0005-0000-0000-00003A0E0000}"/>
    <cellStyle name="%_QR-Prism-Ph2-WSR-Sep10-WIP_HU Risk dashboard_Apr2012-1-macro-7MAY2012-1_2_2 4" xfId="7595" xr:uid="{00000000-0005-0000-0000-00003B0E0000}"/>
    <cellStyle name="%_QR-Prism-Ph2-WSR-Sep10-WIP_HU Risk dashboard_Apr2012-1-macro-7MAY2012-1_2_2 5" xfId="6397" xr:uid="{00000000-0005-0000-0000-00003C0E0000}"/>
    <cellStyle name="%_QR-Prism-Ph2-WSR-Sep10-WIP_HU Risk dashboard_Apr2012-1-macro-7MAY2012-1_2_2 6" xfId="5198" xr:uid="{00000000-0005-0000-0000-00003D0E0000}"/>
    <cellStyle name="%_QR-Prism-Ph2-WSR-Sep10-WIP_HU Risk dashboard_Apr2012-1-macro-7MAY2012-1_2_2 7" xfId="3999" xr:uid="{00000000-0005-0000-0000-00003E0E0000}"/>
    <cellStyle name="%_QR-Prism-Ph2-WSR-Sep10-WIP_HU Risk dashboard_Apr2012-1-macro-7MAY2012-1_2_Business Excellence Dashboard-Aug2012-ERP HU (OracleApps)" xfId="870" xr:uid="{00000000-0005-0000-0000-00003F0E0000}"/>
    <cellStyle name="%_QR-Prism-Ph2-WSR-Sep10-WIP_HU Risk dashboard_Apr2012-1-macro-7MAY2012-1_2_Business Excellence Dashboard-Aug2012-ERP HU (OracleApps) 2" xfId="9992" xr:uid="{00000000-0005-0000-0000-0000400E0000}"/>
    <cellStyle name="%_QR-Prism-Ph2-WSR-Sep10-WIP_HU Risk dashboard_Apr2012-1-macro-7MAY2012-1_2_Business Excellence Dashboard-Aug2012-ERP HU (OracleApps) 3" xfId="8794" xr:uid="{00000000-0005-0000-0000-0000410E0000}"/>
    <cellStyle name="%_QR-Prism-Ph2-WSR-Sep10-WIP_HU Risk dashboard_Apr2012-1-macro-7MAY2012-1_2_Business Excellence Dashboard-Aug2012-ERP HU (OracleApps) 4" xfId="7596" xr:uid="{00000000-0005-0000-0000-0000420E0000}"/>
    <cellStyle name="%_QR-Prism-Ph2-WSR-Sep10-WIP_HU Risk dashboard_Apr2012-1-macro-7MAY2012-1_2_Business Excellence Dashboard-Aug2012-ERP HU (OracleApps) 5" xfId="6398" xr:uid="{00000000-0005-0000-0000-0000430E0000}"/>
    <cellStyle name="%_QR-Prism-Ph2-WSR-Sep10-WIP_HU Risk dashboard_Apr2012-1-macro-7MAY2012-1_2_Business Excellence Dashboard-Aug2012-ERP HU (OracleApps) 6" xfId="5199" xr:uid="{00000000-0005-0000-0000-0000440E0000}"/>
    <cellStyle name="%_QR-Prism-Ph2-WSR-Sep10-WIP_HU Risk dashboard_Apr2012-1-macro-7MAY2012-1_2_Business Excellence Dashboard-Aug2012-ERP HU (OracleApps) 7" xfId="4000" xr:uid="{00000000-0005-0000-0000-0000450E0000}"/>
    <cellStyle name="%_QR-Prism-Ph2-WSR-Sep10-WIP_HU Risk dashboard_Apr2012-1-macro-7MAY2012-1_2_Business Excellence Dashboard-Jul2012-ERP HU (OracleApps)-consolidated" xfId="871" xr:uid="{00000000-0005-0000-0000-0000460E0000}"/>
    <cellStyle name="%_QR-Prism-Ph2-WSR-Sep10-WIP_HU Risk dashboard_Apr2012-1-macro-7MAY2012-1_2_Business Excellence Dashboard-Jul2012-ERP HU (OracleApps)-consolidated 2" xfId="9993" xr:uid="{00000000-0005-0000-0000-0000470E0000}"/>
    <cellStyle name="%_QR-Prism-Ph2-WSR-Sep10-WIP_HU Risk dashboard_Apr2012-1-macro-7MAY2012-1_2_Business Excellence Dashboard-Jul2012-ERP HU (OracleApps)-consolidated 3" xfId="8795" xr:uid="{00000000-0005-0000-0000-0000480E0000}"/>
    <cellStyle name="%_QR-Prism-Ph2-WSR-Sep10-WIP_HU Risk dashboard_Apr2012-1-macro-7MAY2012-1_2_Business Excellence Dashboard-Jul2012-ERP HU (OracleApps)-consolidated 4" xfId="7597" xr:uid="{00000000-0005-0000-0000-0000490E0000}"/>
    <cellStyle name="%_QR-Prism-Ph2-WSR-Sep10-WIP_HU Risk dashboard_Apr2012-1-macro-7MAY2012-1_2_Business Excellence Dashboard-Jul2012-ERP HU (OracleApps)-consolidated 5" xfId="6399" xr:uid="{00000000-0005-0000-0000-00004A0E0000}"/>
    <cellStyle name="%_QR-Prism-Ph2-WSR-Sep10-WIP_HU Risk dashboard_Apr2012-1-macro-7MAY2012-1_2_Business Excellence Dashboard-Jul2012-ERP HU (OracleApps)-consolidated 6" xfId="5200" xr:uid="{00000000-0005-0000-0000-00004B0E0000}"/>
    <cellStyle name="%_QR-Prism-Ph2-WSR-Sep10-WIP_HU Risk dashboard_Apr2012-1-macro-7MAY2012-1_2_Business Excellence Dashboard-Jul2012-ERP HU (OracleApps)-consolidated 7" xfId="4001" xr:uid="{00000000-0005-0000-0000-00004C0E0000}"/>
    <cellStyle name="%_QR-Prism-Ph2-WSR-Sep10-WIP_HU Risk dashboard_Apr2012-1-macro-7MAY2012-1_2_copydatamacro" xfId="872" xr:uid="{00000000-0005-0000-0000-00004D0E0000}"/>
    <cellStyle name="%_QR-Prism-Ph2-WSR-Sep10-WIP_HU Risk dashboard_Apr2012-1-macro-7MAY2012-1_2_copydatamacro 2" xfId="9994" xr:uid="{00000000-0005-0000-0000-00004E0E0000}"/>
    <cellStyle name="%_QR-Prism-Ph2-WSR-Sep10-WIP_HU Risk dashboard_Apr2012-1-macro-7MAY2012-1_2_copydatamacro 3" xfId="8796" xr:uid="{00000000-0005-0000-0000-00004F0E0000}"/>
    <cellStyle name="%_QR-Prism-Ph2-WSR-Sep10-WIP_HU Risk dashboard_Apr2012-1-macro-7MAY2012-1_2_copydatamacro 4" xfId="7598" xr:uid="{00000000-0005-0000-0000-0000500E0000}"/>
    <cellStyle name="%_QR-Prism-Ph2-WSR-Sep10-WIP_HU Risk dashboard_Apr2012-1-macro-7MAY2012-1_2_copydatamacro 5" xfId="6400" xr:uid="{00000000-0005-0000-0000-0000510E0000}"/>
    <cellStyle name="%_QR-Prism-Ph2-WSR-Sep10-WIP_HU Risk dashboard_Apr2012-1-macro-7MAY2012-1_2_copydatamacro 6" xfId="5201" xr:uid="{00000000-0005-0000-0000-0000520E0000}"/>
    <cellStyle name="%_QR-Prism-Ph2-WSR-Sep10-WIP_HU Risk dashboard_Apr2012-1-macro-7MAY2012-1_2_copydatamacro 7" xfId="4002" xr:uid="{00000000-0005-0000-0000-0000530E0000}"/>
    <cellStyle name="%_QR-Prism-Ph2-WSR-Sep10-WIP_HU Risk dashboard_Apr2012-1-macro-7MAY2012-1_Book1" xfId="873" xr:uid="{00000000-0005-0000-0000-0000540E0000}"/>
    <cellStyle name="%_QR-Prism-Ph2-WSR-Sep10-WIP_HU Risk dashboard_Apr2012-1-macro-7MAY2012-1_Book1 2" xfId="9995" xr:uid="{00000000-0005-0000-0000-0000550E0000}"/>
    <cellStyle name="%_QR-Prism-Ph2-WSR-Sep10-WIP_HU Risk dashboard_Apr2012-1-macro-7MAY2012-1_Book1 3" xfId="8797" xr:uid="{00000000-0005-0000-0000-0000560E0000}"/>
    <cellStyle name="%_QR-Prism-Ph2-WSR-Sep10-WIP_HU Risk dashboard_Apr2012-1-macro-7MAY2012-1_Book1 4" xfId="7599" xr:uid="{00000000-0005-0000-0000-0000570E0000}"/>
    <cellStyle name="%_QR-Prism-Ph2-WSR-Sep10-WIP_HU Risk dashboard_Apr2012-1-macro-7MAY2012-1_Book1 5" xfId="6401" xr:uid="{00000000-0005-0000-0000-0000580E0000}"/>
    <cellStyle name="%_QR-Prism-Ph2-WSR-Sep10-WIP_HU Risk dashboard_Apr2012-1-macro-7MAY2012-1_Book1 6" xfId="5202" xr:uid="{00000000-0005-0000-0000-0000590E0000}"/>
    <cellStyle name="%_QR-Prism-Ph2-WSR-Sep10-WIP_HU Risk dashboard_Apr2012-1-macro-7MAY2012-1_Book1 7" xfId="4003" xr:uid="{00000000-0005-0000-0000-00005A0E0000}"/>
    <cellStyle name="%_QR-Prism-Ph2-WSR-Sep10-WIP_HU Risk dashboard_Apr2012-1-macro-7MAY2012-1_Book1_Business Excellence Dashboard-Aug2012-ERP HU (OracleApps)" xfId="874" xr:uid="{00000000-0005-0000-0000-00005B0E0000}"/>
    <cellStyle name="%_QR-Prism-Ph2-WSR-Sep10-WIP_HU Risk dashboard_Apr2012-1-macro-7MAY2012-1_Book1_Business Excellence Dashboard-Aug2012-ERP HU (OracleApps) 2" xfId="9996" xr:uid="{00000000-0005-0000-0000-00005C0E0000}"/>
    <cellStyle name="%_QR-Prism-Ph2-WSR-Sep10-WIP_HU Risk dashboard_Apr2012-1-macro-7MAY2012-1_Book1_Business Excellence Dashboard-Aug2012-ERP HU (OracleApps) 3" xfId="8798" xr:uid="{00000000-0005-0000-0000-00005D0E0000}"/>
    <cellStyle name="%_QR-Prism-Ph2-WSR-Sep10-WIP_HU Risk dashboard_Apr2012-1-macro-7MAY2012-1_Book1_Business Excellence Dashboard-Aug2012-ERP HU (OracleApps) 4" xfId="7600" xr:uid="{00000000-0005-0000-0000-00005E0E0000}"/>
    <cellStyle name="%_QR-Prism-Ph2-WSR-Sep10-WIP_HU Risk dashboard_Apr2012-1-macro-7MAY2012-1_Book1_Business Excellence Dashboard-Aug2012-ERP HU (OracleApps) 5" xfId="6402" xr:uid="{00000000-0005-0000-0000-00005F0E0000}"/>
    <cellStyle name="%_QR-Prism-Ph2-WSR-Sep10-WIP_HU Risk dashboard_Apr2012-1-macro-7MAY2012-1_Book1_Business Excellence Dashboard-Aug2012-ERP HU (OracleApps) 6" xfId="5203" xr:uid="{00000000-0005-0000-0000-0000600E0000}"/>
    <cellStyle name="%_QR-Prism-Ph2-WSR-Sep10-WIP_HU Risk dashboard_Apr2012-1-macro-7MAY2012-1_Book1_Business Excellence Dashboard-Aug2012-ERP HU (OracleApps) 7" xfId="4004" xr:uid="{00000000-0005-0000-0000-0000610E0000}"/>
    <cellStyle name="%_QR-Prism-Ph2-WSR-Sep10-WIP_HU Risk dashboard_Apr2012-1-macro-7MAY2012-1_Book1_Business Excellence Dashboard-Jul2012-ERP HU (OracleApps)-consolidated" xfId="875" xr:uid="{00000000-0005-0000-0000-0000620E0000}"/>
    <cellStyle name="%_QR-Prism-Ph2-WSR-Sep10-WIP_HU Risk dashboard_Apr2012-1-macro-7MAY2012-1_Book1_Business Excellence Dashboard-Jul2012-ERP HU (OracleApps)-consolidated 2" xfId="9997" xr:uid="{00000000-0005-0000-0000-0000630E0000}"/>
    <cellStyle name="%_QR-Prism-Ph2-WSR-Sep10-WIP_HU Risk dashboard_Apr2012-1-macro-7MAY2012-1_Book1_Business Excellence Dashboard-Jul2012-ERP HU (OracleApps)-consolidated 3" xfId="8799" xr:uid="{00000000-0005-0000-0000-0000640E0000}"/>
    <cellStyle name="%_QR-Prism-Ph2-WSR-Sep10-WIP_HU Risk dashboard_Apr2012-1-macro-7MAY2012-1_Book1_Business Excellence Dashboard-Jul2012-ERP HU (OracleApps)-consolidated 4" xfId="7601" xr:uid="{00000000-0005-0000-0000-0000650E0000}"/>
    <cellStyle name="%_QR-Prism-Ph2-WSR-Sep10-WIP_HU Risk dashboard_Apr2012-1-macro-7MAY2012-1_Book1_Business Excellence Dashboard-Jul2012-ERP HU (OracleApps)-consolidated 5" xfId="6403" xr:uid="{00000000-0005-0000-0000-0000660E0000}"/>
    <cellStyle name="%_QR-Prism-Ph2-WSR-Sep10-WIP_HU Risk dashboard_Apr2012-1-macro-7MAY2012-1_Book1_Business Excellence Dashboard-Jul2012-ERP HU (OracleApps)-consolidated 6" xfId="5204" xr:uid="{00000000-0005-0000-0000-0000670E0000}"/>
    <cellStyle name="%_QR-Prism-Ph2-WSR-Sep10-WIP_HU Risk dashboard_Apr2012-1-macro-7MAY2012-1_Book1_Business Excellence Dashboard-Jul2012-ERP HU (OracleApps)-consolidated 7" xfId="4005" xr:uid="{00000000-0005-0000-0000-0000680E0000}"/>
    <cellStyle name="%_QR-Prism-Ph2-WSR-Sep10-WIP_HU Risk dashboard_Apr2012-1-macro-7MAY2012-1_Book1_copydatamacro" xfId="876" xr:uid="{00000000-0005-0000-0000-0000690E0000}"/>
    <cellStyle name="%_QR-Prism-Ph2-WSR-Sep10-WIP_HU Risk dashboard_Apr2012-1-macro-7MAY2012-1_Book1_copydatamacro 2" xfId="9998" xr:uid="{00000000-0005-0000-0000-00006A0E0000}"/>
    <cellStyle name="%_QR-Prism-Ph2-WSR-Sep10-WIP_HU Risk dashboard_Apr2012-1-macro-7MAY2012-1_Book1_copydatamacro 3" xfId="8800" xr:uid="{00000000-0005-0000-0000-00006B0E0000}"/>
    <cellStyle name="%_QR-Prism-Ph2-WSR-Sep10-WIP_HU Risk dashboard_Apr2012-1-macro-7MAY2012-1_Book1_copydatamacro 4" xfId="7602" xr:uid="{00000000-0005-0000-0000-00006C0E0000}"/>
    <cellStyle name="%_QR-Prism-Ph2-WSR-Sep10-WIP_HU Risk dashboard_Apr2012-1-macro-7MAY2012-1_Book1_copydatamacro 5" xfId="6404" xr:uid="{00000000-0005-0000-0000-00006D0E0000}"/>
    <cellStyle name="%_QR-Prism-Ph2-WSR-Sep10-WIP_HU Risk dashboard_Apr2012-1-macro-7MAY2012-1_Book1_copydatamacro 6" xfId="5205" xr:uid="{00000000-0005-0000-0000-00006E0E0000}"/>
    <cellStyle name="%_QR-Prism-Ph2-WSR-Sep10-WIP_HU Risk dashboard_Apr2012-1-macro-7MAY2012-1_Book1_copydatamacro 7" xfId="4006" xr:uid="{00000000-0005-0000-0000-00006F0E0000}"/>
    <cellStyle name="%_QR-Prism-Ph2-WSR-Sep10-WIP_HU Risk dashboard_Apr2012-1-macro-7MAY2012-1_Business Excellence Dashboard-Aug2012-ERP HU (OracleApps)" xfId="877" xr:uid="{00000000-0005-0000-0000-0000700E0000}"/>
    <cellStyle name="%_QR-Prism-Ph2-WSR-Sep10-WIP_HU Risk dashboard_Apr2012-1-macro-7MAY2012-1_Business Excellence Dashboard-Aug2012-ERP HU (OracleApps) 2" xfId="9999" xr:uid="{00000000-0005-0000-0000-0000710E0000}"/>
    <cellStyle name="%_QR-Prism-Ph2-WSR-Sep10-WIP_HU Risk dashboard_Apr2012-1-macro-7MAY2012-1_Business Excellence Dashboard-Aug2012-ERP HU (OracleApps) 3" xfId="8801" xr:uid="{00000000-0005-0000-0000-0000720E0000}"/>
    <cellStyle name="%_QR-Prism-Ph2-WSR-Sep10-WIP_HU Risk dashboard_Apr2012-1-macro-7MAY2012-1_Business Excellence Dashboard-Aug2012-ERP HU (OracleApps) 4" xfId="7603" xr:uid="{00000000-0005-0000-0000-0000730E0000}"/>
    <cellStyle name="%_QR-Prism-Ph2-WSR-Sep10-WIP_HU Risk dashboard_Apr2012-1-macro-7MAY2012-1_Business Excellence Dashboard-Aug2012-ERP HU (OracleApps) 5" xfId="6405" xr:uid="{00000000-0005-0000-0000-0000740E0000}"/>
    <cellStyle name="%_QR-Prism-Ph2-WSR-Sep10-WIP_HU Risk dashboard_Apr2012-1-macro-7MAY2012-1_Business Excellence Dashboard-Aug2012-ERP HU (OracleApps) 6" xfId="5206" xr:uid="{00000000-0005-0000-0000-0000750E0000}"/>
    <cellStyle name="%_QR-Prism-Ph2-WSR-Sep10-WIP_HU Risk dashboard_Apr2012-1-macro-7MAY2012-1_Business Excellence Dashboard-Aug2012-ERP HU (OracleApps) 7" xfId="4007" xr:uid="{00000000-0005-0000-0000-0000760E0000}"/>
    <cellStyle name="%_QR-Prism-Ph2-WSR-Sep10-WIP_HU Risk dashboard_Apr2012-1-macro-7MAY2012-1_Business Excellence Dashboard-Jul2012-ERP HU (OracleApps)-consolidated" xfId="878" xr:uid="{00000000-0005-0000-0000-0000770E0000}"/>
    <cellStyle name="%_QR-Prism-Ph2-WSR-Sep10-WIP_HU Risk dashboard_Apr2012-1-macro-7MAY2012-1_Business Excellence Dashboard-Jul2012-ERP HU (OracleApps)-consolidated 2" xfId="10000" xr:uid="{00000000-0005-0000-0000-0000780E0000}"/>
    <cellStyle name="%_QR-Prism-Ph2-WSR-Sep10-WIP_HU Risk dashboard_Apr2012-1-macro-7MAY2012-1_Business Excellence Dashboard-Jul2012-ERP HU (OracleApps)-consolidated 3" xfId="8802" xr:uid="{00000000-0005-0000-0000-0000790E0000}"/>
    <cellStyle name="%_QR-Prism-Ph2-WSR-Sep10-WIP_HU Risk dashboard_Apr2012-1-macro-7MAY2012-1_Business Excellence Dashboard-Jul2012-ERP HU (OracleApps)-consolidated 4" xfId="7604" xr:uid="{00000000-0005-0000-0000-00007A0E0000}"/>
    <cellStyle name="%_QR-Prism-Ph2-WSR-Sep10-WIP_HU Risk dashboard_Apr2012-1-macro-7MAY2012-1_Business Excellence Dashboard-Jul2012-ERP HU (OracleApps)-consolidated 5" xfId="6406" xr:uid="{00000000-0005-0000-0000-00007B0E0000}"/>
    <cellStyle name="%_QR-Prism-Ph2-WSR-Sep10-WIP_HU Risk dashboard_Apr2012-1-macro-7MAY2012-1_Business Excellence Dashboard-Jul2012-ERP HU (OracleApps)-consolidated 6" xfId="5207" xr:uid="{00000000-0005-0000-0000-00007C0E0000}"/>
    <cellStyle name="%_QR-Prism-Ph2-WSR-Sep10-WIP_HU Risk dashboard_Apr2012-1-macro-7MAY2012-1_Business Excellence Dashboard-Jul2012-ERP HU (OracleApps)-consolidated 7" xfId="4008" xr:uid="{00000000-0005-0000-0000-00007D0E0000}"/>
    <cellStyle name="%_QR-Prism-Ph2-WSR-Sep10-WIP_HU Risk dashboard_Apr2012-1-macro-7MAY2012-1_copydatamacro" xfId="879" xr:uid="{00000000-0005-0000-0000-00007E0E0000}"/>
    <cellStyle name="%_QR-Prism-Ph2-WSR-Sep10-WIP_HU Risk dashboard_Apr2012-1-macro-7MAY2012-1_copydatamacro 2" xfId="10001" xr:uid="{00000000-0005-0000-0000-00007F0E0000}"/>
    <cellStyle name="%_QR-Prism-Ph2-WSR-Sep10-WIP_HU Risk dashboard_Apr2012-1-macro-7MAY2012-1_copydatamacro 3" xfId="8803" xr:uid="{00000000-0005-0000-0000-0000800E0000}"/>
    <cellStyle name="%_QR-Prism-Ph2-WSR-Sep10-WIP_HU Risk dashboard_Apr2012-1-macro-7MAY2012-1_copydatamacro 4" xfId="7605" xr:uid="{00000000-0005-0000-0000-0000810E0000}"/>
    <cellStyle name="%_QR-Prism-Ph2-WSR-Sep10-WIP_HU Risk dashboard_Apr2012-1-macro-7MAY2012-1_copydatamacro 5" xfId="6407" xr:uid="{00000000-0005-0000-0000-0000820E0000}"/>
    <cellStyle name="%_QR-Prism-Ph2-WSR-Sep10-WIP_HU Risk dashboard_Apr2012-1-macro-7MAY2012-1_copydatamacro 6" xfId="5208" xr:uid="{00000000-0005-0000-0000-0000830E0000}"/>
    <cellStyle name="%_QR-Prism-Ph2-WSR-Sep10-WIP_HU Risk dashboard_Apr2012-1-macro-7MAY2012-1_copydatamacro 7" xfId="4009" xr:uid="{00000000-0005-0000-0000-0000840E0000}"/>
    <cellStyle name="%_QR-Prism-Ph2-WSR-Sep10-WIP_HU Risk dashboard_Apr2012-1-macro-7MAY2012-1_MSHU_BusinessExcellenceDashboardV2.2-May2012-3" xfId="880" xr:uid="{00000000-0005-0000-0000-0000850E0000}"/>
    <cellStyle name="%_QR-Prism-Ph2-WSR-Sep10-WIP_HU Risk dashboard_Apr2012-1-macro-7MAY2012-1_MSHU_BusinessExcellenceDashboardV2.2-May2012-3 2" xfId="10002" xr:uid="{00000000-0005-0000-0000-0000860E0000}"/>
    <cellStyle name="%_QR-Prism-Ph2-WSR-Sep10-WIP_HU Risk dashboard_Apr2012-1-macro-7MAY2012-1_MSHU_BusinessExcellenceDashboardV2.2-May2012-3 3" xfId="8804" xr:uid="{00000000-0005-0000-0000-0000870E0000}"/>
    <cellStyle name="%_QR-Prism-Ph2-WSR-Sep10-WIP_HU Risk dashboard_Apr2012-1-macro-7MAY2012-1_MSHU_BusinessExcellenceDashboardV2.2-May2012-3 4" xfId="7606" xr:uid="{00000000-0005-0000-0000-0000880E0000}"/>
    <cellStyle name="%_QR-Prism-Ph2-WSR-Sep10-WIP_HU Risk dashboard_Apr2012-1-macro-7MAY2012-1_MSHU_BusinessExcellenceDashboardV2.2-May2012-3 5" xfId="6408" xr:uid="{00000000-0005-0000-0000-0000890E0000}"/>
    <cellStyle name="%_QR-Prism-Ph2-WSR-Sep10-WIP_HU Risk dashboard_Apr2012-1-macro-7MAY2012-1_MSHU_BusinessExcellenceDashboardV2.2-May2012-3 6" xfId="5209" xr:uid="{00000000-0005-0000-0000-00008A0E0000}"/>
    <cellStyle name="%_QR-Prism-Ph2-WSR-Sep10-WIP_HU Risk dashboard_Apr2012-1-macro-7MAY2012-1_MSHU_BusinessExcellenceDashboardV2.2-May2012-3 7" xfId="4010" xr:uid="{00000000-0005-0000-0000-00008B0E0000}"/>
    <cellStyle name="%_QR-Prism-Ph2-WSR-Sep10-WIP_HU Risk dashboard_Apr2012-1-macro-7MAY2012-1_MSHU_BusinessExcellenceDashboardV2.2-May2012-3_Business Excellence Dashboard-Aug2012-ERP HU (OracleApps)" xfId="881" xr:uid="{00000000-0005-0000-0000-00008C0E0000}"/>
    <cellStyle name="%_QR-Prism-Ph2-WSR-Sep10-WIP_HU Risk dashboard_Apr2012-1-macro-7MAY2012-1_MSHU_BusinessExcellenceDashboardV2.2-May2012-3_Business Excellence Dashboard-Aug2012-ERP HU (OracleApps) 2" xfId="10003" xr:uid="{00000000-0005-0000-0000-00008D0E0000}"/>
    <cellStyle name="%_QR-Prism-Ph2-WSR-Sep10-WIP_HU Risk dashboard_Apr2012-1-macro-7MAY2012-1_MSHU_BusinessExcellenceDashboardV2.2-May2012-3_Business Excellence Dashboard-Aug2012-ERP HU (OracleApps) 3" xfId="8805" xr:uid="{00000000-0005-0000-0000-00008E0E0000}"/>
    <cellStyle name="%_QR-Prism-Ph2-WSR-Sep10-WIP_HU Risk dashboard_Apr2012-1-macro-7MAY2012-1_MSHU_BusinessExcellenceDashboardV2.2-May2012-3_Business Excellence Dashboard-Aug2012-ERP HU (OracleApps) 4" xfId="7607" xr:uid="{00000000-0005-0000-0000-00008F0E0000}"/>
    <cellStyle name="%_QR-Prism-Ph2-WSR-Sep10-WIP_HU Risk dashboard_Apr2012-1-macro-7MAY2012-1_MSHU_BusinessExcellenceDashboardV2.2-May2012-3_Business Excellence Dashboard-Aug2012-ERP HU (OracleApps) 5" xfId="6409" xr:uid="{00000000-0005-0000-0000-0000900E0000}"/>
    <cellStyle name="%_QR-Prism-Ph2-WSR-Sep10-WIP_HU Risk dashboard_Apr2012-1-macro-7MAY2012-1_MSHU_BusinessExcellenceDashboardV2.2-May2012-3_Business Excellence Dashboard-Aug2012-ERP HU (OracleApps) 6" xfId="5210" xr:uid="{00000000-0005-0000-0000-0000910E0000}"/>
    <cellStyle name="%_QR-Prism-Ph2-WSR-Sep10-WIP_HU Risk dashboard_Apr2012-1-macro-7MAY2012-1_MSHU_BusinessExcellenceDashboardV2.2-May2012-3_Business Excellence Dashboard-Aug2012-ERP HU (OracleApps) 7" xfId="4011" xr:uid="{00000000-0005-0000-0000-0000920E0000}"/>
    <cellStyle name="%_QR-Prism-Ph2-WSR-Sep10-WIP_HU Risk dashboard_Apr2012-1-macro-7MAY2012-1_MSHU_BusinessExcellenceDashboardV2.2-May2012-3_Business Excellence Dashboard-Jul2012-ERP HU (OracleApps)-consolidated" xfId="882" xr:uid="{00000000-0005-0000-0000-0000930E0000}"/>
    <cellStyle name="%_QR-Prism-Ph2-WSR-Sep10-WIP_HU Risk dashboard_Apr2012-1-macro-7MAY2012-1_MSHU_BusinessExcellenceDashboardV2.2-May2012-3_Business Excellence Dashboard-Jul2012-ERP HU (OracleApps)-consolidated 2" xfId="10004" xr:uid="{00000000-0005-0000-0000-0000940E0000}"/>
    <cellStyle name="%_QR-Prism-Ph2-WSR-Sep10-WIP_HU Risk dashboard_Apr2012-1-macro-7MAY2012-1_MSHU_BusinessExcellenceDashboardV2.2-May2012-3_Business Excellence Dashboard-Jul2012-ERP HU (OracleApps)-consolidated 3" xfId="8806" xr:uid="{00000000-0005-0000-0000-0000950E0000}"/>
    <cellStyle name="%_QR-Prism-Ph2-WSR-Sep10-WIP_HU Risk dashboard_Apr2012-1-macro-7MAY2012-1_MSHU_BusinessExcellenceDashboardV2.2-May2012-3_Business Excellence Dashboard-Jul2012-ERP HU (OracleApps)-consolidated 4" xfId="7608" xr:uid="{00000000-0005-0000-0000-0000960E0000}"/>
    <cellStyle name="%_QR-Prism-Ph2-WSR-Sep10-WIP_HU Risk dashboard_Apr2012-1-macro-7MAY2012-1_MSHU_BusinessExcellenceDashboardV2.2-May2012-3_Business Excellence Dashboard-Jul2012-ERP HU (OracleApps)-consolidated 5" xfId="6410" xr:uid="{00000000-0005-0000-0000-0000970E0000}"/>
    <cellStyle name="%_QR-Prism-Ph2-WSR-Sep10-WIP_HU Risk dashboard_Apr2012-1-macro-7MAY2012-1_MSHU_BusinessExcellenceDashboardV2.2-May2012-3_Business Excellence Dashboard-Jul2012-ERP HU (OracleApps)-consolidated 6" xfId="5211" xr:uid="{00000000-0005-0000-0000-0000980E0000}"/>
    <cellStyle name="%_QR-Prism-Ph2-WSR-Sep10-WIP_HU Risk dashboard_Apr2012-1-macro-7MAY2012-1_MSHU_BusinessExcellenceDashboardV2.2-May2012-3_Business Excellence Dashboard-Jul2012-ERP HU (OracleApps)-consolidated 7" xfId="4012" xr:uid="{00000000-0005-0000-0000-0000990E0000}"/>
    <cellStyle name="%_QR-Prism-Ph2-WSR-Sep10-WIP_HU Risk dashboard_Apr2012-1-macro-7MAY2012-1_MSHU_BusinessExcellenceDashboardV2.2-May2012-3_copydatamacro" xfId="883" xr:uid="{00000000-0005-0000-0000-00009A0E0000}"/>
    <cellStyle name="%_QR-Prism-Ph2-WSR-Sep10-WIP_HU Risk dashboard_Apr2012-1-macro-7MAY2012-1_MSHU_BusinessExcellenceDashboardV2.2-May2012-3_copydatamacro 2" xfId="10005" xr:uid="{00000000-0005-0000-0000-00009B0E0000}"/>
    <cellStyle name="%_QR-Prism-Ph2-WSR-Sep10-WIP_HU Risk dashboard_Apr2012-1-macro-7MAY2012-1_MSHU_BusinessExcellenceDashboardV2.2-May2012-3_copydatamacro 3" xfId="8807" xr:uid="{00000000-0005-0000-0000-00009C0E0000}"/>
    <cellStyle name="%_QR-Prism-Ph2-WSR-Sep10-WIP_HU Risk dashboard_Apr2012-1-macro-7MAY2012-1_MSHU_BusinessExcellenceDashboardV2.2-May2012-3_copydatamacro 4" xfId="7609" xr:uid="{00000000-0005-0000-0000-00009D0E0000}"/>
    <cellStyle name="%_QR-Prism-Ph2-WSR-Sep10-WIP_HU Risk dashboard_Apr2012-1-macro-7MAY2012-1_MSHU_BusinessExcellenceDashboardV2.2-May2012-3_copydatamacro 5" xfId="6411" xr:uid="{00000000-0005-0000-0000-00009E0E0000}"/>
    <cellStyle name="%_QR-Prism-Ph2-WSR-Sep10-WIP_HU Risk dashboard_Apr2012-1-macro-7MAY2012-1_MSHU_BusinessExcellenceDashboardV2.2-May2012-3_copydatamacro 6" xfId="5212" xr:uid="{00000000-0005-0000-0000-00009F0E0000}"/>
    <cellStyle name="%_QR-Prism-Ph2-WSR-Sep10-WIP_HU Risk dashboard_Apr2012-1-macro-7MAY2012-1_MSHU_BusinessExcellenceDashboardV2.2-May2012-3_copydatamacro 7" xfId="4013" xr:uid="{00000000-0005-0000-0000-0000A00E0000}"/>
    <cellStyle name="%_QR-Prism-Ph2-WSR-Sep10-WIP_HU-Risk-dashboard_OracleAppsProjects_Template-Macro" xfId="884" xr:uid="{00000000-0005-0000-0000-0000A10E0000}"/>
    <cellStyle name="%_QR-Prism-Ph2-WSR-Sep10-WIP_HU-Risk-dashboard_OracleAppsProjects_Template-Macro 2" xfId="10006" xr:uid="{00000000-0005-0000-0000-0000A20E0000}"/>
    <cellStyle name="%_QR-Prism-Ph2-WSR-Sep10-WIP_HU-Risk-dashboard_OracleAppsProjects_Template-Macro 3" xfId="8808" xr:uid="{00000000-0005-0000-0000-0000A30E0000}"/>
    <cellStyle name="%_QR-Prism-Ph2-WSR-Sep10-WIP_HU-Risk-dashboard_OracleAppsProjects_Template-Macro 4" xfId="7610" xr:uid="{00000000-0005-0000-0000-0000A40E0000}"/>
    <cellStyle name="%_QR-Prism-Ph2-WSR-Sep10-WIP_HU-Risk-dashboard_OracleAppsProjects_Template-Macro 5" xfId="6412" xr:uid="{00000000-0005-0000-0000-0000A50E0000}"/>
    <cellStyle name="%_QR-Prism-Ph2-WSR-Sep10-WIP_HU-Risk-dashboard_OracleAppsProjects_Template-Macro 6" xfId="5213" xr:uid="{00000000-0005-0000-0000-0000A60E0000}"/>
    <cellStyle name="%_QR-Prism-Ph2-WSR-Sep10-WIP_HU-Risk-dashboard_OracleAppsProjects_Template-Macro 7" xfId="4014" xr:uid="{00000000-0005-0000-0000-0000A70E0000}"/>
    <cellStyle name="%_QR-Prism-Ph2-WSR-Sep10-WIP_HU-Risk-dashboard_OracleAppsProjects_Template-Macro_2" xfId="885" xr:uid="{00000000-0005-0000-0000-0000A80E0000}"/>
    <cellStyle name="%_QR-Prism-Ph2-WSR-Sep10-WIP_HU-Risk-dashboard_OracleAppsProjects_Template-Macro_2 2" xfId="10007" xr:uid="{00000000-0005-0000-0000-0000A90E0000}"/>
    <cellStyle name="%_QR-Prism-Ph2-WSR-Sep10-WIP_HU-Risk-dashboard_OracleAppsProjects_Template-Macro_2 3" xfId="8809" xr:uid="{00000000-0005-0000-0000-0000AA0E0000}"/>
    <cellStyle name="%_QR-Prism-Ph2-WSR-Sep10-WIP_HU-Risk-dashboard_OracleAppsProjects_Template-Macro_2 4" xfId="7611" xr:uid="{00000000-0005-0000-0000-0000AB0E0000}"/>
    <cellStyle name="%_QR-Prism-Ph2-WSR-Sep10-WIP_HU-Risk-dashboard_OracleAppsProjects_Template-Macro_2 5" xfId="6413" xr:uid="{00000000-0005-0000-0000-0000AC0E0000}"/>
    <cellStyle name="%_QR-Prism-Ph2-WSR-Sep10-WIP_HU-Risk-dashboard_OracleAppsProjects_Template-Macro_2 6" xfId="5214" xr:uid="{00000000-0005-0000-0000-0000AD0E0000}"/>
    <cellStyle name="%_QR-Prism-Ph2-WSR-Sep10-WIP_HU-Risk-dashboard_OracleAppsProjects_Template-Macro_2 7" xfId="4015" xr:uid="{00000000-0005-0000-0000-0000AE0E0000}"/>
    <cellStyle name="%_QR-Prism-Ph2-WSR-Sep10-WIP_HU-Risk-dashboard_OracleAppsProjects_Template-Macro_2_1" xfId="886" xr:uid="{00000000-0005-0000-0000-0000AF0E0000}"/>
    <cellStyle name="%_QR-Prism-Ph2-WSR-Sep10-WIP_HU-Risk-dashboard_OracleAppsProjects_Template-Macro_2_1 2" xfId="10008" xr:uid="{00000000-0005-0000-0000-0000B00E0000}"/>
    <cellStyle name="%_QR-Prism-Ph2-WSR-Sep10-WIP_HU-Risk-dashboard_OracleAppsProjects_Template-Macro_2_1 3" xfId="8810" xr:uid="{00000000-0005-0000-0000-0000B10E0000}"/>
    <cellStyle name="%_QR-Prism-Ph2-WSR-Sep10-WIP_HU-Risk-dashboard_OracleAppsProjects_Template-Macro_2_1 4" xfId="7612" xr:uid="{00000000-0005-0000-0000-0000B20E0000}"/>
    <cellStyle name="%_QR-Prism-Ph2-WSR-Sep10-WIP_HU-Risk-dashboard_OracleAppsProjects_Template-Macro_2_1 5" xfId="6414" xr:uid="{00000000-0005-0000-0000-0000B30E0000}"/>
    <cellStyle name="%_QR-Prism-Ph2-WSR-Sep10-WIP_HU-Risk-dashboard_OracleAppsProjects_Template-Macro_2_1 6" xfId="5215" xr:uid="{00000000-0005-0000-0000-0000B40E0000}"/>
    <cellStyle name="%_QR-Prism-Ph2-WSR-Sep10-WIP_HU-Risk-dashboard_OracleAppsProjects_Template-Macro_2_1 7" xfId="4016" xr:uid="{00000000-0005-0000-0000-0000B50E0000}"/>
    <cellStyle name="%_QR-Prism-Ph2-WSR-Sep10-WIP_HU-Risk-dashboard_OracleAppsProjects_Template-Macro_2_1_Business Excellence Dashboard-Aug2012-ERP HU (OracleApps)" xfId="887" xr:uid="{00000000-0005-0000-0000-0000B60E0000}"/>
    <cellStyle name="%_QR-Prism-Ph2-WSR-Sep10-WIP_HU-Risk-dashboard_OracleAppsProjects_Template-Macro_2_1_Business Excellence Dashboard-Aug2012-ERP HU (OracleApps) 2" xfId="10009" xr:uid="{00000000-0005-0000-0000-0000B70E0000}"/>
    <cellStyle name="%_QR-Prism-Ph2-WSR-Sep10-WIP_HU-Risk-dashboard_OracleAppsProjects_Template-Macro_2_1_Business Excellence Dashboard-Aug2012-ERP HU (OracleApps) 3" xfId="8811" xr:uid="{00000000-0005-0000-0000-0000B80E0000}"/>
    <cellStyle name="%_QR-Prism-Ph2-WSR-Sep10-WIP_HU-Risk-dashboard_OracleAppsProjects_Template-Macro_2_1_Business Excellence Dashboard-Aug2012-ERP HU (OracleApps) 4" xfId="7613" xr:uid="{00000000-0005-0000-0000-0000B90E0000}"/>
    <cellStyle name="%_QR-Prism-Ph2-WSR-Sep10-WIP_HU-Risk-dashboard_OracleAppsProjects_Template-Macro_2_1_Business Excellence Dashboard-Aug2012-ERP HU (OracleApps) 5" xfId="6415" xr:uid="{00000000-0005-0000-0000-0000BA0E0000}"/>
    <cellStyle name="%_QR-Prism-Ph2-WSR-Sep10-WIP_HU-Risk-dashboard_OracleAppsProjects_Template-Macro_2_1_Business Excellence Dashboard-Aug2012-ERP HU (OracleApps) 6" xfId="5216" xr:uid="{00000000-0005-0000-0000-0000BB0E0000}"/>
    <cellStyle name="%_QR-Prism-Ph2-WSR-Sep10-WIP_HU-Risk-dashboard_OracleAppsProjects_Template-Macro_2_1_Business Excellence Dashboard-Aug2012-ERP HU (OracleApps) 7" xfId="4017" xr:uid="{00000000-0005-0000-0000-0000BC0E0000}"/>
    <cellStyle name="%_QR-Prism-Ph2-WSR-Sep10-WIP_HU-Risk-dashboard_OracleAppsProjects_Template-Macro_2_2" xfId="888" xr:uid="{00000000-0005-0000-0000-0000BD0E0000}"/>
    <cellStyle name="%_QR-Prism-Ph2-WSR-Sep10-WIP_HU-Risk-dashboard_OracleAppsProjects_Template-Macro_2_2 2" xfId="10010" xr:uid="{00000000-0005-0000-0000-0000BE0E0000}"/>
    <cellStyle name="%_QR-Prism-Ph2-WSR-Sep10-WIP_HU-Risk-dashboard_OracleAppsProjects_Template-Macro_2_2 3" xfId="8812" xr:uid="{00000000-0005-0000-0000-0000BF0E0000}"/>
    <cellStyle name="%_QR-Prism-Ph2-WSR-Sep10-WIP_HU-Risk-dashboard_OracleAppsProjects_Template-Macro_2_2 4" xfId="7614" xr:uid="{00000000-0005-0000-0000-0000C00E0000}"/>
    <cellStyle name="%_QR-Prism-Ph2-WSR-Sep10-WIP_HU-Risk-dashboard_OracleAppsProjects_Template-Macro_2_2 5" xfId="6416" xr:uid="{00000000-0005-0000-0000-0000C10E0000}"/>
    <cellStyle name="%_QR-Prism-Ph2-WSR-Sep10-WIP_HU-Risk-dashboard_OracleAppsProjects_Template-Macro_2_2 6" xfId="5217" xr:uid="{00000000-0005-0000-0000-0000C20E0000}"/>
    <cellStyle name="%_QR-Prism-Ph2-WSR-Sep10-WIP_HU-Risk-dashboard_OracleAppsProjects_Template-Macro_2_2 7" xfId="4018" xr:uid="{00000000-0005-0000-0000-0000C30E0000}"/>
    <cellStyle name="%_QR-Prism-Ph2-WSR-Sep10-WIP_HU-Risk-dashboard_OracleAppsProjects_Template-Macro_2_Business Excellence Dashboard-Aug2012-ERP HU (OracleApps)" xfId="889" xr:uid="{00000000-0005-0000-0000-0000C40E0000}"/>
    <cellStyle name="%_QR-Prism-Ph2-WSR-Sep10-WIP_HU-Risk-dashboard_OracleAppsProjects_Template-Macro_2_Business Excellence Dashboard-Aug2012-ERP HU (OracleApps) 2" xfId="10011" xr:uid="{00000000-0005-0000-0000-0000C50E0000}"/>
    <cellStyle name="%_QR-Prism-Ph2-WSR-Sep10-WIP_HU-Risk-dashboard_OracleAppsProjects_Template-Macro_2_Business Excellence Dashboard-Aug2012-ERP HU (OracleApps) 3" xfId="8813" xr:uid="{00000000-0005-0000-0000-0000C60E0000}"/>
    <cellStyle name="%_QR-Prism-Ph2-WSR-Sep10-WIP_HU-Risk-dashboard_OracleAppsProjects_Template-Macro_2_Business Excellence Dashboard-Aug2012-ERP HU (OracleApps) 4" xfId="7615" xr:uid="{00000000-0005-0000-0000-0000C70E0000}"/>
    <cellStyle name="%_QR-Prism-Ph2-WSR-Sep10-WIP_HU-Risk-dashboard_OracleAppsProjects_Template-Macro_2_Business Excellence Dashboard-Aug2012-ERP HU (OracleApps) 5" xfId="6417" xr:uid="{00000000-0005-0000-0000-0000C80E0000}"/>
    <cellStyle name="%_QR-Prism-Ph2-WSR-Sep10-WIP_HU-Risk-dashboard_OracleAppsProjects_Template-Macro_2_Business Excellence Dashboard-Aug2012-ERP HU (OracleApps) 6" xfId="5218" xr:uid="{00000000-0005-0000-0000-0000C90E0000}"/>
    <cellStyle name="%_QR-Prism-Ph2-WSR-Sep10-WIP_HU-Risk-dashboard_OracleAppsProjects_Template-Macro_2_Business Excellence Dashboard-Aug2012-ERP HU (OracleApps) 7" xfId="4019" xr:uid="{00000000-0005-0000-0000-0000CA0E0000}"/>
    <cellStyle name="%_QR-Prism-Ph2-WSR-Sep10-WIP_HU-Risk-dashboard_OracleAppsProjects_Template-Macro_2_Business Excellence Dashboard-Jul2012-ERP HU (OracleApps)-consolidated" xfId="890" xr:uid="{00000000-0005-0000-0000-0000CB0E0000}"/>
    <cellStyle name="%_QR-Prism-Ph2-WSR-Sep10-WIP_HU-Risk-dashboard_OracleAppsProjects_Template-Macro_2_Business Excellence Dashboard-Jul2012-ERP HU (OracleApps)-consolidated 2" xfId="10012" xr:uid="{00000000-0005-0000-0000-0000CC0E0000}"/>
    <cellStyle name="%_QR-Prism-Ph2-WSR-Sep10-WIP_HU-Risk-dashboard_OracleAppsProjects_Template-Macro_2_Business Excellence Dashboard-Jul2012-ERP HU (OracleApps)-consolidated 3" xfId="8814" xr:uid="{00000000-0005-0000-0000-0000CD0E0000}"/>
    <cellStyle name="%_QR-Prism-Ph2-WSR-Sep10-WIP_HU-Risk-dashboard_OracleAppsProjects_Template-Macro_2_Business Excellence Dashboard-Jul2012-ERP HU (OracleApps)-consolidated 4" xfId="7616" xr:uid="{00000000-0005-0000-0000-0000CE0E0000}"/>
    <cellStyle name="%_QR-Prism-Ph2-WSR-Sep10-WIP_HU-Risk-dashboard_OracleAppsProjects_Template-Macro_2_Business Excellence Dashboard-Jul2012-ERP HU (OracleApps)-consolidated 5" xfId="6418" xr:uid="{00000000-0005-0000-0000-0000CF0E0000}"/>
    <cellStyle name="%_QR-Prism-Ph2-WSR-Sep10-WIP_HU-Risk-dashboard_OracleAppsProjects_Template-Macro_2_Business Excellence Dashboard-Jul2012-ERP HU (OracleApps)-consolidated 6" xfId="5219" xr:uid="{00000000-0005-0000-0000-0000D00E0000}"/>
    <cellStyle name="%_QR-Prism-Ph2-WSR-Sep10-WIP_HU-Risk-dashboard_OracleAppsProjects_Template-Macro_2_Business Excellence Dashboard-Jul2012-ERP HU (OracleApps)-consolidated 7" xfId="4020" xr:uid="{00000000-0005-0000-0000-0000D10E0000}"/>
    <cellStyle name="%_QR-Prism-Ph2-WSR-Sep10-WIP_HU-Risk-dashboard_OracleAppsProjects_Template-Macro_2_copydatamacro" xfId="891" xr:uid="{00000000-0005-0000-0000-0000D20E0000}"/>
    <cellStyle name="%_QR-Prism-Ph2-WSR-Sep10-WIP_HU-Risk-dashboard_OracleAppsProjects_Template-Macro_2_copydatamacro 2" xfId="10013" xr:uid="{00000000-0005-0000-0000-0000D30E0000}"/>
    <cellStyle name="%_QR-Prism-Ph2-WSR-Sep10-WIP_HU-Risk-dashboard_OracleAppsProjects_Template-Macro_2_copydatamacro 3" xfId="8815" xr:uid="{00000000-0005-0000-0000-0000D40E0000}"/>
    <cellStyle name="%_QR-Prism-Ph2-WSR-Sep10-WIP_HU-Risk-dashboard_OracleAppsProjects_Template-Macro_2_copydatamacro 4" xfId="7617" xr:uid="{00000000-0005-0000-0000-0000D50E0000}"/>
    <cellStyle name="%_QR-Prism-Ph2-WSR-Sep10-WIP_HU-Risk-dashboard_OracleAppsProjects_Template-Macro_2_copydatamacro 5" xfId="6419" xr:uid="{00000000-0005-0000-0000-0000D60E0000}"/>
    <cellStyle name="%_QR-Prism-Ph2-WSR-Sep10-WIP_HU-Risk-dashboard_OracleAppsProjects_Template-Macro_2_copydatamacro 6" xfId="5220" xr:uid="{00000000-0005-0000-0000-0000D70E0000}"/>
    <cellStyle name="%_QR-Prism-Ph2-WSR-Sep10-WIP_HU-Risk-dashboard_OracleAppsProjects_Template-Macro_2_copydatamacro 7" xfId="4021" xr:uid="{00000000-0005-0000-0000-0000D80E0000}"/>
    <cellStyle name="%_QR-Prism-Ph2-WSR-Sep10-WIP_HU-Risk-dashboard_OracleAppsProjects_Template-Macro_Book1" xfId="892" xr:uid="{00000000-0005-0000-0000-0000D90E0000}"/>
    <cellStyle name="%_QR-Prism-Ph2-WSR-Sep10-WIP_HU-Risk-dashboard_OracleAppsProjects_Template-Macro_Book1 2" xfId="10014" xr:uid="{00000000-0005-0000-0000-0000DA0E0000}"/>
    <cellStyle name="%_QR-Prism-Ph2-WSR-Sep10-WIP_HU-Risk-dashboard_OracleAppsProjects_Template-Macro_Book1 3" xfId="8816" xr:uid="{00000000-0005-0000-0000-0000DB0E0000}"/>
    <cellStyle name="%_QR-Prism-Ph2-WSR-Sep10-WIP_HU-Risk-dashboard_OracleAppsProjects_Template-Macro_Book1 4" xfId="7618" xr:uid="{00000000-0005-0000-0000-0000DC0E0000}"/>
    <cellStyle name="%_QR-Prism-Ph2-WSR-Sep10-WIP_HU-Risk-dashboard_OracleAppsProjects_Template-Macro_Book1 5" xfId="6420" xr:uid="{00000000-0005-0000-0000-0000DD0E0000}"/>
    <cellStyle name="%_QR-Prism-Ph2-WSR-Sep10-WIP_HU-Risk-dashboard_OracleAppsProjects_Template-Macro_Book1 6" xfId="5221" xr:uid="{00000000-0005-0000-0000-0000DE0E0000}"/>
    <cellStyle name="%_QR-Prism-Ph2-WSR-Sep10-WIP_HU-Risk-dashboard_OracleAppsProjects_Template-Macro_Book1 7" xfId="4022" xr:uid="{00000000-0005-0000-0000-0000DF0E0000}"/>
    <cellStyle name="%_QR-Prism-Ph2-WSR-Sep10-WIP_HU-Risk-dashboard_OracleAppsProjects_Template-Macro_Book1_Business Excellence Dashboard-Aug2012-ERP HU (OracleApps)" xfId="893" xr:uid="{00000000-0005-0000-0000-0000E00E0000}"/>
    <cellStyle name="%_QR-Prism-Ph2-WSR-Sep10-WIP_HU-Risk-dashboard_OracleAppsProjects_Template-Macro_Book1_Business Excellence Dashboard-Aug2012-ERP HU (OracleApps) 2" xfId="10015" xr:uid="{00000000-0005-0000-0000-0000E10E0000}"/>
    <cellStyle name="%_QR-Prism-Ph2-WSR-Sep10-WIP_HU-Risk-dashboard_OracleAppsProjects_Template-Macro_Book1_Business Excellence Dashboard-Aug2012-ERP HU (OracleApps) 3" xfId="8817" xr:uid="{00000000-0005-0000-0000-0000E20E0000}"/>
    <cellStyle name="%_QR-Prism-Ph2-WSR-Sep10-WIP_HU-Risk-dashboard_OracleAppsProjects_Template-Macro_Book1_Business Excellence Dashboard-Aug2012-ERP HU (OracleApps) 4" xfId="7619" xr:uid="{00000000-0005-0000-0000-0000E30E0000}"/>
    <cellStyle name="%_QR-Prism-Ph2-WSR-Sep10-WIP_HU-Risk-dashboard_OracleAppsProjects_Template-Macro_Book1_Business Excellence Dashboard-Aug2012-ERP HU (OracleApps) 5" xfId="6421" xr:uid="{00000000-0005-0000-0000-0000E40E0000}"/>
    <cellStyle name="%_QR-Prism-Ph2-WSR-Sep10-WIP_HU-Risk-dashboard_OracleAppsProjects_Template-Macro_Book1_Business Excellence Dashboard-Aug2012-ERP HU (OracleApps) 6" xfId="5222" xr:uid="{00000000-0005-0000-0000-0000E50E0000}"/>
    <cellStyle name="%_QR-Prism-Ph2-WSR-Sep10-WIP_HU-Risk-dashboard_OracleAppsProjects_Template-Macro_Book1_Business Excellence Dashboard-Aug2012-ERP HU (OracleApps) 7" xfId="4023" xr:uid="{00000000-0005-0000-0000-0000E60E0000}"/>
    <cellStyle name="%_QR-Prism-Ph2-WSR-Sep10-WIP_HU-Risk-dashboard_OracleAppsProjects_Template-Macro_Book1_Business Excellence Dashboard-Jul2012-ERP HU (OracleApps)-consolidated" xfId="894" xr:uid="{00000000-0005-0000-0000-0000E70E0000}"/>
    <cellStyle name="%_QR-Prism-Ph2-WSR-Sep10-WIP_HU-Risk-dashboard_OracleAppsProjects_Template-Macro_Book1_Business Excellence Dashboard-Jul2012-ERP HU (OracleApps)-consolidated 2" xfId="10016" xr:uid="{00000000-0005-0000-0000-0000E80E0000}"/>
    <cellStyle name="%_QR-Prism-Ph2-WSR-Sep10-WIP_HU-Risk-dashboard_OracleAppsProjects_Template-Macro_Book1_Business Excellence Dashboard-Jul2012-ERP HU (OracleApps)-consolidated 3" xfId="8818" xr:uid="{00000000-0005-0000-0000-0000E90E0000}"/>
    <cellStyle name="%_QR-Prism-Ph2-WSR-Sep10-WIP_HU-Risk-dashboard_OracleAppsProjects_Template-Macro_Book1_Business Excellence Dashboard-Jul2012-ERP HU (OracleApps)-consolidated 4" xfId="7620" xr:uid="{00000000-0005-0000-0000-0000EA0E0000}"/>
    <cellStyle name="%_QR-Prism-Ph2-WSR-Sep10-WIP_HU-Risk-dashboard_OracleAppsProjects_Template-Macro_Book1_Business Excellence Dashboard-Jul2012-ERP HU (OracleApps)-consolidated 5" xfId="6422" xr:uid="{00000000-0005-0000-0000-0000EB0E0000}"/>
    <cellStyle name="%_QR-Prism-Ph2-WSR-Sep10-WIP_HU-Risk-dashboard_OracleAppsProjects_Template-Macro_Book1_Business Excellence Dashboard-Jul2012-ERP HU (OracleApps)-consolidated 6" xfId="5223" xr:uid="{00000000-0005-0000-0000-0000EC0E0000}"/>
    <cellStyle name="%_QR-Prism-Ph2-WSR-Sep10-WIP_HU-Risk-dashboard_OracleAppsProjects_Template-Macro_Book1_Business Excellence Dashboard-Jul2012-ERP HU (OracleApps)-consolidated 7" xfId="4024" xr:uid="{00000000-0005-0000-0000-0000ED0E0000}"/>
    <cellStyle name="%_QR-Prism-Ph2-WSR-Sep10-WIP_HU-Risk-dashboard_OracleAppsProjects_Template-Macro_Book1_copydatamacro" xfId="895" xr:uid="{00000000-0005-0000-0000-0000EE0E0000}"/>
    <cellStyle name="%_QR-Prism-Ph2-WSR-Sep10-WIP_HU-Risk-dashboard_OracleAppsProjects_Template-Macro_Book1_copydatamacro 2" xfId="10017" xr:uid="{00000000-0005-0000-0000-0000EF0E0000}"/>
    <cellStyle name="%_QR-Prism-Ph2-WSR-Sep10-WIP_HU-Risk-dashboard_OracleAppsProjects_Template-Macro_Book1_copydatamacro 3" xfId="8819" xr:uid="{00000000-0005-0000-0000-0000F00E0000}"/>
    <cellStyle name="%_QR-Prism-Ph2-WSR-Sep10-WIP_HU-Risk-dashboard_OracleAppsProjects_Template-Macro_Book1_copydatamacro 4" xfId="7621" xr:uid="{00000000-0005-0000-0000-0000F10E0000}"/>
    <cellStyle name="%_QR-Prism-Ph2-WSR-Sep10-WIP_HU-Risk-dashboard_OracleAppsProjects_Template-Macro_Book1_copydatamacro 5" xfId="6423" xr:uid="{00000000-0005-0000-0000-0000F20E0000}"/>
    <cellStyle name="%_QR-Prism-Ph2-WSR-Sep10-WIP_HU-Risk-dashboard_OracleAppsProjects_Template-Macro_Book1_copydatamacro 6" xfId="5224" xr:uid="{00000000-0005-0000-0000-0000F30E0000}"/>
    <cellStyle name="%_QR-Prism-Ph2-WSR-Sep10-WIP_HU-Risk-dashboard_OracleAppsProjects_Template-Macro_Book1_copydatamacro 7" xfId="4025" xr:uid="{00000000-0005-0000-0000-0000F40E0000}"/>
    <cellStyle name="%_QR-Prism-Ph2-WSR-Sep10-WIP_HU-Risk-dashboard_OracleAppsProjects_Template-Macro_Business Excellence Dashboard-Aug2012-ERP HU (OracleApps)" xfId="896" xr:uid="{00000000-0005-0000-0000-0000F50E0000}"/>
    <cellStyle name="%_QR-Prism-Ph2-WSR-Sep10-WIP_HU-Risk-dashboard_OracleAppsProjects_Template-Macro_Business Excellence Dashboard-Aug2012-ERP HU (OracleApps) 2" xfId="10018" xr:uid="{00000000-0005-0000-0000-0000F60E0000}"/>
    <cellStyle name="%_QR-Prism-Ph2-WSR-Sep10-WIP_HU-Risk-dashboard_OracleAppsProjects_Template-Macro_Business Excellence Dashboard-Aug2012-ERP HU (OracleApps) 3" xfId="8820" xr:uid="{00000000-0005-0000-0000-0000F70E0000}"/>
    <cellStyle name="%_QR-Prism-Ph2-WSR-Sep10-WIP_HU-Risk-dashboard_OracleAppsProjects_Template-Macro_Business Excellence Dashboard-Aug2012-ERP HU (OracleApps) 4" xfId="7622" xr:uid="{00000000-0005-0000-0000-0000F80E0000}"/>
    <cellStyle name="%_QR-Prism-Ph2-WSR-Sep10-WIP_HU-Risk-dashboard_OracleAppsProjects_Template-Macro_Business Excellence Dashboard-Aug2012-ERP HU (OracleApps) 5" xfId="6424" xr:uid="{00000000-0005-0000-0000-0000F90E0000}"/>
    <cellStyle name="%_QR-Prism-Ph2-WSR-Sep10-WIP_HU-Risk-dashboard_OracleAppsProjects_Template-Macro_Business Excellence Dashboard-Aug2012-ERP HU (OracleApps) 6" xfId="5225" xr:uid="{00000000-0005-0000-0000-0000FA0E0000}"/>
    <cellStyle name="%_QR-Prism-Ph2-WSR-Sep10-WIP_HU-Risk-dashboard_OracleAppsProjects_Template-Macro_Business Excellence Dashboard-Aug2012-ERP HU (OracleApps) 7" xfId="4026" xr:uid="{00000000-0005-0000-0000-0000FB0E0000}"/>
    <cellStyle name="%_QR-Prism-Ph2-WSR-Sep10-WIP_HU-Risk-dashboard_OracleAppsProjects_Template-Macro_Business Excellence Dashboard-Jul2012-ERP HU (OracleApps)-consolidated" xfId="897" xr:uid="{00000000-0005-0000-0000-0000FC0E0000}"/>
    <cellStyle name="%_QR-Prism-Ph2-WSR-Sep10-WIP_HU-Risk-dashboard_OracleAppsProjects_Template-Macro_Business Excellence Dashboard-Jul2012-ERP HU (OracleApps)-consolidated 2" xfId="10019" xr:uid="{00000000-0005-0000-0000-0000FD0E0000}"/>
    <cellStyle name="%_QR-Prism-Ph2-WSR-Sep10-WIP_HU-Risk-dashboard_OracleAppsProjects_Template-Macro_Business Excellence Dashboard-Jul2012-ERP HU (OracleApps)-consolidated 3" xfId="8821" xr:uid="{00000000-0005-0000-0000-0000FE0E0000}"/>
    <cellStyle name="%_QR-Prism-Ph2-WSR-Sep10-WIP_HU-Risk-dashboard_OracleAppsProjects_Template-Macro_Business Excellence Dashboard-Jul2012-ERP HU (OracleApps)-consolidated 4" xfId="7623" xr:uid="{00000000-0005-0000-0000-0000FF0E0000}"/>
    <cellStyle name="%_QR-Prism-Ph2-WSR-Sep10-WIP_HU-Risk-dashboard_OracleAppsProjects_Template-Macro_Business Excellence Dashboard-Jul2012-ERP HU (OracleApps)-consolidated 5" xfId="6425" xr:uid="{00000000-0005-0000-0000-0000000F0000}"/>
    <cellStyle name="%_QR-Prism-Ph2-WSR-Sep10-WIP_HU-Risk-dashboard_OracleAppsProjects_Template-Macro_Business Excellence Dashboard-Jul2012-ERP HU (OracleApps)-consolidated 6" xfId="5226" xr:uid="{00000000-0005-0000-0000-0000010F0000}"/>
    <cellStyle name="%_QR-Prism-Ph2-WSR-Sep10-WIP_HU-Risk-dashboard_OracleAppsProjects_Template-Macro_Business Excellence Dashboard-Jul2012-ERP HU (OracleApps)-consolidated 7" xfId="4027" xr:uid="{00000000-0005-0000-0000-0000020F0000}"/>
    <cellStyle name="%_QR-Prism-Ph2-WSR-Sep10-WIP_HU-Risk-dashboard_OracleAppsProjects_Template-Macro_copydatamacro" xfId="898" xr:uid="{00000000-0005-0000-0000-0000030F0000}"/>
    <cellStyle name="%_QR-Prism-Ph2-WSR-Sep10-WIP_HU-Risk-dashboard_OracleAppsProjects_Template-Macro_copydatamacro 2" xfId="10020" xr:uid="{00000000-0005-0000-0000-0000040F0000}"/>
    <cellStyle name="%_QR-Prism-Ph2-WSR-Sep10-WIP_HU-Risk-dashboard_OracleAppsProjects_Template-Macro_copydatamacro 3" xfId="8822" xr:uid="{00000000-0005-0000-0000-0000050F0000}"/>
    <cellStyle name="%_QR-Prism-Ph2-WSR-Sep10-WIP_HU-Risk-dashboard_OracleAppsProjects_Template-Macro_copydatamacro 4" xfId="7624" xr:uid="{00000000-0005-0000-0000-0000060F0000}"/>
    <cellStyle name="%_QR-Prism-Ph2-WSR-Sep10-WIP_HU-Risk-dashboard_OracleAppsProjects_Template-Macro_copydatamacro 5" xfId="6426" xr:uid="{00000000-0005-0000-0000-0000070F0000}"/>
    <cellStyle name="%_QR-Prism-Ph2-WSR-Sep10-WIP_HU-Risk-dashboard_OracleAppsProjects_Template-Macro_copydatamacro 6" xfId="5227" xr:uid="{00000000-0005-0000-0000-0000080F0000}"/>
    <cellStyle name="%_QR-Prism-Ph2-WSR-Sep10-WIP_HU-Risk-dashboard_OracleAppsProjects_Template-Macro_copydatamacro 7" xfId="4028" xr:uid="{00000000-0005-0000-0000-0000090F0000}"/>
    <cellStyle name="%_QR-Prism-Ph2-WSR-Sep10-WIP_HU-Risk-dashboard_OracleAppsProjects_Template-Macro_MSHU_BusinessExcellenceDashboardV2.2-May2012-3" xfId="899" xr:uid="{00000000-0005-0000-0000-00000A0F0000}"/>
    <cellStyle name="%_QR-Prism-Ph2-WSR-Sep10-WIP_HU-Risk-dashboard_OracleAppsProjects_Template-Macro_MSHU_BusinessExcellenceDashboardV2.2-May2012-3 2" xfId="10021" xr:uid="{00000000-0005-0000-0000-00000B0F0000}"/>
    <cellStyle name="%_QR-Prism-Ph2-WSR-Sep10-WIP_HU-Risk-dashboard_OracleAppsProjects_Template-Macro_MSHU_BusinessExcellenceDashboardV2.2-May2012-3 3" xfId="8823" xr:uid="{00000000-0005-0000-0000-00000C0F0000}"/>
    <cellStyle name="%_QR-Prism-Ph2-WSR-Sep10-WIP_HU-Risk-dashboard_OracleAppsProjects_Template-Macro_MSHU_BusinessExcellenceDashboardV2.2-May2012-3 4" xfId="7625" xr:uid="{00000000-0005-0000-0000-00000D0F0000}"/>
    <cellStyle name="%_QR-Prism-Ph2-WSR-Sep10-WIP_HU-Risk-dashboard_OracleAppsProjects_Template-Macro_MSHU_BusinessExcellenceDashboardV2.2-May2012-3 5" xfId="6427" xr:uid="{00000000-0005-0000-0000-00000E0F0000}"/>
    <cellStyle name="%_QR-Prism-Ph2-WSR-Sep10-WIP_HU-Risk-dashboard_OracleAppsProjects_Template-Macro_MSHU_BusinessExcellenceDashboardV2.2-May2012-3 6" xfId="5228" xr:uid="{00000000-0005-0000-0000-00000F0F0000}"/>
    <cellStyle name="%_QR-Prism-Ph2-WSR-Sep10-WIP_HU-Risk-dashboard_OracleAppsProjects_Template-Macro_MSHU_BusinessExcellenceDashboardV2.2-May2012-3 7" xfId="4029" xr:uid="{00000000-0005-0000-0000-0000100F0000}"/>
    <cellStyle name="%_QR-Prism-Ph2-WSR-Sep10-WIP_HU-Risk-dashboard_OracleAppsProjects_Template-Macro_MSHU_BusinessExcellenceDashboardV2.2-May2012-3_Business Excellence Dashboard-Aug2012-ERP HU (OracleApps)" xfId="900" xr:uid="{00000000-0005-0000-0000-0000110F0000}"/>
    <cellStyle name="%_QR-Prism-Ph2-WSR-Sep10-WIP_HU-Risk-dashboard_OracleAppsProjects_Template-Macro_MSHU_BusinessExcellenceDashboardV2.2-May2012-3_Business Excellence Dashboard-Aug2012-ERP HU (OracleApps) 2" xfId="10022" xr:uid="{00000000-0005-0000-0000-0000120F0000}"/>
    <cellStyle name="%_QR-Prism-Ph2-WSR-Sep10-WIP_HU-Risk-dashboard_OracleAppsProjects_Template-Macro_MSHU_BusinessExcellenceDashboardV2.2-May2012-3_Business Excellence Dashboard-Aug2012-ERP HU (OracleApps) 3" xfId="8824" xr:uid="{00000000-0005-0000-0000-0000130F0000}"/>
    <cellStyle name="%_QR-Prism-Ph2-WSR-Sep10-WIP_HU-Risk-dashboard_OracleAppsProjects_Template-Macro_MSHU_BusinessExcellenceDashboardV2.2-May2012-3_Business Excellence Dashboard-Aug2012-ERP HU (OracleApps) 4" xfId="7626" xr:uid="{00000000-0005-0000-0000-0000140F0000}"/>
    <cellStyle name="%_QR-Prism-Ph2-WSR-Sep10-WIP_HU-Risk-dashboard_OracleAppsProjects_Template-Macro_MSHU_BusinessExcellenceDashboardV2.2-May2012-3_Business Excellence Dashboard-Aug2012-ERP HU (OracleApps) 5" xfId="6428" xr:uid="{00000000-0005-0000-0000-0000150F0000}"/>
    <cellStyle name="%_QR-Prism-Ph2-WSR-Sep10-WIP_HU-Risk-dashboard_OracleAppsProjects_Template-Macro_MSHU_BusinessExcellenceDashboardV2.2-May2012-3_Business Excellence Dashboard-Aug2012-ERP HU (OracleApps) 6" xfId="5229" xr:uid="{00000000-0005-0000-0000-0000160F0000}"/>
    <cellStyle name="%_QR-Prism-Ph2-WSR-Sep10-WIP_HU-Risk-dashboard_OracleAppsProjects_Template-Macro_MSHU_BusinessExcellenceDashboardV2.2-May2012-3_Business Excellence Dashboard-Aug2012-ERP HU (OracleApps) 7" xfId="4030" xr:uid="{00000000-0005-0000-0000-0000170F0000}"/>
    <cellStyle name="%_QR-Prism-Ph2-WSR-Sep10-WIP_HU-Risk-dashboard_OracleAppsProjects_Template-Macro_MSHU_BusinessExcellenceDashboardV2.2-May2012-3_Business Excellence Dashboard-Jul2012-ERP HU (OracleApps)-consolidated" xfId="901" xr:uid="{00000000-0005-0000-0000-0000180F0000}"/>
    <cellStyle name="%_QR-Prism-Ph2-WSR-Sep10-WIP_HU-Risk-dashboard_OracleAppsProjects_Template-Macro_MSHU_BusinessExcellenceDashboardV2.2-May2012-3_Business Excellence Dashboard-Jul2012-ERP HU (OracleApps)-consolidated 2" xfId="10023" xr:uid="{00000000-0005-0000-0000-0000190F0000}"/>
    <cellStyle name="%_QR-Prism-Ph2-WSR-Sep10-WIP_HU-Risk-dashboard_OracleAppsProjects_Template-Macro_MSHU_BusinessExcellenceDashboardV2.2-May2012-3_Business Excellence Dashboard-Jul2012-ERP HU (OracleApps)-consolidated 3" xfId="8825" xr:uid="{00000000-0005-0000-0000-00001A0F0000}"/>
    <cellStyle name="%_QR-Prism-Ph2-WSR-Sep10-WIP_HU-Risk-dashboard_OracleAppsProjects_Template-Macro_MSHU_BusinessExcellenceDashboardV2.2-May2012-3_Business Excellence Dashboard-Jul2012-ERP HU (OracleApps)-consolidated 4" xfId="7627" xr:uid="{00000000-0005-0000-0000-00001B0F0000}"/>
    <cellStyle name="%_QR-Prism-Ph2-WSR-Sep10-WIP_HU-Risk-dashboard_OracleAppsProjects_Template-Macro_MSHU_BusinessExcellenceDashboardV2.2-May2012-3_Business Excellence Dashboard-Jul2012-ERP HU (OracleApps)-consolidated 5" xfId="6429" xr:uid="{00000000-0005-0000-0000-00001C0F0000}"/>
    <cellStyle name="%_QR-Prism-Ph2-WSR-Sep10-WIP_HU-Risk-dashboard_OracleAppsProjects_Template-Macro_MSHU_BusinessExcellenceDashboardV2.2-May2012-3_Business Excellence Dashboard-Jul2012-ERP HU (OracleApps)-consolidated 6" xfId="5230" xr:uid="{00000000-0005-0000-0000-00001D0F0000}"/>
    <cellStyle name="%_QR-Prism-Ph2-WSR-Sep10-WIP_HU-Risk-dashboard_OracleAppsProjects_Template-Macro_MSHU_BusinessExcellenceDashboardV2.2-May2012-3_Business Excellence Dashboard-Jul2012-ERP HU (OracleApps)-consolidated 7" xfId="4031" xr:uid="{00000000-0005-0000-0000-00001E0F0000}"/>
    <cellStyle name="%_QR-Prism-Ph2-WSR-Sep10-WIP_HU-Risk-dashboard_OracleAppsProjects_Template-Macro_MSHU_BusinessExcellenceDashboardV2.2-May2012-3_copydatamacro" xfId="902" xr:uid="{00000000-0005-0000-0000-00001F0F0000}"/>
    <cellStyle name="%_QR-Prism-Ph2-WSR-Sep10-WIP_HU-Risk-dashboard_OracleAppsProjects_Template-Macro_MSHU_BusinessExcellenceDashboardV2.2-May2012-3_copydatamacro 2" xfId="10024" xr:uid="{00000000-0005-0000-0000-0000200F0000}"/>
    <cellStyle name="%_QR-Prism-Ph2-WSR-Sep10-WIP_HU-Risk-dashboard_OracleAppsProjects_Template-Macro_MSHU_BusinessExcellenceDashboardV2.2-May2012-3_copydatamacro 3" xfId="8826" xr:uid="{00000000-0005-0000-0000-0000210F0000}"/>
    <cellStyle name="%_QR-Prism-Ph2-WSR-Sep10-WIP_HU-Risk-dashboard_OracleAppsProjects_Template-Macro_MSHU_BusinessExcellenceDashboardV2.2-May2012-3_copydatamacro 4" xfId="7628" xr:uid="{00000000-0005-0000-0000-0000220F0000}"/>
    <cellStyle name="%_QR-Prism-Ph2-WSR-Sep10-WIP_HU-Risk-dashboard_OracleAppsProjects_Template-Macro_MSHU_BusinessExcellenceDashboardV2.2-May2012-3_copydatamacro 5" xfId="6430" xr:uid="{00000000-0005-0000-0000-0000230F0000}"/>
    <cellStyle name="%_QR-Prism-Ph2-WSR-Sep10-WIP_HU-Risk-dashboard_OracleAppsProjects_Template-Macro_MSHU_BusinessExcellenceDashboardV2.2-May2012-3_copydatamacro 6" xfId="5231" xr:uid="{00000000-0005-0000-0000-0000240F0000}"/>
    <cellStyle name="%_QR-Prism-Ph2-WSR-Sep10-WIP_HU-Risk-dashboard_OracleAppsProjects_Template-Macro_MSHU_BusinessExcellenceDashboardV2.2-May2012-3_copydatamacro 7" xfId="4032" xr:uid="{00000000-0005-0000-0000-0000250F0000}"/>
    <cellStyle name="%_QR-Prism-Ph2-WSR-Sep10-WIP_HU-Risk-dashboard_SAPProjects_Template-Macro" xfId="903" xr:uid="{00000000-0005-0000-0000-0000260F0000}"/>
    <cellStyle name="%_QR-Prism-Ph2-WSR-Sep10-WIP_HU-Risk-dashboard_SAPProjects_Template-Macro 2" xfId="10025" xr:uid="{00000000-0005-0000-0000-0000270F0000}"/>
    <cellStyle name="%_QR-Prism-Ph2-WSR-Sep10-WIP_HU-Risk-dashboard_SAPProjects_Template-Macro 3" xfId="8827" xr:uid="{00000000-0005-0000-0000-0000280F0000}"/>
    <cellStyle name="%_QR-Prism-Ph2-WSR-Sep10-WIP_HU-Risk-dashboard_SAPProjects_Template-Macro 4" xfId="7629" xr:uid="{00000000-0005-0000-0000-0000290F0000}"/>
    <cellStyle name="%_QR-Prism-Ph2-WSR-Sep10-WIP_HU-Risk-dashboard_SAPProjects_Template-Macro 5" xfId="6431" xr:uid="{00000000-0005-0000-0000-00002A0F0000}"/>
    <cellStyle name="%_QR-Prism-Ph2-WSR-Sep10-WIP_HU-Risk-dashboard_SAPProjects_Template-Macro 6" xfId="5232" xr:uid="{00000000-0005-0000-0000-00002B0F0000}"/>
    <cellStyle name="%_QR-Prism-Ph2-WSR-Sep10-WIP_HU-Risk-dashboard_SAPProjects_Template-Macro 7" xfId="4033" xr:uid="{00000000-0005-0000-0000-00002C0F0000}"/>
    <cellStyle name="%_QR-Prism-Ph2-WSR-Sep10-WIP_HU-Risk-dashboard_SAPProjects_Template-Macro_2" xfId="904" xr:uid="{00000000-0005-0000-0000-00002D0F0000}"/>
    <cellStyle name="%_QR-Prism-Ph2-WSR-Sep10-WIP_HU-Risk-dashboard_SAPProjects_Template-Macro_2 2" xfId="10026" xr:uid="{00000000-0005-0000-0000-00002E0F0000}"/>
    <cellStyle name="%_QR-Prism-Ph2-WSR-Sep10-WIP_HU-Risk-dashboard_SAPProjects_Template-Macro_2 3" xfId="8828" xr:uid="{00000000-0005-0000-0000-00002F0F0000}"/>
    <cellStyle name="%_QR-Prism-Ph2-WSR-Sep10-WIP_HU-Risk-dashboard_SAPProjects_Template-Macro_2 4" xfId="7630" xr:uid="{00000000-0005-0000-0000-0000300F0000}"/>
    <cellStyle name="%_QR-Prism-Ph2-WSR-Sep10-WIP_HU-Risk-dashboard_SAPProjects_Template-Macro_2 5" xfId="6432" xr:uid="{00000000-0005-0000-0000-0000310F0000}"/>
    <cellStyle name="%_QR-Prism-Ph2-WSR-Sep10-WIP_HU-Risk-dashboard_SAPProjects_Template-Macro_2 6" xfId="5233" xr:uid="{00000000-0005-0000-0000-0000320F0000}"/>
    <cellStyle name="%_QR-Prism-Ph2-WSR-Sep10-WIP_HU-Risk-dashboard_SAPProjects_Template-Macro_2 7" xfId="4034" xr:uid="{00000000-0005-0000-0000-0000330F0000}"/>
    <cellStyle name="%_QR-Prism-Ph2-WSR-Sep10-WIP_HU-Risk-dashboard_SAPProjects_Template-Macro_2_1" xfId="905" xr:uid="{00000000-0005-0000-0000-0000340F0000}"/>
    <cellStyle name="%_QR-Prism-Ph2-WSR-Sep10-WIP_HU-Risk-dashboard_SAPProjects_Template-Macro_2_1 2" xfId="10027" xr:uid="{00000000-0005-0000-0000-0000350F0000}"/>
    <cellStyle name="%_QR-Prism-Ph2-WSR-Sep10-WIP_HU-Risk-dashboard_SAPProjects_Template-Macro_2_1 3" xfId="8829" xr:uid="{00000000-0005-0000-0000-0000360F0000}"/>
    <cellStyle name="%_QR-Prism-Ph2-WSR-Sep10-WIP_HU-Risk-dashboard_SAPProjects_Template-Macro_2_1 4" xfId="7631" xr:uid="{00000000-0005-0000-0000-0000370F0000}"/>
    <cellStyle name="%_QR-Prism-Ph2-WSR-Sep10-WIP_HU-Risk-dashboard_SAPProjects_Template-Macro_2_1 5" xfId="6433" xr:uid="{00000000-0005-0000-0000-0000380F0000}"/>
    <cellStyle name="%_QR-Prism-Ph2-WSR-Sep10-WIP_HU-Risk-dashboard_SAPProjects_Template-Macro_2_1 6" xfId="5234" xr:uid="{00000000-0005-0000-0000-0000390F0000}"/>
    <cellStyle name="%_QR-Prism-Ph2-WSR-Sep10-WIP_HU-Risk-dashboard_SAPProjects_Template-Macro_2_1 7" xfId="4035" xr:uid="{00000000-0005-0000-0000-00003A0F0000}"/>
    <cellStyle name="%_QR-Prism-Ph2-WSR-Sep10-WIP_HU-Risk-dashboard_SAPProjects_Template-Macro_2_1_Business Excellence Dashboard-Aug2012-ERP HU (OracleApps)" xfId="906" xr:uid="{00000000-0005-0000-0000-00003B0F0000}"/>
    <cellStyle name="%_QR-Prism-Ph2-WSR-Sep10-WIP_HU-Risk-dashboard_SAPProjects_Template-Macro_2_1_Business Excellence Dashboard-Aug2012-ERP HU (OracleApps) 2" xfId="10028" xr:uid="{00000000-0005-0000-0000-00003C0F0000}"/>
    <cellStyle name="%_QR-Prism-Ph2-WSR-Sep10-WIP_HU-Risk-dashboard_SAPProjects_Template-Macro_2_1_Business Excellence Dashboard-Aug2012-ERP HU (OracleApps) 3" xfId="8830" xr:uid="{00000000-0005-0000-0000-00003D0F0000}"/>
    <cellStyle name="%_QR-Prism-Ph2-WSR-Sep10-WIP_HU-Risk-dashboard_SAPProjects_Template-Macro_2_1_Business Excellence Dashboard-Aug2012-ERP HU (OracleApps) 4" xfId="7632" xr:uid="{00000000-0005-0000-0000-00003E0F0000}"/>
    <cellStyle name="%_QR-Prism-Ph2-WSR-Sep10-WIP_HU-Risk-dashboard_SAPProjects_Template-Macro_2_1_Business Excellence Dashboard-Aug2012-ERP HU (OracleApps) 5" xfId="6434" xr:uid="{00000000-0005-0000-0000-00003F0F0000}"/>
    <cellStyle name="%_QR-Prism-Ph2-WSR-Sep10-WIP_HU-Risk-dashboard_SAPProjects_Template-Macro_2_1_Business Excellence Dashboard-Aug2012-ERP HU (OracleApps) 6" xfId="5235" xr:uid="{00000000-0005-0000-0000-0000400F0000}"/>
    <cellStyle name="%_QR-Prism-Ph2-WSR-Sep10-WIP_HU-Risk-dashboard_SAPProjects_Template-Macro_2_1_Business Excellence Dashboard-Aug2012-ERP HU (OracleApps) 7" xfId="4036" xr:uid="{00000000-0005-0000-0000-0000410F0000}"/>
    <cellStyle name="%_QR-Prism-Ph2-WSR-Sep10-WIP_HU-Risk-dashboard_SAPProjects_Template-Macro_2_2" xfId="907" xr:uid="{00000000-0005-0000-0000-0000420F0000}"/>
    <cellStyle name="%_QR-Prism-Ph2-WSR-Sep10-WIP_HU-Risk-dashboard_SAPProjects_Template-Macro_2_2 2" xfId="10029" xr:uid="{00000000-0005-0000-0000-0000430F0000}"/>
    <cellStyle name="%_QR-Prism-Ph2-WSR-Sep10-WIP_HU-Risk-dashboard_SAPProjects_Template-Macro_2_2 3" xfId="8831" xr:uid="{00000000-0005-0000-0000-0000440F0000}"/>
    <cellStyle name="%_QR-Prism-Ph2-WSR-Sep10-WIP_HU-Risk-dashboard_SAPProjects_Template-Macro_2_2 4" xfId="7633" xr:uid="{00000000-0005-0000-0000-0000450F0000}"/>
    <cellStyle name="%_QR-Prism-Ph2-WSR-Sep10-WIP_HU-Risk-dashboard_SAPProjects_Template-Macro_2_2 5" xfId="6435" xr:uid="{00000000-0005-0000-0000-0000460F0000}"/>
    <cellStyle name="%_QR-Prism-Ph2-WSR-Sep10-WIP_HU-Risk-dashboard_SAPProjects_Template-Macro_2_2 6" xfId="5236" xr:uid="{00000000-0005-0000-0000-0000470F0000}"/>
    <cellStyle name="%_QR-Prism-Ph2-WSR-Sep10-WIP_HU-Risk-dashboard_SAPProjects_Template-Macro_2_2 7" xfId="4037" xr:uid="{00000000-0005-0000-0000-0000480F0000}"/>
    <cellStyle name="%_QR-Prism-Ph2-WSR-Sep10-WIP_HU-Risk-dashboard_SAPProjects_Template-Macro_2_Business Excellence Dashboard-Aug2012-ERP HU (OracleApps)" xfId="908" xr:uid="{00000000-0005-0000-0000-0000490F0000}"/>
    <cellStyle name="%_QR-Prism-Ph2-WSR-Sep10-WIP_HU-Risk-dashboard_SAPProjects_Template-Macro_2_Business Excellence Dashboard-Aug2012-ERP HU (OracleApps) 2" xfId="10030" xr:uid="{00000000-0005-0000-0000-00004A0F0000}"/>
    <cellStyle name="%_QR-Prism-Ph2-WSR-Sep10-WIP_HU-Risk-dashboard_SAPProjects_Template-Macro_2_Business Excellence Dashboard-Aug2012-ERP HU (OracleApps) 3" xfId="8832" xr:uid="{00000000-0005-0000-0000-00004B0F0000}"/>
    <cellStyle name="%_QR-Prism-Ph2-WSR-Sep10-WIP_HU-Risk-dashboard_SAPProjects_Template-Macro_2_Business Excellence Dashboard-Aug2012-ERP HU (OracleApps) 4" xfId="7634" xr:uid="{00000000-0005-0000-0000-00004C0F0000}"/>
    <cellStyle name="%_QR-Prism-Ph2-WSR-Sep10-WIP_HU-Risk-dashboard_SAPProjects_Template-Macro_2_Business Excellence Dashboard-Aug2012-ERP HU (OracleApps) 5" xfId="6436" xr:uid="{00000000-0005-0000-0000-00004D0F0000}"/>
    <cellStyle name="%_QR-Prism-Ph2-WSR-Sep10-WIP_HU-Risk-dashboard_SAPProjects_Template-Macro_2_Business Excellence Dashboard-Aug2012-ERP HU (OracleApps) 6" xfId="5237" xr:uid="{00000000-0005-0000-0000-00004E0F0000}"/>
    <cellStyle name="%_QR-Prism-Ph2-WSR-Sep10-WIP_HU-Risk-dashboard_SAPProjects_Template-Macro_2_Business Excellence Dashboard-Aug2012-ERP HU (OracleApps) 7" xfId="4038" xr:uid="{00000000-0005-0000-0000-00004F0F0000}"/>
    <cellStyle name="%_QR-Prism-Ph2-WSR-Sep10-WIP_HU-Risk-dashboard_SAPProjects_Template-Macro_2_Business Excellence Dashboard-Jul2012-ERP HU (OracleApps)-consolidated" xfId="909" xr:uid="{00000000-0005-0000-0000-0000500F0000}"/>
    <cellStyle name="%_QR-Prism-Ph2-WSR-Sep10-WIP_HU-Risk-dashboard_SAPProjects_Template-Macro_2_Business Excellence Dashboard-Jul2012-ERP HU (OracleApps)-consolidated 2" xfId="10031" xr:uid="{00000000-0005-0000-0000-0000510F0000}"/>
    <cellStyle name="%_QR-Prism-Ph2-WSR-Sep10-WIP_HU-Risk-dashboard_SAPProjects_Template-Macro_2_Business Excellence Dashboard-Jul2012-ERP HU (OracleApps)-consolidated 3" xfId="8833" xr:uid="{00000000-0005-0000-0000-0000520F0000}"/>
    <cellStyle name="%_QR-Prism-Ph2-WSR-Sep10-WIP_HU-Risk-dashboard_SAPProjects_Template-Macro_2_Business Excellence Dashboard-Jul2012-ERP HU (OracleApps)-consolidated 4" xfId="7635" xr:uid="{00000000-0005-0000-0000-0000530F0000}"/>
    <cellStyle name="%_QR-Prism-Ph2-WSR-Sep10-WIP_HU-Risk-dashboard_SAPProjects_Template-Macro_2_Business Excellence Dashboard-Jul2012-ERP HU (OracleApps)-consolidated 5" xfId="6437" xr:uid="{00000000-0005-0000-0000-0000540F0000}"/>
    <cellStyle name="%_QR-Prism-Ph2-WSR-Sep10-WIP_HU-Risk-dashboard_SAPProjects_Template-Macro_2_Business Excellence Dashboard-Jul2012-ERP HU (OracleApps)-consolidated 6" xfId="5238" xr:uid="{00000000-0005-0000-0000-0000550F0000}"/>
    <cellStyle name="%_QR-Prism-Ph2-WSR-Sep10-WIP_HU-Risk-dashboard_SAPProjects_Template-Macro_2_Business Excellence Dashboard-Jul2012-ERP HU (OracleApps)-consolidated 7" xfId="4039" xr:uid="{00000000-0005-0000-0000-0000560F0000}"/>
    <cellStyle name="%_QR-Prism-Ph2-WSR-Sep10-WIP_HU-Risk-dashboard_SAPProjects_Template-Macro_2_copydatamacro" xfId="910" xr:uid="{00000000-0005-0000-0000-0000570F0000}"/>
    <cellStyle name="%_QR-Prism-Ph2-WSR-Sep10-WIP_HU-Risk-dashboard_SAPProjects_Template-Macro_2_copydatamacro 2" xfId="10032" xr:uid="{00000000-0005-0000-0000-0000580F0000}"/>
    <cellStyle name="%_QR-Prism-Ph2-WSR-Sep10-WIP_HU-Risk-dashboard_SAPProjects_Template-Macro_2_copydatamacro 3" xfId="8834" xr:uid="{00000000-0005-0000-0000-0000590F0000}"/>
    <cellStyle name="%_QR-Prism-Ph2-WSR-Sep10-WIP_HU-Risk-dashboard_SAPProjects_Template-Macro_2_copydatamacro 4" xfId="7636" xr:uid="{00000000-0005-0000-0000-00005A0F0000}"/>
    <cellStyle name="%_QR-Prism-Ph2-WSR-Sep10-WIP_HU-Risk-dashboard_SAPProjects_Template-Macro_2_copydatamacro 5" xfId="6438" xr:uid="{00000000-0005-0000-0000-00005B0F0000}"/>
    <cellStyle name="%_QR-Prism-Ph2-WSR-Sep10-WIP_HU-Risk-dashboard_SAPProjects_Template-Macro_2_copydatamacro 6" xfId="5239" xr:uid="{00000000-0005-0000-0000-00005C0F0000}"/>
    <cellStyle name="%_QR-Prism-Ph2-WSR-Sep10-WIP_HU-Risk-dashboard_SAPProjects_Template-Macro_2_copydatamacro 7" xfId="4040" xr:uid="{00000000-0005-0000-0000-00005D0F0000}"/>
    <cellStyle name="%_QR-Prism-Ph2-WSR-Sep10-WIP_HU-Risk-dashboard_SAPProjects_Template-Macro_Book1" xfId="911" xr:uid="{00000000-0005-0000-0000-00005E0F0000}"/>
    <cellStyle name="%_QR-Prism-Ph2-WSR-Sep10-WIP_HU-Risk-dashboard_SAPProjects_Template-Macro_Book1 2" xfId="10033" xr:uid="{00000000-0005-0000-0000-00005F0F0000}"/>
    <cellStyle name="%_QR-Prism-Ph2-WSR-Sep10-WIP_HU-Risk-dashboard_SAPProjects_Template-Macro_Book1 3" xfId="8835" xr:uid="{00000000-0005-0000-0000-0000600F0000}"/>
    <cellStyle name="%_QR-Prism-Ph2-WSR-Sep10-WIP_HU-Risk-dashboard_SAPProjects_Template-Macro_Book1 4" xfId="7637" xr:uid="{00000000-0005-0000-0000-0000610F0000}"/>
    <cellStyle name="%_QR-Prism-Ph2-WSR-Sep10-WIP_HU-Risk-dashboard_SAPProjects_Template-Macro_Book1 5" xfId="6439" xr:uid="{00000000-0005-0000-0000-0000620F0000}"/>
    <cellStyle name="%_QR-Prism-Ph2-WSR-Sep10-WIP_HU-Risk-dashboard_SAPProjects_Template-Macro_Book1 6" xfId="5240" xr:uid="{00000000-0005-0000-0000-0000630F0000}"/>
    <cellStyle name="%_QR-Prism-Ph2-WSR-Sep10-WIP_HU-Risk-dashboard_SAPProjects_Template-Macro_Book1 7" xfId="4041" xr:uid="{00000000-0005-0000-0000-0000640F0000}"/>
    <cellStyle name="%_QR-Prism-Ph2-WSR-Sep10-WIP_HU-Risk-dashboard_SAPProjects_Template-Macro_Book1_Business Excellence Dashboard-Aug2012-ERP HU (OracleApps)" xfId="912" xr:uid="{00000000-0005-0000-0000-0000650F0000}"/>
    <cellStyle name="%_QR-Prism-Ph2-WSR-Sep10-WIP_HU-Risk-dashboard_SAPProjects_Template-Macro_Book1_Business Excellence Dashboard-Aug2012-ERP HU (OracleApps) 2" xfId="10034" xr:uid="{00000000-0005-0000-0000-0000660F0000}"/>
    <cellStyle name="%_QR-Prism-Ph2-WSR-Sep10-WIP_HU-Risk-dashboard_SAPProjects_Template-Macro_Book1_Business Excellence Dashboard-Aug2012-ERP HU (OracleApps) 3" xfId="8836" xr:uid="{00000000-0005-0000-0000-0000670F0000}"/>
    <cellStyle name="%_QR-Prism-Ph2-WSR-Sep10-WIP_HU-Risk-dashboard_SAPProjects_Template-Macro_Book1_Business Excellence Dashboard-Aug2012-ERP HU (OracleApps) 4" xfId="7638" xr:uid="{00000000-0005-0000-0000-0000680F0000}"/>
    <cellStyle name="%_QR-Prism-Ph2-WSR-Sep10-WIP_HU-Risk-dashboard_SAPProjects_Template-Macro_Book1_Business Excellence Dashboard-Aug2012-ERP HU (OracleApps) 5" xfId="6440" xr:uid="{00000000-0005-0000-0000-0000690F0000}"/>
    <cellStyle name="%_QR-Prism-Ph2-WSR-Sep10-WIP_HU-Risk-dashboard_SAPProjects_Template-Macro_Book1_Business Excellence Dashboard-Aug2012-ERP HU (OracleApps) 6" xfId="5241" xr:uid="{00000000-0005-0000-0000-00006A0F0000}"/>
    <cellStyle name="%_QR-Prism-Ph2-WSR-Sep10-WIP_HU-Risk-dashboard_SAPProjects_Template-Macro_Book1_Business Excellence Dashboard-Aug2012-ERP HU (OracleApps) 7" xfId="4042" xr:uid="{00000000-0005-0000-0000-00006B0F0000}"/>
    <cellStyle name="%_QR-Prism-Ph2-WSR-Sep10-WIP_HU-Risk-dashboard_SAPProjects_Template-Macro_Book1_Business Excellence Dashboard-Jul2012-ERP HU (OracleApps)-consolidated" xfId="913" xr:uid="{00000000-0005-0000-0000-00006C0F0000}"/>
    <cellStyle name="%_QR-Prism-Ph2-WSR-Sep10-WIP_HU-Risk-dashboard_SAPProjects_Template-Macro_Book1_Business Excellence Dashboard-Jul2012-ERP HU (OracleApps)-consolidated 2" xfId="10035" xr:uid="{00000000-0005-0000-0000-00006D0F0000}"/>
    <cellStyle name="%_QR-Prism-Ph2-WSR-Sep10-WIP_HU-Risk-dashboard_SAPProjects_Template-Macro_Book1_Business Excellence Dashboard-Jul2012-ERP HU (OracleApps)-consolidated 3" xfId="8837" xr:uid="{00000000-0005-0000-0000-00006E0F0000}"/>
    <cellStyle name="%_QR-Prism-Ph2-WSR-Sep10-WIP_HU-Risk-dashboard_SAPProjects_Template-Macro_Book1_Business Excellence Dashboard-Jul2012-ERP HU (OracleApps)-consolidated 4" xfId="7639" xr:uid="{00000000-0005-0000-0000-00006F0F0000}"/>
    <cellStyle name="%_QR-Prism-Ph2-WSR-Sep10-WIP_HU-Risk-dashboard_SAPProjects_Template-Macro_Book1_Business Excellence Dashboard-Jul2012-ERP HU (OracleApps)-consolidated 5" xfId="6441" xr:uid="{00000000-0005-0000-0000-0000700F0000}"/>
    <cellStyle name="%_QR-Prism-Ph2-WSR-Sep10-WIP_HU-Risk-dashboard_SAPProjects_Template-Macro_Book1_Business Excellence Dashboard-Jul2012-ERP HU (OracleApps)-consolidated 6" xfId="5242" xr:uid="{00000000-0005-0000-0000-0000710F0000}"/>
    <cellStyle name="%_QR-Prism-Ph2-WSR-Sep10-WIP_HU-Risk-dashboard_SAPProjects_Template-Macro_Book1_Business Excellence Dashboard-Jul2012-ERP HU (OracleApps)-consolidated 7" xfId="4043" xr:uid="{00000000-0005-0000-0000-0000720F0000}"/>
    <cellStyle name="%_QR-Prism-Ph2-WSR-Sep10-WIP_HU-Risk-dashboard_SAPProjects_Template-Macro_Book1_copydatamacro" xfId="914" xr:uid="{00000000-0005-0000-0000-0000730F0000}"/>
    <cellStyle name="%_QR-Prism-Ph2-WSR-Sep10-WIP_HU-Risk-dashboard_SAPProjects_Template-Macro_Book1_copydatamacro 2" xfId="10036" xr:uid="{00000000-0005-0000-0000-0000740F0000}"/>
    <cellStyle name="%_QR-Prism-Ph2-WSR-Sep10-WIP_HU-Risk-dashboard_SAPProjects_Template-Macro_Book1_copydatamacro 3" xfId="8838" xr:uid="{00000000-0005-0000-0000-0000750F0000}"/>
    <cellStyle name="%_QR-Prism-Ph2-WSR-Sep10-WIP_HU-Risk-dashboard_SAPProjects_Template-Macro_Book1_copydatamacro 4" xfId="7640" xr:uid="{00000000-0005-0000-0000-0000760F0000}"/>
    <cellStyle name="%_QR-Prism-Ph2-WSR-Sep10-WIP_HU-Risk-dashboard_SAPProjects_Template-Macro_Book1_copydatamacro 5" xfId="6442" xr:uid="{00000000-0005-0000-0000-0000770F0000}"/>
    <cellStyle name="%_QR-Prism-Ph2-WSR-Sep10-WIP_HU-Risk-dashboard_SAPProjects_Template-Macro_Book1_copydatamacro 6" xfId="5243" xr:uid="{00000000-0005-0000-0000-0000780F0000}"/>
    <cellStyle name="%_QR-Prism-Ph2-WSR-Sep10-WIP_HU-Risk-dashboard_SAPProjects_Template-Macro_Book1_copydatamacro 7" xfId="4044" xr:uid="{00000000-0005-0000-0000-0000790F0000}"/>
    <cellStyle name="%_QR-Prism-Ph2-WSR-Sep10-WIP_HU-Risk-dashboard_SAPProjects_Template-Macro_Business Excellence Dashboard-Aug2012-ERP HU (OracleApps)" xfId="915" xr:uid="{00000000-0005-0000-0000-00007A0F0000}"/>
    <cellStyle name="%_QR-Prism-Ph2-WSR-Sep10-WIP_HU-Risk-dashboard_SAPProjects_Template-Macro_Business Excellence Dashboard-Aug2012-ERP HU (OracleApps) 2" xfId="10037" xr:uid="{00000000-0005-0000-0000-00007B0F0000}"/>
    <cellStyle name="%_QR-Prism-Ph2-WSR-Sep10-WIP_HU-Risk-dashboard_SAPProjects_Template-Macro_Business Excellence Dashboard-Aug2012-ERP HU (OracleApps) 3" xfId="8839" xr:uid="{00000000-0005-0000-0000-00007C0F0000}"/>
    <cellStyle name="%_QR-Prism-Ph2-WSR-Sep10-WIP_HU-Risk-dashboard_SAPProjects_Template-Macro_Business Excellence Dashboard-Aug2012-ERP HU (OracleApps) 4" xfId="7641" xr:uid="{00000000-0005-0000-0000-00007D0F0000}"/>
    <cellStyle name="%_QR-Prism-Ph2-WSR-Sep10-WIP_HU-Risk-dashboard_SAPProjects_Template-Macro_Business Excellence Dashboard-Aug2012-ERP HU (OracleApps) 5" xfId="6443" xr:uid="{00000000-0005-0000-0000-00007E0F0000}"/>
    <cellStyle name="%_QR-Prism-Ph2-WSR-Sep10-WIP_HU-Risk-dashboard_SAPProjects_Template-Macro_Business Excellence Dashboard-Aug2012-ERP HU (OracleApps) 6" xfId="5244" xr:uid="{00000000-0005-0000-0000-00007F0F0000}"/>
    <cellStyle name="%_QR-Prism-Ph2-WSR-Sep10-WIP_HU-Risk-dashboard_SAPProjects_Template-Macro_Business Excellence Dashboard-Aug2012-ERP HU (OracleApps) 7" xfId="4045" xr:uid="{00000000-0005-0000-0000-0000800F0000}"/>
    <cellStyle name="%_QR-Prism-Ph2-WSR-Sep10-WIP_HU-Risk-dashboard_SAPProjects_Template-Macro_Business Excellence Dashboard-Jul2012-ERP HU (OracleApps)-consolidated" xfId="916" xr:uid="{00000000-0005-0000-0000-0000810F0000}"/>
    <cellStyle name="%_QR-Prism-Ph2-WSR-Sep10-WIP_HU-Risk-dashboard_SAPProjects_Template-Macro_Business Excellence Dashboard-Jul2012-ERP HU (OracleApps)-consolidated 2" xfId="10038" xr:uid="{00000000-0005-0000-0000-0000820F0000}"/>
    <cellStyle name="%_QR-Prism-Ph2-WSR-Sep10-WIP_HU-Risk-dashboard_SAPProjects_Template-Macro_Business Excellence Dashboard-Jul2012-ERP HU (OracleApps)-consolidated 3" xfId="8840" xr:uid="{00000000-0005-0000-0000-0000830F0000}"/>
    <cellStyle name="%_QR-Prism-Ph2-WSR-Sep10-WIP_HU-Risk-dashboard_SAPProjects_Template-Macro_Business Excellence Dashboard-Jul2012-ERP HU (OracleApps)-consolidated 4" xfId="7642" xr:uid="{00000000-0005-0000-0000-0000840F0000}"/>
    <cellStyle name="%_QR-Prism-Ph2-WSR-Sep10-WIP_HU-Risk-dashboard_SAPProjects_Template-Macro_Business Excellence Dashboard-Jul2012-ERP HU (OracleApps)-consolidated 5" xfId="6444" xr:uid="{00000000-0005-0000-0000-0000850F0000}"/>
    <cellStyle name="%_QR-Prism-Ph2-WSR-Sep10-WIP_HU-Risk-dashboard_SAPProjects_Template-Macro_Business Excellence Dashboard-Jul2012-ERP HU (OracleApps)-consolidated 6" xfId="5245" xr:uid="{00000000-0005-0000-0000-0000860F0000}"/>
    <cellStyle name="%_QR-Prism-Ph2-WSR-Sep10-WIP_HU-Risk-dashboard_SAPProjects_Template-Macro_Business Excellence Dashboard-Jul2012-ERP HU (OracleApps)-consolidated 7" xfId="4046" xr:uid="{00000000-0005-0000-0000-0000870F0000}"/>
    <cellStyle name="%_QR-Prism-Ph2-WSR-Sep10-WIP_HU-Risk-dashboard_SAPProjects_Template-Macro_copydatamacro" xfId="917" xr:uid="{00000000-0005-0000-0000-0000880F0000}"/>
    <cellStyle name="%_QR-Prism-Ph2-WSR-Sep10-WIP_HU-Risk-dashboard_SAPProjects_Template-Macro_copydatamacro 2" xfId="10039" xr:uid="{00000000-0005-0000-0000-0000890F0000}"/>
    <cellStyle name="%_QR-Prism-Ph2-WSR-Sep10-WIP_HU-Risk-dashboard_SAPProjects_Template-Macro_copydatamacro 3" xfId="8841" xr:uid="{00000000-0005-0000-0000-00008A0F0000}"/>
    <cellStyle name="%_QR-Prism-Ph2-WSR-Sep10-WIP_HU-Risk-dashboard_SAPProjects_Template-Macro_copydatamacro 4" xfId="7643" xr:uid="{00000000-0005-0000-0000-00008B0F0000}"/>
    <cellStyle name="%_QR-Prism-Ph2-WSR-Sep10-WIP_HU-Risk-dashboard_SAPProjects_Template-Macro_copydatamacro 5" xfId="6445" xr:uid="{00000000-0005-0000-0000-00008C0F0000}"/>
    <cellStyle name="%_QR-Prism-Ph2-WSR-Sep10-WIP_HU-Risk-dashboard_SAPProjects_Template-Macro_copydatamacro 6" xfId="5246" xr:uid="{00000000-0005-0000-0000-00008D0F0000}"/>
    <cellStyle name="%_QR-Prism-Ph2-WSR-Sep10-WIP_HU-Risk-dashboard_SAPProjects_Template-Macro_copydatamacro 7" xfId="4047" xr:uid="{00000000-0005-0000-0000-00008E0F0000}"/>
    <cellStyle name="%_QR-Prism-Ph2-WSR-Sep10-WIP_HU-Risk-dashboard_SAPProjects_Template-Macro_MSHU_BusinessExcellenceDashboardV2.2-May2012-3" xfId="918" xr:uid="{00000000-0005-0000-0000-00008F0F0000}"/>
    <cellStyle name="%_QR-Prism-Ph2-WSR-Sep10-WIP_HU-Risk-dashboard_SAPProjects_Template-Macro_MSHU_BusinessExcellenceDashboardV2.2-May2012-3 2" xfId="10040" xr:uid="{00000000-0005-0000-0000-0000900F0000}"/>
    <cellStyle name="%_QR-Prism-Ph2-WSR-Sep10-WIP_HU-Risk-dashboard_SAPProjects_Template-Macro_MSHU_BusinessExcellenceDashboardV2.2-May2012-3 3" xfId="8842" xr:uid="{00000000-0005-0000-0000-0000910F0000}"/>
    <cellStyle name="%_QR-Prism-Ph2-WSR-Sep10-WIP_HU-Risk-dashboard_SAPProjects_Template-Macro_MSHU_BusinessExcellenceDashboardV2.2-May2012-3 4" xfId="7644" xr:uid="{00000000-0005-0000-0000-0000920F0000}"/>
    <cellStyle name="%_QR-Prism-Ph2-WSR-Sep10-WIP_HU-Risk-dashboard_SAPProjects_Template-Macro_MSHU_BusinessExcellenceDashboardV2.2-May2012-3 5" xfId="6446" xr:uid="{00000000-0005-0000-0000-0000930F0000}"/>
    <cellStyle name="%_QR-Prism-Ph2-WSR-Sep10-WIP_HU-Risk-dashboard_SAPProjects_Template-Macro_MSHU_BusinessExcellenceDashboardV2.2-May2012-3 6" xfId="5247" xr:uid="{00000000-0005-0000-0000-0000940F0000}"/>
    <cellStyle name="%_QR-Prism-Ph2-WSR-Sep10-WIP_HU-Risk-dashboard_SAPProjects_Template-Macro_MSHU_BusinessExcellenceDashboardV2.2-May2012-3 7" xfId="4048" xr:uid="{00000000-0005-0000-0000-0000950F0000}"/>
    <cellStyle name="%_QR-Prism-Ph2-WSR-Sep10-WIP_HU-Risk-dashboard_SAPProjects_Template-Macro_MSHU_BusinessExcellenceDashboardV2.2-May2012-3_Business Excellence Dashboard-Aug2012-ERP HU (OracleApps)" xfId="919" xr:uid="{00000000-0005-0000-0000-0000960F0000}"/>
    <cellStyle name="%_QR-Prism-Ph2-WSR-Sep10-WIP_HU-Risk-dashboard_SAPProjects_Template-Macro_MSHU_BusinessExcellenceDashboardV2.2-May2012-3_Business Excellence Dashboard-Aug2012-ERP HU (OracleApps) 2" xfId="10041" xr:uid="{00000000-0005-0000-0000-0000970F0000}"/>
    <cellStyle name="%_QR-Prism-Ph2-WSR-Sep10-WIP_HU-Risk-dashboard_SAPProjects_Template-Macro_MSHU_BusinessExcellenceDashboardV2.2-May2012-3_Business Excellence Dashboard-Aug2012-ERP HU (OracleApps) 3" xfId="8843" xr:uid="{00000000-0005-0000-0000-0000980F0000}"/>
    <cellStyle name="%_QR-Prism-Ph2-WSR-Sep10-WIP_HU-Risk-dashboard_SAPProjects_Template-Macro_MSHU_BusinessExcellenceDashboardV2.2-May2012-3_Business Excellence Dashboard-Aug2012-ERP HU (OracleApps) 4" xfId="7645" xr:uid="{00000000-0005-0000-0000-0000990F0000}"/>
    <cellStyle name="%_QR-Prism-Ph2-WSR-Sep10-WIP_HU-Risk-dashboard_SAPProjects_Template-Macro_MSHU_BusinessExcellenceDashboardV2.2-May2012-3_Business Excellence Dashboard-Aug2012-ERP HU (OracleApps) 5" xfId="6447" xr:uid="{00000000-0005-0000-0000-00009A0F0000}"/>
    <cellStyle name="%_QR-Prism-Ph2-WSR-Sep10-WIP_HU-Risk-dashboard_SAPProjects_Template-Macro_MSHU_BusinessExcellenceDashboardV2.2-May2012-3_Business Excellence Dashboard-Aug2012-ERP HU (OracleApps) 6" xfId="5248" xr:uid="{00000000-0005-0000-0000-00009B0F0000}"/>
    <cellStyle name="%_QR-Prism-Ph2-WSR-Sep10-WIP_HU-Risk-dashboard_SAPProjects_Template-Macro_MSHU_BusinessExcellenceDashboardV2.2-May2012-3_Business Excellence Dashboard-Aug2012-ERP HU (OracleApps) 7" xfId="4049" xr:uid="{00000000-0005-0000-0000-00009C0F0000}"/>
    <cellStyle name="%_QR-Prism-Ph2-WSR-Sep10-WIP_HU-Risk-dashboard_SAPProjects_Template-Macro_MSHU_BusinessExcellenceDashboardV2.2-May2012-3_Business Excellence Dashboard-Jul2012-ERP HU (OracleApps)-consolidated" xfId="920" xr:uid="{00000000-0005-0000-0000-00009D0F0000}"/>
    <cellStyle name="%_QR-Prism-Ph2-WSR-Sep10-WIP_HU-Risk-dashboard_SAPProjects_Template-Macro_MSHU_BusinessExcellenceDashboardV2.2-May2012-3_Business Excellence Dashboard-Jul2012-ERP HU (OracleApps)-consolidated 2" xfId="10042" xr:uid="{00000000-0005-0000-0000-00009E0F0000}"/>
    <cellStyle name="%_QR-Prism-Ph2-WSR-Sep10-WIP_HU-Risk-dashboard_SAPProjects_Template-Macro_MSHU_BusinessExcellenceDashboardV2.2-May2012-3_Business Excellence Dashboard-Jul2012-ERP HU (OracleApps)-consolidated 3" xfId="8844" xr:uid="{00000000-0005-0000-0000-00009F0F0000}"/>
    <cellStyle name="%_QR-Prism-Ph2-WSR-Sep10-WIP_HU-Risk-dashboard_SAPProjects_Template-Macro_MSHU_BusinessExcellenceDashboardV2.2-May2012-3_Business Excellence Dashboard-Jul2012-ERP HU (OracleApps)-consolidated 4" xfId="7646" xr:uid="{00000000-0005-0000-0000-0000A00F0000}"/>
    <cellStyle name="%_QR-Prism-Ph2-WSR-Sep10-WIP_HU-Risk-dashboard_SAPProjects_Template-Macro_MSHU_BusinessExcellenceDashboardV2.2-May2012-3_Business Excellence Dashboard-Jul2012-ERP HU (OracleApps)-consolidated 5" xfId="6448" xr:uid="{00000000-0005-0000-0000-0000A10F0000}"/>
    <cellStyle name="%_QR-Prism-Ph2-WSR-Sep10-WIP_HU-Risk-dashboard_SAPProjects_Template-Macro_MSHU_BusinessExcellenceDashboardV2.2-May2012-3_Business Excellence Dashboard-Jul2012-ERP HU (OracleApps)-consolidated 6" xfId="5249" xr:uid="{00000000-0005-0000-0000-0000A20F0000}"/>
    <cellStyle name="%_QR-Prism-Ph2-WSR-Sep10-WIP_HU-Risk-dashboard_SAPProjects_Template-Macro_MSHU_BusinessExcellenceDashboardV2.2-May2012-3_Business Excellence Dashboard-Jul2012-ERP HU (OracleApps)-consolidated 7" xfId="4050" xr:uid="{00000000-0005-0000-0000-0000A30F0000}"/>
    <cellStyle name="%_QR-Prism-Ph2-WSR-Sep10-WIP_HU-Risk-dashboard_SAPProjects_Template-Macro_MSHU_BusinessExcellenceDashboardV2.2-May2012-3_copydatamacro" xfId="921" xr:uid="{00000000-0005-0000-0000-0000A40F0000}"/>
    <cellStyle name="%_QR-Prism-Ph2-WSR-Sep10-WIP_HU-Risk-dashboard_SAPProjects_Template-Macro_MSHU_BusinessExcellenceDashboardV2.2-May2012-3_copydatamacro 2" xfId="10043" xr:uid="{00000000-0005-0000-0000-0000A50F0000}"/>
    <cellStyle name="%_QR-Prism-Ph2-WSR-Sep10-WIP_HU-Risk-dashboard_SAPProjects_Template-Macro_MSHU_BusinessExcellenceDashboardV2.2-May2012-3_copydatamacro 3" xfId="8845" xr:uid="{00000000-0005-0000-0000-0000A60F0000}"/>
    <cellStyle name="%_QR-Prism-Ph2-WSR-Sep10-WIP_HU-Risk-dashboard_SAPProjects_Template-Macro_MSHU_BusinessExcellenceDashboardV2.2-May2012-3_copydatamacro 4" xfId="7647" xr:uid="{00000000-0005-0000-0000-0000A70F0000}"/>
    <cellStyle name="%_QR-Prism-Ph2-WSR-Sep10-WIP_HU-Risk-dashboard_SAPProjects_Template-Macro_MSHU_BusinessExcellenceDashboardV2.2-May2012-3_copydatamacro 5" xfId="6449" xr:uid="{00000000-0005-0000-0000-0000A80F0000}"/>
    <cellStyle name="%_QR-Prism-Ph2-WSR-Sep10-WIP_HU-Risk-dashboard_SAPProjects_Template-Macro_MSHU_BusinessExcellenceDashboardV2.2-May2012-3_copydatamacro 6" xfId="5250" xr:uid="{00000000-0005-0000-0000-0000A90F0000}"/>
    <cellStyle name="%_QR-Prism-Ph2-WSR-Sep10-WIP_HU-Risk-dashboard_SAPProjects_Template-Macro_MSHU_BusinessExcellenceDashboardV2.2-May2012-3_copydatamacro 7" xfId="4051" xr:uid="{00000000-0005-0000-0000-0000AA0F0000}"/>
    <cellStyle name="%_QR-Prism-Ph2-WSR-Sep10-WIP_MSHU_BusinessExcellenceDashboardV2.2-May2012-3" xfId="922" xr:uid="{00000000-0005-0000-0000-0000AB0F0000}"/>
    <cellStyle name="%_QR-Prism-Ph2-WSR-Sep10-WIP_MSHU_BusinessExcellenceDashboardV2.2-May2012-3 2" xfId="10044" xr:uid="{00000000-0005-0000-0000-0000AC0F0000}"/>
    <cellStyle name="%_QR-Prism-Ph2-WSR-Sep10-WIP_MSHU_BusinessExcellenceDashboardV2.2-May2012-3 3" xfId="8846" xr:uid="{00000000-0005-0000-0000-0000AD0F0000}"/>
    <cellStyle name="%_QR-Prism-Ph2-WSR-Sep10-WIP_MSHU_BusinessExcellenceDashboardV2.2-May2012-3 4" xfId="7648" xr:uid="{00000000-0005-0000-0000-0000AE0F0000}"/>
    <cellStyle name="%_QR-Prism-Ph2-WSR-Sep10-WIP_MSHU_BusinessExcellenceDashboardV2.2-May2012-3 5" xfId="6450" xr:uid="{00000000-0005-0000-0000-0000AF0F0000}"/>
    <cellStyle name="%_QR-Prism-Ph2-WSR-Sep10-WIP_MSHU_BusinessExcellenceDashboardV2.2-May2012-3 6" xfId="5251" xr:uid="{00000000-0005-0000-0000-0000B00F0000}"/>
    <cellStyle name="%_QR-Prism-Ph2-WSR-Sep10-WIP_MSHU_BusinessExcellenceDashboardV2.2-May2012-3 7" xfId="4052" xr:uid="{00000000-0005-0000-0000-0000B10F0000}"/>
    <cellStyle name="%_QR-Prism-Ph2-WSR-Sep10-WIP_MSHU_BusinessExcellenceDashboardV2.2-May2012-3_Business Excellence Dashboard-Aug2012-ERP HU (OracleApps)" xfId="923" xr:uid="{00000000-0005-0000-0000-0000B20F0000}"/>
    <cellStyle name="%_QR-Prism-Ph2-WSR-Sep10-WIP_MSHU_BusinessExcellenceDashboardV2.2-May2012-3_Business Excellence Dashboard-Aug2012-ERP HU (OracleApps) 2" xfId="10045" xr:uid="{00000000-0005-0000-0000-0000B30F0000}"/>
    <cellStyle name="%_QR-Prism-Ph2-WSR-Sep10-WIP_MSHU_BusinessExcellenceDashboardV2.2-May2012-3_Business Excellence Dashboard-Aug2012-ERP HU (OracleApps) 3" xfId="8847" xr:uid="{00000000-0005-0000-0000-0000B40F0000}"/>
    <cellStyle name="%_QR-Prism-Ph2-WSR-Sep10-WIP_MSHU_BusinessExcellenceDashboardV2.2-May2012-3_Business Excellence Dashboard-Aug2012-ERP HU (OracleApps) 4" xfId="7649" xr:uid="{00000000-0005-0000-0000-0000B50F0000}"/>
    <cellStyle name="%_QR-Prism-Ph2-WSR-Sep10-WIP_MSHU_BusinessExcellenceDashboardV2.2-May2012-3_Business Excellence Dashboard-Aug2012-ERP HU (OracleApps) 5" xfId="6451" xr:uid="{00000000-0005-0000-0000-0000B60F0000}"/>
    <cellStyle name="%_QR-Prism-Ph2-WSR-Sep10-WIP_MSHU_BusinessExcellenceDashboardV2.2-May2012-3_Business Excellence Dashboard-Aug2012-ERP HU (OracleApps) 6" xfId="5252" xr:uid="{00000000-0005-0000-0000-0000B70F0000}"/>
    <cellStyle name="%_QR-Prism-Ph2-WSR-Sep10-WIP_MSHU_BusinessExcellenceDashboardV2.2-May2012-3_Business Excellence Dashboard-Aug2012-ERP HU (OracleApps) 7" xfId="4053" xr:uid="{00000000-0005-0000-0000-0000B80F0000}"/>
    <cellStyle name="%_QR-Prism-Ph2-WSR-Sep10-WIP_MSHU_BusinessExcellenceDashboardV2.2-May2012-3_Business Excellence Dashboard-Jul2012-ERP HU (OracleApps)-consolidated" xfId="924" xr:uid="{00000000-0005-0000-0000-0000B90F0000}"/>
    <cellStyle name="%_QR-Prism-Ph2-WSR-Sep10-WIP_MSHU_BusinessExcellenceDashboardV2.2-May2012-3_Business Excellence Dashboard-Jul2012-ERP HU (OracleApps)-consolidated 2" xfId="10046" xr:uid="{00000000-0005-0000-0000-0000BA0F0000}"/>
    <cellStyle name="%_QR-Prism-Ph2-WSR-Sep10-WIP_MSHU_BusinessExcellenceDashboardV2.2-May2012-3_Business Excellence Dashboard-Jul2012-ERP HU (OracleApps)-consolidated 3" xfId="8848" xr:uid="{00000000-0005-0000-0000-0000BB0F0000}"/>
    <cellStyle name="%_QR-Prism-Ph2-WSR-Sep10-WIP_MSHU_BusinessExcellenceDashboardV2.2-May2012-3_Business Excellence Dashboard-Jul2012-ERP HU (OracleApps)-consolidated 4" xfId="7650" xr:uid="{00000000-0005-0000-0000-0000BC0F0000}"/>
    <cellStyle name="%_QR-Prism-Ph2-WSR-Sep10-WIP_MSHU_BusinessExcellenceDashboardV2.2-May2012-3_Business Excellence Dashboard-Jul2012-ERP HU (OracleApps)-consolidated 5" xfId="6452" xr:uid="{00000000-0005-0000-0000-0000BD0F0000}"/>
    <cellStyle name="%_QR-Prism-Ph2-WSR-Sep10-WIP_MSHU_BusinessExcellenceDashboardV2.2-May2012-3_Business Excellence Dashboard-Jul2012-ERP HU (OracleApps)-consolidated 6" xfId="5253" xr:uid="{00000000-0005-0000-0000-0000BE0F0000}"/>
    <cellStyle name="%_QR-Prism-Ph2-WSR-Sep10-WIP_MSHU_BusinessExcellenceDashboardV2.2-May2012-3_Business Excellence Dashboard-Jul2012-ERP HU (OracleApps)-consolidated 7" xfId="4054" xr:uid="{00000000-0005-0000-0000-0000BF0F0000}"/>
    <cellStyle name="%_QR-Prism-Ph2-WSR-Sep10-WIP_MSHU_BusinessExcellenceDashboardV2.2-May2012-3_copydatamacro" xfId="925" xr:uid="{00000000-0005-0000-0000-0000C00F0000}"/>
    <cellStyle name="%_QR-Prism-Ph2-WSR-Sep10-WIP_MSHU_BusinessExcellenceDashboardV2.2-May2012-3_copydatamacro 2" xfId="10047" xr:uid="{00000000-0005-0000-0000-0000C10F0000}"/>
    <cellStyle name="%_QR-Prism-Ph2-WSR-Sep10-WIP_MSHU_BusinessExcellenceDashboardV2.2-May2012-3_copydatamacro 3" xfId="8849" xr:uid="{00000000-0005-0000-0000-0000C20F0000}"/>
    <cellStyle name="%_QR-Prism-Ph2-WSR-Sep10-WIP_MSHU_BusinessExcellenceDashboardV2.2-May2012-3_copydatamacro 4" xfId="7651" xr:uid="{00000000-0005-0000-0000-0000C30F0000}"/>
    <cellStyle name="%_QR-Prism-Ph2-WSR-Sep10-WIP_MSHU_BusinessExcellenceDashboardV2.2-May2012-3_copydatamacro 5" xfId="6453" xr:uid="{00000000-0005-0000-0000-0000C40F0000}"/>
    <cellStyle name="%_QR-Prism-Ph2-WSR-Sep10-WIP_MSHU_BusinessExcellenceDashboardV2.2-May2012-3_copydatamacro 6" xfId="5254" xr:uid="{00000000-0005-0000-0000-0000C50F0000}"/>
    <cellStyle name="%_QR-Prism-Ph2-WSR-Sep10-WIP_MSHU_BusinessExcellenceDashboardV2.2-May2012-3_copydatamacro 7" xfId="4055" xr:uid="{00000000-0005-0000-0000-0000C60F0000}"/>
    <cellStyle name="%_QR-Prism-Ph2-WSR-Sep10-WIP_OS HU Dashboard Apr 2012-macro-08May" xfId="926" xr:uid="{00000000-0005-0000-0000-0000C70F0000}"/>
    <cellStyle name="%_QR-Prism-Ph2-WSR-Sep10-WIP_OS HU Dashboard Apr 2012-macro-08May 2" xfId="10048" xr:uid="{00000000-0005-0000-0000-0000C80F0000}"/>
    <cellStyle name="%_QR-Prism-Ph2-WSR-Sep10-WIP_OS HU Dashboard Apr 2012-macro-08May 3" xfId="8850" xr:uid="{00000000-0005-0000-0000-0000C90F0000}"/>
    <cellStyle name="%_QR-Prism-Ph2-WSR-Sep10-WIP_OS HU Dashboard Apr 2012-macro-08May 4" xfId="7652" xr:uid="{00000000-0005-0000-0000-0000CA0F0000}"/>
    <cellStyle name="%_QR-Prism-Ph2-WSR-Sep10-WIP_OS HU Dashboard Apr 2012-macro-08May 5" xfId="6454" xr:uid="{00000000-0005-0000-0000-0000CB0F0000}"/>
    <cellStyle name="%_QR-Prism-Ph2-WSR-Sep10-WIP_OS HU Dashboard Apr 2012-macro-08May 6" xfId="5255" xr:uid="{00000000-0005-0000-0000-0000CC0F0000}"/>
    <cellStyle name="%_QR-Prism-Ph2-WSR-Sep10-WIP_OS HU Dashboard Apr 2012-macro-08May 7" xfId="4056" xr:uid="{00000000-0005-0000-0000-0000CD0F0000}"/>
    <cellStyle name="%_QR-Prism-Ph2-WSR-Sep10-WIP_OS HU Dashboard Apr 2012-macro-08May_2" xfId="927" xr:uid="{00000000-0005-0000-0000-0000CE0F0000}"/>
    <cellStyle name="%_QR-Prism-Ph2-WSR-Sep10-WIP_OS HU Dashboard Apr 2012-macro-08May_2 2" xfId="10049" xr:uid="{00000000-0005-0000-0000-0000CF0F0000}"/>
    <cellStyle name="%_QR-Prism-Ph2-WSR-Sep10-WIP_OS HU Dashboard Apr 2012-macro-08May_2 3" xfId="8851" xr:uid="{00000000-0005-0000-0000-0000D00F0000}"/>
    <cellStyle name="%_QR-Prism-Ph2-WSR-Sep10-WIP_OS HU Dashboard Apr 2012-macro-08May_2 4" xfId="7653" xr:uid="{00000000-0005-0000-0000-0000D10F0000}"/>
    <cellStyle name="%_QR-Prism-Ph2-WSR-Sep10-WIP_OS HU Dashboard Apr 2012-macro-08May_2 5" xfId="6455" xr:uid="{00000000-0005-0000-0000-0000D20F0000}"/>
    <cellStyle name="%_QR-Prism-Ph2-WSR-Sep10-WIP_OS HU Dashboard Apr 2012-macro-08May_2 6" xfId="5256" xr:uid="{00000000-0005-0000-0000-0000D30F0000}"/>
    <cellStyle name="%_QR-Prism-Ph2-WSR-Sep10-WIP_OS HU Dashboard Apr 2012-macro-08May_2 7" xfId="4057" xr:uid="{00000000-0005-0000-0000-0000D40F0000}"/>
    <cellStyle name="%_QR-Prism-Ph2-WSR-Sep10-WIP_OS HU Dashboard Apr 2012-macro-08May_2_1" xfId="928" xr:uid="{00000000-0005-0000-0000-0000D50F0000}"/>
    <cellStyle name="%_QR-Prism-Ph2-WSR-Sep10-WIP_OS HU Dashboard Apr 2012-macro-08May_2_1 2" xfId="10050" xr:uid="{00000000-0005-0000-0000-0000D60F0000}"/>
    <cellStyle name="%_QR-Prism-Ph2-WSR-Sep10-WIP_OS HU Dashboard Apr 2012-macro-08May_2_1 3" xfId="8852" xr:uid="{00000000-0005-0000-0000-0000D70F0000}"/>
    <cellStyle name="%_QR-Prism-Ph2-WSR-Sep10-WIP_OS HU Dashboard Apr 2012-macro-08May_2_1 4" xfId="7654" xr:uid="{00000000-0005-0000-0000-0000D80F0000}"/>
    <cellStyle name="%_QR-Prism-Ph2-WSR-Sep10-WIP_OS HU Dashboard Apr 2012-macro-08May_2_1 5" xfId="6456" xr:uid="{00000000-0005-0000-0000-0000D90F0000}"/>
    <cellStyle name="%_QR-Prism-Ph2-WSR-Sep10-WIP_OS HU Dashboard Apr 2012-macro-08May_2_1 6" xfId="5257" xr:uid="{00000000-0005-0000-0000-0000DA0F0000}"/>
    <cellStyle name="%_QR-Prism-Ph2-WSR-Sep10-WIP_OS HU Dashboard Apr 2012-macro-08May_2_1 7" xfId="4058" xr:uid="{00000000-0005-0000-0000-0000DB0F0000}"/>
    <cellStyle name="%_QR-Prism-Ph2-WSR-Sep10-WIP_OS HU Dashboard Apr 2012-macro-08May_2_1_Business Excellence Dashboard-Aug2012-ERP HU (OracleApps)" xfId="929" xr:uid="{00000000-0005-0000-0000-0000DC0F0000}"/>
    <cellStyle name="%_QR-Prism-Ph2-WSR-Sep10-WIP_OS HU Dashboard Apr 2012-macro-08May_2_1_Business Excellence Dashboard-Aug2012-ERP HU (OracleApps) 2" xfId="10051" xr:uid="{00000000-0005-0000-0000-0000DD0F0000}"/>
    <cellStyle name="%_QR-Prism-Ph2-WSR-Sep10-WIP_OS HU Dashboard Apr 2012-macro-08May_2_1_Business Excellence Dashboard-Aug2012-ERP HU (OracleApps) 3" xfId="8853" xr:uid="{00000000-0005-0000-0000-0000DE0F0000}"/>
    <cellStyle name="%_QR-Prism-Ph2-WSR-Sep10-WIP_OS HU Dashboard Apr 2012-macro-08May_2_1_Business Excellence Dashboard-Aug2012-ERP HU (OracleApps) 4" xfId="7655" xr:uid="{00000000-0005-0000-0000-0000DF0F0000}"/>
    <cellStyle name="%_QR-Prism-Ph2-WSR-Sep10-WIP_OS HU Dashboard Apr 2012-macro-08May_2_1_Business Excellence Dashboard-Aug2012-ERP HU (OracleApps) 5" xfId="6457" xr:uid="{00000000-0005-0000-0000-0000E00F0000}"/>
    <cellStyle name="%_QR-Prism-Ph2-WSR-Sep10-WIP_OS HU Dashboard Apr 2012-macro-08May_2_1_Business Excellence Dashboard-Aug2012-ERP HU (OracleApps) 6" xfId="5258" xr:uid="{00000000-0005-0000-0000-0000E10F0000}"/>
    <cellStyle name="%_QR-Prism-Ph2-WSR-Sep10-WIP_OS HU Dashboard Apr 2012-macro-08May_2_1_Business Excellence Dashboard-Aug2012-ERP HU (OracleApps) 7" xfId="4059" xr:uid="{00000000-0005-0000-0000-0000E20F0000}"/>
    <cellStyle name="%_QR-Prism-Ph2-WSR-Sep10-WIP_OS HU Dashboard Apr 2012-macro-08May_2_2" xfId="930" xr:uid="{00000000-0005-0000-0000-0000E30F0000}"/>
    <cellStyle name="%_QR-Prism-Ph2-WSR-Sep10-WIP_OS HU Dashboard Apr 2012-macro-08May_2_2 2" xfId="10052" xr:uid="{00000000-0005-0000-0000-0000E40F0000}"/>
    <cellStyle name="%_QR-Prism-Ph2-WSR-Sep10-WIP_OS HU Dashboard Apr 2012-macro-08May_2_2 3" xfId="8854" xr:uid="{00000000-0005-0000-0000-0000E50F0000}"/>
    <cellStyle name="%_QR-Prism-Ph2-WSR-Sep10-WIP_OS HU Dashboard Apr 2012-macro-08May_2_2 4" xfId="7656" xr:uid="{00000000-0005-0000-0000-0000E60F0000}"/>
    <cellStyle name="%_QR-Prism-Ph2-WSR-Sep10-WIP_OS HU Dashboard Apr 2012-macro-08May_2_2 5" xfId="6458" xr:uid="{00000000-0005-0000-0000-0000E70F0000}"/>
    <cellStyle name="%_QR-Prism-Ph2-WSR-Sep10-WIP_OS HU Dashboard Apr 2012-macro-08May_2_2 6" xfId="5259" xr:uid="{00000000-0005-0000-0000-0000E80F0000}"/>
    <cellStyle name="%_QR-Prism-Ph2-WSR-Sep10-WIP_OS HU Dashboard Apr 2012-macro-08May_2_2 7" xfId="4060" xr:uid="{00000000-0005-0000-0000-0000E90F0000}"/>
    <cellStyle name="%_QR-Prism-Ph2-WSR-Sep10-WIP_OS HU Dashboard Apr 2012-macro-08May_2_Business Excellence Dashboard-Aug2012-ERP HU (OracleApps)" xfId="931" xr:uid="{00000000-0005-0000-0000-0000EA0F0000}"/>
    <cellStyle name="%_QR-Prism-Ph2-WSR-Sep10-WIP_OS HU Dashboard Apr 2012-macro-08May_2_Business Excellence Dashboard-Aug2012-ERP HU (OracleApps) 2" xfId="10053" xr:uid="{00000000-0005-0000-0000-0000EB0F0000}"/>
    <cellStyle name="%_QR-Prism-Ph2-WSR-Sep10-WIP_OS HU Dashboard Apr 2012-macro-08May_2_Business Excellence Dashboard-Aug2012-ERP HU (OracleApps) 3" xfId="8855" xr:uid="{00000000-0005-0000-0000-0000EC0F0000}"/>
    <cellStyle name="%_QR-Prism-Ph2-WSR-Sep10-WIP_OS HU Dashboard Apr 2012-macro-08May_2_Business Excellence Dashboard-Aug2012-ERP HU (OracleApps) 4" xfId="7657" xr:uid="{00000000-0005-0000-0000-0000ED0F0000}"/>
    <cellStyle name="%_QR-Prism-Ph2-WSR-Sep10-WIP_OS HU Dashboard Apr 2012-macro-08May_2_Business Excellence Dashboard-Aug2012-ERP HU (OracleApps) 5" xfId="6459" xr:uid="{00000000-0005-0000-0000-0000EE0F0000}"/>
    <cellStyle name="%_QR-Prism-Ph2-WSR-Sep10-WIP_OS HU Dashboard Apr 2012-macro-08May_2_Business Excellence Dashboard-Aug2012-ERP HU (OracleApps) 6" xfId="5260" xr:uid="{00000000-0005-0000-0000-0000EF0F0000}"/>
    <cellStyle name="%_QR-Prism-Ph2-WSR-Sep10-WIP_OS HU Dashboard Apr 2012-macro-08May_2_Business Excellence Dashboard-Aug2012-ERP HU (OracleApps) 7" xfId="4061" xr:uid="{00000000-0005-0000-0000-0000F00F0000}"/>
    <cellStyle name="%_QR-Prism-Ph2-WSR-Sep10-WIP_OS HU Dashboard Apr 2012-macro-08May_2_Business Excellence Dashboard-Jul2012-ERP HU (OracleApps)-consolidated" xfId="932" xr:uid="{00000000-0005-0000-0000-0000F10F0000}"/>
    <cellStyle name="%_QR-Prism-Ph2-WSR-Sep10-WIP_OS HU Dashboard Apr 2012-macro-08May_2_Business Excellence Dashboard-Jul2012-ERP HU (OracleApps)-consolidated 2" xfId="10054" xr:uid="{00000000-0005-0000-0000-0000F20F0000}"/>
    <cellStyle name="%_QR-Prism-Ph2-WSR-Sep10-WIP_OS HU Dashboard Apr 2012-macro-08May_2_Business Excellence Dashboard-Jul2012-ERP HU (OracleApps)-consolidated 3" xfId="8856" xr:uid="{00000000-0005-0000-0000-0000F30F0000}"/>
    <cellStyle name="%_QR-Prism-Ph2-WSR-Sep10-WIP_OS HU Dashboard Apr 2012-macro-08May_2_Business Excellence Dashboard-Jul2012-ERP HU (OracleApps)-consolidated 4" xfId="7658" xr:uid="{00000000-0005-0000-0000-0000F40F0000}"/>
    <cellStyle name="%_QR-Prism-Ph2-WSR-Sep10-WIP_OS HU Dashboard Apr 2012-macro-08May_2_Business Excellence Dashboard-Jul2012-ERP HU (OracleApps)-consolidated 5" xfId="6460" xr:uid="{00000000-0005-0000-0000-0000F50F0000}"/>
    <cellStyle name="%_QR-Prism-Ph2-WSR-Sep10-WIP_OS HU Dashboard Apr 2012-macro-08May_2_Business Excellence Dashboard-Jul2012-ERP HU (OracleApps)-consolidated 6" xfId="5261" xr:uid="{00000000-0005-0000-0000-0000F60F0000}"/>
    <cellStyle name="%_QR-Prism-Ph2-WSR-Sep10-WIP_OS HU Dashboard Apr 2012-macro-08May_2_Business Excellence Dashboard-Jul2012-ERP HU (OracleApps)-consolidated 7" xfId="4062" xr:uid="{00000000-0005-0000-0000-0000F70F0000}"/>
    <cellStyle name="%_QR-Prism-Ph2-WSR-Sep10-WIP_OS HU Dashboard Apr 2012-macro-08May_2_copydatamacro" xfId="933" xr:uid="{00000000-0005-0000-0000-0000F80F0000}"/>
    <cellStyle name="%_QR-Prism-Ph2-WSR-Sep10-WIP_OS HU Dashboard Apr 2012-macro-08May_2_copydatamacro 2" xfId="10055" xr:uid="{00000000-0005-0000-0000-0000F90F0000}"/>
    <cellStyle name="%_QR-Prism-Ph2-WSR-Sep10-WIP_OS HU Dashboard Apr 2012-macro-08May_2_copydatamacro 3" xfId="8857" xr:uid="{00000000-0005-0000-0000-0000FA0F0000}"/>
    <cellStyle name="%_QR-Prism-Ph2-WSR-Sep10-WIP_OS HU Dashboard Apr 2012-macro-08May_2_copydatamacro 4" xfId="7659" xr:uid="{00000000-0005-0000-0000-0000FB0F0000}"/>
    <cellStyle name="%_QR-Prism-Ph2-WSR-Sep10-WIP_OS HU Dashboard Apr 2012-macro-08May_2_copydatamacro 5" xfId="6461" xr:uid="{00000000-0005-0000-0000-0000FC0F0000}"/>
    <cellStyle name="%_QR-Prism-Ph2-WSR-Sep10-WIP_OS HU Dashboard Apr 2012-macro-08May_2_copydatamacro 6" xfId="5262" xr:uid="{00000000-0005-0000-0000-0000FD0F0000}"/>
    <cellStyle name="%_QR-Prism-Ph2-WSR-Sep10-WIP_OS HU Dashboard Apr 2012-macro-08May_2_copydatamacro 7" xfId="4063" xr:uid="{00000000-0005-0000-0000-0000FE0F0000}"/>
    <cellStyle name="%_QR-Prism-Ph2-WSR-Sep10-WIP_OS HU Dashboard Apr 2012-macro-08May_Business Excellence Dashboard-Aug2012-ERP HU (OracleApps)" xfId="934" xr:uid="{00000000-0005-0000-0000-0000FF0F0000}"/>
    <cellStyle name="%_QR-Prism-Ph2-WSR-Sep10-WIP_OS HU Dashboard Apr 2012-macro-08May_Business Excellence Dashboard-Aug2012-ERP HU (OracleApps) 2" xfId="10056" xr:uid="{00000000-0005-0000-0000-000000100000}"/>
    <cellStyle name="%_QR-Prism-Ph2-WSR-Sep10-WIP_OS HU Dashboard Apr 2012-macro-08May_Business Excellence Dashboard-Aug2012-ERP HU (OracleApps) 3" xfId="8858" xr:uid="{00000000-0005-0000-0000-000001100000}"/>
    <cellStyle name="%_QR-Prism-Ph2-WSR-Sep10-WIP_OS HU Dashboard Apr 2012-macro-08May_Business Excellence Dashboard-Aug2012-ERP HU (OracleApps) 4" xfId="7660" xr:uid="{00000000-0005-0000-0000-000002100000}"/>
    <cellStyle name="%_QR-Prism-Ph2-WSR-Sep10-WIP_OS HU Dashboard Apr 2012-macro-08May_Business Excellence Dashboard-Aug2012-ERP HU (OracleApps) 5" xfId="6462" xr:uid="{00000000-0005-0000-0000-000003100000}"/>
    <cellStyle name="%_QR-Prism-Ph2-WSR-Sep10-WIP_OS HU Dashboard Apr 2012-macro-08May_Business Excellence Dashboard-Aug2012-ERP HU (OracleApps) 6" xfId="5263" xr:uid="{00000000-0005-0000-0000-000004100000}"/>
    <cellStyle name="%_QR-Prism-Ph2-WSR-Sep10-WIP_OS HU Dashboard Apr 2012-macro-08May_Business Excellence Dashboard-Aug2012-ERP HU (OracleApps) 7" xfId="4064" xr:uid="{00000000-0005-0000-0000-000005100000}"/>
    <cellStyle name="%_QR-Prism-Ph2-WSR-Sep10-WIP_OS HU Dashboard Apr 2012-macro-08May_Business Excellence Dashboard-Jul2012-ERP HU (OracleApps)-consolidated" xfId="935" xr:uid="{00000000-0005-0000-0000-000006100000}"/>
    <cellStyle name="%_QR-Prism-Ph2-WSR-Sep10-WIP_OS HU Dashboard Apr 2012-macro-08May_Business Excellence Dashboard-Jul2012-ERP HU (OracleApps)-consolidated 2" xfId="10057" xr:uid="{00000000-0005-0000-0000-000007100000}"/>
    <cellStyle name="%_QR-Prism-Ph2-WSR-Sep10-WIP_OS HU Dashboard Apr 2012-macro-08May_Business Excellence Dashboard-Jul2012-ERP HU (OracleApps)-consolidated 3" xfId="8859" xr:uid="{00000000-0005-0000-0000-000008100000}"/>
    <cellStyle name="%_QR-Prism-Ph2-WSR-Sep10-WIP_OS HU Dashboard Apr 2012-macro-08May_Business Excellence Dashboard-Jul2012-ERP HU (OracleApps)-consolidated 4" xfId="7661" xr:uid="{00000000-0005-0000-0000-000009100000}"/>
    <cellStyle name="%_QR-Prism-Ph2-WSR-Sep10-WIP_OS HU Dashboard Apr 2012-macro-08May_Business Excellence Dashboard-Jul2012-ERP HU (OracleApps)-consolidated 5" xfId="6463" xr:uid="{00000000-0005-0000-0000-00000A100000}"/>
    <cellStyle name="%_QR-Prism-Ph2-WSR-Sep10-WIP_OS HU Dashboard Apr 2012-macro-08May_Business Excellence Dashboard-Jul2012-ERP HU (OracleApps)-consolidated 6" xfId="5264" xr:uid="{00000000-0005-0000-0000-00000B100000}"/>
    <cellStyle name="%_QR-Prism-Ph2-WSR-Sep10-WIP_OS HU Dashboard Apr 2012-macro-08May_Business Excellence Dashboard-Jul2012-ERP HU (OracleApps)-consolidated 7" xfId="4065" xr:uid="{00000000-0005-0000-0000-00000C100000}"/>
    <cellStyle name="%_QR-Prism-Ph2-WSR-Sep10-WIP_OS HU Dashboard Apr 2012-macro-08May_copydatamacro" xfId="936" xr:uid="{00000000-0005-0000-0000-00000D100000}"/>
    <cellStyle name="%_QR-Prism-Ph2-WSR-Sep10-WIP_OS HU Dashboard Apr 2012-macro-08May_copydatamacro 2" xfId="10058" xr:uid="{00000000-0005-0000-0000-00000E100000}"/>
    <cellStyle name="%_QR-Prism-Ph2-WSR-Sep10-WIP_OS HU Dashboard Apr 2012-macro-08May_copydatamacro 3" xfId="8860" xr:uid="{00000000-0005-0000-0000-00000F100000}"/>
    <cellStyle name="%_QR-Prism-Ph2-WSR-Sep10-WIP_OS HU Dashboard Apr 2012-macro-08May_copydatamacro 4" xfId="7662" xr:uid="{00000000-0005-0000-0000-000010100000}"/>
    <cellStyle name="%_QR-Prism-Ph2-WSR-Sep10-WIP_OS HU Dashboard Apr 2012-macro-08May_copydatamacro 5" xfId="6464" xr:uid="{00000000-0005-0000-0000-000011100000}"/>
    <cellStyle name="%_QR-Prism-Ph2-WSR-Sep10-WIP_OS HU Dashboard Apr 2012-macro-08May_copydatamacro 6" xfId="5265" xr:uid="{00000000-0005-0000-0000-000012100000}"/>
    <cellStyle name="%_QR-Prism-Ph2-WSR-Sep10-WIP_OS HU Dashboard Apr 2012-macro-08May_copydatamacro 7" xfId="4066" xr:uid="{00000000-0005-0000-0000-000013100000}"/>
    <cellStyle name="%_Risks" xfId="937" xr:uid="{00000000-0005-0000-0000-000014100000}"/>
    <cellStyle name="%_Risks 2" xfId="10059" xr:uid="{00000000-0005-0000-0000-000015100000}"/>
    <cellStyle name="%_Risks 3" xfId="8861" xr:uid="{00000000-0005-0000-0000-000016100000}"/>
    <cellStyle name="%_Risks 4" xfId="7663" xr:uid="{00000000-0005-0000-0000-000017100000}"/>
    <cellStyle name="%_Risks 5" xfId="6465" xr:uid="{00000000-0005-0000-0000-000018100000}"/>
    <cellStyle name="%_Risks 6" xfId="5266" xr:uid="{00000000-0005-0000-0000-000019100000}"/>
    <cellStyle name="%_Risks 7" xfId="4067" xr:uid="{00000000-0005-0000-0000-00001A100000}"/>
    <cellStyle name="%_Risks_2" xfId="938" xr:uid="{00000000-0005-0000-0000-00001B100000}"/>
    <cellStyle name="%_Risks_2 2" xfId="10060" xr:uid="{00000000-0005-0000-0000-00001C100000}"/>
    <cellStyle name="%_Risks_2 3" xfId="8862" xr:uid="{00000000-0005-0000-0000-00001D100000}"/>
    <cellStyle name="%_Risks_2 4" xfId="7664" xr:uid="{00000000-0005-0000-0000-00001E100000}"/>
    <cellStyle name="%_Risks_2 5" xfId="6466" xr:uid="{00000000-0005-0000-0000-00001F100000}"/>
    <cellStyle name="%_Risks_2 6" xfId="5267" xr:uid="{00000000-0005-0000-0000-000020100000}"/>
    <cellStyle name="%_Risks_2 7" xfId="4068" xr:uid="{00000000-0005-0000-0000-000021100000}"/>
    <cellStyle name="%_Risks_2_1" xfId="939" xr:uid="{00000000-0005-0000-0000-000022100000}"/>
    <cellStyle name="%_Risks_2_1 2" xfId="10061" xr:uid="{00000000-0005-0000-0000-000023100000}"/>
    <cellStyle name="%_Risks_2_1 3" xfId="8863" xr:uid="{00000000-0005-0000-0000-000024100000}"/>
    <cellStyle name="%_Risks_2_1 4" xfId="7665" xr:uid="{00000000-0005-0000-0000-000025100000}"/>
    <cellStyle name="%_Risks_2_1 5" xfId="6467" xr:uid="{00000000-0005-0000-0000-000026100000}"/>
    <cellStyle name="%_Risks_2_1 6" xfId="5268" xr:uid="{00000000-0005-0000-0000-000027100000}"/>
    <cellStyle name="%_Risks_2_1 7" xfId="4069" xr:uid="{00000000-0005-0000-0000-000028100000}"/>
    <cellStyle name="%_Risks_2_1_Business Excellence Dashboard-Aug2012-ERP HU (OracleApps)" xfId="940" xr:uid="{00000000-0005-0000-0000-000029100000}"/>
    <cellStyle name="%_Risks_2_1_Business Excellence Dashboard-Aug2012-ERP HU (OracleApps) 2" xfId="10062" xr:uid="{00000000-0005-0000-0000-00002A100000}"/>
    <cellStyle name="%_Risks_2_1_Business Excellence Dashboard-Aug2012-ERP HU (OracleApps) 3" xfId="8864" xr:uid="{00000000-0005-0000-0000-00002B100000}"/>
    <cellStyle name="%_Risks_2_1_Business Excellence Dashboard-Aug2012-ERP HU (OracleApps) 4" xfId="7666" xr:uid="{00000000-0005-0000-0000-00002C100000}"/>
    <cellStyle name="%_Risks_2_1_Business Excellence Dashboard-Aug2012-ERP HU (OracleApps) 5" xfId="6468" xr:uid="{00000000-0005-0000-0000-00002D100000}"/>
    <cellStyle name="%_Risks_2_1_Business Excellence Dashboard-Aug2012-ERP HU (OracleApps) 6" xfId="5269" xr:uid="{00000000-0005-0000-0000-00002E100000}"/>
    <cellStyle name="%_Risks_2_1_Business Excellence Dashboard-Aug2012-ERP HU (OracleApps) 7" xfId="4070" xr:uid="{00000000-0005-0000-0000-00002F100000}"/>
    <cellStyle name="%_Risks_2_2" xfId="941" xr:uid="{00000000-0005-0000-0000-000030100000}"/>
    <cellStyle name="%_Risks_2_2 2" xfId="10063" xr:uid="{00000000-0005-0000-0000-000031100000}"/>
    <cellStyle name="%_Risks_2_2 3" xfId="8865" xr:uid="{00000000-0005-0000-0000-000032100000}"/>
    <cellStyle name="%_Risks_2_2 4" xfId="7667" xr:uid="{00000000-0005-0000-0000-000033100000}"/>
    <cellStyle name="%_Risks_2_2 5" xfId="6469" xr:uid="{00000000-0005-0000-0000-000034100000}"/>
    <cellStyle name="%_Risks_2_2 6" xfId="5270" xr:uid="{00000000-0005-0000-0000-000035100000}"/>
    <cellStyle name="%_Risks_2_2 7" xfId="4071" xr:uid="{00000000-0005-0000-0000-000036100000}"/>
    <cellStyle name="%_Risks_2_Business Excellence Dashboard-Aug2012-ERP HU (OracleApps)" xfId="942" xr:uid="{00000000-0005-0000-0000-000037100000}"/>
    <cellStyle name="%_Risks_2_Business Excellence Dashboard-Aug2012-ERP HU (OracleApps) 2" xfId="10064" xr:uid="{00000000-0005-0000-0000-000038100000}"/>
    <cellStyle name="%_Risks_2_Business Excellence Dashboard-Aug2012-ERP HU (OracleApps) 3" xfId="8866" xr:uid="{00000000-0005-0000-0000-000039100000}"/>
    <cellStyle name="%_Risks_2_Business Excellence Dashboard-Aug2012-ERP HU (OracleApps) 4" xfId="7668" xr:uid="{00000000-0005-0000-0000-00003A100000}"/>
    <cellStyle name="%_Risks_2_Business Excellence Dashboard-Aug2012-ERP HU (OracleApps) 5" xfId="6470" xr:uid="{00000000-0005-0000-0000-00003B100000}"/>
    <cellStyle name="%_Risks_2_Business Excellence Dashboard-Aug2012-ERP HU (OracleApps) 6" xfId="5271" xr:uid="{00000000-0005-0000-0000-00003C100000}"/>
    <cellStyle name="%_Risks_2_Business Excellence Dashboard-Aug2012-ERP HU (OracleApps) 7" xfId="4072" xr:uid="{00000000-0005-0000-0000-00003D100000}"/>
    <cellStyle name="%_Risks_2_Business Excellence Dashboard-Jul2012-ERP HU (OracleApps)-consolidated" xfId="943" xr:uid="{00000000-0005-0000-0000-00003E100000}"/>
    <cellStyle name="%_Risks_2_Business Excellence Dashboard-Jul2012-ERP HU (OracleApps)-consolidated 2" xfId="10065" xr:uid="{00000000-0005-0000-0000-00003F100000}"/>
    <cellStyle name="%_Risks_2_Business Excellence Dashboard-Jul2012-ERP HU (OracleApps)-consolidated 3" xfId="8867" xr:uid="{00000000-0005-0000-0000-000040100000}"/>
    <cellStyle name="%_Risks_2_Business Excellence Dashboard-Jul2012-ERP HU (OracleApps)-consolidated 4" xfId="7669" xr:uid="{00000000-0005-0000-0000-000041100000}"/>
    <cellStyle name="%_Risks_2_Business Excellence Dashboard-Jul2012-ERP HU (OracleApps)-consolidated 5" xfId="6471" xr:uid="{00000000-0005-0000-0000-000042100000}"/>
    <cellStyle name="%_Risks_2_Business Excellence Dashboard-Jul2012-ERP HU (OracleApps)-consolidated 6" xfId="5272" xr:uid="{00000000-0005-0000-0000-000043100000}"/>
    <cellStyle name="%_Risks_2_Business Excellence Dashboard-Jul2012-ERP HU (OracleApps)-consolidated 7" xfId="4073" xr:uid="{00000000-0005-0000-0000-000044100000}"/>
    <cellStyle name="%_Risks_2_copydatamacro" xfId="944" xr:uid="{00000000-0005-0000-0000-000045100000}"/>
    <cellStyle name="%_Risks_2_copydatamacro 2" xfId="10066" xr:uid="{00000000-0005-0000-0000-000046100000}"/>
    <cellStyle name="%_Risks_2_copydatamacro 3" xfId="8868" xr:uid="{00000000-0005-0000-0000-000047100000}"/>
    <cellStyle name="%_Risks_2_copydatamacro 4" xfId="7670" xr:uid="{00000000-0005-0000-0000-000048100000}"/>
    <cellStyle name="%_Risks_2_copydatamacro 5" xfId="6472" xr:uid="{00000000-0005-0000-0000-000049100000}"/>
    <cellStyle name="%_Risks_2_copydatamacro 6" xfId="5273" xr:uid="{00000000-0005-0000-0000-00004A100000}"/>
    <cellStyle name="%_Risks_2_copydatamacro 7" xfId="4074" xr:uid="{00000000-0005-0000-0000-00004B100000}"/>
    <cellStyle name="%_Risks_Book1" xfId="945" xr:uid="{00000000-0005-0000-0000-00004C100000}"/>
    <cellStyle name="%_Risks_Book1 2" xfId="10067" xr:uid="{00000000-0005-0000-0000-00004D100000}"/>
    <cellStyle name="%_Risks_Book1 3" xfId="8869" xr:uid="{00000000-0005-0000-0000-00004E100000}"/>
    <cellStyle name="%_Risks_Book1 4" xfId="7671" xr:uid="{00000000-0005-0000-0000-00004F100000}"/>
    <cellStyle name="%_Risks_Book1 5" xfId="6473" xr:uid="{00000000-0005-0000-0000-000050100000}"/>
    <cellStyle name="%_Risks_Book1 6" xfId="5274" xr:uid="{00000000-0005-0000-0000-000051100000}"/>
    <cellStyle name="%_Risks_Book1 7" xfId="4075" xr:uid="{00000000-0005-0000-0000-000052100000}"/>
    <cellStyle name="%_Risks_Book1_Business Excellence Dashboard-Aug2012-ERP HU (OracleApps)" xfId="946" xr:uid="{00000000-0005-0000-0000-000053100000}"/>
    <cellStyle name="%_Risks_Book1_Business Excellence Dashboard-Aug2012-ERP HU (OracleApps) 2" xfId="10068" xr:uid="{00000000-0005-0000-0000-000054100000}"/>
    <cellStyle name="%_Risks_Book1_Business Excellence Dashboard-Aug2012-ERP HU (OracleApps) 3" xfId="8870" xr:uid="{00000000-0005-0000-0000-000055100000}"/>
    <cellStyle name="%_Risks_Book1_Business Excellence Dashboard-Aug2012-ERP HU (OracleApps) 4" xfId="7672" xr:uid="{00000000-0005-0000-0000-000056100000}"/>
    <cellStyle name="%_Risks_Book1_Business Excellence Dashboard-Aug2012-ERP HU (OracleApps) 5" xfId="6474" xr:uid="{00000000-0005-0000-0000-000057100000}"/>
    <cellStyle name="%_Risks_Book1_Business Excellence Dashboard-Aug2012-ERP HU (OracleApps) 6" xfId="5275" xr:uid="{00000000-0005-0000-0000-000058100000}"/>
    <cellStyle name="%_Risks_Book1_Business Excellence Dashboard-Aug2012-ERP HU (OracleApps) 7" xfId="4076" xr:uid="{00000000-0005-0000-0000-000059100000}"/>
    <cellStyle name="%_Risks_Book1_Business Excellence Dashboard-Jul2012-ERP HU (OracleApps)-consolidated" xfId="947" xr:uid="{00000000-0005-0000-0000-00005A100000}"/>
    <cellStyle name="%_Risks_Book1_Business Excellence Dashboard-Jul2012-ERP HU (OracleApps)-consolidated 2" xfId="10069" xr:uid="{00000000-0005-0000-0000-00005B100000}"/>
    <cellStyle name="%_Risks_Book1_Business Excellence Dashboard-Jul2012-ERP HU (OracleApps)-consolidated 3" xfId="8871" xr:uid="{00000000-0005-0000-0000-00005C100000}"/>
    <cellStyle name="%_Risks_Book1_Business Excellence Dashboard-Jul2012-ERP HU (OracleApps)-consolidated 4" xfId="7673" xr:uid="{00000000-0005-0000-0000-00005D100000}"/>
    <cellStyle name="%_Risks_Book1_Business Excellence Dashboard-Jul2012-ERP HU (OracleApps)-consolidated 5" xfId="6475" xr:uid="{00000000-0005-0000-0000-00005E100000}"/>
    <cellStyle name="%_Risks_Book1_Business Excellence Dashboard-Jul2012-ERP HU (OracleApps)-consolidated 6" xfId="5276" xr:uid="{00000000-0005-0000-0000-00005F100000}"/>
    <cellStyle name="%_Risks_Book1_Business Excellence Dashboard-Jul2012-ERP HU (OracleApps)-consolidated 7" xfId="4077" xr:uid="{00000000-0005-0000-0000-000060100000}"/>
    <cellStyle name="%_Risks_Book1_copydatamacro" xfId="948" xr:uid="{00000000-0005-0000-0000-000061100000}"/>
    <cellStyle name="%_Risks_Book1_copydatamacro 2" xfId="10070" xr:uid="{00000000-0005-0000-0000-000062100000}"/>
    <cellStyle name="%_Risks_Book1_copydatamacro 3" xfId="8872" xr:uid="{00000000-0005-0000-0000-000063100000}"/>
    <cellStyle name="%_Risks_Book1_copydatamacro 4" xfId="7674" xr:uid="{00000000-0005-0000-0000-000064100000}"/>
    <cellStyle name="%_Risks_Book1_copydatamacro 5" xfId="6476" xr:uid="{00000000-0005-0000-0000-000065100000}"/>
    <cellStyle name="%_Risks_Book1_copydatamacro 6" xfId="5277" xr:uid="{00000000-0005-0000-0000-000066100000}"/>
    <cellStyle name="%_Risks_Book1_copydatamacro 7" xfId="4078" xr:uid="{00000000-0005-0000-0000-000067100000}"/>
    <cellStyle name="%_Risks_Business Excellence Dashboard-Aug2012-ERP HU (OracleApps)" xfId="949" xr:uid="{00000000-0005-0000-0000-000068100000}"/>
    <cellStyle name="%_Risks_Business Excellence Dashboard-Aug2012-ERP HU (OracleApps) 2" xfId="10071" xr:uid="{00000000-0005-0000-0000-000069100000}"/>
    <cellStyle name="%_Risks_Business Excellence Dashboard-Aug2012-ERP HU (OracleApps) 3" xfId="8873" xr:uid="{00000000-0005-0000-0000-00006A100000}"/>
    <cellStyle name="%_Risks_Business Excellence Dashboard-Aug2012-ERP HU (OracleApps) 4" xfId="7675" xr:uid="{00000000-0005-0000-0000-00006B100000}"/>
    <cellStyle name="%_Risks_Business Excellence Dashboard-Aug2012-ERP HU (OracleApps) 5" xfId="6477" xr:uid="{00000000-0005-0000-0000-00006C100000}"/>
    <cellStyle name="%_Risks_Business Excellence Dashboard-Aug2012-ERP HU (OracleApps) 6" xfId="5278" xr:uid="{00000000-0005-0000-0000-00006D100000}"/>
    <cellStyle name="%_Risks_Business Excellence Dashboard-Aug2012-ERP HU (OracleApps) 7" xfId="4079" xr:uid="{00000000-0005-0000-0000-00006E100000}"/>
    <cellStyle name="%_Risks_Business Excellence Dashboard-Jul2012-ERP HU (OracleApps)-consolidated" xfId="950" xr:uid="{00000000-0005-0000-0000-00006F100000}"/>
    <cellStyle name="%_Risks_Business Excellence Dashboard-Jul2012-ERP HU (OracleApps)-consolidated 2" xfId="10072" xr:uid="{00000000-0005-0000-0000-000070100000}"/>
    <cellStyle name="%_Risks_Business Excellence Dashboard-Jul2012-ERP HU (OracleApps)-consolidated 3" xfId="8874" xr:uid="{00000000-0005-0000-0000-000071100000}"/>
    <cellStyle name="%_Risks_Business Excellence Dashboard-Jul2012-ERP HU (OracleApps)-consolidated 4" xfId="7676" xr:uid="{00000000-0005-0000-0000-000072100000}"/>
    <cellStyle name="%_Risks_Business Excellence Dashboard-Jul2012-ERP HU (OracleApps)-consolidated 5" xfId="6478" xr:uid="{00000000-0005-0000-0000-000073100000}"/>
    <cellStyle name="%_Risks_Business Excellence Dashboard-Jul2012-ERP HU (OracleApps)-consolidated 6" xfId="5279" xr:uid="{00000000-0005-0000-0000-000074100000}"/>
    <cellStyle name="%_Risks_Business Excellence Dashboard-Jul2012-ERP HU (OracleApps)-consolidated 7" xfId="4080" xr:uid="{00000000-0005-0000-0000-000075100000}"/>
    <cellStyle name="%_Risks_copydatamacro" xfId="951" xr:uid="{00000000-0005-0000-0000-000076100000}"/>
    <cellStyle name="%_Risks_copydatamacro 2" xfId="10073" xr:uid="{00000000-0005-0000-0000-000077100000}"/>
    <cellStyle name="%_Risks_copydatamacro 3" xfId="8875" xr:uid="{00000000-0005-0000-0000-000078100000}"/>
    <cellStyle name="%_Risks_copydatamacro 4" xfId="7677" xr:uid="{00000000-0005-0000-0000-000079100000}"/>
    <cellStyle name="%_Risks_copydatamacro 5" xfId="6479" xr:uid="{00000000-0005-0000-0000-00007A100000}"/>
    <cellStyle name="%_Risks_copydatamacro 6" xfId="5280" xr:uid="{00000000-0005-0000-0000-00007B100000}"/>
    <cellStyle name="%_Risks_copydatamacro 7" xfId="4081" xr:uid="{00000000-0005-0000-0000-00007C100000}"/>
    <cellStyle name="%_Risks_HU Risk dashboard_Apr2012-1-macro" xfId="952" xr:uid="{00000000-0005-0000-0000-00007D100000}"/>
    <cellStyle name="%_Risks_HU Risk dashboard_Apr2012-1-macro 2" xfId="10074" xr:uid="{00000000-0005-0000-0000-00007E100000}"/>
    <cellStyle name="%_Risks_HU Risk dashboard_Apr2012-1-macro 3" xfId="8876" xr:uid="{00000000-0005-0000-0000-00007F100000}"/>
    <cellStyle name="%_Risks_HU Risk dashboard_Apr2012-1-macro 4" xfId="7678" xr:uid="{00000000-0005-0000-0000-000080100000}"/>
    <cellStyle name="%_Risks_HU Risk dashboard_Apr2012-1-macro 5" xfId="6480" xr:uid="{00000000-0005-0000-0000-000081100000}"/>
    <cellStyle name="%_Risks_HU Risk dashboard_Apr2012-1-macro 6" xfId="5281" xr:uid="{00000000-0005-0000-0000-000082100000}"/>
    <cellStyle name="%_Risks_HU Risk dashboard_Apr2012-1-macro 7" xfId="4082" xr:uid="{00000000-0005-0000-0000-000083100000}"/>
    <cellStyle name="%_Risks_HU Risk dashboard_Apr2012-1-macro_2" xfId="953" xr:uid="{00000000-0005-0000-0000-000084100000}"/>
    <cellStyle name="%_Risks_HU Risk dashboard_Apr2012-1-macro_2 2" xfId="10075" xr:uid="{00000000-0005-0000-0000-000085100000}"/>
    <cellStyle name="%_Risks_HU Risk dashboard_Apr2012-1-macro_2 3" xfId="8877" xr:uid="{00000000-0005-0000-0000-000086100000}"/>
    <cellStyle name="%_Risks_HU Risk dashboard_Apr2012-1-macro_2 4" xfId="7679" xr:uid="{00000000-0005-0000-0000-000087100000}"/>
    <cellStyle name="%_Risks_HU Risk dashboard_Apr2012-1-macro_2 5" xfId="6481" xr:uid="{00000000-0005-0000-0000-000088100000}"/>
    <cellStyle name="%_Risks_HU Risk dashboard_Apr2012-1-macro_2 6" xfId="5282" xr:uid="{00000000-0005-0000-0000-000089100000}"/>
    <cellStyle name="%_Risks_HU Risk dashboard_Apr2012-1-macro_2 7" xfId="4083" xr:uid="{00000000-0005-0000-0000-00008A100000}"/>
    <cellStyle name="%_Risks_HU Risk dashboard_Apr2012-1-macro_2_1" xfId="954" xr:uid="{00000000-0005-0000-0000-00008B100000}"/>
    <cellStyle name="%_Risks_HU Risk dashboard_Apr2012-1-macro_2_1 2" xfId="10076" xr:uid="{00000000-0005-0000-0000-00008C100000}"/>
    <cellStyle name="%_Risks_HU Risk dashboard_Apr2012-1-macro_2_1 3" xfId="8878" xr:uid="{00000000-0005-0000-0000-00008D100000}"/>
    <cellStyle name="%_Risks_HU Risk dashboard_Apr2012-1-macro_2_1 4" xfId="7680" xr:uid="{00000000-0005-0000-0000-00008E100000}"/>
    <cellStyle name="%_Risks_HU Risk dashboard_Apr2012-1-macro_2_1 5" xfId="6482" xr:uid="{00000000-0005-0000-0000-00008F100000}"/>
    <cellStyle name="%_Risks_HU Risk dashboard_Apr2012-1-macro_2_1 6" xfId="5283" xr:uid="{00000000-0005-0000-0000-000090100000}"/>
    <cellStyle name="%_Risks_HU Risk dashboard_Apr2012-1-macro_2_1 7" xfId="4084" xr:uid="{00000000-0005-0000-0000-000091100000}"/>
    <cellStyle name="%_Risks_HU Risk dashboard_Apr2012-1-macro_2_1_Business Excellence Dashboard-Aug2012-ERP HU (OracleApps)" xfId="955" xr:uid="{00000000-0005-0000-0000-000092100000}"/>
    <cellStyle name="%_Risks_HU Risk dashboard_Apr2012-1-macro_2_1_Business Excellence Dashboard-Aug2012-ERP HU (OracleApps) 2" xfId="10077" xr:uid="{00000000-0005-0000-0000-000093100000}"/>
    <cellStyle name="%_Risks_HU Risk dashboard_Apr2012-1-macro_2_1_Business Excellence Dashboard-Aug2012-ERP HU (OracleApps) 3" xfId="8879" xr:uid="{00000000-0005-0000-0000-000094100000}"/>
    <cellStyle name="%_Risks_HU Risk dashboard_Apr2012-1-macro_2_1_Business Excellence Dashboard-Aug2012-ERP HU (OracleApps) 4" xfId="7681" xr:uid="{00000000-0005-0000-0000-000095100000}"/>
    <cellStyle name="%_Risks_HU Risk dashboard_Apr2012-1-macro_2_1_Business Excellence Dashboard-Aug2012-ERP HU (OracleApps) 5" xfId="6483" xr:uid="{00000000-0005-0000-0000-000096100000}"/>
    <cellStyle name="%_Risks_HU Risk dashboard_Apr2012-1-macro_2_1_Business Excellence Dashboard-Aug2012-ERP HU (OracleApps) 6" xfId="5284" xr:uid="{00000000-0005-0000-0000-000097100000}"/>
    <cellStyle name="%_Risks_HU Risk dashboard_Apr2012-1-macro_2_1_Business Excellence Dashboard-Aug2012-ERP HU (OracleApps) 7" xfId="4085" xr:uid="{00000000-0005-0000-0000-000098100000}"/>
    <cellStyle name="%_Risks_HU Risk dashboard_Apr2012-1-macro_2_2" xfId="956" xr:uid="{00000000-0005-0000-0000-000099100000}"/>
    <cellStyle name="%_Risks_HU Risk dashboard_Apr2012-1-macro_2_2 2" xfId="10078" xr:uid="{00000000-0005-0000-0000-00009A100000}"/>
    <cellStyle name="%_Risks_HU Risk dashboard_Apr2012-1-macro_2_2 3" xfId="8880" xr:uid="{00000000-0005-0000-0000-00009B100000}"/>
    <cellStyle name="%_Risks_HU Risk dashboard_Apr2012-1-macro_2_2 4" xfId="7682" xr:uid="{00000000-0005-0000-0000-00009C100000}"/>
    <cellStyle name="%_Risks_HU Risk dashboard_Apr2012-1-macro_2_2 5" xfId="6484" xr:uid="{00000000-0005-0000-0000-00009D100000}"/>
    <cellStyle name="%_Risks_HU Risk dashboard_Apr2012-1-macro_2_2 6" xfId="5285" xr:uid="{00000000-0005-0000-0000-00009E100000}"/>
    <cellStyle name="%_Risks_HU Risk dashboard_Apr2012-1-macro_2_2 7" xfId="4086" xr:uid="{00000000-0005-0000-0000-00009F100000}"/>
    <cellStyle name="%_Risks_HU Risk dashboard_Apr2012-1-macro_2_Business Excellence Dashboard-Aug2012-ERP HU (OracleApps)" xfId="957" xr:uid="{00000000-0005-0000-0000-0000A0100000}"/>
    <cellStyle name="%_Risks_HU Risk dashboard_Apr2012-1-macro_2_Business Excellence Dashboard-Aug2012-ERP HU (OracleApps) 2" xfId="10079" xr:uid="{00000000-0005-0000-0000-0000A1100000}"/>
    <cellStyle name="%_Risks_HU Risk dashboard_Apr2012-1-macro_2_Business Excellence Dashboard-Aug2012-ERP HU (OracleApps) 3" xfId="8881" xr:uid="{00000000-0005-0000-0000-0000A2100000}"/>
    <cellStyle name="%_Risks_HU Risk dashboard_Apr2012-1-macro_2_Business Excellence Dashboard-Aug2012-ERP HU (OracleApps) 4" xfId="7683" xr:uid="{00000000-0005-0000-0000-0000A3100000}"/>
    <cellStyle name="%_Risks_HU Risk dashboard_Apr2012-1-macro_2_Business Excellence Dashboard-Aug2012-ERP HU (OracleApps) 5" xfId="6485" xr:uid="{00000000-0005-0000-0000-0000A4100000}"/>
    <cellStyle name="%_Risks_HU Risk dashboard_Apr2012-1-macro_2_Business Excellence Dashboard-Aug2012-ERP HU (OracleApps) 6" xfId="5286" xr:uid="{00000000-0005-0000-0000-0000A5100000}"/>
    <cellStyle name="%_Risks_HU Risk dashboard_Apr2012-1-macro_2_Business Excellence Dashboard-Aug2012-ERP HU (OracleApps) 7" xfId="4087" xr:uid="{00000000-0005-0000-0000-0000A6100000}"/>
    <cellStyle name="%_Risks_HU Risk dashboard_Apr2012-1-macro_2_Business Excellence Dashboard-Jul2012-ERP HU (OracleApps)-consolidated" xfId="958" xr:uid="{00000000-0005-0000-0000-0000A7100000}"/>
    <cellStyle name="%_Risks_HU Risk dashboard_Apr2012-1-macro_2_Business Excellence Dashboard-Jul2012-ERP HU (OracleApps)-consolidated 2" xfId="10080" xr:uid="{00000000-0005-0000-0000-0000A8100000}"/>
    <cellStyle name="%_Risks_HU Risk dashboard_Apr2012-1-macro_2_Business Excellence Dashboard-Jul2012-ERP HU (OracleApps)-consolidated 3" xfId="8882" xr:uid="{00000000-0005-0000-0000-0000A9100000}"/>
    <cellStyle name="%_Risks_HU Risk dashboard_Apr2012-1-macro_2_Business Excellence Dashboard-Jul2012-ERP HU (OracleApps)-consolidated 4" xfId="7684" xr:uid="{00000000-0005-0000-0000-0000AA100000}"/>
    <cellStyle name="%_Risks_HU Risk dashboard_Apr2012-1-macro_2_Business Excellence Dashboard-Jul2012-ERP HU (OracleApps)-consolidated 5" xfId="6486" xr:uid="{00000000-0005-0000-0000-0000AB100000}"/>
    <cellStyle name="%_Risks_HU Risk dashboard_Apr2012-1-macro_2_Business Excellence Dashboard-Jul2012-ERP HU (OracleApps)-consolidated 6" xfId="5287" xr:uid="{00000000-0005-0000-0000-0000AC100000}"/>
    <cellStyle name="%_Risks_HU Risk dashboard_Apr2012-1-macro_2_Business Excellence Dashboard-Jul2012-ERP HU (OracleApps)-consolidated 7" xfId="4088" xr:uid="{00000000-0005-0000-0000-0000AD100000}"/>
    <cellStyle name="%_Risks_HU Risk dashboard_Apr2012-1-macro_2_copydatamacro" xfId="959" xr:uid="{00000000-0005-0000-0000-0000AE100000}"/>
    <cellStyle name="%_Risks_HU Risk dashboard_Apr2012-1-macro_2_copydatamacro 2" xfId="10081" xr:uid="{00000000-0005-0000-0000-0000AF100000}"/>
    <cellStyle name="%_Risks_HU Risk dashboard_Apr2012-1-macro_2_copydatamacro 3" xfId="8883" xr:uid="{00000000-0005-0000-0000-0000B0100000}"/>
    <cellStyle name="%_Risks_HU Risk dashboard_Apr2012-1-macro_2_copydatamacro 4" xfId="7685" xr:uid="{00000000-0005-0000-0000-0000B1100000}"/>
    <cellStyle name="%_Risks_HU Risk dashboard_Apr2012-1-macro_2_copydatamacro 5" xfId="6487" xr:uid="{00000000-0005-0000-0000-0000B2100000}"/>
    <cellStyle name="%_Risks_HU Risk dashboard_Apr2012-1-macro_2_copydatamacro 6" xfId="5288" xr:uid="{00000000-0005-0000-0000-0000B3100000}"/>
    <cellStyle name="%_Risks_HU Risk dashboard_Apr2012-1-macro_2_copydatamacro 7" xfId="4089" xr:uid="{00000000-0005-0000-0000-0000B4100000}"/>
    <cellStyle name="%_Risks_HU Risk dashboard_Apr2012-1-macro_Book1" xfId="960" xr:uid="{00000000-0005-0000-0000-0000B5100000}"/>
    <cellStyle name="%_Risks_HU Risk dashboard_Apr2012-1-macro_Book1 2" xfId="10082" xr:uid="{00000000-0005-0000-0000-0000B6100000}"/>
    <cellStyle name="%_Risks_HU Risk dashboard_Apr2012-1-macro_Book1 3" xfId="8884" xr:uid="{00000000-0005-0000-0000-0000B7100000}"/>
    <cellStyle name="%_Risks_HU Risk dashboard_Apr2012-1-macro_Book1 4" xfId="7686" xr:uid="{00000000-0005-0000-0000-0000B8100000}"/>
    <cellStyle name="%_Risks_HU Risk dashboard_Apr2012-1-macro_Book1 5" xfId="6488" xr:uid="{00000000-0005-0000-0000-0000B9100000}"/>
    <cellStyle name="%_Risks_HU Risk dashboard_Apr2012-1-macro_Book1 6" xfId="5289" xr:uid="{00000000-0005-0000-0000-0000BA100000}"/>
    <cellStyle name="%_Risks_HU Risk dashboard_Apr2012-1-macro_Book1 7" xfId="4090" xr:uid="{00000000-0005-0000-0000-0000BB100000}"/>
    <cellStyle name="%_Risks_HU Risk dashboard_Apr2012-1-macro_Book1_Business Excellence Dashboard-Aug2012-ERP HU (OracleApps)" xfId="961" xr:uid="{00000000-0005-0000-0000-0000BC100000}"/>
    <cellStyle name="%_Risks_HU Risk dashboard_Apr2012-1-macro_Book1_Business Excellence Dashboard-Aug2012-ERP HU (OracleApps) 2" xfId="10083" xr:uid="{00000000-0005-0000-0000-0000BD100000}"/>
    <cellStyle name="%_Risks_HU Risk dashboard_Apr2012-1-macro_Book1_Business Excellence Dashboard-Aug2012-ERP HU (OracleApps) 3" xfId="8885" xr:uid="{00000000-0005-0000-0000-0000BE100000}"/>
    <cellStyle name="%_Risks_HU Risk dashboard_Apr2012-1-macro_Book1_Business Excellence Dashboard-Aug2012-ERP HU (OracleApps) 4" xfId="7687" xr:uid="{00000000-0005-0000-0000-0000BF100000}"/>
    <cellStyle name="%_Risks_HU Risk dashboard_Apr2012-1-macro_Book1_Business Excellence Dashboard-Aug2012-ERP HU (OracleApps) 5" xfId="6489" xr:uid="{00000000-0005-0000-0000-0000C0100000}"/>
    <cellStyle name="%_Risks_HU Risk dashboard_Apr2012-1-macro_Book1_Business Excellence Dashboard-Aug2012-ERP HU (OracleApps) 6" xfId="5290" xr:uid="{00000000-0005-0000-0000-0000C1100000}"/>
    <cellStyle name="%_Risks_HU Risk dashboard_Apr2012-1-macro_Book1_Business Excellence Dashboard-Aug2012-ERP HU (OracleApps) 7" xfId="4091" xr:uid="{00000000-0005-0000-0000-0000C2100000}"/>
    <cellStyle name="%_Risks_HU Risk dashboard_Apr2012-1-macro_Book1_Business Excellence Dashboard-Jul2012-ERP HU (OracleApps)-consolidated" xfId="962" xr:uid="{00000000-0005-0000-0000-0000C3100000}"/>
    <cellStyle name="%_Risks_HU Risk dashboard_Apr2012-1-macro_Book1_Business Excellence Dashboard-Jul2012-ERP HU (OracleApps)-consolidated 2" xfId="10084" xr:uid="{00000000-0005-0000-0000-0000C4100000}"/>
    <cellStyle name="%_Risks_HU Risk dashboard_Apr2012-1-macro_Book1_Business Excellence Dashboard-Jul2012-ERP HU (OracleApps)-consolidated 3" xfId="8886" xr:uid="{00000000-0005-0000-0000-0000C5100000}"/>
    <cellStyle name="%_Risks_HU Risk dashboard_Apr2012-1-macro_Book1_Business Excellence Dashboard-Jul2012-ERP HU (OracleApps)-consolidated 4" xfId="7688" xr:uid="{00000000-0005-0000-0000-0000C6100000}"/>
    <cellStyle name="%_Risks_HU Risk dashboard_Apr2012-1-macro_Book1_Business Excellence Dashboard-Jul2012-ERP HU (OracleApps)-consolidated 5" xfId="6490" xr:uid="{00000000-0005-0000-0000-0000C7100000}"/>
    <cellStyle name="%_Risks_HU Risk dashboard_Apr2012-1-macro_Book1_Business Excellence Dashboard-Jul2012-ERP HU (OracleApps)-consolidated 6" xfId="5291" xr:uid="{00000000-0005-0000-0000-0000C8100000}"/>
    <cellStyle name="%_Risks_HU Risk dashboard_Apr2012-1-macro_Book1_Business Excellence Dashboard-Jul2012-ERP HU (OracleApps)-consolidated 7" xfId="4092" xr:uid="{00000000-0005-0000-0000-0000C9100000}"/>
    <cellStyle name="%_Risks_HU Risk dashboard_Apr2012-1-macro_Book1_copydatamacro" xfId="963" xr:uid="{00000000-0005-0000-0000-0000CA100000}"/>
    <cellStyle name="%_Risks_HU Risk dashboard_Apr2012-1-macro_Book1_copydatamacro 2" xfId="10085" xr:uid="{00000000-0005-0000-0000-0000CB100000}"/>
    <cellStyle name="%_Risks_HU Risk dashboard_Apr2012-1-macro_Book1_copydatamacro 3" xfId="8887" xr:uid="{00000000-0005-0000-0000-0000CC100000}"/>
    <cellStyle name="%_Risks_HU Risk dashboard_Apr2012-1-macro_Book1_copydatamacro 4" xfId="7689" xr:uid="{00000000-0005-0000-0000-0000CD100000}"/>
    <cellStyle name="%_Risks_HU Risk dashboard_Apr2012-1-macro_Book1_copydatamacro 5" xfId="6491" xr:uid="{00000000-0005-0000-0000-0000CE100000}"/>
    <cellStyle name="%_Risks_HU Risk dashboard_Apr2012-1-macro_Book1_copydatamacro 6" xfId="5292" xr:uid="{00000000-0005-0000-0000-0000CF100000}"/>
    <cellStyle name="%_Risks_HU Risk dashboard_Apr2012-1-macro_Book1_copydatamacro 7" xfId="4093" xr:uid="{00000000-0005-0000-0000-0000D0100000}"/>
    <cellStyle name="%_Risks_HU Risk dashboard_Apr2012-1-macro_Business Excellence Dashboard-Aug2012-ERP HU (OracleApps)" xfId="964" xr:uid="{00000000-0005-0000-0000-0000D1100000}"/>
    <cellStyle name="%_Risks_HU Risk dashboard_Apr2012-1-macro_Business Excellence Dashboard-Aug2012-ERP HU (OracleApps) 2" xfId="10086" xr:uid="{00000000-0005-0000-0000-0000D2100000}"/>
    <cellStyle name="%_Risks_HU Risk dashboard_Apr2012-1-macro_Business Excellence Dashboard-Aug2012-ERP HU (OracleApps) 3" xfId="8888" xr:uid="{00000000-0005-0000-0000-0000D3100000}"/>
    <cellStyle name="%_Risks_HU Risk dashboard_Apr2012-1-macro_Business Excellence Dashboard-Aug2012-ERP HU (OracleApps) 4" xfId="7690" xr:uid="{00000000-0005-0000-0000-0000D4100000}"/>
    <cellStyle name="%_Risks_HU Risk dashboard_Apr2012-1-macro_Business Excellence Dashboard-Aug2012-ERP HU (OracleApps) 5" xfId="6492" xr:uid="{00000000-0005-0000-0000-0000D5100000}"/>
    <cellStyle name="%_Risks_HU Risk dashboard_Apr2012-1-macro_Business Excellence Dashboard-Aug2012-ERP HU (OracleApps) 6" xfId="5293" xr:uid="{00000000-0005-0000-0000-0000D6100000}"/>
    <cellStyle name="%_Risks_HU Risk dashboard_Apr2012-1-macro_Business Excellence Dashboard-Aug2012-ERP HU (OracleApps) 7" xfId="4094" xr:uid="{00000000-0005-0000-0000-0000D7100000}"/>
    <cellStyle name="%_Risks_HU Risk dashboard_Apr2012-1-macro_Business Excellence Dashboard-Jul2012-ERP HU (OracleApps)-consolidated" xfId="965" xr:uid="{00000000-0005-0000-0000-0000D8100000}"/>
    <cellStyle name="%_Risks_HU Risk dashboard_Apr2012-1-macro_Business Excellence Dashboard-Jul2012-ERP HU (OracleApps)-consolidated 2" xfId="10087" xr:uid="{00000000-0005-0000-0000-0000D9100000}"/>
    <cellStyle name="%_Risks_HU Risk dashboard_Apr2012-1-macro_Business Excellence Dashboard-Jul2012-ERP HU (OracleApps)-consolidated 3" xfId="8889" xr:uid="{00000000-0005-0000-0000-0000DA100000}"/>
    <cellStyle name="%_Risks_HU Risk dashboard_Apr2012-1-macro_Business Excellence Dashboard-Jul2012-ERP HU (OracleApps)-consolidated 4" xfId="7691" xr:uid="{00000000-0005-0000-0000-0000DB100000}"/>
    <cellStyle name="%_Risks_HU Risk dashboard_Apr2012-1-macro_Business Excellence Dashboard-Jul2012-ERP HU (OracleApps)-consolidated 5" xfId="6493" xr:uid="{00000000-0005-0000-0000-0000DC100000}"/>
    <cellStyle name="%_Risks_HU Risk dashboard_Apr2012-1-macro_Business Excellence Dashboard-Jul2012-ERP HU (OracleApps)-consolidated 6" xfId="5294" xr:uid="{00000000-0005-0000-0000-0000DD100000}"/>
    <cellStyle name="%_Risks_HU Risk dashboard_Apr2012-1-macro_Business Excellence Dashboard-Jul2012-ERP HU (OracleApps)-consolidated 7" xfId="4095" xr:uid="{00000000-0005-0000-0000-0000DE100000}"/>
    <cellStyle name="%_Risks_HU Risk dashboard_Apr2012-1-macro_copydatamacro" xfId="966" xr:uid="{00000000-0005-0000-0000-0000DF100000}"/>
    <cellStyle name="%_Risks_HU Risk dashboard_Apr2012-1-macro_copydatamacro 2" xfId="10088" xr:uid="{00000000-0005-0000-0000-0000E0100000}"/>
    <cellStyle name="%_Risks_HU Risk dashboard_Apr2012-1-macro_copydatamacro 3" xfId="8890" xr:uid="{00000000-0005-0000-0000-0000E1100000}"/>
    <cellStyle name="%_Risks_HU Risk dashboard_Apr2012-1-macro_copydatamacro 4" xfId="7692" xr:uid="{00000000-0005-0000-0000-0000E2100000}"/>
    <cellStyle name="%_Risks_HU Risk dashboard_Apr2012-1-macro_copydatamacro 5" xfId="6494" xr:uid="{00000000-0005-0000-0000-0000E3100000}"/>
    <cellStyle name="%_Risks_HU Risk dashboard_Apr2012-1-macro_copydatamacro 6" xfId="5295" xr:uid="{00000000-0005-0000-0000-0000E4100000}"/>
    <cellStyle name="%_Risks_HU Risk dashboard_Apr2012-1-macro_copydatamacro 7" xfId="4096" xr:uid="{00000000-0005-0000-0000-0000E5100000}"/>
    <cellStyle name="%_Risks_HU Risk dashboard_Apr2012-1-macro_MSHU_BusinessExcellenceDashboardV2.2-May2012-3" xfId="967" xr:uid="{00000000-0005-0000-0000-0000E6100000}"/>
    <cellStyle name="%_Risks_HU Risk dashboard_Apr2012-1-macro_MSHU_BusinessExcellenceDashboardV2.2-May2012-3 2" xfId="10089" xr:uid="{00000000-0005-0000-0000-0000E7100000}"/>
    <cellStyle name="%_Risks_HU Risk dashboard_Apr2012-1-macro_MSHU_BusinessExcellenceDashboardV2.2-May2012-3 3" xfId="8891" xr:uid="{00000000-0005-0000-0000-0000E8100000}"/>
    <cellStyle name="%_Risks_HU Risk dashboard_Apr2012-1-macro_MSHU_BusinessExcellenceDashboardV2.2-May2012-3 4" xfId="7693" xr:uid="{00000000-0005-0000-0000-0000E9100000}"/>
    <cellStyle name="%_Risks_HU Risk dashboard_Apr2012-1-macro_MSHU_BusinessExcellenceDashboardV2.2-May2012-3 5" xfId="6495" xr:uid="{00000000-0005-0000-0000-0000EA100000}"/>
    <cellStyle name="%_Risks_HU Risk dashboard_Apr2012-1-macro_MSHU_BusinessExcellenceDashboardV2.2-May2012-3 6" xfId="5296" xr:uid="{00000000-0005-0000-0000-0000EB100000}"/>
    <cellStyle name="%_Risks_HU Risk dashboard_Apr2012-1-macro_MSHU_BusinessExcellenceDashboardV2.2-May2012-3 7" xfId="4097" xr:uid="{00000000-0005-0000-0000-0000EC100000}"/>
    <cellStyle name="%_Risks_HU Risk dashboard_Apr2012-1-macro_MSHU_BusinessExcellenceDashboardV2.2-May2012-3_Business Excellence Dashboard-Aug2012-ERP HU (OracleApps)" xfId="968" xr:uid="{00000000-0005-0000-0000-0000ED100000}"/>
    <cellStyle name="%_Risks_HU Risk dashboard_Apr2012-1-macro_MSHU_BusinessExcellenceDashboardV2.2-May2012-3_Business Excellence Dashboard-Aug2012-ERP HU (OracleApps) 2" xfId="10090" xr:uid="{00000000-0005-0000-0000-0000EE100000}"/>
    <cellStyle name="%_Risks_HU Risk dashboard_Apr2012-1-macro_MSHU_BusinessExcellenceDashboardV2.2-May2012-3_Business Excellence Dashboard-Aug2012-ERP HU (OracleApps) 3" xfId="8892" xr:uid="{00000000-0005-0000-0000-0000EF100000}"/>
    <cellStyle name="%_Risks_HU Risk dashboard_Apr2012-1-macro_MSHU_BusinessExcellenceDashboardV2.2-May2012-3_Business Excellence Dashboard-Aug2012-ERP HU (OracleApps) 4" xfId="7694" xr:uid="{00000000-0005-0000-0000-0000F0100000}"/>
    <cellStyle name="%_Risks_HU Risk dashboard_Apr2012-1-macro_MSHU_BusinessExcellenceDashboardV2.2-May2012-3_Business Excellence Dashboard-Aug2012-ERP HU (OracleApps) 5" xfId="6496" xr:uid="{00000000-0005-0000-0000-0000F1100000}"/>
    <cellStyle name="%_Risks_HU Risk dashboard_Apr2012-1-macro_MSHU_BusinessExcellenceDashboardV2.2-May2012-3_Business Excellence Dashboard-Aug2012-ERP HU (OracleApps) 6" xfId="5297" xr:uid="{00000000-0005-0000-0000-0000F2100000}"/>
    <cellStyle name="%_Risks_HU Risk dashboard_Apr2012-1-macro_MSHU_BusinessExcellenceDashboardV2.2-May2012-3_Business Excellence Dashboard-Aug2012-ERP HU (OracleApps) 7" xfId="4098" xr:uid="{00000000-0005-0000-0000-0000F3100000}"/>
    <cellStyle name="%_Risks_HU Risk dashboard_Apr2012-1-macro_MSHU_BusinessExcellenceDashboardV2.2-May2012-3_Business Excellence Dashboard-Jul2012-ERP HU (OracleApps)-consolidated" xfId="969" xr:uid="{00000000-0005-0000-0000-0000F4100000}"/>
    <cellStyle name="%_Risks_HU Risk dashboard_Apr2012-1-macro_MSHU_BusinessExcellenceDashboardV2.2-May2012-3_Business Excellence Dashboard-Jul2012-ERP HU (OracleApps)-consolidated 2" xfId="10091" xr:uid="{00000000-0005-0000-0000-0000F5100000}"/>
    <cellStyle name="%_Risks_HU Risk dashboard_Apr2012-1-macro_MSHU_BusinessExcellenceDashboardV2.2-May2012-3_Business Excellence Dashboard-Jul2012-ERP HU (OracleApps)-consolidated 3" xfId="8893" xr:uid="{00000000-0005-0000-0000-0000F6100000}"/>
    <cellStyle name="%_Risks_HU Risk dashboard_Apr2012-1-macro_MSHU_BusinessExcellenceDashboardV2.2-May2012-3_Business Excellence Dashboard-Jul2012-ERP HU (OracleApps)-consolidated 4" xfId="7695" xr:uid="{00000000-0005-0000-0000-0000F7100000}"/>
    <cellStyle name="%_Risks_HU Risk dashboard_Apr2012-1-macro_MSHU_BusinessExcellenceDashboardV2.2-May2012-3_Business Excellence Dashboard-Jul2012-ERP HU (OracleApps)-consolidated 5" xfId="6497" xr:uid="{00000000-0005-0000-0000-0000F8100000}"/>
    <cellStyle name="%_Risks_HU Risk dashboard_Apr2012-1-macro_MSHU_BusinessExcellenceDashboardV2.2-May2012-3_Business Excellence Dashboard-Jul2012-ERP HU (OracleApps)-consolidated 6" xfId="5298" xr:uid="{00000000-0005-0000-0000-0000F9100000}"/>
    <cellStyle name="%_Risks_HU Risk dashboard_Apr2012-1-macro_MSHU_BusinessExcellenceDashboardV2.2-May2012-3_Business Excellence Dashboard-Jul2012-ERP HU (OracleApps)-consolidated 7" xfId="4099" xr:uid="{00000000-0005-0000-0000-0000FA100000}"/>
    <cellStyle name="%_Risks_HU Risk dashboard_Apr2012-1-macro_MSHU_BusinessExcellenceDashboardV2.2-May2012-3_copydatamacro" xfId="970" xr:uid="{00000000-0005-0000-0000-0000FB100000}"/>
    <cellStyle name="%_Risks_HU Risk dashboard_Apr2012-1-macro_MSHU_BusinessExcellenceDashboardV2.2-May2012-3_copydatamacro 2" xfId="10092" xr:uid="{00000000-0005-0000-0000-0000FC100000}"/>
    <cellStyle name="%_Risks_HU Risk dashboard_Apr2012-1-macro_MSHU_BusinessExcellenceDashboardV2.2-May2012-3_copydatamacro 3" xfId="8894" xr:uid="{00000000-0005-0000-0000-0000FD100000}"/>
    <cellStyle name="%_Risks_HU Risk dashboard_Apr2012-1-macro_MSHU_BusinessExcellenceDashboardV2.2-May2012-3_copydatamacro 4" xfId="7696" xr:uid="{00000000-0005-0000-0000-0000FE100000}"/>
    <cellStyle name="%_Risks_HU Risk dashboard_Apr2012-1-macro_MSHU_BusinessExcellenceDashboardV2.2-May2012-3_copydatamacro 5" xfId="6498" xr:uid="{00000000-0005-0000-0000-0000FF100000}"/>
    <cellStyle name="%_Risks_HU Risk dashboard_Apr2012-1-macro_MSHU_BusinessExcellenceDashboardV2.2-May2012-3_copydatamacro 6" xfId="5299" xr:uid="{00000000-0005-0000-0000-000000110000}"/>
    <cellStyle name="%_Risks_HU Risk dashboard_Apr2012-1-macro_MSHU_BusinessExcellenceDashboardV2.2-May2012-3_copydatamacro 7" xfId="4100" xr:uid="{00000000-0005-0000-0000-000001110000}"/>
    <cellStyle name="%_Risks_HU Risk dashboard_Apr2012-1-macro-7MAY2012-1" xfId="971" xr:uid="{00000000-0005-0000-0000-000002110000}"/>
    <cellStyle name="%_Risks_HU Risk dashboard_Apr2012-1-macro-7MAY2012-1 2" xfId="10093" xr:uid="{00000000-0005-0000-0000-000003110000}"/>
    <cellStyle name="%_Risks_HU Risk dashboard_Apr2012-1-macro-7MAY2012-1 3" xfId="8895" xr:uid="{00000000-0005-0000-0000-000004110000}"/>
    <cellStyle name="%_Risks_HU Risk dashboard_Apr2012-1-macro-7MAY2012-1 4" xfId="7697" xr:uid="{00000000-0005-0000-0000-000005110000}"/>
    <cellStyle name="%_Risks_HU Risk dashboard_Apr2012-1-macro-7MAY2012-1 5" xfId="6499" xr:uid="{00000000-0005-0000-0000-000006110000}"/>
    <cellStyle name="%_Risks_HU Risk dashboard_Apr2012-1-macro-7MAY2012-1 6" xfId="5300" xr:uid="{00000000-0005-0000-0000-000007110000}"/>
    <cellStyle name="%_Risks_HU Risk dashboard_Apr2012-1-macro-7MAY2012-1 7" xfId="4101" xr:uid="{00000000-0005-0000-0000-000008110000}"/>
    <cellStyle name="%_Risks_HU Risk dashboard_Apr2012-1-macro-7MAY2012-1_2" xfId="972" xr:uid="{00000000-0005-0000-0000-000009110000}"/>
    <cellStyle name="%_Risks_HU Risk dashboard_Apr2012-1-macro-7MAY2012-1_2 2" xfId="10094" xr:uid="{00000000-0005-0000-0000-00000A110000}"/>
    <cellStyle name="%_Risks_HU Risk dashboard_Apr2012-1-macro-7MAY2012-1_2 3" xfId="8896" xr:uid="{00000000-0005-0000-0000-00000B110000}"/>
    <cellStyle name="%_Risks_HU Risk dashboard_Apr2012-1-macro-7MAY2012-1_2 4" xfId="7698" xr:uid="{00000000-0005-0000-0000-00000C110000}"/>
    <cellStyle name="%_Risks_HU Risk dashboard_Apr2012-1-macro-7MAY2012-1_2 5" xfId="6500" xr:uid="{00000000-0005-0000-0000-00000D110000}"/>
    <cellStyle name="%_Risks_HU Risk dashboard_Apr2012-1-macro-7MAY2012-1_2 6" xfId="5301" xr:uid="{00000000-0005-0000-0000-00000E110000}"/>
    <cellStyle name="%_Risks_HU Risk dashboard_Apr2012-1-macro-7MAY2012-1_2 7" xfId="4102" xr:uid="{00000000-0005-0000-0000-00000F110000}"/>
    <cellStyle name="%_Risks_HU Risk dashboard_Apr2012-1-macro-7MAY2012-1_2_1" xfId="973" xr:uid="{00000000-0005-0000-0000-000010110000}"/>
    <cellStyle name="%_Risks_HU Risk dashboard_Apr2012-1-macro-7MAY2012-1_2_1 2" xfId="10095" xr:uid="{00000000-0005-0000-0000-000011110000}"/>
    <cellStyle name="%_Risks_HU Risk dashboard_Apr2012-1-macro-7MAY2012-1_2_1 3" xfId="8897" xr:uid="{00000000-0005-0000-0000-000012110000}"/>
    <cellStyle name="%_Risks_HU Risk dashboard_Apr2012-1-macro-7MAY2012-1_2_1 4" xfId="7699" xr:uid="{00000000-0005-0000-0000-000013110000}"/>
    <cellStyle name="%_Risks_HU Risk dashboard_Apr2012-1-macro-7MAY2012-1_2_1 5" xfId="6501" xr:uid="{00000000-0005-0000-0000-000014110000}"/>
    <cellStyle name="%_Risks_HU Risk dashboard_Apr2012-1-macro-7MAY2012-1_2_1 6" xfId="5302" xr:uid="{00000000-0005-0000-0000-000015110000}"/>
    <cellStyle name="%_Risks_HU Risk dashboard_Apr2012-1-macro-7MAY2012-1_2_1 7" xfId="4103" xr:uid="{00000000-0005-0000-0000-000016110000}"/>
    <cellStyle name="%_Risks_HU Risk dashboard_Apr2012-1-macro-7MAY2012-1_2_1_Business Excellence Dashboard-Aug2012-ERP HU (OracleApps)" xfId="974" xr:uid="{00000000-0005-0000-0000-000017110000}"/>
    <cellStyle name="%_Risks_HU Risk dashboard_Apr2012-1-macro-7MAY2012-1_2_1_Business Excellence Dashboard-Aug2012-ERP HU (OracleApps) 2" xfId="10096" xr:uid="{00000000-0005-0000-0000-000018110000}"/>
    <cellStyle name="%_Risks_HU Risk dashboard_Apr2012-1-macro-7MAY2012-1_2_1_Business Excellence Dashboard-Aug2012-ERP HU (OracleApps) 3" xfId="8898" xr:uid="{00000000-0005-0000-0000-000019110000}"/>
    <cellStyle name="%_Risks_HU Risk dashboard_Apr2012-1-macro-7MAY2012-1_2_1_Business Excellence Dashboard-Aug2012-ERP HU (OracleApps) 4" xfId="7700" xr:uid="{00000000-0005-0000-0000-00001A110000}"/>
    <cellStyle name="%_Risks_HU Risk dashboard_Apr2012-1-macro-7MAY2012-1_2_1_Business Excellence Dashboard-Aug2012-ERP HU (OracleApps) 5" xfId="6502" xr:uid="{00000000-0005-0000-0000-00001B110000}"/>
    <cellStyle name="%_Risks_HU Risk dashboard_Apr2012-1-macro-7MAY2012-1_2_1_Business Excellence Dashboard-Aug2012-ERP HU (OracleApps) 6" xfId="5303" xr:uid="{00000000-0005-0000-0000-00001C110000}"/>
    <cellStyle name="%_Risks_HU Risk dashboard_Apr2012-1-macro-7MAY2012-1_2_1_Business Excellence Dashboard-Aug2012-ERP HU (OracleApps) 7" xfId="4104" xr:uid="{00000000-0005-0000-0000-00001D110000}"/>
    <cellStyle name="%_Risks_HU Risk dashboard_Apr2012-1-macro-7MAY2012-1_2_2" xfId="975" xr:uid="{00000000-0005-0000-0000-00001E110000}"/>
    <cellStyle name="%_Risks_HU Risk dashboard_Apr2012-1-macro-7MAY2012-1_2_2 2" xfId="10097" xr:uid="{00000000-0005-0000-0000-00001F110000}"/>
    <cellStyle name="%_Risks_HU Risk dashboard_Apr2012-1-macro-7MAY2012-1_2_2 3" xfId="8899" xr:uid="{00000000-0005-0000-0000-000020110000}"/>
    <cellStyle name="%_Risks_HU Risk dashboard_Apr2012-1-macro-7MAY2012-1_2_2 4" xfId="7701" xr:uid="{00000000-0005-0000-0000-000021110000}"/>
    <cellStyle name="%_Risks_HU Risk dashboard_Apr2012-1-macro-7MAY2012-1_2_2 5" xfId="6503" xr:uid="{00000000-0005-0000-0000-000022110000}"/>
    <cellStyle name="%_Risks_HU Risk dashboard_Apr2012-1-macro-7MAY2012-1_2_2 6" xfId="5304" xr:uid="{00000000-0005-0000-0000-000023110000}"/>
    <cellStyle name="%_Risks_HU Risk dashboard_Apr2012-1-macro-7MAY2012-1_2_2 7" xfId="4105" xr:uid="{00000000-0005-0000-0000-000024110000}"/>
    <cellStyle name="%_Risks_HU Risk dashboard_Apr2012-1-macro-7MAY2012-1_2_Business Excellence Dashboard-Aug2012-ERP HU (OracleApps)" xfId="976" xr:uid="{00000000-0005-0000-0000-000025110000}"/>
    <cellStyle name="%_Risks_HU Risk dashboard_Apr2012-1-macro-7MAY2012-1_2_Business Excellence Dashboard-Aug2012-ERP HU (OracleApps) 2" xfId="10098" xr:uid="{00000000-0005-0000-0000-000026110000}"/>
    <cellStyle name="%_Risks_HU Risk dashboard_Apr2012-1-macro-7MAY2012-1_2_Business Excellence Dashboard-Aug2012-ERP HU (OracleApps) 3" xfId="8900" xr:uid="{00000000-0005-0000-0000-000027110000}"/>
    <cellStyle name="%_Risks_HU Risk dashboard_Apr2012-1-macro-7MAY2012-1_2_Business Excellence Dashboard-Aug2012-ERP HU (OracleApps) 4" xfId="7702" xr:uid="{00000000-0005-0000-0000-000028110000}"/>
    <cellStyle name="%_Risks_HU Risk dashboard_Apr2012-1-macro-7MAY2012-1_2_Business Excellence Dashboard-Aug2012-ERP HU (OracleApps) 5" xfId="6504" xr:uid="{00000000-0005-0000-0000-000029110000}"/>
    <cellStyle name="%_Risks_HU Risk dashboard_Apr2012-1-macro-7MAY2012-1_2_Business Excellence Dashboard-Aug2012-ERP HU (OracleApps) 6" xfId="5305" xr:uid="{00000000-0005-0000-0000-00002A110000}"/>
    <cellStyle name="%_Risks_HU Risk dashboard_Apr2012-1-macro-7MAY2012-1_2_Business Excellence Dashboard-Aug2012-ERP HU (OracleApps) 7" xfId="4106" xr:uid="{00000000-0005-0000-0000-00002B110000}"/>
    <cellStyle name="%_Risks_HU Risk dashboard_Apr2012-1-macro-7MAY2012-1_2_Business Excellence Dashboard-Jul2012-ERP HU (OracleApps)-consolidated" xfId="977" xr:uid="{00000000-0005-0000-0000-00002C110000}"/>
    <cellStyle name="%_Risks_HU Risk dashboard_Apr2012-1-macro-7MAY2012-1_2_Business Excellence Dashboard-Jul2012-ERP HU (OracleApps)-consolidated 2" xfId="10099" xr:uid="{00000000-0005-0000-0000-00002D110000}"/>
    <cellStyle name="%_Risks_HU Risk dashboard_Apr2012-1-macro-7MAY2012-1_2_Business Excellence Dashboard-Jul2012-ERP HU (OracleApps)-consolidated 3" xfId="8901" xr:uid="{00000000-0005-0000-0000-00002E110000}"/>
    <cellStyle name="%_Risks_HU Risk dashboard_Apr2012-1-macro-7MAY2012-1_2_Business Excellence Dashboard-Jul2012-ERP HU (OracleApps)-consolidated 4" xfId="7703" xr:uid="{00000000-0005-0000-0000-00002F110000}"/>
    <cellStyle name="%_Risks_HU Risk dashboard_Apr2012-1-macro-7MAY2012-1_2_Business Excellence Dashboard-Jul2012-ERP HU (OracleApps)-consolidated 5" xfId="6505" xr:uid="{00000000-0005-0000-0000-000030110000}"/>
    <cellStyle name="%_Risks_HU Risk dashboard_Apr2012-1-macro-7MAY2012-1_2_Business Excellence Dashboard-Jul2012-ERP HU (OracleApps)-consolidated 6" xfId="5306" xr:uid="{00000000-0005-0000-0000-000031110000}"/>
    <cellStyle name="%_Risks_HU Risk dashboard_Apr2012-1-macro-7MAY2012-1_2_Business Excellence Dashboard-Jul2012-ERP HU (OracleApps)-consolidated 7" xfId="4107" xr:uid="{00000000-0005-0000-0000-000032110000}"/>
    <cellStyle name="%_Risks_HU Risk dashboard_Apr2012-1-macro-7MAY2012-1_2_copydatamacro" xfId="978" xr:uid="{00000000-0005-0000-0000-000033110000}"/>
    <cellStyle name="%_Risks_HU Risk dashboard_Apr2012-1-macro-7MAY2012-1_2_copydatamacro 2" xfId="10100" xr:uid="{00000000-0005-0000-0000-000034110000}"/>
    <cellStyle name="%_Risks_HU Risk dashboard_Apr2012-1-macro-7MAY2012-1_2_copydatamacro 3" xfId="8902" xr:uid="{00000000-0005-0000-0000-000035110000}"/>
    <cellStyle name="%_Risks_HU Risk dashboard_Apr2012-1-macro-7MAY2012-1_2_copydatamacro 4" xfId="7704" xr:uid="{00000000-0005-0000-0000-000036110000}"/>
    <cellStyle name="%_Risks_HU Risk dashboard_Apr2012-1-macro-7MAY2012-1_2_copydatamacro 5" xfId="6506" xr:uid="{00000000-0005-0000-0000-000037110000}"/>
    <cellStyle name="%_Risks_HU Risk dashboard_Apr2012-1-macro-7MAY2012-1_2_copydatamacro 6" xfId="5307" xr:uid="{00000000-0005-0000-0000-000038110000}"/>
    <cellStyle name="%_Risks_HU Risk dashboard_Apr2012-1-macro-7MAY2012-1_2_copydatamacro 7" xfId="4108" xr:uid="{00000000-0005-0000-0000-000039110000}"/>
    <cellStyle name="%_Risks_HU Risk dashboard_Apr2012-1-macro-7MAY2012-1_Book1" xfId="979" xr:uid="{00000000-0005-0000-0000-00003A110000}"/>
    <cellStyle name="%_Risks_HU Risk dashboard_Apr2012-1-macro-7MAY2012-1_Book1 2" xfId="10101" xr:uid="{00000000-0005-0000-0000-00003B110000}"/>
    <cellStyle name="%_Risks_HU Risk dashboard_Apr2012-1-macro-7MAY2012-1_Book1 3" xfId="8903" xr:uid="{00000000-0005-0000-0000-00003C110000}"/>
    <cellStyle name="%_Risks_HU Risk dashboard_Apr2012-1-macro-7MAY2012-1_Book1 4" xfId="7705" xr:uid="{00000000-0005-0000-0000-00003D110000}"/>
    <cellStyle name="%_Risks_HU Risk dashboard_Apr2012-1-macro-7MAY2012-1_Book1 5" xfId="6507" xr:uid="{00000000-0005-0000-0000-00003E110000}"/>
    <cellStyle name="%_Risks_HU Risk dashboard_Apr2012-1-macro-7MAY2012-1_Book1 6" xfId="5308" xr:uid="{00000000-0005-0000-0000-00003F110000}"/>
    <cellStyle name="%_Risks_HU Risk dashboard_Apr2012-1-macro-7MAY2012-1_Book1 7" xfId="4109" xr:uid="{00000000-0005-0000-0000-000040110000}"/>
    <cellStyle name="%_Risks_HU Risk dashboard_Apr2012-1-macro-7MAY2012-1_Book1_Business Excellence Dashboard-Aug2012-ERP HU (OracleApps)" xfId="980" xr:uid="{00000000-0005-0000-0000-000041110000}"/>
    <cellStyle name="%_Risks_HU Risk dashboard_Apr2012-1-macro-7MAY2012-1_Book1_Business Excellence Dashboard-Aug2012-ERP HU (OracleApps) 2" xfId="10102" xr:uid="{00000000-0005-0000-0000-000042110000}"/>
    <cellStyle name="%_Risks_HU Risk dashboard_Apr2012-1-macro-7MAY2012-1_Book1_Business Excellence Dashboard-Aug2012-ERP HU (OracleApps) 3" xfId="8904" xr:uid="{00000000-0005-0000-0000-000043110000}"/>
    <cellStyle name="%_Risks_HU Risk dashboard_Apr2012-1-macro-7MAY2012-1_Book1_Business Excellence Dashboard-Aug2012-ERP HU (OracleApps) 4" xfId="7706" xr:uid="{00000000-0005-0000-0000-000044110000}"/>
    <cellStyle name="%_Risks_HU Risk dashboard_Apr2012-1-macro-7MAY2012-1_Book1_Business Excellence Dashboard-Aug2012-ERP HU (OracleApps) 5" xfId="6508" xr:uid="{00000000-0005-0000-0000-000045110000}"/>
    <cellStyle name="%_Risks_HU Risk dashboard_Apr2012-1-macro-7MAY2012-1_Book1_Business Excellence Dashboard-Aug2012-ERP HU (OracleApps) 6" xfId="5309" xr:uid="{00000000-0005-0000-0000-000046110000}"/>
    <cellStyle name="%_Risks_HU Risk dashboard_Apr2012-1-macro-7MAY2012-1_Book1_Business Excellence Dashboard-Aug2012-ERP HU (OracleApps) 7" xfId="4110" xr:uid="{00000000-0005-0000-0000-000047110000}"/>
    <cellStyle name="%_Risks_HU Risk dashboard_Apr2012-1-macro-7MAY2012-1_Book1_Business Excellence Dashboard-Jul2012-ERP HU (OracleApps)-consolidated" xfId="981" xr:uid="{00000000-0005-0000-0000-000048110000}"/>
    <cellStyle name="%_Risks_HU Risk dashboard_Apr2012-1-macro-7MAY2012-1_Book1_Business Excellence Dashboard-Jul2012-ERP HU (OracleApps)-consolidated 2" xfId="10103" xr:uid="{00000000-0005-0000-0000-000049110000}"/>
    <cellStyle name="%_Risks_HU Risk dashboard_Apr2012-1-macro-7MAY2012-1_Book1_Business Excellence Dashboard-Jul2012-ERP HU (OracleApps)-consolidated 3" xfId="8905" xr:uid="{00000000-0005-0000-0000-00004A110000}"/>
    <cellStyle name="%_Risks_HU Risk dashboard_Apr2012-1-macro-7MAY2012-1_Book1_Business Excellence Dashboard-Jul2012-ERP HU (OracleApps)-consolidated 4" xfId="7707" xr:uid="{00000000-0005-0000-0000-00004B110000}"/>
    <cellStyle name="%_Risks_HU Risk dashboard_Apr2012-1-macro-7MAY2012-1_Book1_Business Excellence Dashboard-Jul2012-ERP HU (OracleApps)-consolidated 5" xfId="6509" xr:uid="{00000000-0005-0000-0000-00004C110000}"/>
    <cellStyle name="%_Risks_HU Risk dashboard_Apr2012-1-macro-7MAY2012-1_Book1_Business Excellence Dashboard-Jul2012-ERP HU (OracleApps)-consolidated 6" xfId="5310" xr:uid="{00000000-0005-0000-0000-00004D110000}"/>
    <cellStyle name="%_Risks_HU Risk dashboard_Apr2012-1-macro-7MAY2012-1_Book1_Business Excellence Dashboard-Jul2012-ERP HU (OracleApps)-consolidated 7" xfId="4111" xr:uid="{00000000-0005-0000-0000-00004E110000}"/>
    <cellStyle name="%_Risks_HU Risk dashboard_Apr2012-1-macro-7MAY2012-1_Book1_copydatamacro" xfId="982" xr:uid="{00000000-0005-0000-0000-00004F110000}"/>
    <cellStyle name="%_Risks_HU Risk dashboard_Apr2012-1-macro-7MAY2012-1_Book1_copydatamacro 2" xfId="10104" xr:uid="{00000000-0005-0000-0000-000050110000}"/>
    <cellStyle name="%_Risks_HU Risk dashboard_Apr2012-1-macro-7MAY2012-1_Book1_copydatamacro 3" xfId="8906" xr:uid="{00000000-0005-0000-0000-000051110000}"/>
    <cellStyle name="%_Risks_HU Risk dashboard_Apr2012-1-macro-7MAY2012-1_Book1_copydatamacro 4" xfId="7708" xr:uid="{00000000-0005-0000-0000-000052110000}"/>
    <cellStyle name="%_Risks_HU Risk dashboard_Apr2012-1-macro-7MAY2012-1_Book1_copydatamacro 5" xfId="6510" xr:uid="{00000000-0005-0000-0000-000053110000}"/>
    <cellStyle name="%_Risks_HU Risk dashboard_Apr2012-1-macro-7MAY2012-1_Book1_copydatamacro 6" xfId="5311" xr:uid="{00000000-0005-0000-0000-000054110000}"/>
    <cellStyle name="%_Risks_HU Risk dashboard_Apr2012-1-macro-7MAY2012-1_Book1_copydatamacro 7" xfId="4112" xr:uid="{00000000-0005-0000-0000-000055110000}"/>
    <cellStyle name="%_Risks_HU Risk dashboard_Apr2012-1-macro-7MAY2012-1_Business Excellence Dashboard-Aug2012-ERP HU (OracleApps)" xfId="983" xr:uid="{00000000-0005-0000-0000-000056110000}"/>
    <cellStyle name="%_Risks_HU Risk dashboard_Apr2012-1-macro-7MAY2012-1_Business Excellence Dashboard-Aug2012-ERP HU (OracleApps) 2" xfId="10105" xr:uid="{00000000-0005-0000-0000-000057110000}"/>
    <cellStyle name="%_Risks_HU Risk dashboard_Apr2012-1-macro-7MAY2012-1_Business Excellence Dashboard-Aug2012-ERP HU (OracleApps) 3" xfId="8907" xr:uid="{00000000-0005-0000-0000-000058110000}"/>
    <cellStyle name="%_Risks_HU Risk dashboard_Apr2012-1-macro-7MAY2012-1_Business Excellence Dashboard-Aug2012-ERP HU (OracleApps) 4" xfId="7709" xr:uid="{00000000-0005-0000-0000-000059110000}"/>
    <cellStyle name="%_Risks_HU Risk dashboard_Apr2012-1-macro-7MAY2012-1_Business Excellence Dashboard-Aug2012-ERP HU (OracleApps) 5" xfId="6511" xr:uid="{00000000-0005-0000-0000-00005A110000}"/>
    <cellStyle name="%_Risks_HU Risk dashboard_Apr2012-1-macro-7MAY2012-1_Business Excellence Dashboard-Aug2012-ERP HU (OracleApps) 6" xfId="5312" xr:uid="{00000000-0005-0000-0000-00005B110000}"/>
    <cellStyle name="%_Risks_HU Risk dashboard_Apr2012-1-macro-7MAY2012-1_Business Excellence Dashboard-Aug2012-ERP HU (OracleApps) 7" xfId="4113" xr:uid="{00000000-0005-0000-0000-00005C110000}"/>
    <cellStyle name="%_Risks_HU Risk dashboard_Apr2012-1-macro-7MAY2012-1_Business Excellence Dashboard-Jul2012-ERP HU (OracleApps)-consolidated" xfId="984" xr:uid="{00000000-0005-0000-0000-00005D110000}"/>
    <cellStyle name="%_Risks_HU Risk dashboard_Apr2012-1-macro-7MAY2012-1_Business Excellence Dashboard-Jul2012-ERP HU (OracleApps)-consolidated 2" xfId="10106" xr:uid="{00000000-0005-0000-0000-00005E110000}"/>
    <cellStyle name="%_Risks_HU Risk dashboard_Apr2012-1-macro-7MAY2012-1_Business Excellence Dashboard-Jul2012-ERP HU (OracleApps)-consolidated 3" xfId="8908" xr:uid="{00000000-0005-0000-0000-00005F110000}"/>
    <cellStyle name="%_Risks_HU Risk dashboard_Apr2012-1-macro-7MAY2012-1_Business Excellence Dashboard-Jul2012-ERP HU (OracleApps)-consolidated 4" xfId="7710" xr:uid="{00000000-0005-0000-0000-000060110000}"/>
    <cellStyle name="%_Risks_HU Risk dashboard_Apr2012-1-macro-7MAY2012-1_Business Excellence Dashboard-Jul2012-ERP HU (OracleApps)-consolidated 5" xfId="6512" xr:uid="{00000000-0005-0000-0000-000061110000}"/>
    <cellStyle name="%_Risks_HU Risk dashboard_Apr2012-1-macro-7MAY2012-1_Business Excellence Dashboard-Jul2012-ERP HU (OracleApps)-consolidated 6" xfId="5313" xr:uid="{00000000-0005-0000-0000-000062110000}"/>
    <cellStyle name="%_Risks_HU Risk dashboard_Apr2012-1-macro-7MAY2012-1_Business Excellence Dashboard-Jul2012-ERP HU (OracleApps)-consolidated 7" xfId="4114" xr:uid="{00000000-0005-0000-0000-000063110000}"/>
    <cellStyle name="%_Risks_HU Risk dashboard_Apr2012-1-macro-7MAY2012-1_copydatamacro" xfId="985" xr:uid="{00000000-0005-0000-0000-000064110000}"/>
    <cellStyle name="%_Risks_HU Risk dashboard_Apr2012-1-macro-7MAY2012-1_copydatamacro 2" xfId="10107" xr:uid="{00000000-0005-0000-0000-000065110000}"/>
    <cellStyle name="%_Risks_HU Risk dashboard_Apr2012-1-macro-7MAY2012-1_copydatamacro 3" xfId="8909" xr:uid="{00000000-0005-0000-0000-000066110000}"/>
    <cellStyle name="%_Risks_HU Risk dashboard_Apr2012-1-macro-7MAY2012-1_copydatamacro 4" xfId="7711" xr:uid="{00000000-0005-0000-0000-000067110000}"/>
    <cellStyle name="%_Risks_HU Risk dashboard_Apr2012-1-macro-7MAY2012-1_copydatamacro 5" xfId="6513" xr:uid="{00000000-0005-0000-0000-000068110000}"/>
    <cellStyle name="%_Risks_HU Risk dashboard_Apr2012-1-macro-7MAY2012-1_copydatamacro 6" xfId="5314" xr:uid="{00000000-0005-0000-0000-000069110000}"/>
    <cellStyle name="%_Risks_HU Risk dashboard_Apr2012-1-macro-7MAY2012-1_copydatamacro 7" xfId="4115" xr:uid="{00000000-0005-0000-0000-00006A110000}"/>
    <cellStyle name="%_Risks_HU Risk dashboard_Apr2012-1-macro-7MAY2012-1_MSHU_BusinessExcellenceDashboardV2.2-May2012-3" xfId="986" xr:uid="{00000000-0005-0000-0000-00006B110000}"/>
    <cellStyle name="%_Risks_HU Risk dashboard_Apr2012-1-macro-7MAY2012-1_MSHU_BusinessExcellenceDashboardV2.2-May2012-3 2" xfId="10108" xr:uid="{00000000-0005-0000-0000-00006C110000}"/>
    <cellStyle name="%_Risks_HU Risk dashboard_Apr2012-1-macro-7MAY2012-1_MSHU_BusinessExcellenceDashboardV2.2-May2012-3 3" xfId="8910" xr:uid="{00000000-0005-0000-0000-00006D110000}"/>
    <cellStyle name="%_Risks_HU Risk dashboard_Apr2012-1-macro-7MAY2012-1_MSHU_BusinessExcellenceDashboardV2.2-May2012-3 4" xfId="7712" xr:uid="{00000000-0005-0000-0000-00006E110000}"/>
    <cellStyle name="%_Risks_HU Risk dashboard_Apr2012-1-macro-7MAY2012-1_MSHU_BusinessExcellenceDashboardV2.2-May2012-3 5" xfId="6514" xr:uid="{00000000-0005-0000-0000-00006F110000}"/>
    <cellStyle name="%_Risks_HU Risk dashboard_Apr2012-1-macro-7MAY2012-1_MSHU_BusinessExcellenceDashboardV2.2-May2012-3 6" xfId="5315" xr:uid="{00000000-0005-0000-0000-000070110000}"/>
    <cellStyle name="%_Risks_HU Risk dashboard_Apr2012-1-macro-7MAY2012-1_MSHU_BusinessExcellenceDashboardV2.2-May2012-3 7" xfId="4116" xr:uid="{00000000-0005-0000-0000-000071110000}"/>
    <cellStyle name="%_Risks_HU Risk dashboard_Apr2012-1-macro-7MAY2012-1_MSHU_BusinessExcellenceDashboardV2.2-May2012-3_Business Excellence Dashboard-Aug2012-ERP HU (OracleApps)" xfId="987" xr:uid="{00000000-0005-0000-0000-000072110000}"/>
    <cellStyle name="%_Risks_HU Risk dashboard_Apr2012-1-macro-7MAY2012-1_MSHU_BusinessExcellenceDashboardV2.2-May2012-3_Business Excellence Dashboard-Aug2012-ERP HU (OracleApps) 2" xfId="10109" xr:uid="{00000000-0005-0000-0000-000073110000}"/>
    <cellStyle name="%_Risks_HU Risk dashboard_Apr2012-1-macro-7MAY2012-1_MSHU_BusinessExcellenceDashboardV2.2-May2012-3_Business Excellence Dashboard-Aug2012-ERP HU (OracleApps) 3" xfId="8911" xr:uid="{00000000-0005-0000-0000-000074110000}"/>
    <cellStyle name="%_Risks_HU Risk dashboard_Apr2012-1-macro-7MAY2012-1_MSHU_BusinessExcellenceDashboardV2.2-May2012-3_Business Excellence Dashboard-Aug2012-ERP HU (OracleApps) 4" xfId="7713" xr:uid="{00000000-0005-0000-0000-000075110000}"/>
    <cellStyle name="%_Risks_HU Risk dashboard_Apr2012-1-macro-7MAY2012-1_MSHU_BusinessExcellenceDashboardV2.2-May2012-3_Business Excellence Dashboard-Aug2012-ERP HU (OracleApps) 5" xfId="6515" xr:uid="{00000000-0005-0000-0000-000076110000}"/>
    <cellStyle name="%_Risks_HU Risk dashboard_Apr2012-1-macro-7MAY2012-1_MSHU_BusinessExcellenceDashboardV2.2-May2012-3_Business Excellence Dashboard-Aug2012-ERP HU (OracleApps) 6" xfId="5316" xr:uid="{00000000-0005-0000-0000-000077110000}"/>
    <cellStyle name="%_Risks_HU Risk dashboard_Apr2012-1-macro-7MAY2012-1_MSHU_BusinessExcellenceDashboardV2.2-May2012-3_Business Excellence Dashboard-Aug2012-ERP HU (OracleApps) 7" xfId="4117" xr:uid="{00000000-0005-0000-0000-000078110000}"/>
    <cellStyle name="%_Risks_HU Risk dashboard_Apr2012-1-macro-7MAY2012-1_MSHU_BusinessExcellenceDashboardV2.2-May2012-3_Business Excellence Dashboard-Jul2012-ERP HU (OracleApps)-consolidated" xfId="988" xr:uid="{00000000-0005-0000-0000-000079110000}"/>
    <cellStyle name="%_Risks_HU Risk dashboard_Apr2012-1-macro-7MAY2012-1_MSHU_BusinessExcellenceDashboardV2.2-May2012-3_Business Excellence Dashboard-Jul2012-ERP HU (OracleApps)-consolidated 2" xfId="10110" xr:uid="{00000000-0005-0000-0000-00007A110000}"/>
    <cellStyle name="%_Risks_HU Risk dashboard_Apr2012-1-macro-7MAY2012-1_MSHU_BusinessExcellenceDashboardV2.2-May2012-3_Business Excellence Dashboard-Jul2012-ERP HU (OracleApps)-consolidated 3" xfId="8912" xr:uid="{00000000-0005-0000-0000-00007B110000}"/>
    <cellStyle name="%_Risks_HU Risk dashboard_Apr2012-1-macro-7MAY2012-1_MSHU_BusinessExcellenceDashboardV2.2-May2012-3_Business Excellence Dashboard-Jul2012-ERP HU (OracleApps)-consolidated 4" xfId="7714" xr:uid="{00000000-0005-0000-0000-00007C110000}"/>
    <cellStyle name="%_Risks_HU Risk dashboard_Apr2012-1-macro-7MAY2012-1_MSHU_BusinessExcellenceDashboardV2.2-May2012-3_Business Excellence Dashboard-Jul2012-ERP HU (OracleApps)-consolidated 5" xfId="6516" xr:uid="{00000000-0005-0000-0000-00007D110000}"/>
    <cellStyle name="%_Risks_HU Risk dashboard_Apr2012-1-macro-7MAY2012-1_MSHU_BusinessExcellenceDashboardV2.2-May2012-3_Business Excellence Dashboard-Jul2012-ERP HU (OracleApps)-consolidated 6" xfId="5317" xr:uid="{00000000-0005-0000-0000-00007E110000}"/>
    <cellStyle name="%_Risks_HU Risk dashboard_Apr2012-1-macro-7MAY2012-1_MSHU_BusinessExcellenceDashboardV2.2-May2012-3_Business Excellence Dashboard-Jul2012-ERP HU (OracleApps)-consolidated 7" xfId="4118" xr:uid="{00000000-0005-0000-0000-00007F110000}"/>
    <cellStyle name="%_Risks_HU Risk dashboard_Apr2012-1-macro-7MAY2012-1_MSHU_BusinessExcellenceDashboardV2.2-May2012-3_copydatamacro" xfId="989" xr:uid="{00000000-0005-0000-0000-000080110000}"/>
    <cellStyle name="%_Risks_HU Risk dashboard_Apr2012-1-macro-7MAY2012-1_MSHU_BusinessExcellenceDashboardV2.2-May2012-3_copydatamacro 2" xfId="10111" xr:uid="{00000000-0005-0000-0000-000081110000}"/>
    <cellStyle name="%_Risks_HU Risk dashboard_Apr2012-1-macro-7MAY2012-1_MSHU_BusinessExcellenceDashboardV2.2-May2012-3_copydatamacro 3" xfId="8913" xr:uid="{00000000-0005-0000-0000-000082110000}"/>
    <cellStyle name="%_Risks_HU Risk dashboard_Apr2012-1-macro-7MAY2012-1_MSHU_BusinessExcellenceDashboardV2.2-May2012-3_copydatamacro 4" xfId="7715" xr:uid="{00000000-0005-0000-0000-000083110000}"/>
    <cellStyle name="%_Risks_HU Risk dashboard_Apr2012-1-macro-7MAY2012-1_MSHU_BusinessExcellenceDashboardV2.2-May2012-3_copydatamacro 5" xfId="6517" xr:uid="{00000000-0005-0000-0000-000084110000}"/>
    <cellStyle name="%_Risks_HU Risk dashboard_Apr2012-1-macro-7MAY2012-1_MSHU_BusinessExcellenceDashboardV2.2-May2012-3_copydatamacro 6" xfId="5318" xr:uid="{00000000-0005-0000-0000-000085110000}"/>
    <cellStyle name="%_Risks_HU Risk dashboard_Apr2012-1-macro-7MAY2012-1_MSHU_BusinessExcellenceDashboardV2.2-May2012-3_copydatamacro 7" xfId="4119" xr:uid="{00000000-0005-0000-0000-000086110000}"/>
    <cellStyle name="%_Risks_HU-Risk-dashboard_OracleAppsProjects_Template-Macro" xfId="990" xr:uid="{00000000-0005-0000-0000-000087110000}"/>
    <cellStyle name="%_Risks_HU-Risk-dashboard_OracleAppsProjects_Template-Macro 2" xfId="10112" xr:uid="{00000000-0005-0000-0000-000088110000}"/>
    <cellStyle name="%_Risks_HU-Risk-dashboard_OracleAppsProjects_Template-Macro 3" xfId="8914" xr:uid="{00000000-0005-0000-0000-000089110000}"/>
    <cellStyle name="%_Risks_HU-Risk-dashboard_OracleAppsProjects_Template-Macro 4" xfId="7716" xr:uid="{00000000-0005-0000-0000-00008A110000}"/>
    <cellStyle name="%_Risks_HU-Risk-dashboard_OracleAppsProjects_Template-Macro 5" xfId="6518" xr:uid="{00000000-0005-0000-0000-00008B110000}"/>
    <cellStyle name="%_Risks_HU-Risk-dashboard_OracleAppsProjects_Template-Macro 6" xfId="5319" xr:uid="{00000000-0005-0000-0000-00008C110000}"/>
    <cellStyle name="%_Risks_HU-Risk-dashboard_OracleAppsProjects_Template-Macro 7" xfId="4120" xr:uid="{00000000-0005-0000-0000-00008D110000}"/>
    <cellStyle name="%_Risks_HU-Risk-dashboard_OracleAppsProjects_Template-Macro_2" xfId="991" xr:uid="{00000000-0005-0000-0000-00008E110000}"/>
    <cellStyle name="%_Risks_HU-Risk-dashboard_OracleAppsProjects_Template-Macro_2 2" xfId="10113" xr:uid="{00000000-0005-0000-0000-00008F110000}"/>
    <cellStyle name="%_Risks_HU-Risk-dashboard_OracleAppsProjects_Template-Macro_2 3" xfId="8915" xr:uid="{00000000-0005-0000-0000-000090110000}"/>
    <cellStyle name="%_Risks_HU-Risk-dashboard_OracleAppsProjects_Template-Macro_2 4" xfId="7717" xr:uid="{00000000-0005-0000-0000-000091110000}"/>
    <cellStyle name="%_Risks_HU-Risk-dashboard_OracleAppsProjects_Template-Macro_2 5" xfId="6519" xr:uid="{00000000-0005-0000-0000-000092110000}"/>
    <cellStyle name="%_Risks_HU-Risk-dashboard_OracleAppsProjects_Template-Macro_2 6" xfId="5320" xr:uid="{00000000-0005-0000-0000-000093110000}"/>
    <cellStyle name="%_Risks_HU-Risk-dashboard_OracleAppsProjects_Template-Macro_2 7" xfId="4121" xr:uid="{00000000-0005-0000-0000-000094110000}"/>
    <cellStyle name="%_Risks_HU-Risk-dashboard_OracleAppsProjects_Template-Macro_2_1" xfId="992" xr:uid="{00000000-0005-0000-0000-000095110000}"/>
    <cellStyle name="%_Risks_HU-Risk-dashboard_OracleAppsProjects_Template-Macro_2_1 2" xfId="10114" xr:uid="{00000000-0005-0000-0000-000096110000}"/>
    <cellStyle name="%_Risks_HU-Risk-dashboard_OracleAppsProjects_Template-Macro_2_1 3" xfId="8916" xr:uid="{00000000-0005-0000-0000-000097110000}"/>
    <cellStyle name="%_Risks_HU-Risk-dashboard_OracleAppsProjects_Template-Macro_2_1 4" xfId="7718" xr:uid="{00000000-0005-0000-0000-000098110000}"/>
    <cellStyle name="%_Risks_HU-Risk-dashboard_OracleAppsProjects_Template-Macro_2_1 5" xfId="6520" xr:uid="{00000000-0005-0000-0000-000099110000}"/>
    <cellStyle name="%_Risks_HU-Risk-dashboard_OracleAppsProjects_Template-Macro_2_1 6" xfId="5321" xr:uid="{00000000-0005-0000-0000-00009A110000}"/>
    <cellStyle name="%_Risks_HU-Risk-dashboard_OracleAppsProjects_Template-Macro_2_1 7" xfId="4122" xr:uid="{00000000-0005-0000-0000-00009B110000}"/>
    <cellStyle name="%_Risks_HU-Risk-dashboard_OracleAppsProjects_Template-Macro_2_1_Business Excellence Dashboard-Aug2012-ERP HU (OracleApps)" xfId="993" xr:uid="{00000000-0005-0000-0000-00009C110000}"/>
    <cellStyle name="%_Risks_HU-Risk-dashboard_OracleAppsProjects_Template-Macro_2_1_Business Excellence Dashboard-Aug2012-ERP HU (OracleApps) 2" xfId="10115" xr:uid="{00000000-0005-0000-0000-00009D110000}"/>
    <cellStyle name="%_Risks_HU-Risk-dashboard_OracleAppsProjects_Template-Macro_2_1_Business Excellence Dashboard-Aug2012-ERP HU (OracleApps) 3" xfId="8917" xr:uid="{00000000-0005-0000-0000-00009E110000}"/>
    <cellStyle name="%_Risks_HU-Risk-dashboard_OracleAppsProjects_Template-Macro_2_1_Business Excellence Dashboard-Aug2012-ERP HU (OracleApps) 4" xfId="7719" xr:uid="{00000000-0005-0000-0000-00009F110000}"/>
    <cellStyle name="%_Risks_HU-Risk-dashboard_OracleAppsProjects_Template-Macro_2_1_Business Excellence Dashboard-Aug2012-ERP HU (OracleApps) 5" xfId="6521" xr:uid="{00000000-0005-0000-0000-0000A0110000}"/>
    <cellStyle name="%_Risks_HU-Risk-dashboard_OracleAppsProjects_Template-Macro_2_1_Business Excellence Dashboard-Aug2012-ERP HU (OracleApps) 6" xfId="5322" xr:uid="{00000000-0005-0000-0000-0000A1110000}"/>
    <cellStyle name="%_Risks_HU-Risk-dashboard_OracleAppsProjects_Template-Macro_2_1_Business Excellence Dashboard-Aug2012-ERP HU (OracleApps) 7" xfId="4123" xr:uid="{00000000-0005-0000-0000-0000A2110000}"/>
    <cellStyle name="%_Risks_HU-Risk-dashboard_OracleAppsProjects_Template-Macro_2_2" xfId="994" xr:uid="{00000000-0005-0000-0000-0000A3110000}"/>
    <cellStyle name="%_Risks_HU-Risk-dashboard_OracleAppsProjects_Template-Macro_2_2 2" xfId="10116" xr:uid="{00000000-0005-0000-0000-0000A4110000}"/>
    <cellStyle name="%_Risks_HU-Risk-dashboard_OracleAppsProjects_Template-Macro_2_2 3" xfId="8918" xr:uid="{00000000-0005-0000-0000-0000A5110000}"/>
    <cellStyle name="%_Risks_HU-Risk-dashboard_OracleAppsProjects_Template-Macro_2_2 4" xfId="7720" xr:uid="{00000000-0005-0000-0000-0000A6110000}"/>
    <cellStyle name="%_Risks_HU-Risk-dashboard_OracleAppsProjects_Template-Macro_2_2 5" xfId="6522" xr:uid="{00000000-0005-0000-0000-0000A7110000}"/>
    <cellStyle name="%_Risks_HU-Risk-dashboard_OracleAppsProjects_Template-Macro_2_2 6" xfId="5323" xr:uid="{00000000-0005-0000-0000-0000A8110000}"/>
    <cellStyle name="%_Risks_HU-Risk-dashboard_OracleAppsProjects_Template-Macro_2_2 7" xfId="4124" xr:uid="{00000000-0005-0000-0000-0000A9110000}"/>
    <cellStyle name="%_Risks_HU-Risk-dashboard_OracleAppsProjects_Template-Macro_2_Business Excellence Dashboard-Aug2012-ERP HU (OracleApps)" xfId="995" xr:uid="{00000000-0005-0000-0000-0000AA110000}"/>
    <cellStyle name="%_Risks_HU-Risk-dashboard_OracleAppsProjects_Template-Macro_2_Business Excellence Dashboard-Aug2012-ERP HU (OracleApps) 2" xfId="10117" xr:uid="{00000000-0005-0000-0000-0000AB110000}"/>
    <cellStyle name="%_Risks_HU-Risk-dashboard_OracleAppsProjects_Template-Macro_2_Business Excellence Dashboard-Aug2012-ERP HU (OracleApps) 3" xfId="8919" xr:uid="{00000000-0005-0000-0000-0000AC110000}"/>
    <cellStyle name="%_Risks_HU-Risk-dashboard_OracleAppsProjects_Template-Macro_2_Business Excellence Dashboard-Aug2012-ERP HU (OracleApps) 4" xfId="7721" xr:uid="{00000000-0005-0000-0000-0000AD110000}"/>
    <cellStyle name="%_Risks_HU-Risk-dashboard_OracleAppsProjects_Template-Macro_2_Business Excellence Dashboard-Aug2012-ERP HU (OracleApps) 5" xfId="6523" xr:uid="{00000000-0005-0000-0000-0000AE110000}"/>
    <cellStyle name="%_Risks_HU-Risk-dashboard_OracleAppsProjects_Template-Macro_2_Business Excellence Dashboard-Aug2012-ERP HU (OracleApps) 6" xfId="5324" xr:uid="{00000000-0005-0000-0000-0000AF110000}"/>
    <cellStyle name="%_Risks_HU-Risk-dashboard_OracleAppsProjects_Template-Macro_2_Business Excellence Dashboard-Aug2012-ERP HU (OracleApps) 7" xfId="4125" xr:uid="{00000000-0005-0000-0000-0000B0110000}"/>
    <cellStyle name="%_Risks_HU-Risk-dashboard_OracleAppsProjects_Template-Macro_2_Business Excellence Dashboard-Jul2012-ERP HU (OracleApps)-consolidated" xfId="996" xr:uid="{00000000-0005-0000-0000-0000B1110000}"/>
    <cellStyle name="%_Risks_HU-Risk-dashboard_OracleAppsProjects_Template-Macro_2_Business Excellence Dashboard-Jul2012-ERP HU (OracleApps)-consolidated 2" xfId="10118" xr:uid="{00000000-0005-0000-0000-0000B2110000}"/>
    <cellStyle name="%_Risks_HU-Risk-dashboard_OracleAppsProjects_Template-Macro_2_Business Excellence Dashboard-Jul2012-ERP HU (OracleApps)-consolidated 3" xfId="8920" xr:uid="{00000000-0005-0000-0000-0000B3110000}"/>
    <cellStyle name="%_Risks_HU-Risk-dashboard_OracleAppsProjects_Template-Macro_2_Business Excellence Dashboard-Jul2012-ERP HU (OracleApps)-consolidated 4" xfId="7722" xr:uid="{00000000-0005-0000-0000-0000B4110000}"/>
    <cellStyle name="%_Risks_HU-Risk-dashboard_OracleAppsProjects_Template-Macro_2_Business Excellence Dashboard-Jul2012-ERP HU (OracleApps)-consolidated 5" xfId="6524" xr:uid="{00000000-0005-0000-0000-0000B5110000}"/>
    <cellStyle name="%_Risks_HU-Risk-dashboard_OracleAppsProjects_Template-Macro_2_Business Excellence Dashboard-Jul2012-ERP HU (OracleApps)-consolidated 6" xfId="5325" xr:uid="{00000000-0005-0000-0000-0000B6110000}"/>
    <cellStyle name="%_Risks_HU-Risk-dashboard_OracleAppsProjects_Template-Macro_2_Business Excellence Dashboard-Jul2012-ERP HU (OracleApps)-consolidated 7" xfId="4126" xr:uid="{00000000-0005-0000-0000-0000B7110000}"/>
    <cellStyle name="%_Risks_HU-Risk-dashboard_OracleAppsProjects_Template-Macro_2_copydatamacro" xfId="997" xr:uid="{00000000-0005-0000-0000-0000B8110000}"/>
    <cellStyle name="%_Risks_HU-Risk-dashboard_OracleAppsProjects_Template-Macro_2_copydatamacro 2" xfId="10119" xr:uid="{00000000-0005-0000-0000-0000B9110000}"/>
    <cellStyle name="%_Risks_HU-Risk-dashboard_OracleAppsProjects_Template-Macro_2_copydatamacro 3" xfId="8921" xr:uid="{00000000-0005-0000-0000-0000BA110000}"/>
    <cellStyle name="%_Risks_HU-Risk-dashboard_OracleAppsProjects_Template-Macro_2_copydatamacro 4" xfId="7723" xr:uid="{00000000-0005-0000-0000-0000BB110000}"/>
    <cellStyle name="%_Risks_HU-Risk-dashboard_OracleAppsProjects_Template-Macro_2_copydatamacro 5" xfId="6525" xr:uid="{00000000-0005-0000-0000-0000BC110000}"/>
    <cellStyle name="%_Risks_HU-Risk-dashboard_OracleAppsProjects_Template-Macro_2_copydatamacro 6" xfId="5326" xr:uid="{00000000-0005-0000-0000-0000BD110000}"/>
    <cellStyle name="%_Risks_HU-Risk-dashboard_OracleAppsProjects_Template-Macro_2_copydatamacro 7" xfId="4127" xr:uid="{00000000-0005-0000-0000-0000BE110000}"/>
    <cellStyle name="%_Risks_HU-Risk-dashboard_OracleAppsProjects_Template-Macro_Book1" xfId="998" xr:uid="{00000000-0005-0000-0000-0000BF110000}"/>
    <cellStyle name="%_Risks_HU-Risk-dashboard_OracleAppsProjects_Template-Macro_Book1 2" xfId="10120" xr:uid="{00000000-0005-0000-0000-0000C0110000}"/>
    <cellStyle name="%_Risks_HU-Risk-dashboard_OracleAppsProjects_Template-Macro_Book1 3" xfId="8922" xr:uid="{00000000-0005-0000-0000-0000C1110000}"/>
    <cellStyle name="%_Risks_HU-Risk-dashboard_OracleAppsProjects_Template-Macro_Book1 4" xfId="7724" xr:uid="{00000000-0005-0000-0000-0000C2110000}"/>
    <cellStyle name="%_Risks_HU-Risk-dashboard_OracleAppsProjects_Template-Macro_Book1 5" xfId="6526" xr:uid="{00000000-0005-0000-0000-0000C3110000}"/>
    <cellStyle name="%_Risks_HU-Risk-dashboard_OracleAppsProjects_Template-Macro_Book1 6" xfId="5327" xr:uid="{00000000-0005-0000-0000-0000C4110000}"/>
    <cellStyle name="%_Risks_HU-Risk-dashboard_OracleAppsProjects_Template-Macro_Book1 7" xfId="4128" xr:uid="{00000000-0005-0000-0000-0000C5110000}"/>
    <cellStyle name="%_Risks_HU-Risk-dashboard_OracleAppsProjects_Template-Macro_Book1_Business Excellence Dashboard-Aug2012-ERP HU (OracleApps)" xfId="999" xr:uid="{00000000-0005-0000-0000-0000C6110000}"/>
    <cellStyle name="%_Risks_HU-Risk-dashboard_OracleAppsProjects_Template-Macro_Book1_Business Excellence Dashboard-Aug2012-ERP HU (OracleApps) 2" xfId="10121" xr:uid="{00000000-0005-0000-0000-0000C7110000}"/>
    <cellStyle name="%_Risks_HU-Risk-dashboard_OracleAppsProjects_Template-Macro_Book1_Business Excellence Dashboard-Aug2012-ERP HU (OracleApps) 3" xfId="8923" xr:uid="{00000000-0005-0000-0000-0000C8110000}"/>
    <cellStyle name="%_Risks_HU-Risk-dashboard_OracleAppsProjects_Template-Macro_Book1_Business Excellence Dashboard-Aug2012-ERP HU (OracleApps) 4" xfId="7725" xr:uid="{00000000-0005-0000-0000-0000C9110000}"/>
    <cellStyle name="%_Risks_HU-Risk-dashboard_OracleAppsProjects_Template-Macro_Book1_Business Excellence Dashboard-Aug2012-ERP HU (OracleApps) 5" xfId="6527" xr:uid="{00000000-0005-0000-0000-0000CA110000}"/>
    <cellStyle name="%_Risks_HU-Risk-dashboard_OracleAppsProjects_Template-Macro_Book1_Business Excellence Dashboard-Aug2012-ERP HU (OracleApps) 6" xfId="5328" xr:uid="{00000000-0005-0000-0000-0000CB110000}"/>
    <cellStyle name="%_Risks_HU-Risk-dashboard_OracleAppsProjects_Template-Macro_Book1_Business Excellence Dashboard-Aug2012-ERP HU (OracleApps) 7" xfId="4129" xr:uid="{00000000-0005-0000-0000-0000CC110000}"/>
    <cellStyle name="%_Risks_HU-Risk-dashboard_OracleAppsProjects_Template-Macro_Book1_Business Excellence Dashboard-Jul2012-ERP HU (OracleApps)-consolidated" xfId="1000" xr:uid="{00000000-0005-0000-0000-0000CD110000}"/>
    <cellStyle name="%_Risks_HU-Risk-dashboard_OracleAppsProjects_Template-Macro_Book1_Business Excellence Dashboard-Jul2012-ERP HU (OracleApps)-consolidated 2" xfId="10122" xr:uid="{00000000-0005-0000-0000-0000CE110000}"/>
    <cellStyle name="%_Risks_HU-Risk-dashboard_OracleAppsProjects_Template-Macro_Book1_Business Excellence Dashboard-Jul2012-ERP HU (OracleApps)-consolidated 3" xfId="8924" xr:uid="{00000000-0005-0000-0000-0000CF110000}"/>
    <cellStyle name="%_Risks_HU-Risk-dashboard_OracleAppsProjects_Template-Macro_Book1_Business Excellence Dashboard-Jul2012-ERP HU (OracleApps)-consolidated 4" xfId="7726" xr:uid="{00000000-0005-0000-0000-0000D0110000}"/>
    <cellStyle name="%_Risks_HU-Risk-dashboard_OracleAppsProjects_Template-Macro_Book1_Business Excellence Dashboard-Jul2012-ERP HU (OracleApps)-consolidated 5" xfId="6528" xr:uid="{00000000-0005-0000-0000-0000D1110000}"/>
    <cellStyle name="%_Risks_HU-Risk-dashboard_OracleAppsProjects_Template-Macro_Book1_Business Excellence Dashboard-Jul2012-ERP HU (OracleApps)-consolidated 6" xfId="5329" xr:uid="{00000000-0005-0000-0000-0000D2110000}"/>
    <cellStyle name="%_Risks_HU-Risk-dashboard_OracleAppsProjects_Template-Macro_Book1_Business Excellence Dashboard-Jul2012-ERP HU (OracleApps)-consolidated 7" xfId="4130" xr:uid="{00000000-0005-0000-0000-0000D3110000}"/>
    <cellStyle name="%_Risks_HU-Risk-dashboard_OracleAppsProjects_Template-Macro_Book1_copydatamacro" xfId="1001" xr:uid="{00000000-0005-0000-0000-0000D4110000}"/>
    <cellStyle name="%_Risks_HU-Risk-dashboard_OracleAppsProjects_Template-Macro_Book1_copydatamacro 2" xfId="10123" xr:uid="{00000000-0005-0000-0000-0000D5110000}"/>
    <cellStyle name="%_Risks_HU-Risk-dashboard_OracleAppsProjects_Template-Macro_Book1_copydatamacro 3" xfId="8925" xr:uid="{00000000-0005-0000-0000-0000D6110000}"/>
    <cellStyle name="%_Risks_HU-Risk-dashboard_OracleAppsProjects_Template-Macro_Book1_copydatamacro 4" xfId="7727" xr:uid="{00000000-0005-0000-0000-0000D7110000}"/>
    <cellStyle name="%_Risks_HU-Risk-dashboard_OracleAppsProjects_Template-Macro_Book1_copydatamacro 5" xfId="6529" xr:uid="{00000000-0005-0000-0000-0000D8110000}"/>
    <cellStyle name="%_Risks_HU-Risk-dashboard_OracleAppsProjects_Template-Macro_Book1_copydatamacro 6" xfId="5330" xr:uid="{00000000-0005-0000-0000-0000D9110000}"/>
    <cellStyle name="%_Risks_HU-Risk-dashboard_OracleAppsProjects_Template-Macro_Book1_copydatamacro 7" xfId="4131" xr:uid="{00000000-0005-0000-0000-0000DA110000}"/>
    <cellStyle name="%_Risks_HU-Risk-dashboard_OracleAppsProjects_Template-Macro_Business Excellence Dashboard-Aug2012-ERP HU (OracleApps)" xfId="1002" xr:uid="{00000000-0005-0000-0000-0000DB110000}"/>
    <cellStyle name="%_Risks_HU-Risk-dashboard_OracleAppsProjects_Template-Macro_Business Excellence Dashboard-Aug2012-ERP HU (OracleApps) 2" xfId="10124" xr:uid="{00000000-0005-0000-0000-0000DC110000}"/>
    <cellStyle name="%_Risks_HU-Risk-dashboard_OracleAppsProjects_Template-Macro_Business Excellence Dashboard-Aug2012-ERP HU (OracleApps) 3" xfId="8926" xr:uid="{00000000-0005-0000-0000-0000DD110000}"/>
    <cellStyle name="%_Risks_HU-Risk-dashboard_OracleAppsProjects_Template-Macro_Business Excellence Dashboard-Aug2012-ERP HU (OracleApps) 4" xfId="7728" xr:uid="{00000000-0005-0000-0000-0000DE110000}"/>
    <cellStyle name="%_Risks_HU-Risk-dashboard_OracleAppsProjects_Template-Macro_Business Excellence Dashboard-Aug2012-ERP HU (OracleApps) 5" xfId="6530" xr:uid="{00000000-0005-0000-0000-0000DF110000}"/>
    <cellStyle name="%_Risks_HU-Risk-dashboard_OracleAppsProjects_Template-Macro_Business Excellence Dashboard-Aug2012-ERP HU (OracleApps) 6" xfId="5331" xr:uid="{00000000-0005-0000-0000-0000E0110000}"/>
    <cellStyle name="%_Risks_HU-Risk-dashboard_OracleAppsProjects_Template-Macro_Business Excellence Dashboard-Aug2012-ERP HU (OracleApps) 7" xfId="4132" xr:uid="{00000000-0005-0000-0000-0000E1110000}"/>
    <cellStyle name="%_Risks_HU-Risk-dashboard_OracleAppsProjects_Template-Macro_Business Excellence Dashboard-Jul2012-ERP HU (OracleApps)-consolidated" xfId="1003" xr:uid="{00000000-0005-0000-0000-0000E2110000}"/>
    <cellStyle name="%_Risks_HU-Risk-dashboard_OracleAppsProjects_Template-Macro_Business Excellence Dashboard-Jul2012-ERP HU (OracleApps)-consolidated 2" xfId="10125" xr:uid="{00000000-0005-0000-0000-0000E3110000}"/>
    <cellStyle name="%_Risks_HU-Risk-dashboard_OracleAppsProjects_Template-Macro_Business Excellence Dashboard-Jul2012-ERP HU (OracleApps)-consolidated 3" xfId="8927" xr:uid="{00000000-0005-0000-0000-0000E4110000}"/>
    <cellStyle name="%_Risks_HU-Risk-dashboard_OracleAppsProjects_Template-Macro_Business Excellence Dashboard-Jul2012-ERP HU (OracleApps)-consolidated 4" xfId="7729" xr:uid="{00000000-0005-0000-0000-0000E5110000}"/>
    <cellStyle name="%_Risks_HU-Risk-dashboard_OracleAppsProjects_Template-Macro_Business Excellence Dashboard-Jul2012-ERP HU (OracleApps)-consolidated 5" xfId="6531" xr:uid="{00000000-0005-0000-0000-0000E6110000}"/>
    <cellStyle name="%_Risks_HU-Risk-dashboard_OracleAppsProjects_Template-Macro_Business Excellence Dashboard-Jul2012-ERP HU (OracleApps)-consolidated 6" xfId="5332" xr:uid="{00000000-0005-0000-0000-0000E7110000}"/>
    <cellStyle name="%_Risks_HU-Risk-dashboard_OracleAppsProjects_Template-Macro_Business Excellence Dashboard-Jul2012-ERP HU (OracleApps)-consolidated 7" xfId="4133" xr:uid="{00000000-0005-0000-0000-0000E8110000}"/>
    <cellStyle name="%_Risks_HU-Risk-dashboard_OracleAppsProjects_Template-Macro_copydatamacro" xfId="1004" xr:uid="{00000000-0005-0000-0000-0000E9110000}"/>
    <cellStyle name="%_Risks_HU-Risk-dashboard_OracleAppsProjects_Template-Macro_copydatamacro 2" xfId="10126" xr:uid="{00000000-0005-0000-0000-0000EA110000}"/>
    <cellStyle name="%_Risks_HU-Risk-dashboard_OracleAppsProjects_Template-Macro_copydatamacro 3" xfId="8928" xr:uid="{00000000-0005-0000-0000-0000EB110000}"/>
    <cellStyle name="%_Risks_HU-Risk-dashboard_OracleAppsProjects_Template-Macro_copydatamacro 4" xfId="7730" xr:uid="{00000000-0005-0000-0000-0000EC110000}"/>
    <cellStyle name="%_Risks_HU-Risk-dashboard_OracleAppsProjects_Template-Macro_copydatamacro 5" xfId="6532" xr:uid="{00000000-0005-0000-0000-0000ED110000}"/>
    <cellStyle name="%_Risks_HU-Risk-dashboard_OracleAppsProjects_Template-Macro_copydatamacro 6" xfId="5333" xr:uid="{00000000-0005-0000-0000-0000EE110000}"/>
    <cellStyle name="%_Risks_HU-Risk-dashboard_OracleAppsProjects_Template-Macro_copydatamacro 7" xfId="4134" xr:uid="{00000000-0005-0000-0000-0000EF110000}"/>
    <cellStyle name="%_Risks_HU-Risk-dashboard_OracleAppsProjects_Template-Macro_MSHU_BusinessExcellenceDashboardV2.2-May2012-3" xfId="1005" xr:uid="{00000000-0005-0000-0000-0000F0110000}"/>
    <cellStyle name="%_Risks_HU-Risk-dashboard_OracleAppsProjects_Template-Macro_MSHU_BusinessExcellenceDashboardV2.2-May2012-3 2" xfId="10127" xr:uid="{00000000-0005-0000-0000-0000F1110000}"/>
    <cellStyle name="%_Risks_HU-Risk-dashboard_OracleAppsProjects_Template-Macro_MSHU_BusinessExcellenceDashboardV2.2-May2012-3 3" xfId="8929" xr:uid="{00000000-0005-0000-0000-0000F2110000}"/>
    <cellStyle name="%_Risks_HU-Risk-dashboard_OracleAppsProjects_Template-Macro_MSHU_BusinessExcellenceDashboardV2.2-May2012-3 4" xfId="7731" xr:uid="{00000000-0005-0000-0000-0000F3110000}"/>
    <cellStyle name="%_Risks_HU-Risk-dashboard_OracleAppsProjects_Template-Macro_MSHU_BusinessExcellenceDashboardV2.2-May2012-3 5" xfId="6533" xr:uid="{00000000-0005-0000-0000-0000F4110000}"/>
    <cellStyle name="%_Risks_HU-Risk-dashboard_OracleAppsProjects_Template-Macro_MSHU_BusinessExcellenceDashboardV2.2-May2012-3 6" xfId="5334" xr:uid="{00000000-0005-0000-0000-0000F5110000}"/>
    <cellStyle name="%_Risks_HU-Risk-dashboard_OracleAppsProjects_Template-Macro_MSHU_BusinessExcellenceDashboardV2.2-May2012-3 7" xfId="4135" xr:uid="{00000000-0005-0000-0000-0000F6110000}"/>
    <cellStyle name="%_Risks_HU-Risk-dashboard_OracleAppsProjects_Template-Macro_MSHU_BusinessExcellenceDashboardV2.2-May2012-3_Business Excellence Dashboard-Aug2012-ERP HU (OracleApps)" xfId="1006" xr:uid="{00000000-0005-0000-0000-0000F7110000}"/>
    <cellStyle name="%_Risks_HU-Risk-dashboard_OracleAppsProjects_Template-Macro_MSHU_BusinessExcellenceDashboardV2.2-May2012-3_Business Excellence Dashboard-Aug2012-ERP HU (OracleApps) 2" xfId="10128" xr:uid="{00000000-0005-0000-0000-0000F8110000}"/>
    <cellStyle name="%_Risks_HU-Risk-dashboard_OracleAppsProjects_Template-Macro_MSHU_BusinessExcellenceDashboardV2.2-May2012-3_Business Excellence Dashboard-Aug2012-ERP HU (OracleApps) 3" xfId="8930" xr:uid="{00000000-0005-0000-0000-0000F9110000}"/>
    <cellStyle name="%_Risks_HU-Risk-dashboard_OracleAppsProjects_Template-Macro_MSHU_BusinessExcellenceDashboardV2.2-May2012-3_Business Excellence Dashboard-Aug2012-ERP HU (OracleApps) 4" xfId="7732" xr:uid="{00000000-0005-0000-0000-0000FA110000}"/>
    <cellStyle name="%_Risks_HU-Risk-dashboard_OracleAppsProjects_Template-Macro_MSHU_BusinessExcellenceDashboardV2.2-May2012-3_Business Excellence Dashboard-Aug2012-ERP HU (OracleApps) 5" xfId="6534" xr:uid="{00000000-0005-0000-0000-0000FB110000}"/>
    <cellStyle name="%_Risks_HU-Risk-dashboard_OracleAppsProjects_Template-Macro_MSHU_BusinessExcellenceDashboardV2.2-May2012-3_Business Excellence Dashboard-Aug2012-ERP HU (OracleApps) 6" xfId="5335" xr:uid="{00000000-0005-0000-0000-0000FC110000}"/>
    <cellStyle name="%_Risks_HU-Risk-dashboard_OracleAppsProjects_Template-Macro_MSHU_BusinessExcellenceDashboardV2.2-May2012-3_Business Excellence Dashboard-Aug2012-ERP HU (OracleApps) 7" xfId="4136" xr:uid="{00000000-0005-0000-0000-0000FD110000}"/>
    <cellStyle name="%_Risks_HU-Risk-dashboard_OracleAppsProjects_Template-Macro_MSHU_BusinessExcellenceDashboardV2.2-May2012-3_Business Excellence Dashboard-Jul2012-ERP HU (OracleApps)-consolidated" xfId="1007" xr:uid="{00000000-0005-0000-0000-0000FE110000}"/>
    <cellStyle name="%_Risks_HU-Risk-dashboard_OracleAppsProjects_Template-Macro_MSHU_BusinessExcellenceDashboardV2.2-May2012-3_Business Excellence Dashboard-Jul2012-ERP HU (OracleApps)-consolidated 2" xfId="10129" xr:uid="{00000000-0005-0000-0000-0000FF110000}"/>
    <cellStyle name="%_Risks_HU-Risk-dashboard_OracleAppsProjects_Template-Macro_MSHU_BusinessExcellenceDashboardV2.2-May2012-3_Business Excellence Dashboard-Jul2012-ERP HU (OracleApps)-consolidated 3" xfId="8931" xr:uid="{00000000-0005-0000-0000-000000120000}"/>
    <cellStyle name="%_Risks_HU-Risk-dashboard_OracleAppsProjects_Template-Macro_MSHU_BusinessExcellenceDashboardV2.2-May2012-3_Business Excellence Dashboard-Jul2012-ERP HU (OracleApps)-consolidated 4" xfId="7733" xr:uid="{00000000-0005-0000-0000-000001120000}"/>
    <cellStyle name="%_Risks_HU-Risk-dashboard_OracleAppsProjects_Template-Macro_MSHU_BusinessExcellenceDashboardV2.2-May2012-3_Business Excellence Dashboard-Jul2012-ERP HU (OracleApps)-consolidated 5" xfId="6535" xr:uid="{00000000-0005-0000-0000-000002120000}"/>
    <cellStyle name="%_Risks_HU-Risk-dashboard_OracleAppsProjects_Template-Macro_MSHU_BusinessExcellenceDashboardV2.2-May2012-3_Business Excellence Dashboard-Jul2012-ERP HU (OracleApps)-consolidated 6" xfId="5336" xr:uid="{00000000-0005-0000-0000-000003120000}"/>
    <cellStyle name="%_Risks_HU-Risk-dashboard_OracleAppsProjects_Template-Macro_MSHU_BusinessExcellenceDashboardV2.2-May2012-3_Business Excellence Dashboard-Jul2012-ERP HU (OracleApps)-consolidated 7" xfId="4137" xr:uid="{00000000-0005-0000-0000-000004120000}"/>
    <cellStyle name="%_Risks_HU-Risk-dashboard_OracleAppsProjects_Template-Macro_MSHU_BusinessExcellenceDashboardV2.2-May2012-3_copydatamacro" xfId="1008" xr:uid="{00000000-0005-0000-0000-000005120000}"/>
    <cellStyle name="%_Risks_HU-Risk-dashboard_OracleAppsProjects_Template-Macro_MSHU_BusinessExcellenceDashboardV2.2-May2012-3_copydatamacro 2" xfId="10130" xr:uid="{00000000-0005-0000-0000-000006120000}"/>
    <cellStyle name="%_Risks_HU-Risk-dashboard_OracleAppsProjects_Template-Macro_MSHU_BusinessExcellenceDashboardV2.2-May2012-3_copydatamacro 3" xfId="8932" xr:uid="{00000000-0005-0000-0000-000007120000}"/>
    <cellStyle name="%_Risks_HU-Risk-dashboard_OracleAppsProjects_Template-Macro_MSHU_BusinessExcellenceDashboardV2.2-May2012-3_copydatamacro 4" xfId="7734" xr:uid="{00000000-0005-0000-0000-000008120000}"/>
    <cellStyle name="%_Risks_HU-Risk-dashboard_OracleAppsProjects_Template-Macro_MSHU_BusinessExcellenceDashboardV2.2-May2012-3_copydatamacro 5" xfId="6536" xr:uid="{00000000-0005-0000-0000-000009120000}"/>
    <cellStyle name="%_Risks_HU-Risk-dashboard_OracleAppsProjects_Template-Macro_MSHU_BusinessExcellenceDashboardV2.2-May2012-3_copydatamacro 6" xfId="5337" xr:uid="{00000000-0005-0000-0000-00000A120000}"/>
    <cellStyle name="%_Risks_HU-Risk-dashboard_OracleAppsProjects_Template-Macro_MSHU_BusinessExcellenceDashboardV2.2-May2012-3_copydatamacro 7" xfId="4138" xr:uid="{00000000-0005-0000-0000-00000B120000}"/>
    <cellStyle name="%_Risks_HU-Risk-dashboard_SAPProjects_Template-Macro" xfId="1009" xr:uid="{00000000-0005-0000-0000-00000C120000}"/>
    <cellStyle name="%_Risks_HU-Risk-dashboard_SAPProjects_Template-Macro 2" xfId="10131" xr:uid="{00000000-0005-0000-0000-00000D120000}"/>
    <cellStyle name="%_Risks_HU-Risk-dashboard_SAPProjects_Template-Macro 3" xfId="8933" xr:uid="{00000000-0005-0000-0000-00000E120000}"/>
    <cellStyle name="%_Risks_HU-Risk-dashboard_SAPProjects_Template-Macro 4" xfId="7735" xr:uid="{00000000-0005-0000-0000-00000F120000}"/>
    <cellStyle name="%_Risks_HU-Risk-dashboard_SAPProjects_Template-Macro 5" xfId="6537" xr:uid="{00000000-0005-0000-0000-000010120000}"/>
    <cellStyle name="%_Risks_HU-Risk-dashboard_SAPProjects_Template-Macro 6" xfId="5338" xr:uid="{00000000-0005-0000-0000-000011120000}"/>
    <cellStyle name="%_Risks_HU-Risk-dashboard_SAPProjects_Template-Macro 7" xfId="4139" xr:uid="{00000000-0005-0000-0000-000012120000}"/>
    <cellStyle name="%_Risks_HU-Risk-dashboard_SAPProjects_Template-Macro_2" xfId="1010" xr:uid="{00000000-0005-0000-0000-000013120000}"/>
    <cellStyle name="%_Risks_HU-Risk-dashboard_SAPProjects_Template-Macro_2 2" xfId="10132" xr:uid="{00000000-0005-0000-0000-000014120000}"/>
    <cellStyle name="%_Risks_HU-Risk-dashboard_SAPProjects_Template-Macro_2 3" xfId="8934" xr:uid="{00000000-0005-0000-0000-000015120000}"/>
    <cellStyle name="%_Risks_HU-Risk-dashboard_SAPProjects_Template-Macro_2 4" xfId="7736" xr:uid="{00000000-0005-0000-0000-000016120000}"/>
    <cellStyle name="%_Risks_HU-Risk-dashboard_SAPProjects_Template-Macro_2 5" xfId="6538" xr:uid="{00000000-0005-0000-0000-000017120000}"/>
    <cellStyle name="%_Risks_HU-Risk-dashboard_SAPProjects_Template-Macro_2 6" xfId="5339" xr:uid="{00000000-0005-0000-0000-000018120000}"/>
    <cellStyle name="%_Risks_HU-Risk-dashboard_SAPProjects_Template-Macro_2 7" xfId="4140" xr:uid="{00000000-0005-0000-0000-000019120000}"/>
    <cellStyle name="%_Risks_HU-Risk-dashboard_SAPProjects_Template-Macro_2_1" xfId="1011" xr:uid="{00000000-0005-0000-0000-00001A120000}"/>
    <cellStyle name="%_Risks_HU-Risk-dashboard_SAPProjects_Template-Macro_2_1 2" xfId="10133" xr:uid="{00000000-0005-0000-0000-00001B120000}"/>
    <cellStyle name="%_Risks_HU-Risk-dashboard_SAPProjects_Template-Macro_2_1 3" xfId="8935" xr:uid="{00000000-0005-0000-0000-00001C120000}"/>
    <cellStyle name="%_Risks_HU-Risk-dashboard_SAPProjects_Template-Macro_2_1 4" xfId="7737" xr:uid="{00000000-0005-0000-0000-00001D120000}"/>
    <cellStyle name="%_Risks_HU-Risk-dashboard_SAPProjects_Template-Macro_2_1 5" xfId="6539" xr:uid="{00000000-0005-0000-0000-00001E120000}"/>
    <cellStyle name="%_Risks_HU-Risk-dashboard_SAPProjects_Template-Macro_2_1 6" xfId="5340" xr:uid="{00000000-0005-0000-0000-00001F120000}"/>
    <cellStyle name="%_Risks_HU-Risk-dashboard_SAPProjects_Template-Macro_2_1 7" xfId="4141" xr:uid="{00000000-0005-0000-0000-000020120000}"/>
    <cellStyle name="%_Risks_HU-Risk-dashboard_SAPProjects_Template-Macro_2_1_Business Excellence Dashboard-Aug2012-ERP HU (OracleApps)" xfId="1012" xr:uid="{00000000-0005-0000-0000-000021120000}"/>
    <cellStyle name="%_Risks_HU-Risk-dashboard_SAPProjects_Template-Macro_2_1_Business Excellence Dashboard-Aug2012-ERP HU (OracleApps) 2" xfId="10134" xr:uid="{00000000-0005-0000-0000-000022120000}"/>
    <cellStyle name="%_Risks_HU-Risk-dashboard_SAPProjects_Template-Macro_2_1_Business Excellence Dashboard-Aug2012-ERP HU (OracleApps) 3" xfId="8936" xr:uid="{00000000-0005-0000-0000-000023120000}"/>
    <cellStyle name="%_Risks_HU-Risk-dashboard_SAPProjects_Template-Macro_2_1_Business Excellence Dashboard-Aug2012-ERP HU (OracleApps) 4" xfId="7738" xr:uid="{00000000-0005-0000-0000-000024120000}"/>
    <cellStyle name="%_Risks_HU-Risk-dashboard_SAPProjects_Template-Macro_2_1_Business Excellence Dashboard-Aug2012-ERP HU (OracleApps) 5" xfId="6540" xr:uid="{00000000-0005-0000-0000-000025120000}"/>
    <cellStyle name="%_Risks_HU-Risk-dashboard_SAPProjects_Template-Macro_2_1_Business Excellence Dashboard-Aug2012-ERP HU (OracleApps) 6" xfId="5341" xr:uid="{00000000-0005-0000-0000-000026120000}"/>
    <cellStyle name="%_Risks_HU-Risk-dashboard_SAPProjects_Template-Macro_2_1_Business Excellence Dashboard-Aug2012-ERP HU (OracleApps) 7" xfId="4142" xr:uid="{00000000-0005-0000-0000-000027120000}"/>
    <cellStyle name="%_Risks_HU-Risk-dashboard_SAPProjects_Template-Macro_2_2" xfId="1013" xr:uid="{00000000-0005-0000-0000-000028120000}"/>
    <cellStyle name="%_Risks_HU-Risk-dashboard_SAPProjects_Template-Macro_2_2 2" xfId="10135" xr:uid="{00000000-0005-0000-0000-000029120000}"/>
    <cellStyle name="%_Risks_HU-Risk-dashboard_SAPProjects_Template-Macro_2_2 3" xfId="8937" xr:uid="{00000000-0005-0000-0000-00002A120000}"/>
    <cellStyle name="%_Risks_HU-Risk-dashboard_SAPProjects_Template-Macro_2_2 4" xfId="7739" xr:uid="{00000000-0005-0000-0000-00002B120000}"/>
    <cellStyle name="%_Risks_HU-Risk-dashboard_SAPProjects_Template-Macro_2_2 5" xfId="6541" xr:uid="{00000000-0005-0000-0000-00002C120000}"/>
    <cellStyle name="%_Risks_HU-Risk-dashboard_SAPProjects_Template-Macro_2_2 6" xfId="5342" xr:uid="{00000000-0005-0000-0000-00002D120000}"/>
    <cellStyle name="%_Risks_HU-Risk-dashboard_SAPProjects_Template-Macro_2_2 7" xfId="4143" xr:uid="{00000000-0005-0000-0000-00002E120000}"/>
    <cellStyle name="%_Risks_HU-Risk-dashboard_SAPProjects_Template-Macro_2_Business Excellence Dashboard-Aug2012-ERP HU (OracleApps)" xfId="1014" xr:uid="{00000000-0005-0000-0000-00002F120000}"/>
    <cellStyle name="%_Risks_HU-Risk-dashboard_SAPProjects_Template-Macro_2_Business Excellence Dashboard-Aug2012-ERP HU (OracleApps) 2" xfId="10136" xr:uid="{00000000-0005-0000-0000-000030120000}"/>
    <cellStyle name="%_Risks_HU-Risk-dashboard_SAPProjects_Template-Macro_2_Business Excellence Dashboard-Aug2012-ERP HU (OracleApps) 3" xfId="8938" xr:uid="{00000000-0005-0000-0000-000031120000}"/>
    <cellStyle name="%_Risks_HU-Risk-dashboard_SAPProjects_Template-Macro_2_Business Excellence Dashboard-Aug2012-ERP HU (OracleApps) 4" xfId="7740" xr:uid="{00000000-0005-0000-0000-000032120000}"/>
    <cellStyle name="%_Risks_HU-Risk-dashboard_SAPProjects_Template-Macro_2_Business Excellence Dashboard-Aug2012-ERP HU (OracleApps) 5" xfId="6542" xr:uid="{00000000-0005-0000-0000-000033120000}"/>
    <cellStyle name="%_Risks_HU-Risk-dashboard_SAPProjects_Template-Macro_2_Business Excellence Dashboard-Aug2012-ERP HU (OracleApps) 6" xfId="5343" xr:uid="{00000000-0005-0000-0000-000034120000}"/>
    <cellStyle name="%_Risks_HU-Risk-dashboard_SAPProjects_Template-Macro_2_Business Excellence Dashboard-Aug2012-ERP HU (OracleApps) 7" xfId="4144" xr:uid="{00000000-0005-0000-0000-000035120000}"/>
    <cellStyle name="%_Risks_HU-Risk-dashboard_SAPProjects_Template-Macro_2_Business Excellence Dashboard-Jul2012-ERP HU (OracleApps)-consolidated" xfId="1015" xr:uid="{00000000-0005-0000-0000-000036120000}"/>
    <cellStyle name="%_Risks_HU-Risk-dashboard_SAPProjects_Template-Macro_2_Business Excellence Dashboard-Jul2012-ERP HU (OracleApps)-consolidated 2" xfId="10137" xr:uid="{00000000-0005-0000-0000-000037120000}"/>
    <cellStyle name="%_Risks_HU-Risk-dashboard_SAPProjects_Template-Macro_2_Business Excellence Dashboard-Jul2012-ERP HU (OracleApps)-consolidated 3" xfId="8939" xr:uid="{00000000-0005-0000-0000-000038120000}"/>
    <cellStyle name="%_Risks_HU-Risk-dashboard_SAPProjects_Template-Macro_2_Business Excellence Dashboard-Jul2012-ERP HU (OracleApps)-consolidated 4" xfId="7741" xr:uid="{00000000-0005-0000-0000-000039120000}"/>
    <cellStyle name="%_Risks_HU-Risk-dashboard_SAPProjects_Template-Macro_2_Business Excellence Dashboard-Jul2012-ERP HU (OracleApps)-consolidated 5" xfId="6543" xr:uid="{00000000-0005-0000-0000-00003A120000}"/>
    <cellStyle name="%_Risks_HU-Risk-dashboard_SAPProjects_Template-Macro_2_Business Excellence Dashboard-Jul2012-ERP HU (OracleApps)-consolidated 6" xfId="5344" xr:uid="{00000000-0005-0000-0000-00003B120000}"/>
    <cellStyle name="%_Risks_HU-Risk-dashboard_SAPProjects_Template-Macro_2_Business Excellence Dashboard-Jul2012-ERP HU (OracleApps)-consolidated 7" xfId="4145" xr:uid="{00000000-0005-0000-0000-00003C120000}"/>
    <cellStyle name="%_Risks_HU-Risk-dashboard_SAPProjects_Template-Macro_2_copydatamacro" xfId="1016" xr:uid="{00000000-0005-0000-0000-00003D120000}"/>
    <cellStyle name="%_Risks_HU-Risk-dashboard_SAPProjects_Template-Macro_2_copydatamacro 2" xfId="10138" xr:uid="{00000000-0005-0000-0000-00003E120000}"/>
    <cellStyle name="%_Risks_HU-Risk-dashboard_SAPProjects_Template-Macro_2_copydatamacro 3" xfId="8940" xr:uid="{00000000-0005-0000-0000-00003F120000}"/>
    <cellStyle name="%_Risks_HU-Risk-dashboard_SAPProjects_Template-Macro_2_copydatamacro 4" xfId="7742" xr:uid="{00000000-0005-0000-0000-000040120000}"/>
    <cellStyle name="%_Risks_HU-Risk-dashboard_SAPProjects_Template-Macro_2_copydatamacro 5" xfId="6544" xr:uid="{00000000-0005-0000-0000-000041120000}"/>
    <cellStyle name="%_Risks_HU-Risk-dashboard_SAPProjects_Template-Macro_2_copydatamacro 6" xfId="5345" xr:uid="{00000000-0005-0000-0000-000042120000}"/>
    <cellStyle name="%_Risks_HU-Risk-dashboard_SAPProjects_Template-Macro_2_copydatamacro 7" xfId="4146" xr:uid="{00000000-0005-0000-0000-000043120000}"/>
    <cellStyle name="%_Risks_HU-Risk-dashboard_SAPProjects_Template-Macro_Book1" xfId="1017" xr:uid="{00000000-0005-0000-0000-000044120000}"/>
    <cellStyle name="%_Risks_HU-Risk-dashboard_SAPProjects_Template-Macro_Book1 2" xfId="10139" xr:uid="{00000000-0005-0000-0000-000045120000}"/>
    <cellStyle name="%_Risks_HU-Risk-dashboard_SAPProjects_Template-Macro_Book1 3" xfId="8941" xr:uid="{00000000-0005-0000-0000-000046120000}"/>
    <cellStyle name="%_Risks_HU-Risk-dashboard_SAPProjects_Template-Macro_Book1 4" xfId="7743" xr:uid="{00000000-0005-0000-0000-000047120000}"/>
    <cellStyle name="%_Risks_HU-Risk-dashboard_SAPProjects_Template-Macro_Book1 5" xfId="6545" xr:uid="{00000000-0005-0000-0000-000048120000}"/>
    <cellStyle name="%_Risks_HU-Risk-dashboard_SAPProjects_Template-Macro_Book1 6" xfId="5346" xr:uid="{00000000-0005-0000-0000-000049120000}"/>
    <cellStyle name="%_Risks_HU-Risk-dashboard_SAPProjects_Template-Macro_Book1 7" xfId="4147" xr:uid="{00000000-0005-0000-0000-00004A120000}"/>
    <cellStyle name="%_Risks_HU-Risk-dashboard_SAPProjects_Template-Macro_Book1_Business Excellence Dashboard-Aug2012-ERP HU (OracleApps)" xfId="1018" xr:uid="{00000000-0005-0000-0000-00004B120000}"/>
    <cellStyle name="%_Risks_HU-Risk-dashboard_SAPProjects_Template-Macro_Book1_Business Excellence Dashboard-Aug2012-ERP HU (OracleApps) 2" xfId="10140" xr:uid="{00000000-0005-0000-0000-00004C120000}"/>
    <cellStyle name="%_Risks_HU-Risk-dashboard_SAPProjects_Template-Macro_Book1_Business Excellence Dashboard-Aug2012-ERP HU (OracleApps) 3" xfId="8942" xr:uid="{00000000-0005-0000-0000-00004D120000}"/>
    <cellStyle name="%_Risks_HU-Risk-dashboard_SAPProjects_Template-Macro_Book1_Business Excellence Dashboard-Aug2012-ERP HU (OracleApps) 4" xfId="7744" xr:uid="{00000000-0005-0000-0000-00004E120000}"/>
    <cellStyle name="%_Risks_HU-Risk-dashboard_SAPProjects_Template-Macro_Book1_Business Excellence Dashboard-Aug2012-ERP HU (OracleApps) 5" xfId="6546" xr:uid="{00000000-0005-0000-0000-00004F120000}"/>
    <cellStyle name="%_Risks_HU-Risk-dashboard_SAPProjects_Template-Macro_Book1_Business Excellence Dashboard-Aug2012-ERP HU (OracleApps) 6" xfId="5347" xr:uid="{00000000-0005-0000-0000-000050120000}"/>
    <cellStyle name="%_Risks_HU-Risk-dashboard_SAPProjects_Template-Macro_Book1_Business Excellence Dashboard-Aug2012-ERP HU (OracleApps) 7" xfId="4148" xr:uid="{00000000-0005-0000-0000-000051120000}"/>
    <cellStyle name="%_Risks_HU-Risk-dashboard_SAPProjects_Template-Macro_Book1_Business Excellence Dashboard-Jul2012-ERP HU (OracleApps)-consolidated" xfId="1019" xr:uid="{00000000-0005-0000-0000-000052120000}"/>
    <cellStyle name="%_Risks_HU-Risk-dashboard_SAPProjects_Template-Macro_Book1_Business Excellence Dashboard-Jul2012-ERP HU (OracleApps)-consolidated 2" xfId="10141" xr:uid="{00000000-0005-0000-0000-000053120000}"/>
    <cellStyle name="%_Risks_HU-Risk-dashboard_SAPProjects_Template-Macro_Book1_Business Excellence Dashboard-Jul2012-ERP HU (OracleApps)-consolidated 3" xfId="8943" xr:uid="{00000000-0005-0000-0000-000054120000}"/>
    <cellStyle name="%_Risks_HU-Risk-dashboard_SAPProjects_Template-Macro_Book1_Business Excellence Dashboard-Jul2012-ERP HU (OracleApps)-consolidated 4" xfId="7745" xr:uid="{00000000-0005-0000-0000-000055120000}"/>
    <cellStyle name="%_Risks_HU-Risk-dashboard_SAPProjects_Template-Macro_Book1_Business Excellence Dashboard-Jul2012-ERP HU (OracleApps)-consolidated 5" xfId="6547" xr:uid="{00000000-0005-0000-0000-000056120000}"/>
    <cellStyle name="%_Risks_HU-Risk-dashboard_SAPProjects_Template-Macro_Book1_Business Excellence Dashboard-Jul2012-ERP HU (OracleApps)-consolidated 6" xfId="5348" xr:uid="{00000000-0005-0000-0000-000057120000}"/>
    <cellStyle name="%_Risks_HU-Risk-dashboard_SAPProjects_Template-Macro_Book1_Business Excellence Dashboard-Jul2012-ERP HU (OracleApps)-consolidated 7" xfId="4149" xr:uid="{00000000-0005-0000-0000-000058120000}"/>
    <cellStyle name="%_Risks_HU-Risk-dashboard_SAPProjects_Template-Macro_Book1_copydatamacro" xfId="1020" xr:uid="{00000000-0005-0000-0000-000059120000}"/>
    <cellStyle name="%_Risks_HU-Risk-dashboard_SAPProjects_Template-Macro_Book1_copydatamacro 2" xfId="10142" xr:uid="{00000000-0005-0000-0000-00005A120000}"/>
    <cellStyle name="%_Risks_HU-Risk-dashboard_SAPProjects_Template-Macro_Book1_copydatamacro 3" xfId="8944" xr:uid="{00000000-0005-0000-0000-00005B120000}"/>
    <cellStyle name="%_Risks_HU-Risk-dashboard_SAPProjects_Template-Macro_Book1_copydatamacro 4" xfId="7746" xr:uid="{00000000-0005-0000-0000-00005C120000}"/>
    <cellStyle name="%_Risks_HU-Risk-dashboard_SAPProjects_Template-Macro_Book1_copydatamacro 5" xfId="6548" xr:uid="{00000000-0005-0000-0000-00005D120000}"/>
    <cellStyle name="%_Risks_HU-Risk-dashboard_SAPProjects_Template-Macro_Book1_copydatamacro 6" xfId="5349" xr:uid="{00000000-0005-0000-0000-00005E120000}"/>
    <cellStyle name="%_Risks_HU-Risk-dashboard_SAPProjects_Template-Macro_Book1_copydatamacro 7" xfId="4150" xr:uid="{00000000-0005-0000-0000-00005F120000}"/>
    <cellStyle name="%_Risks_HU-Risk-dashboard_SAPProjects_Template-Macro_Business Excellence Dashboard-Aug2012-ERP HU (OracleApps)" xfId="1021" xr:uid="{00000000-0005-0000-0000-000060120000}"/>
    <cellStyle name="%_Risks_HU-Risk-dashboard_SAPProjects_Template-Macro_Business Excellence Dashboard-Aug2012-ERP HU (OracleApps) 2" xfId="10143" xr:uid="{00000000-0005-0000-0000-000061120000}"/>
    <cellStyle name="%_Risks_HU-Risk-dashboard_SAPProjects_Template-Macro_Business Excellence Dashboard-Aug2012-ERP HU (OracleApps) 3" xfId="8945" xr:uid="{00000000-0005-0000-0000-000062120000}"/>
    <cellStyle name="%_Risks_HU-Risk-dashboard_SAPProjects_Template-Macro_Business Excellence Dashboard-Aug2012-ERP HU (OracleApps) 4" xfId="7747" xr:uid="{00000000-0005-0000-0000-000063120000}"/>
    <cellStyle name="%_Risks_HU-Risk-dashboard_SAPProjects_Template-Macro_Business Excellence Dashboard-Aug2012-ERP HU (OracleApps) 5" xfId="6549" xr:uid="{00000000-0005-0000-0000-000064120000}"/>
    <cellStyle name="%_Risks_HU-Risk-dashboard_SAPProjects_Template-Macro_Business Excellence Dashboard-Aug2012-ERP HU (OracleApps) 6" xfId="5350" xr:uid="{00000000-0005-0000-0000-000065120000}"/>
    <cellStyle name="%_Risks_HU-Risk-dashboard_SAPProjects_Template-Macro_Business Excellence Dashboard-Aug2012-ERP HU (OracleApps) 7" xfId="4151" xr:uid="{00000000-0005-0000-0000-000066120000}"/>
    <cellStyle name="%_Risks_HU-Risk-dashboard_SAPProjects_Template-Macro_Business Excellence Dashboard-Jul2012-ERP HU (OracleApps)-consolidated" xfId="1022" xr:uid="{00000000-0005-0000-0000-000067120000}"/>
    <cellStyle name="%_Risks_HU-Risk-dashboard_SAPProjects_Template-Macro_Business Excellence Dashboard-Jul2012-ERP HU (OracleApps)-consolidated 2" xfId="10144" xr:uid="{00000000-0005-0000-0000-000068120000}"/>
    <cellStyle name="%_Risks_HU-Risk-dashboard_SAPProjects_Template-Macro_Business Excellence Dashboard-Jul2012-ERP HU (OracleApps)-consolidated 3" xfId="8946" xr:uid="{00000000-0005-0000-0000-000069120000}"/>
    <cellStyle name="%_Risks_HU-Risk-dashboard_SAPProjects_Template-Macro_Business Excellence Dashboard-Jul2012-ERP HU (OracleApps)-consolidated 4" xfId="7748" xr:uid="{00000000-0005-0000-0000-00006A120000}"/>
    <cellStyle name="%_Risks_HU-Risk-dashboard_SAPProjects_Template-Macro_Business Excellence Dashboard-Jul2012-ERP HU (OracleApps)-consolidated 5" xfId="6550" xr:uid="{00000000-0005-0000-0000-00006B120000}"/>
    <cellStyle name="%_Risks_HU-Risk-dashboard_SAPProjects_Template-Macro_Business Excellence Dashboard-Jul2012-ERP HU (OracleApps)-consolidated 6" xfId="5351" xr:uid="{00000000-0005-0000-0000-00006C120000}"/>
    <cellStyle name="%_Risks_HU-Risk-dashboard_SAPProjects_Template-Macro_Business Excellence Dashboard-Jul2012-ERP HU (OracleApps)-consolidated 7" xfId="4152" xr:uid="{00000000-0005-0000-0000-00006D120000}"/>
    <cellStyle name="%_Risks_HU-Risk-dashboard_SAPProjects_Template-Macro_copydatamacro" xfId="1023" xr:uid="{00000000-0005-0000-0000-00006E120000}"/>
    <cellStyle name="%_Risks_HU-Risk-dashboard_SAPProjects_Template-Macro_copydatamacro 2" xfId="10145" xr:uid="{00000000-0005-0000-0000-00006F120000}"/>
    <cellStyle name="%_Risks_HU-Risk-dashboard_SAPProjects_Template-Macro_copydatamacro 3" xfId="8947" xr:uid="{00000000-0005-0000-0000-000070120000}"/>
    <cellStyle name="%_Risks_HU-Risk-dashboard_SAPProjects_Template-Macro_copydatamacro 4" xfId="7749" xr:uid="{00000000-0005-0000-0000-000071120000}"/>
    <cellStyle name="%_Risks_HU-Risk-dashboard_SAPProjects_Template-Macro_copydatamacro 5" xfId="6551" xr:uid="{00000000-0005-0000-0000-000072120000}"/>
    <cellStyle name="%_Risks_HU-Risk-dashboard_SAPProjects_Template-Macro_copydatamacro 6" xfId="5352" xr:uid="{00000000-0005-0000-0000-000073120000}"/>
    <cellStyle name="%_Risks_HU-Risk-dashboard_SAPProjects_Template-Macro_copydatamacro 7" xfId="4153" xr:uid="{00000000-0005-0000-0000-000074120000}"/>
    <cellStyle name="%_Risks_HU-Risk-dashboard_SAPProjects_Template-Macro_MSHU_BusinessExcellenceDashboardV2.2-May2012-3" xfId="1024" xr:uid="{00000000-0005-0000-0000-000075120000}"/>
    <cellStyle name="%_Risks_HU-Risk-dashboard_SAPProjects_Template-Macro_MSHU_BusinessExcellenceDashboardV2.2-May2012-3 2" xfId="10146" xr:uid="{00000000-0005-0000-0000-000076120000}"/>
    <cellStyle name="%_Risks_HU-Risk-dashboard_SAPProjects_Template-Macro_MSHU_BusinessExcellenceDashboardV2.2-May2012-3 3" xfId="8948" xr:uid="{00000000-0005-0000-0000-000077120000}"/>
    <cellStyle name="%_Risks_HU-Risk-dashboard_SAPProjects_Template-Macro_MSHU_BusinessExcellenceDashboardV2.2-May2012-3 4" xfId="7750" xr:uid="{00000000-0005-0000-0000-000078120000}"/>
    <cellStyle name="%_Risks_HU-Risk-dashboard_SAPProjects_Template-Macro_MSHU_BusinessExcellenceDashboardV2.2-May2012-3 5" xfId="6552" xr:uid="{00000000-0005-0000-0000-000079120000}"/>
    <cellStyle name="%_Risks_HU-Risk-dashboard_SAPProjects_Template-Macro_MSHU_BusinessExcellenceDashboardV2.2-May2012-3 6" xfId="5353" xr:uid="{00000000-0005-0000-0000-00007A120000}"/>
    <cellStyle name="%_Risks_HU-Risk-dashboard_SAPProjects_Template-Macro_MSHU_BusinessExcellenceDashboardV2.2-May2012-3 7" xfId="4154" xr:uid="{00000000-0005-0000-0000-00007B120000}"/>
    <cellStyle name="%_Risks_HU-Risk-dashboard_SAPProjects_Template-Macro_MSHU_BusinessExcellenceDashboardV2.2-May2012-3_Business Excellence Dashboard-Aug2012-ERP HU (OracleApps)" xfId="1025" xr:uid="{00000000-0005-0000-0000-00007C120000}"/>
    <cellStyle name="%_Risks_HU-Risk-dashboard_SAPProjects_Template-Macro_MSHU_BusinessExcellenceDashboardV2.2-May2012-3_Business Excellence Dashboard-Aug2012-ERP HU (OracleApps) 2" xfId="10147" xr:uid="{00000000-0005-0000-0000-00007D120000}"/>
    <cellStyle name="%_Risks_HU-Risk-dashboard_SAPProjects_Template-Macro_MSHU_BusinessExcellenceDashboardV2.2-May2012-3_Business Excellence Dashboard-Aug2012-ERP HU (OracleApps) 3" xfId="8949" xr:uid="{00000000-0005-0000-0000-00007E120000}"/>
    <cellStyle name="%_Risks_HU-Risk-dashboard_SAPProjects_Template-Macro_MSHU_BusinessExcellenceDashboardV2.2-May2012-3_Business Excellence Dashboard-Aug2012-ERP HU (OracleApps) 4" xfId="7751" xr:uid="{00000000-0005-0000-0000-00007F120000}"/>
    <cellStyle name="%_Risks_HU-Risk-dashboard_SAPProjects_Template-Macro_MSHU_BusinessExcellenceDashboardV2.2-May2012-3_Business Excellence Dashboard-Aug2012-ERP HU (OracleApps) 5" xfId="6553" xr:uid="{00000000-0005-0000-0000-000080120000}"/>
    <cellStyle name="%_Risks_HU-Risk-dashboard_SAPProjects_Template-Macro_MSHU_BusinessExcellenceDashboardV2.2-May2012-3_Business Excellence Dashboard-Aug2012-ERP HU (OracleApps) 6" xfId="5354" xr:uid="{00000000-0005-0000-0000-000081120000}"/>
    <cellStyle name="%_Risks_HU-Risk-dashboard_SAPProjects_Template-Macro_MSHU_BusinessExcellenceDashboardV2.2-May2012-3_Business Excellence Dashboard-Aug2012-ERP HU (OracleApps) 7" xfId="4155" xr:uid="{00000000-0005-0000-0000-000082120000}"/>
    <cellStyle name="%_Risks_HU-Risk-dashboard_SAPProjects_Template-Macro_MSHU_BusinessExcellenceDashboardV2.2-May2012-3_Business Excellence Dashboard-Jul2012-ERP HU (OracleApps)-consolidated" xfId="1026" xr:uid="{00000000-0005-0000-0000-000083120000}"/>
    <cellStyle name="%_Risks_HU-Risk-dashboard_SAPProjects_Template-Macro_MSHU_BusinessExcellenceDashboardV2.2-May2012-3_Business Excellence Dashboard-Jul2012-ERP HU (OracleApps)-consolidated 2" xfId="10148" xr:uid="{00000000-0005-0000-0000-000084120000}"/>
    <cellStyle name="%_Risks_HU-Risk-dashboard_SAPProjects_Template-Macro_MSHU_BusinessExcellenceDashboardV2.2-May2012-3_Business Excellence Dashboard-Jul2012-ERP HU (OracleApps)-consolidated 3" xfId="8950" xr:uid="{00000000-0005-0000-0000-000085120000}"/>
    <cellStyle name="%_Risks_HU-Risk-dashboard_SAPProjects_Template-Macro_MSHU_BusinessExcellenceDashboardV2.2-May2012-3_Business Excellence Dashboard-Jul2012-ERP HU (OracleApps)-consolidated 4" xfId="7752" xr:uid="{00000000-0005-0000-0000-000086120000}"/>
    <cellStyle name="%_Risks_HU-Risk-dashboard_SAPProjects_Template-Macro_MSHU_BusinessExcellenceDashboardV2.2-May2012-3_Business Excellence Dashboard-Jul2012-ERP HU (OracleApps)-consolidated 5" xfId="6554" xr:uid="{00000000-0005-0000-0000-000087120000}"/>
    <cellStyle name="%_Risks_HU-Risk-dashboard_SAPProjects_Template-Macro_MSHU_BusinessExcellenceDashboardV2.2-May2012-3_Business Excellence Dashboard-Jul2012-ERP HU (OracleApps)-consolidated 6" xfId="5355" xr:uid="{00000000-0005-0000-0000-000088120000}"/>
    <cellStyle name="%_Risks_HU-Risk-dashboard_SAPProjects_Template-Macro_MSHU_BusinessExcellenceDashboardV2.2-May2012-3_Business Excellence Dashboard-Jul2012-ERP HU (OracleApps)-consolidated 7" xfId="4156" xr:uid="{00000000-0005-0000-0000-000089120000}"/>
    <cellStyle name="%_Risks_HU-Risk-dashboard_SAPProjects_Template-Macro_MSHU_BusinessExcellenceDashboardV2.2-May2012-3_copydatamacro" xfId="1027" xr:uid="{00000000-0005-0000-0000-00008A120000}"/>
    <cellStyle name="%_Risks_HU-Risk-dashboard_SAPProjects_Template-Macro_MSHU_BusinessExcellenceDashboardV2.2-May2012-3_copydatamacro 2" xfId="10149" xr:uid="{00000000-0005-0000-0000-00008B120000}"/>
    <cellStyle name="%_Risks_HU-Risk-dashboard_SAPProjects_Template-Macro_MSHU_BusinessExcellenceDashboardV2.2-May2012-3_copydatamacro 3" xfId="8951" xr:uid="{00000000-0005-0000-0000-00008C120000}"/>
    <cellStyle name="%_Risks_HU-Risk-dashboard_SAPProjects_Template-Macro_MSHU_BusinessExcellenceDashboardV2.2-May2012-3_copydatamacro 4" xfId="7753" xr:uid="{00000000-0005-0000-0000-00008D120000}"/>
    <cellStyle name="%_Risks_HU-Risk-dashboard_SAPProjects_Template-Macro_MSHU_BusinessExcellenceDashboardV2.2-May2012-3_copydatamacro 5" xfId="6555" xr:uid="{00000000-0005-0000-0000-00008E120000}"/>
    <cellStyle name="%_Risks_HU-Risk-dashboard_SAPProjects_Template-Macro_MSHU_BusinessExcellenceDashboardV2.2-May2012-3_copydatamacro 6" xfId="5356" xr:uid="{00000000-0005-0000-0000-00008F120000}"/>
    <cellStyle name="%_Risks_HU-Risk-dashboard_SAPProjects_Template-Macro_MSHU_BusinessExcellenceDashboardV2.2-May2012-3_copydatamacro 7" xfId="4157" xr:uid="{00000000-0005-0000-0000-000090120000}"/>
    <cellStyle name="%_Risks_MSHU_BusinessExcellenceDashboardV2.2-May2012-3" xfId="1028" xr:uid="{00000000-0005-0000-0000-000091120000}"/>
    <cellStyle name="%_Risks_MSHU_BusinessExcellenceDashboardV2.2-May2012-3 2" xfId="10150" xr:uid="{00000000-0005-0000-0000-000092120000}"/>
    <cellStyle name="%_Risks_MSHU_BusinessExcellenceDashboardV2.2-May2012-3 3" xfId="8952" xr:uid="{00000000-0005-0000-0000-000093120000}"/>
    <cellStyle name="%_Risks_MSHU_BusinessExcellenceDashboardV2.2-May2012-3 4" xfId="7754" xr:uid="{00000000-0005-0000-0000-000094120000}"/>
    <cellStyle name="%_Risks_MSHU_BusinessExcellenceDashboardV2.2-May2012-3 5" xfId="6556" xr:uid="{00000000-0005-0000-0000-000095120000}"/>
    <cellStyle name="%_Risks_MSHU_BusinessExcellenceDashboardV2.2-May2012-3 6" xfId="5357" xr:uid="{00000000-0005-0000-0000-000096120000}"/>
    <cellStyle name="%_Risks_MSHU_BusinessExcellenceDashboardV2.2-May2012-3 7" xfId="4158" xr:uid="{00000000-0005-0000-0000-000097120000}"/>
    <cellStyle name="%_Risks_MSHU_BusinessExcellenceDashboardV2.2-May2012-3_Business Excellence Dashboard-Aug2012-ERP HU (OracleApps)" xfId="1029" xr:uid="{00000000-0005-0000-0000-000098120000}"/>
    <cellStyle name="%_Risks_MSHU_BusinessExcellenceDashboardV2.2-May2012-3_Business Excellence Dashboard-Aug2012-ERP HU (OracleApps) 2" xfId="10151" xr:uid="{00000000-0005-0000-0000-000099120000}"/>
    <cellStyle name="%_Risks_MSHU_BusinessExcellenceDashboardV2.2-May2012-3_Business Excellence Dashboard-Aug2012-ERP HU (OracleApps) 3" xfId="8953" xr:uid="{00000000-0005-0000-0000-00009A120000}"/>
    <cellStyle name="%_Risks_MSHU_BusinessExcellenceDashboardV2.2-May2012-3_Business Excellence Dashboard-Aug2012-ERP HU (OracleApps) 4" xfId="7755" xr:uid="{00000000-0005-0000-0000-00009B120000}"/>
    <cellStyle name="%_Risks_MSHU_BusinessExcellenceDashboardV2.2-May2012-3_Business Excellence Dashboard-Aug2012-ERP HU (OracleApps) 5" xfId="6557" xr:uid="{00000000-0005-0000-0000-00009C120000}"/>
    <cellStyle name="%_Risks_MSHU_BusinessExcellenceDashboardV2.2-May2012-3_Business Excellence Dashboard-Aug2012-ERP HU (OracleApps) 6" xfId="5358" xr:uid="{00000000-0005-0000-0000-00009D120000}"/>
    <cellStyle name="%_Risks_MSHU_BusinessExcellenceDashboardV2.2-May2012-3_Business Excellence Dashboard-Aug2012-ERP HU (OracleApps) 7" xfId="4159" xr:uid="{00000000-0005-0000-0000-00009E120000}"/>
    <cellStyle name="%_Risks_MSHU_BusinessExcellenceDashboardV2.2-May2012-3_Business Excellence Dashboard-Jul2012-ERP HU (OracleApps)-consolidated" xfId="1030" xr:uid="{00000000-0005-0000-0000-00009F120000}"/>
    <cellStyle name="%_Risks_MSHU_BusinessExcellenceDashboardV2.2-May2012-3_Business Excellence Dashboard-Jul2012-ERP HU (OracleApps)-consolidated 2" xfId="10152" xr:uid="{00000000-0005-0000-0000-0000A0120000}"/>
    <cellStyle name="%_Risks_MSHU_BusinessExcellenceDashboardV2.2-May2012-3_Business Excellence Dashboard-Jul2012-ERP HU (OracleApps)-consolidated 3" xfId="8954" xr:uid="{00000000-0005-0000-0000-0000A1120000}"/>
    <cellStyle name="%_Risks_MSHU_BusinessExcellenceDashboardV2.2-May2012-3_Business Excellence Dashboard-Jul2012-ERP HU (OracleApps)-consolidated 4" xfId="7756" xr:uid="{00000000-0005-0000-0000-0000A2120000}"/>
    <cellStyle name="%_Risks_MSHU_BusinessExcellenceDashboardV2.2-May2012-3_Business Excellence Dashboard-Jul2012-ERP HU (OracleApps)-consolidated 5" xfId="6558" xr:uid="{00000000-0005-0000-0000-0000A3120000}"/>
    <cellStyle name="%_Risks_MSHU_BusinessExcellenceDashboardV2.2-May2012-3_Business Excellence Dashboard-Jul2012-ERP HU (OracleApps)-consolidated 6" xfId="5359" xr:uid="{00000000-0005-0000-0000-0000A4120000}"/>
    <cellStyle name="%_Risks_MSHU_BusinessExcellenceDashboardV2.2-May2012-3_Business Excellence Dashboard-Jul2012-ERP HU (OracleApps)-consolidated 7" xfId="4160" xr:uid="{00000000-0005-0000-0000-0000A5120000}"/>
    <cellStyle name="%_Risks_MSHU_BusinessExcellenceDashboardV2.2-May2012-3_copydatamacro" xfId="1031" xr:uid="{00000000-0005-0000-0000-0000A6120000}"/>
    <cellStyle name="%_Risks_MSHU_BusinessExcellenceDashboardV2.2-May2012-3_copydatamacro 2" xfId="10153" xr:uid="{00000000-0005-0000-0000-0000A7120000}"/>
    <cellStyle name="%_Risks_MSHU_BusinessExcellenceDashboardV2.2-May2012-3_copydatamacro 3" xfId="8955" xr:uid="{00000000-0005-0000-0000-0000A8120000}"/>
    <cellStyle name="%_Risks_MSHU_BusinessExcellenceDashboardV2.2-May2012-3_copydatamacro 4" xfId="7757" xr:uid="{00000000-0005-0000-0000-0000A9120000}"/>
    <cellStyle name="%_Risks_MSHU_BusinessExcellenceDashboardV2.2-May2012-3_copydatamacro 5" xfId="6559" xr:uid="{00000000-0005-0000-0000-0000AA120000}"/>
    <cellStyle name="%_Risks_MSHU_BusinessExcellenceDashboardV2.2-May2012-3_copydatamacro 6" xfId="5360" xr:uid="{00000000-0005-0000-0000-0000AB120000}"/>
    <cellStyle name="%_Risks_MSHU_BusinessExcellenceDashboardV2.2-May2012-3_copydatamacro 7" xfId="4161" xr:uid="{00000000-0005-0000-0000-0000AC120000}"/>
    <cellStyle name="%_Risks_OS HU Dashboard Apr 2012-macro-08May" xfId="1032" xr:uid="{00000000-0005-0000-0000-0000AD120000}"/>
    <cellStyle name="%_Risks_OS HU Dashboard Apr 2012-macro-08May 2" xfId="10154" xr:uid="{00000000-0005-0000-0000-0000AE120000}"/>
    <cellStyle name="%_Risks_OS HU Dashboard Apr 2012-macro-08May 3" xfId="8956" xr:uid="{00000000-0005-0000-0000-0000AF120000}"/>
    <cellStyle name="%_Risks_OS HU Dashboard Apr 2012-macro-08May 4" xfId="7758" xr:uid="{00000000-0005-0000-0000-0000B0120000}"/>
    <cellStyle name="%_Risks_OS HU Dashboard Apr 2012-macro-08May 5" xfId="6560" xr:uid="{00000000-0005-0000-0000-0000B1120000}"/>
    <cellStyle name="%_Risks_OS HU Dashboard Apr 2012-macro-08May 6" xfId="5361" xr:uid="{00000000-0005-0000-0000-0000B2120000}"/>
    <cellStyle name="%_Risks_OS HU Dashboard Apr 2012-macro-08May 7" xfId="4162" xr:uid="{00000000-0005-0000-0000-0000B3120000}"/>
    <cellStyle name="%_Risks_OS HU Dashboard Apr 2012-macro-08May_2" xfId="1033" xr:uid="{00000000-0005-0000-0000-0000B4120000}"/>
    <cellStyle name="%_Risks_OS HU Dashboard Apr 2012-macro-08May_2 2" xfId="10155" xr:uid="{00000000-0005-0000-0000-0000B5120000}"/>
    <cellStyle name="%_Risks_OS HU Dashboard Apr 2012-macro-08May_2 3" xfId="8957" xr:uid="{00000000-0005-0000-0000-0000B6120000}"/>
    <cellStyle name="%_Risks_OS HU Dashboard Apr 2012-macro-08May_2 4" xfId="7759" xr:uid="{00000000-0005-0000-0000-0000B7120000}"/>
    <cellStyle name="%_Risks_OS HU Dashboard Apr 2012-macro-08May_2 5" xfId="6561" xr:uid="{00000000-0005-0000-0000-0000B8120000}"/>
    <cellStyle name="%_Risks_OS HU Dashboard Apr 2012-macro-08May_2 6" xfId="5362" xr:uid="{00000000-0005-0000-0000-0000B9120000}"/>
    <cellStyle name="%_Risks_OS HU Dashboard Apr 2012-macro-08May_2 7" xfId="4163" xr:uid="{00000000-0005-0000-0000-0000BA120000}"/>
    <cellStyle name="%_Risks_OS HU Dashboard Apr 2012-macro-08May_2_1" xfId="1034" xr:uid="{00000000-0005-0000-0000-0000BB120000}"/>
    <cellStyle name="%_Risks_OS HU Dashboard Apr 2012-macro-08May_2_1 2" xfId="10156" xr:uid="{00000000-0005-0000-0000-0000BC120000}"/>
    <cellStyle name="%_Risks_OS HU Dashboard Apr 2012-macro-08May_2_1 3" xfId="8958" xr:uid="{00000000-0005-0000-0000-0000BD120000}"/>
    <cellStyle name="%_Risks_OS HU Dashboard Apr 2012-macro-08May_2_1 4" xfId="7760" xr:uid="{00000000-0005-0000-0000-0000BE120000}"/>
    <cellStyle name="%_Risks_OS HU Dashboard Apr 2012-macro-08May_2_1 5" xfId="6562" xr:uid="{00000000-0005-0000-0000-0000BF120000}"/>
    <cellStyle name="%_Risks_OS HU Dashboard Apr 2012-macro-08May_2_1 6" xfId="5363" xr:uid="{00000000-0005-0000-0000-0000C0120000}"/>
    <cellStyle name="%_Risks_OS HU Dashboard Apr 2012-macro-08May_2_1 7" xfId="4164" xr:uid="{00000000-0005-0000-0000-0000C1120000}"/>
    <cellStyle name="%_Risks_OS HU Dashboard Apr 2012-macro-08May_2_1_Business Excellence Dashboard-Aug2012-ERP HU (OracleApps)" xfId="1035" xr:uid="{00000000-0005-0000-0000-0000C2120000}"/>
    <cellStyle name="%_Risks_OS HU Dashboard Apr 2012-macro-08May_2_1_Business Excellence Dashboard-Aug2012-ERP HU (OracleApps) 2" xfId="10157" xr:uid="{00000000-0005-0000-0000-0000C3120000}"/>
    <cellStyle name="%_Risks_OS HU Dashboard Apr 2012-macro-08May_2_1_Business Excellence Dashboard-Aug2012-ERP HU (OracleApps) 3" xfId="8959" xr:uid="{00000000-0005-0000-0000-0000C4120000}"/>
    <cellStyle name="%_Risks_OS HU Dashboard Apr 2012-macro-08May_2_1_Business Excellence Dashboard-Aug2012-ERP HU (OracleApps) 4" xfId="7761" xr:uid="{00000000-0005-0000-0000-0000C5120000}"/>
    <cellStyle name="%_Risks_OS HU Dashboard Apr 2012-macro-08May_2_1_Business Excellence Dashboard-Aug2012-ERP HU (OracleApps) 5" xfId="6563" xr:uid="{00000000-0005-0000-0000-0000C6120000}"/>
    <cellStyle name="%_Risks_OS HU Dashboard Apr 2012-macro-08May_2_1_Business Excellence Dashboard-Aug2012-ERP HU (OracleApps) 6" xfId="5364" xr:uid="{00000000-0005-0000-0000-0000C7120000}"/>
    <cellStyle name="%_Risks_OS HU Dashboard Apr 2012-macro-08May_2_1_Business Excellence Dashboard-Aug2012-ERP HU (OracleApps) 7" xfId="4165" xr:uid="{00000000-0005-0000-0000-0000C8120000}"/>
    <cellStyle name="%_Risks_OS HU Dashboard Apr 2012-macro-08May_2_2" xfId="1036" xr:uid="{00000000-0005-0000-0000-0000C9120000}"/>
    <cellStyle name="%_Risks_OS HU Dashboard Apr 2012-macro-08May_2_2 2" xfId="10158" xr:uid="{00000000-0005-0000-0000-0000CA120000}"/>
    <cellStyle name="%_Risks_OS HU Dashboard Apr 2012-macro-08May_2_2 3" xfId="8960" xr:uid="{00000000-0005-0000-0000-0000CB120000}"/>
    <cellStyle name="%_Risks_OS HU Dashboard Apr 2012-macro-08May_2_2 4" xfId="7762" xr:uid="{00000000-0005-0000-0000-0000CC120000}"/>
    <cellStyle name="%_Risks_OS HU Dashboard Apr 2012-macro-08May_2_2 5" xfId="6564" xr:uid="{00000000-0005-0000-0000-0000CD120000}"/>
    <cellStyle name="%_Risks_OS HU Dashboard Apr 2012-macro-08May_2_2 6" xfId="5365" xr:uid="{00000000-0005-0000-0000-0000CE120000}"/>
    <cellStyle name="%_Risks_OS HU Dashboard Apr 2012-macro-08May_2_2 7" xfId="4166" xr:uid="{00000000-0005-0000-0000-0000CF120000}"/>
    <cellStyle name="%_Risks_OS HU Dashboard Apr 2012-macro-08May_2_Business Excellence Dashboard-Aug2012-ERP HU (OracleApps)" xfId="1037" xr:uid="{00000000-0005-0000-0000-0000D0120000}"/>
    <cellStyle name="%_Risks_OS HU Dashboard Apr 2012-macro-08May_2_Business Excellence Dashboard-Aug2012-ERP HU (OracleApps) 2" xfId="10159" xr:uid="{00000000-0005-0000-0000-0000D1120000}"/>
    <cellStyle name="%_Risks_OS HU Dashboard Apr 2012-macro-08May_2_Business Excellence Dashboard-Aug2012-ERP HU (OracleApps) 3" xfId="8961" xr:uid="{00000000-0005-0000-0000-0000D2120000}"/>
    <cellStyle name="%_Risks_OS HU Dashboard Apr 2012-macro-08May_2_Business Excellence Dashboard-Aug2012-ERP HU (OracleApps) 4" xfId="7763" xr:uid="{00000000-0005-0000-0000-0000D3120000}"/>
    <cellStyle name="%_Risks_OS HU Dashboard Apr 2012-macro-08May_2_Business Excellence Dashboard-Aug2012-ERP HU (OracleApps) 5" xfId="6565" xr:uid="{00000000-0005-0000-0000-0000D4120000}"/>
    <cellStyle name="%_Risks_OS HU Dashboard Apr 2012-macro-08May_2_Business Excellence Dashboard-Aug2012-ERP HU (OracleApps) 6" xfId="5366" xr:uid="{00000000-0005-0000-0000-0000D5120000}"/>
    <cellStyle name="%_Risks_OS HU Dashboard Apr 2012-macro-08May_2_Business Excellence Dashboard-Aug2012-ERP HU (OracleApps) 7" xfId="4167" xr:uid="{00000000-0005-0000-0000-0000D6120000}"/>
    <cellStyle name="%_Risks_OS HU Dashboard Apr 2012-macro-08May_2_Business Excellence Dashboard-Jul2012-ERP HU (OracleApps)-consolidated" xfId="1038" xr:uid="{00000000-0005-0000-0000-0000D7120000}"/>
    <cellStyle name="%_Risks_OS HU Dashboard Apr 2012-macro-08May_2_Business Excellence Dashboard-Jul2012-ERP HU (OracleApps)-consolidated 2" xfId="10160" xr:uid="{00000000-0005-0000-0000-0000D8120000}"/>
    <cellStyle name="%_Risks_OS HU Dashboard Apr 2012-macro-08May_2_Business Excellence Dashboard-Jul2012-ERP HU (OracleApps)-consolidated 3" xfId="8962" xr:uid="{00000000-0005-0000-0000-0000D9120000}"/>
    <cellStyle name="%_Risks_OS HU Dashboard Apr 2012-macro-08May_2_Business Excellence Dashboard-Jul2012-ERP HU (OracleApps)-consolidated 4" xfId="7764" xr:uid="{00000000-0005-0000-0000-0000DA120000}"/>
    <cellStyle name="%_Risks_OS HU Dashboard Apr 2012-macro-08May_2_Business Excellence Dashboard-Jul2012-ERP HU (OracleApps)-consolidated 5" xfId="6566" xr:uid="{00000000-0005-0000-0000-0000DB120000}"/>
    <cellStyle name="%_Risks_OS HU Dashboard Apr 2012-macro-08May_2_Business Excellence Dashboard-Jul2012-ERP HU (OracleApps)-consolidated 6" xfId="5367" xr:uid="{00000000-0005-0000-0000-0000DC120000}"/>
    <cellStyle name="%_Risks_OS HU Dashboard Apr 2012-macro-08May_2_Business Excellence Dashboard-Jul2012-ERP HU (OracleApps)-consolidated 7" xfId="4168" xr:uid="{00000000-0005-0000-0000-0000DD120000}"/>
    <cellStyle name="%_Risks_OS HU Dashboard Apr 2012-macro-08May_2_copydatamacro" xfId="1039" xr:uid="{00000000-0005-0000-0000-0000DE120000}"/>
    <cellStyle name="%_Risks_OS HU Dashboard Apr 2012-macro-08May_2_copydatamacro 2" xfId="10161" xr:uid="{00000000-0005-0000-0000-0000DF120000}"/>
    <cellStyle name="%_Risks_OS HU Dashboard Apr 2012-macro-08May_2_copydatamacro 3" xfId="8963" xr:uid="{00000000-0005-0000-0000-0000E0120000}"/>
    <cellStyle name="%_Risks_OS HU Dashboard Apr 2012-macro-08May_2_copydatamacro 4" xfId="7765" xr:uid="{00000000-0005-0000-0000-0000E1120000}"/>
    <cellStyle name="%_Risks_OS HU Dashboard Apr 2012-macro-08May_2_copydatamacro 5" xfId="6567" xr:uid="{00000000-0005-0000-0000-0000E2120000}"/>
    <cellStyle name="%_Risks_OS HU Dashboard Apr 2012-macro-08May_2_copydatamacro 6" xfId="5368" xr:uid="{00000000-0005-0000-0000-0000E3120000}"/>
    <cellStyle name="%_Risks_OS HU Dashboard Apr 2012-macro-08May_2_copydatamacro 7" xfId="4169" xr:uid="{00000000-0005-0000-0000-0000E4120000}"/>
    <cellStyle name="%_Risks_OS HU Dashboard Apr 2012-macro-08May_Business Excellence Dashboard-Aug2012-ERP HU (OracleApps)" xfId="1040" xr:uid="{00000000-0005-0000-0000-0000E5120000}"/>
    <cellStyle name="%_Risks_OS HU Dashboard Apr 2012-macro-08May_Business Excellence Dashboard-Aug2012-ERP HU (OracleApps) 2" xfId="10162" xr:uid="{00000000-0005-0000-0000-0000E6120000}"/>
    <cellStyle name="%_Risks_OS HU Dashboard Apr 2012-macro-08May_Business Excellence Dashboard-Aug2012-ERP HU (OracleApps) 3" xfId="8964" xr:uid="{00000000-0005-0000-0000-0000E7120000}"/>
    <cellStyle name="%_Risks_OS HU Dashboard Apr 2012-macro-08May_Business Excellence Dashboard-Aug2012-ERP HU (OracleApps) 4" xfId="7766" xr:uid="{00000000-0005-0000-0000-0000E8120000}"/>
    <cellStyle name="%_Risks_OS HU Dashboard Apr 2012-macro-08May_Business Excellence Dashboard-Aug2012-ERP HU (OracleApps) 5" xfId="6568" xr:uid="{00000000-0005-0000-0000-0000E9120000}"/>
    <cellStyle name="%_Risks_OS HU Dashboard Apr 2012-macro-08May_Business Excellence Dashboard-Aug2012-ERP HU (OracleApps) 6" xfId="5369" xr:uid="{00000000-0005-0000-0000-0000EA120000}"/>
    <cellStyle name="%_Risks_OS HU Dashboard Apr 2012-macro-08May_Business Excellence Dashboard-Aug2012-ERP HU (OracleApps) 7" xfId="4170" xr:uid="{00000000-0005-0000-0000-0000EB120000}"/>
    <cellStyle name="%_Risks_OS HU Dashboard Apr 2012-macro-08May_Business Excellence Dashboard-Jul2012-ERP HU (OracleApps)-consolidated" xfId="1041" xr:uid="{00000000-0005-0000-0000-0000EC120000}"/>
    <cellStyle name="%_Risks_OS HU Dashboard Apr 2012-macro-08May_Business Excellence Dashboard-Jul2012-ERP HU (OracleApps)-consolidated 2" xfId="10163" xr:uid="{00000000-0005-0000-0000-0000ED120000}"/>
    <cellStyle name="%_Risks_OS HU Dashboard Apr 2012-macro-08May_Business Excellence Dashboard-Jul2012-ERP HU (OracleApps)-consolidated 3" xfId="8965" xr:uid="{00000000-0005-0000-0000-0000EE120000}"/>
    <cellStyle name="%_Risks_OS HU Dashboard Apr 2012-macro-08May_Business Excellence Dashboard-Jul2012-ERP HU (OracleApps)-consolidated 4" xfId="7767" xr:uid="{00000000-0005-0000-0000-0000EF120000}"/>
    <cellStyle name="%_Risks_OS HU Dashboard Apr 2012-macro-08May_Business Excellence Dashboard-Jul2012-ERP HU (OracleApps)-consolidated 5" xfId="6569" xr:uid="{00000000-0005-0000-0000-0000F0120000}"/>
    <cellStyle name="%_Risks_OS HU Dashboard Apr 2012-macro-08May_Business Excellence Dashboard-Jul2012-ERP HU (OracleApps)-consolidated 6" xfId="5370" xr:uid="{00000000-0005-0000-0000-0000F1120000}"/>
    <cellStyle name="%_Risks_OS HU Dashboard Apr 2012-macro-08May_Business Excellence Dashboard-Jul2012-ERP HU (OracleApps)-consolidated 7" xfId="4171" xr:uid="{00000000-0005-0000-0000-0000F2120000}"/>
    <cellStyle name="%_Risks_OS HU Dashboard Apr 2012-macro-08May_copydatamacro" xfId="1042" xr:uid="{00000000-0005-0000-0000-0000F3120000}"/>
    <cellStyle name="%_Risks_OS HU Dashboard Apr 2012-macro-08May_copydatamacro 2" xfId="10164" xr:uid="{00000000-0005-0000-0000-0000F4120000}"/>
    <cellStyle name="%_Risks_OS HU Dashboard Apr 2012-macro-08May_copydatamacro 3" xfId="8966" xr:uid="{00000000-0005-0000-0000-0000F5120000}"/>
    <cellStyle name="%_Risks_OS HU Dashboard Apr 2012-macro-08May_copydatamacro 4" xfId="7768" xr:uid="{00000000-0005-0000-0000-0000F6120000}"/>
    <cellStyle name="%_Risks_OS HU Dashboard Apr 2012-macro-08May_copydatamacro 5" xfId="6570" xr:uid="{00000000-0005-0000-0000-0000F7120000}"/>
    <cellStyle name="%_Risks_OS HU Dashboard Apr 2012-macro-08May_copydatamacro 6" xfId="5371" xr:uid="{00000000-0005-0000-0000-0000F8120000}"/>
    <cellStyle name="%_Risks_OS HU Dashboard Apr 2012-macro-08May_copydatamacro 7" xfId="4172" xr:uid="{00000000-0005-0000-0000-0000F9120000}"/>
    <cellStyle name="=C:\WINNT\SYSTEM32\COMMAND.COM" xfId="1043" xr:uid="{00000000-0005-0000-0000-0000FA120000}"/>
    <cellStyle name="0,0_x000d__x000a_NA_x000d__x000a_" xfId="1044" xr:uid="{00000000-0005-0000-0000-0000FB120000}"/>
    <cellStyle name="0,0_x000d__x000a_NA_x000d__x000a_ 2" xfId="1045" xr:uid="{00000000-0005-0000-0000-0000FC120000}"/>
    <cellStyle name="0,0_x000d__x000a_NA_x000d__x000a__Metrics" xfId="1046" xr:uid="{00000000-0005-0000-0000-0000FD120000}"/>
    <cellStyle name="20% - Accent1 10" xfId="1047" xr:uid="{00000000-0005-0000-0000-0000FE120000}"/>
    <cellStyle name="20% - Accent1 10 2" xfId="10165" xr:uid="{00000000-0005-0000-0000-0000FF120000}"/>
    <cellStyle name="20% - Accent1 10 3" xfId="8967" xr:uid="{00000000-0005-0000-0000-000000130000}"/>
    <cellStyle name="20% - Accent1 10 4" xfId="7769" xr:uid="{00000000-0005-0000-0000-000001130000}"/>
    <cellStyle name="20% - Accent1 10 5" xfId="6571" xr:uid="{00000000-0005-0000-0000-000002130000}"/>
    <cellStyle name="20% - Accent1 10 6" xfId="5372" xr:uid="{00000000-0005-0000-0000-000003130000}"/>
    <cellStyle name="20% - Accent1 10 7" xfId="4173" xr:uid="{00000000-0005-0000-0000-000004130000}"/>
    <cellStyle name="20% - Accent1 11" xfId="1048" xr:uid="{00000000-0005-0000-0000-000005130000}"/>
    <cellStyle name="20% - Accent1 11 2" xfId="10166" xr:uid="{00000000-0005-0000-0000-000006130000}"/>
    <cellStyle name="20% - Accent1 11 3" xfId="8968" xr:uid="{00000000-0005-0000-0000-000007130000}"/>
    <cellStyle name="20% - Accent1 11 4" xfId="7770" xr:uid="{00000000-0005-0000-0000-000008130000}"/>
    <cellStyle name="20% - Accent1 11 5" xfId="6572" xr:uid="{00000000-0005-0000-0000-000009130000}"/>
    <cellStyle name="20% - Accent1 11 6" xfId="5373" xr:uid="{00000000-0005-0000-0000-00000A130000}"/>
    <cellStyle name="20% - Accent1 11 7" xfId="4174" xr:uid="{00000000-0005-0000-0000-00000B130000}"/>
    <cellStyle name="20% - Accent1 12" xfId="1049" xr:uid="{00000000-0005-0000-0000-00000C130000}"/>
    <cellStyle name="20% - Accent1 12 2" xfId="1050" xr:uid="{00000000-0005-0000-0000-00000D130000}"/>
    <cellStyle name="20% - Accent1 12 2 2" xfId="10168" xr:uid="{00000000-0005-0000-0000-00000E130000}"/>
    <cellStyle name="20% - Accent1 12 2 3" xfId="8970" xr:uid="{00000000-0005-0000-0000-00000F130000}"/>
    <cellStyle name="20% - Accent1 12 2 4" xfId="7772" xr:uid="{00000000-0005-0000-0000-000010130000}"/>
    <cellStyle name="20% - Accent1 12 2 5" xfId="6574" xr:uid="{00000000-0005-0000-0000-000011130000}"/>
    <cellStyle name="20% - Accent1 12 2 6" xfId="5375" xr:uid="{00000000-0005-0000-0000-000012130000}"/>
    <cellStyle name="20% - Accent1 12 2 7" xfId="4176" xr:uid="{00000000-0005-0000-0000-000013130000}"/>
    <cellStyle name="20% - Accent1 12 3" xfId="10167" xr:uid="{00000000-0005-0000-0000-000014130000}"/>
    <cellStyle name="20% - Accent1 12 4" xfId="8969" xr:uid="{00000000-0005-0000-0000-000015130000}"/>
    <cellStyle name="20% - Accent1 12 5" xfId="7771" xr:uid="{00000000-0005-0000-0000-000016130000}"/>
    <cellStyle name="20% - Accent1 12 6" xfId="6573" xr:uid="{00000000-0005-0000-0000-000017130000}"/>
    <cellStyle name="20% - Accent1 12 7" xfId="5374" xr:uid="{00000000-0005-0000-0000-000018130000}"/>
    <cellStyle name="20% - Accent1 12 8" xfId="4175" xr:uid="{00000000-0005-0000-0000-000019130000}"/>
    <cellStyle name="20% - Accent1 12_2" xfId="1051" xr:uid="{00000000-0005-0000-0000-00001A130000}"/>
    <cellStyle name="20% - Accent1 13" xfId="1052" xr:uid="{00000000-0005-0000-0000-00001B130000}"/>
    <cellStyle name="20% - Accent1 13 2" xfId="1053" xr:uid="{00000000-0005-0000-0000-00001C130000}"/>
    <cellStyle name="20% - Accent1 13 2 2" xfId="10170" xr:uid="{00000000-0005-0000-0000-00001D130000}"/>
    <cellStyle name="20% - Accent1 13 2 3" xfId="8972" xr:uid="{00000000-0005-0000-0000-00001E130000}"/>
    <cellStyle name="20% - Accent1 13 2 4" xfId="7774" xr:uid="{00000000-0005-0000-0000-00001F130000}"/>
    <cellStyle name="20% - Accent1 13 2 5" xfId="6576" xr:uid="{00000000-0005-0000-0000-000020130000}"/>
    <cellStyle name="20% - Accent1 13 2 6" xfId="5377" xr:uid="{00000000-0005-0000-0000-000021130000}"/>
    <cellStyle name="20% - Accent1 13 2 7" xfId="4178" xr:uid="{00000000-0005-0000-0000-000022130000}"/>
    <cellStyle name="20% - Accent1 13 3" xfId="10169" xr:uid="{00000000-0005-0000-0000-000023130000}"/>
    <cellStyle name="20% - Accent1 13 4" xfId="8971" xr:uid="{00000000-0005-0000-0000-000024130000}"/>
    <cellStyle name="20% - Accent1 13 5" xfId="7773" xr:uid="{00000000-0005-0000-0000-000025130000}"/>
    <cellStyle name="20% - Accent1 13 6" xfId="6575" xr:uid="{00000000-0005-0000-0000-000026130000}"/>
    <cellStyle name="20% - Accent1 13 7" xfId="5376" xr:uid="{00000000-0005-0000-0000-000027130000}"/>
    <cellStyle name="20% - Accent1 13 8" xfId="4177" xr:uid="{00000000-0005-0000-0000-000028130000}"/>
    <cellStyle name="20% - Accent1 13_2" xfId="1054" xr:uid="{00000000-0005-0000-0000-000029130000}"/>
    <cellStyle name="20% - Accent1 14" xfId="1055" xr:uid="{00000000-0005-0000-0000-00002A130000}"/>
    <cellStyle name="20% - Accent1 14 2" xfId="1056" xr:uid="{00000000-0005-0000-0000-00002B130000}"/>
    <cellStyle name="20% - Accent1 14 2 2" xfId="10172" xr:uid="{00000000-0005-0000-0000-00002C130000}"/>
    <cellStyle name="20% - Accent1 14 2 3" xfId="8974" xr:uid="{00000000-0005-0000-0000-00002D130000}"/>
    <cellStyle name="20% - Accent1 14 2 4" xfId="7776" xr:uid="{00000000-0005-0000-0000-00002E130000}"/>
    <cellStyle name="20% - Accent1 14 2 5" xfId="6578" xr:uid="{00000000-0005-0000-0000-00002F130000}"/>
    <cellStyle name="20% - Accent1 14 2 6" xfId="5379" xr:uid="{00000000-0005-0000-0000-000030130000}"/>
    <cellStyle name="20% - Accent1 14 2 7" xfId="4180" xr:uid="{00000000-0005-0000-0000-000031130000}"/>
    <cellStyle name="20% - Accent1 14 3" xfId="10171" xr:uid="{00000000-0005-0000-0000-000032130000}"/>
    <cellStyle name="20% - Accent1 14 4" xfId="8973" xr:uid="{00000000-0005-0000-0000-000033130000}"/>
    <cellStyle name="20% - Accent1 14 5" xfId="7775" xr:uid="{00000000-0005-0000-0000-000034130000}"/>
    <cellStyle name="20% - Accent1 14 6" xfId="6577" xr:uid="{00000000-0005-0000-0000-000035130000}"/>
    <cellStyle name="20% - Accent1 14 7" xfId="5378" xr:uid="{00000000-0005-0000-0000-000036130000}"/>
    <cellStyle name="20% - Accent1 14 8" xfId="4179" xr:uid="{00000000-0005-0000-0000-000037130000}"/>
    <cellStyle name="20% - Accent1 14_2" xfId="1057" xr:uid="{00000000-0005-0000-0000-000038130000}"/>
    <cellStyle name="20% - Accent1 15" xfId="1058" xr:uid="{00000000-0005-0000-0000-000039130000}"/>
    <cellStyle name="20% - Accent1 15 2" xfId="10173" xr:uid="{00000000-0005-0000-0000-00003A130000}"/>
    <cellStyle name="20% - Accent1 15 3" xfId="8975" xr:uid="{00000000-0005-0000-0000-00003B130000}"/>
    <cellStyle name="20% - Accent1 15 4" xfId="7777" xr:uid="{00000000-0005-0000-0000-00003C130000}"/>
    <cellStyle name="20% - Accent1 15 5" xfId="6579" xr:uid="{00000000-0005-0000-0000-00003D130000}"/>
    <cellStyle name="20% - Accent1 15 6" xfId="5380" xr:uid="{00000000-0005-0000-0000-00003E130000}"/>
    <cellStyle name="20% - Accent1 15 7" xfId="4181" xr:uid="{00000000-0005-0000-0000-00003F130000}"/>
    <cellStyle name="20% - Accent1 16" xfId="1059" xr:uid="{00000000-0005-0000-0000-000040130000}"/>
    <cellStyle name="20% - Accent1 16 2" xfId="10174" xr:uid="{00000000-0005-0000-0000-000041130000}"/>
    <cellStyle name="20% - Accent1 16 3" xfId="8976" xr:uid="{00000000-0005-0000-0000-000042130000}"/>
    <cellStyle name="20% - Accent1 16 4" xfId="7778" xr:uid="{00000000-0005-0000-0000-000043130000}"/>
    <cellStyle name="20% - Accent1 16 5" xfId="6580" xr:uid="{00000000-0005-0000-0000-000044130000}"/>
    <cellStyle name="20% - Accent1 16 6" xfId="5381" xr:uid="{00000000-0005-0000-0000-000045130000}"/>
    <cellStyle name="20% - Accent1 16 7" xfId="4182" xr:uid="{00000000-0005-0000-0000-000046130000}"/>
    <cellStyle name="20% - Accent1 2" xfId="1060" xr:uid="{00000000-0005-0000-0000-000047130000}"/>
    <cellStyle name="20% - Accent1 2 10" xfId="10175" xr:uid="{00000000-0005-0000-0000-000048130000}"/>
    <cellStyle name="20% - Accent1 2 11" xfId="8977" xr:uid="{00000000-0005-0000-0000-000049130000}"/>
    <cellStyle name="20% - Accent1 2 12" xfId="7779" xr:uid="{00000000-0005-0000-0000-00004A130000}"/>
    <cellStyle name="20% - Accent1 2 13" xfId="6581" xr:uid="{00000000-0005-0000-0000-00004B130000}"/>
    <cellStyle name="20% - Accent1 2 14" xfId="5382" xr:uid="{00000000-0005-0000-0000-00004C130000}"/>
    <cellStyle name="20% - Accent1 2 15" xfId="4183" xr:uid="{00000000-0005-0000-0000-00004D130000}"/>
    <cellStyle name="20% - Accent1 2 2" xfId="1061" xr:uid="{00000000-0005-0000-0000-00004E130000}"/>
    <cellStyle name="20% - Accent1 2 2 2" xfId="10176" xr:uid="{00000000-0005-0000-0000-00004F130000}"/>
    <cellStyle name="20% - Accent1 2 2 3" xfId="8978" xr:uid="{00000000-0005-0000-0000-000050130000}"/>
    <cellStyle name="20% - Accent1 2 2 4" xfId="7780" xr:uid="{00000000-0005-0000-0000-000051130000}"/>
    <cellStyle name="20% - Accent1 2 2 5" xfId="6582" xr:uid="{00000000-0005-0000-0000-000052130000}"/>
    <cellStyle name="20% - Accent1 2 2 6" xfId="5383" xr:uid="{00000000-0005-0000-0000-000053130000}"/>
    <cellStyle name="20% - Accent1 2 2 7" xfId="4184" xr:uid="{00000000-0005-0000-0000-000054130000}"/>
    <cellStyle name="20% - Accent1 2 3" xfId="1062" xr:uid="{00000000-0005-0000-0000-000055130000}"/>
    <cellStyle name="20% - Accent1 2 3 2" xfId="10177" xr:uid="{00000000-0005-0000-0000-000056130000}"/>
    <cellStyle name="20% - Accent1 2 3 3" xfId="8979" xr:uid="{00000000-0005-0000-0000-000057130000}"/>
    <cellStyle name="20% - Accent1 2 3 4" xfId="7781" xr:uid="{00000000-0005-0000-0000-000058130000}"/>
    <cellStyle name="20% - Accent1 2 3 5" xfId="6583" xr:uid="{00000000-0005-0000-0000-000059130000}"/>
    <cellStyle name="20% - Accent1 2 3 6" xfId="5384" xr:uid="{00000000-0005-0000-0000-00005A130000}"/>
    <cellStyle name="20% - Accent1 2 3 7" xfId="4185" xr:uid="{00000000-0005-0000-0000-00005B130000}"/>
    <cellStyle name="20% - Accent1 2 4" xfId="1063" xr:uid="{00000000-0005-0000-0000-00005C130000}"/>
    <cellStyle name="20% - Accent1 2 4 2" xfId="10178" xr:uid="{00000000-0005-0000-0000-00005D130000}"/>
    <cellStyle name="20% - Accent1 2 4 3" xfId="8980" xr:uid="{00000000-0005-0000-0000-00005E130000}"/>
    <cellStyle name="20% - Accent1 2 4 4" xfId="7782" xr:uid="{00000000-0005-0000-0000-00005F130000}"/>
    <cellStyle name="20% - Accent1 2 4 5" xfId="6584" xr:uid="{00000000-0005-0000-0000-000060130000}"/>
    <cellStyle name="20% - Accent1 2 4 6" xfId="5385" xr:uid="{00000000-0005-0000-0000-000061130000}"/>
    <cellStyle name="20% - Accent1 2 4 7" xfId="4186" xr:uid="{00000000-0005-0000-0000-000062130000}"/>
    <cellStyle name="20% - Accent1 2 5" xfId="1064" xr:uid="{00000000-0005-0000-0000-000063130000}"/>
    <cellStyle name="20% - Accent1 2 5 2" xfId="10179" xr:uid="{00000000-0005-0000-0000-000064130000}"/>
    <cellStyle name="20% - Accent1 2 5 3" xfId="8981" xr:uid="{00000000-0005-0000-0000-000065130000}"/>
    <cellStyle name="20% - Accent1 2 5 4" xfId="7783" xr:uid="{00000000-0005-0000-0000-000066130000}"/>
    <cellStyle name="20% - Accent1 2 5 5" xfId="6585" xr:uid="{00000000-0005-0000-0000-000067130000}"/>
    <cellStyle name="20% - Accent1 2 5 6" xfId="5386" xr:uid="{00000000-0005-0000-0000-000068130000}"/>
    <cellStyle name="20% - Accent1 2 5 7" xfId="4187" xr:uid="{00000000-0005-0000-0000-000069130000}"/>
    <cellStyle name="20% - Accent1 2 6" xfId="1065" xr:uid="{00000000-0005-0000-0000-00006A130000}"/>
    <cellStyle name="20% - Accent1 2 6 2" xfId="10180" xr:uid="{00000000-0005-0000-0000-00006B130000}"/>
    <cellStyle name="20% - Accent1 2 6 3" xfId="8982" xr:uid="{00000000-0005-0000-0000-00006C130000}"/>
    <cellStyle name="20% - Accent1 2 6 4" xfId="7784" xr:uid="{00000000-0005-0000-0000-00006D130000}"/>
    <cellStyle name="20% - Accent1 2 6 5" xfId="6586" xr:uid="{00000000-0005-0000-0000-00006E130000}"/>
    <cellStyle name="20% - Accent1 2 6 6" xfId="5387" xr:uid="{00000000-0005-0000-0000-00006F130000}"/>
    <cellStyle name="20% - Accent1 2 6 7" xfId="4188" xr:uid="{00000000-0005-0000-0000-000070130000}"/>
    <cellStyle name="20% - Accent1 2 7" xfId="1066" xr:uid="{00000000-0005-0000-0000-000071130000}"/>
    <cellStyle name="20% - Accent1 2 7 2" xfId="10181" xr:uid="{00000000-0005-0000-0000-000072130000}"/>
    <cellStyle name="20% - Accent1 2 7 3" xfId="8983" xr:uid="{00000000-0005-0000-0000-000073130000}"/>
    <cellStyle name="20% - Accent1 2 7 4" xfId="7785" xr:uid="{00000000-0005-0000-0000-000074130000}"/>
    <cellStyle name="20% - Accent1 2 7 5" xfId="6587" xr:uid="{00000000-0005-0000-0000-000075130000}"/>
    <cellStyle name="20% - Accent1 2 7 6" xfId="5388" xr:uid="{00000000-0005-0000-0000-000076130000}"/>
    <cellStyle name="20% - Accent1 2 7 7" xfId="4189" xr:uid="{00000000-0005-0000-0000-000077130000}"/>
    <cellStyle name="20% - Accent1 2 8" xfId="1067" xr:uid="{00000000-0005-0000-0000-000078130000}"/>
    <cellStyle name="20% - Accent1 2 8 2" xfId="10182" xr:uid="{00000000-0005-0000-0000-000079130000}"/>
    <cellStyle name="20% - Accent1 2 8 3" xfId="8984" xr:uid="{00000000-0005-0000-0000-00007A130000}"/>
    <cellStyle name="20% - Accent1 2 8 4" xfId="7786" xr:uid="{00000000-0005-0000-0000-00007B130000}"/>
    <cellStyle name="20% - Accent1 2 8 5" xfId="6588" xr:uid="{00000000-0005-0000-0000-00007C130000}"/>
    <cellStyle name="20% - Accent1 2 8 6" xfId="5389" xr:uid="{00000000-0005-0000-0000-00007D130000}"/>
    <cellStyle name="20% - Accent1 2 8 7" xfId="4190" xr:uid="{00000000-0005-0000-0000-00007E130000}"/>
    <cellStyle name="20% - Accent1 2 9" xfId="1068" xr:uid="{00000000-0005-0000-0000-00007F130000}"/>
    <cellStyle name="20% - Accent1 2 9 2" xfId="10183" xr:uid="{00000000-0005-0000-0000-000080130000}"/>
    <cellStyle name="20% - Accent1 2 9 3" xfId="8985" xr:uid="{00000000-0005-0000-0000-000081130000}"/>
    <cellStyle name="20% - Accent1 2 9 4" xfId="7787" xr:uid="{00000000-0005-0000-0000-000082130000}"/>
    <cellStyle name="20% - Accent1 2 9 5" xfId="6589" xr:uid="{00000000-0005-0000-0000-000083130000}"/>
    <cellStyle name="20% - Accent1 2 9 6" xfId="5390" xr:uid="{00000000-0005-0000-0000-000084130000}"/>
    <cellStyle name="20% - Accent1 2 9 7" xfId="4191" xr:uid="{00000000-0005-0000-0000-000085130000}"/>
    <cellStyle name="20% - Accent1 2_2" xfId="1069" xr:uid="{00000000-0005-0000-0000-000086130000}"/>
    <cellStyle name="20% - Accent1 3" xfId="1070" xr:uid="{00000000-0005-0000-0000-000087130000}"/>
    <cellStyle name="20% - Accent1 3 10" xfId="4192" xr:uid="{00000000-0005-0000-0000-000088130000}"/>
    <cellStyle name="20% - Accent1 3 2" xfId="1071" xr:uid="{00000000-0005-0000-0000-000089130000}"/>
    <cellStyle name="20% - Accent1 3 2 2" xfId="10185" xr:uid="{00000000-0005-0000-0000-00008A130000}"/>
    <cellStyle name="20% - Accent1 3 2 3" xfId="8987" xr:uid="{00000000-0005-0000-0000-00008B130000}"/>
    <cellStyle name="20% - Accent1 3 2 4" xfId="7789" xr:uid="{00000000-0005-0000-0000-00008C130000}"/>
    <cellStyle name="20% - Accent1 3 2 5" xfId="6591" xr:uid="{00000000-0005-0000-0000-00008D130000}"/>
    <cellStyle name="20% - Accent1 3 2 6" xfId="5392" xr:uid="{00000000-0005-0000-0000-00008E130000}"/>
    <cellStyle name="20% - Accent1 3 2 7" xfId="4193" xr:uid="{00000000-0005-0000-0000-00008F130000}"/>
    <cellStyle name="20% - Accent1 3 3" xfId="1072" xr:uid="{00000000-0005-0000-0000-000090130000}"/>
    <cellStyle name="20% - Accent1 3 3 2" xfId="10186" xr:uid="{00000000-0005-0000-0000-000091130000}"/>
    <cellStyle name="20% - Accent1 3 3 3" xfId="8988" xr:uid="{00000000-0005-0000-0000-000092130000}"/>
    <cellStyle name="20% - Accent1 3 3 4" xfId="7790" xr:uid="{00000000-0005-0000-0000-000093130000}"/>
    <cellStyle name="20% - Accent1 3 3 5" xfId="6592" xr:uid="{00000000-0005-0000-0000-000094130000}"/>
    <cellStyle name="20% - Accent1 3 3 6" xfId="5393" xr:uid="{00000000-0005-0000-0000-000095130000}"/>
    <cellStyle name="20% - Accent1 3 3 7" xfId="4194" xr:uid="{00000000-0005-0000-0000-000096130000}"/>
    <cellStyle name="20% - Accent1 3 4" xfId="1073" xr:uid="{00000000-0005-0000-0000-000097130000}"/>
    <cellStyle name="20% - Accent1 3 4 2" xfId="10187" xr:uid="{00000000-0005-0000-0000-000098130000}"/>
    <cellStyle name="20% - Accent1 3 4 3" xfId="8989" xr:uid="{00000000-0005-0000-0000-000099130000}"/>
    <cellStyle name="20% - Accent1 3 4 4" xfId="7791" xr:uid="{00000000-0005-0000-0000-00009A130000}"/>
    <cellStyle name="20% - Accent1 3 4 5" xfId="6593" xr:uid="{00000000-0005-0000-0000-00009B130000}"/>
    <cellStyle name="20% - Accent1 3 4 6" xfId="5394" xr:uid="{00000000-0005-0000-0000-00009C130000}"/>
    <cellStyle name="20% - Accent1 3 4 7" xfId="4195" xr:uid="{00000000-0005-0000-0000-00009D130000}"/>
    <cellStyle name="20% - Accent1 3 5" xfId="10184" xr:uid="{00000000-0005-0000-0000-00009E130000}"/>
    <cellStyle name="20% - Accent1 3 6" xfId="8986" xr:uid="{00000000-0005-0000-0000-00009F130000}"/>
    <cellStyle name="20% - Accent1 3 7" xfId="7788" xr:uid="{00000000-0005-0000-0000-0000A0130000}"/>
    <cellStyle name="20% - Accent1 3 8" xfId="6590" xr:uid="{00000000-0005-0000-0000-0000A1130000}"/>
    <cellStyle name="20% - Accent1 3 9" xfId="5391" xr:uid="{00000000-0005-0000-0000-0000A2130000}"/>
    <cellStyle name="20% - Accent1 3_2" xfId="1074" xr:uid="{00000000-0005-0000-0000-0000A3130000}"/>
    <cellStyle name="20% - Accent1 4" xfId="1075" xr:uid="{00000000-0005-0000-0000-0000A4130000}"/>
    <cellStyle name="20% - Accent1 4 10" xfId="4196" xr:uid="{00000000-0005-0000-0000-0000A5130000}"/>
    <cellStyle name="20% - Accent1 4 2" xfId="1076" xr:uid="{00000000-0005-0000-0000-0000A6130000}"/>
    <cellStyle name="20% - Accent1 4 2 2" xfId="10189" xr:uid="{00000000-0005-0000-0000-0000A7130000}"/>
    <cellStyle name="20% - Accent1 4 2 3" xfId="8991" xr:uid="{00000000-0005-0000-0000-0000A8130000}"/>
    <cellStyle name="20% - Accent1 4 2 4" xfId="7793" xr:uid="{00000000-0005-0000-0000-0000A9130000}"/>
    <cellStyle name="20% - Accent1 4 2 5" xfId="6595" xr:uid="{00000000-0005-0000-0000-0000AA130000}"/>
    <cellStyle name="20% - Accent1 4 2 6" xfId="5396" xr:uid="{00000000-0005-0000-0000-0000AB130000}"/>
    <cellStyle name="20% - Accent1 4 2 7" xfId="4197" xr:uid="{00000000-0005-0000-0000-0000AC130000}"/>
    <cellStyle name="20% - Accent1 4 3" xfId="1077" xr:uid="{00000000-0005-0000-0000-0000AD130000}"/>
    <cellStyle name="20% - Accent1 4 3 2" xfId="10190" xr:uid="{00000000-0005-0000-0000-0000AE130000}"/>
    <cellStyle name="20% - Accent1 4 3 3" xfId="8992" xr:uid="{00000000-0005-0000-0000-0000AF130000}"/>
    <cellStyle name="20% - Accent1 4 3 4" xfId="7794" xr:uid="{00000000-0005-0000-0000-0000B0130000}"/>
    <cellStyle name="20% - Accent1 4 3 5" xfId="6596" xr:uid="{00000000-0005-0000-0000-0000B1130000}"/>
    <cellStyle name="20% - Accent1 4 3 6" xfId="5397" xr:uid="{00000000-0005-0000-0000-0000B2130000}"/>
    <cellStyle name="20% - Accent1 4 3 7" xfId="4198" xr:uid="{00000000-0005-0000-0000-0000B3130000}"/>
    <cellStyle name="20% - Accent1 4 4" xfId="1078" xr:uid="{00000000-0005-0000-0000-0000B4130000}"/>
    <cellStyle name="20% - Accent1 4 4 2" xfId="10191" xr:uid="{00000000-0005-0000-0000-0000B5130000}"/>
    <cellStyle name="20% - Accent1 4 4 3" xfId="8993" xr:uid="{00000000-0005-0000-0000-0000B6130000}"/>
    <cellStyle name="20% - Accent1 4 4 4" xfId="7795" xr:uid="{00000000-0005-0000-0000-0000B7130000}"/>
    <cellStyle name="20% - Accent1 4 4 5" xfId="6597" xr:uid="{00000000-0005-0000-0000-0000B8130000}"/>
    <cellStyle name="20% - Accent1 4 4 6" xfId="5398" xr:uid="{00000000-0005-0000-0000-0000B9130000}"/>
    <cellStyle name="20% - Accent1 4 4 7" xfId="4199" xr:uid="{00000000-0005-0000-0000-0000BA130000}"/>
    <cellStyle name="20% - Accent1 4 5" xfId="10188" xr:uid="{00000000-0005-0000-0000-0000BB130000}"/>
    <cellStyle name="20% - Accent1 4 6" xfId="8990" xr:uid="{00000000-0005-0000-0000-0000BC130000}"/>
    <cellStyle name="20% - Accent1 4 7" xfId="7792" xr:uid="{00000000-0005-0000-0000-0000BD130000}"/>
    <cellStyle name="20% - Accent1 4 8" xfId="6594" xr:uid="{00000000-0005-0000-0000-0000BE130000}"/>
    <cellStyle name="20% - Accent1 4 9" xfId="5395" xr:uid="{00000000-0005-0000-0000-0000BF130000}"/>
    <cellStyle name="20% - Accent1 4_2" xfId="1079" xr:uid="{00000000-0005-0000-0000-0000C0130000}"/>
    <cellStyle name="20% - Accent1 5" xfId="1080" xr:uid="{00000000-0005-0000-0000-0000C1130000}"/>
    <cellStyle name="20% - Accent1 5 10" xfId="4200" xr:uid="{00000000-0005-0000-0000-0000C2130000}"/>
    <cellStyle name="20% - Accent1 5 2" xfId="1081" xr:uid="{00000000-0005-0000-0000-0000C3130000}"/>
    <cellStyle name="20% - Accent1 5 2 2" xfId="10193" xr:uid="{00000000-0005-0000-0000-0000C4130000}"/>
    <cellStyle name="20% - Accent1 5 2 3" xfId="8995" xr:uid="{00000000-0005-0000-0000-0000C5130000}"/>
    <cellStyle name="20% - Accent1 5 2 4" xfId="7797" xr:uid="{00000000-0005-0000-0000-0000C6130000}"/>
    <cellStyle name="20% - Accent1 5 2 5" xfId="6599" xr:uid="{00000000-0005-0000-0000-0000C7130000}"/>
    <cellStyle name="20% - Accent1 5 2 6" xfId="5400" xr:uid="{00000000-0005-0000-0000-0000C8130000}"/>
    <cellStyle name="20% - Accent1 5 2 7" xfId="4201" xr:uid="{00000000-0005-0000-0000-0000C9130000}"/>
    <cellStyle name="20% - Accent1 5 3" xfId="1082" xr:uid="{00000000-0005-0000-0000-0000CA130000}"/>
    <cellStyle name="20% - Accent1 5 3 2" xfId="10194" xr:uid="{00000000-0005-0000-0000-0000CB130000}"/>
    <cellStyle name="20% - Accent1 5 3 3" xfId="8996" xr:uid="{00000000-0005-0000-0000-0000CC130000}"/>
    <cellStyle name="20% - Accent1 5 3 4" xfId="7798" xr:uid="{00000000-0005-0000-0000-0000CD130000}"/>
    <cellStyle name="20% - Accent1 5 3 5" xfId="6600" xr:uid="{00000000-0005-0000-0000-0000CE130000}"/>
    <cellStyle name="20% - Accent1 5 3 6" xfId="5401" xr:uid="{00000000-0005-0000-0000-0000CF130000}"/>
    <cellStyle name="20% - Accent1 5 3 7" xfId="4202" xr:uid="{00000000-0005-0000-0000-0000D0130000}"/>
    <cellStyle name="20% - Accent1 5 4" xfId="1083" xr:uid="{00000000-0005-0000-0000-0000D1130000}"/>
    <cellStyle name="20% - Accent1 5 4 2" xfId="10195" xr:uid="{00000000-0005-0000-0000-0000D2130000}"/>
    <cellStyle name="20% - Accent1 5 4 3" xfId="8997" xr:uid="{00000000-0005-0000-0000-0000D3130000}"/>
    <cellStyle name="20% - Accent1 5 4 4" xfId="7799" xr:uid="{00000000-0005-0000-0000-0000D4130000}"/>
    <cellStyle name="20% - Accent1 5 4 5" xfId="6601" xr:uid="{00000000-0005-0000-0000-0000D5130000}"/>
    <cellStyle name="20% - Accent1 5 4 6" xfId="5402" xr:uid="{00000000-0005-0000-0000-0000D6130000}"/>
    <cellStyle name="20% - Accent1 5 4 7" xfId="4203" xr:uid="{00000000-0005-0000-0000-0000D7130000}"/>
    <cellStyle name="20% - Accent1 5 5" xfId="10192" xr:uid="{00000000-0005-0000-0000-0000D8130000}"/>
    <cellStyle name="20% - Accent1 5 6" xfId="8994" xr:uid="{00000000-0005-0000-0000-0000D9130000}"/>
    <cellStyle name="20% - Accent1 5 7" xfId="7796" xr:uid="{00000000-0005-0000-0000-0000DA130000}"/>
    <cellStyle name="20% - Accent1 5 8" xfId="6598" xr:uid="{00000000-0005-0000-0000-0000DB130000}"/>
    <cellStyle name="20% - Accent1 5 9" xfId="5399" xr:uid="{00000000-0005-0000-0000-0000DC130000}"/>
    <cellStyle name="20% - Accent1 5_2" xfId="1084" xr:uid="{00000000-0005-0000-0000-0000DD130000}"/>
    <cellStyle name="20% - Accent1 6" xfId="1085" xr:uid="{00000000-0005-0000-0000-0000DE130000}"/>
    <cellStyle name="20% - Accent1 6 10" xfId="4204" xr:uid="{00000000-0005-0000-0000-0000DF130000}"/>
    <cellStyle name="20% - Accent1 6 2" xfId="1086" xr:uid="{00000000-0005-0000-0000-0000E0130000}"/>
    <cellStyle name="20% - Accent1 6 2 2" xfId="10197" xr:uid="{00000000-0005-0000-0000-0000E1130000}"/>
    <cellStyle name="20% - Accent1 6 2 3" xfId="8999" xr:uid="{00000000-0005-0000-0000-0000E2130000}"/>
    <cellStyle name="20% - Accent1 6 2 4" xfId="7801" xr:uid="{00000000-0005-0000-0000-0000E3130000}"/>
    <cellStyle name="20% - Accent1 6 2 5" xfId="6603" xr:uid="{00000000-0005-0000-0000-0000E4130000}"/>
    <cellStyle name="20% - Accent1 6 2 6" xfId="5404" xr:uid="{00000000-0005-0000-0000-0000E5130000}"/>
    <cellStyle name="20% - Accent1 6 2 7" xfId="4205" xr:uid="{00000000-0005-0000-0000-0000E6130000}"/>
    <cellStyle name="20% - Accent1 6 3" xfId="1087" xr:uid="{00000000-0005-0000-0000-0000E7130000}"/>
    <cellStyle name="20% - Accent1 6 3 2" xfId="10198" xr:uid="{00000000-0005-0000-0000-0000E8130000}"/>
    <cellStyle name="20% - Accent1 6 3 3" xfId="9000" xr:uid="{00000000-0005-0000-0000-0000E9130000}"/>
    <cellStyle name="20% - Accent1 6 3 4" xfId="7802" xr:uid="{00000000-0005-0000-0000-0000EA130000}"/>
    <cellStyle name="20% - Accent1 6 3 5" xfId="6604" xr:uid="{00000000-0005-0000-0000-0000EB130000}"/>
    <cellStyle name="20% - Accent1 6 3 6" xfId="5405" xr:uid="{00000000-0005-0000-0000-0000EC130000}"/>
    <cellStyle name="20% - Accent1 6 3 7" xfId="4206" xr:uid="{00000000-0005-0000-0000-0000ED130000}"/>
    <cellStyle name="20% - Accent1 6 4" xfId="1088" xr:uid="{00000000-0005-0000-0000-0000EE130000}"/>
    <cellStyle name="20% - Accent1 6 4 2" xfId="10199" xr:uid="{00000000-0005-0000-0000-0000EF130000}"/>
    <cellStyle name="20% - Accent1 6 4 3" xfId="9001" xr:uid="{00000000-0005-0000-0000-0000F0130000}"/>
    <cellStyle name="20% - Accent1 6 4 4" xfId="7803" xr:uid="{00000000-0005-0000-0000-0000F1130000}"/>
    <cellStyle name="20% - Accent1 6 4 5" xfId="6605" xr:uid="{00000000-0005-0000-0000-0000F2130000}"/>
    <cellStyle name="20% - Accent1 6 4 6" xfId="5406" xr:uid="{00000000-0005-0000-0000-0000F3130000}"/>
    <cellStyle name="20% - Accent1 6 4 7" xfId="4207" xr:uid="{00000000-0005-0000-0000-0000F4130000}"/>
    <cellStyle name="20% - Accent1 6 5" xfId="10196" xr:uid="{00000000-0005-0000-0000-0000F5130000}"/>
    <cellStyle name="20% - Accent1 6 6" xfId="8998" xr:uid="{00000000-0005-0000-0000-0000F6130000}"/>
    <cellStyle name="20% - Accent1 6 7" xfId="7800" xr:uid="{00000000-0005-0000-0000-0000F7130000}"/>
    <cellStyle name="20% - Accent1 6 8" xfId="6602" xr:uid="{00000000-0005-0000-0000-0000F8130000}"/>
    <cellStyle name="20% - Accent1 6 9" xfId="5403" xr:uid="{00000000-0005-0000-0000-0000F9130000}"/>
    <cellStyle name="20% - Accent1 6_2" xfId="1089" xr:uid="{00000000-0005-0000-0000-0000FA130000}"/>
    <cellStyle name="20% - Accent1 7" xfId="1090" xr:uid="{00000000-0005-0000-0000-0000FB130000}"/>
    <cellStyle name="20% - Accent1 7 10" xfId="4208" xr:uid="{00000000-0005-0000-0000-0000FC130000}"/>
    <cellStyle name="20% - Accent1 7 2" xfId="1091" xr:uid="{00000000-0005-0000-0000-0000FD130000}"/>
    <cellStyle name="20% - Accent1 7 2 2" xfId="10201" xr:uid="{00000000-0005-0000-0000-0000FE130000}"/>
    <cellStyle name="20% - Accent1 7 2 3" xfId="9003" xr:uid="{00000000-0005-0000-0000-0000FF130000}"/>
    <cellStyle name="20% - Accent1 7 2 4" xfId="7805" xr:uid="{00000000-0005-0000-0000-000000140000}"/>
    <cellStyle name="20% - Accent1 7 2 5" xfId="6607" xr:uid="{00000000-0005-0000-0000-000001140000}"/>
    <cellStyle name="20% - Accent1 7 2 6" xfId="5408" xr:uid="{00000000-0005-0000-0000-000002140000}"/>
    <cellStyle name="20% - Accent1 7 2 7" xfId="4209" xr:uid="{00000000-0005-0000-0000-000003140000}"/>
    <cellStyle name="20% - Accent1 7 3" xfId="1092" xr:uid="{00000000-0005-0000-0000-000004140000}"/>
    <cellStyle name="20% - Accent1 7 3 2" xfId="10202" xr:uid="{00000000-0005-0000-0000-000005140000}"/>
    <cellStyle name="20% - Accent1 7 3 3" xfId="9004" xr:uid="{00000000-0005-0000-0000-000006140000}"/>
    <cellStyle name="20% - Accent1 7 3 4" xfId="7806" xr:uid="{00000000-0005-0000-0000-000007140000}"/>
    <cellStyle name="20% - Accent1 7 3 5" xfId="6608" xr:uid="{00000000-0005-0000-0000-000008140000}"/>
    <cellStyle name="20% - Accent1 7 3 6" xfId="5409" xr:uid="{00000000-0005-0000-0000-000009140000}"/>
    <cellStyle name="20% - Accent1 7 3 7" xfId="4210" xr:uid="{00000000-0005-0000-0000-00000A140000}"/>
    <cellStyle name="20% - Accent1 7 4" xfId="1093" xr:uid="{00000000-0005-0000-0000-00000B140000}"/>
    <cellStyle name="20% - Accent1 7 4 2" xfId="10203" xr:uid="{00000000-0005-0000-0000-00000C140000}"/>
    <cellStyle name="20% - Accent1 7 4 3" xfId="9005" xr:uid="{00000000-0005-0000-0000-00000D140000}"/>
    <cellStyle name="20% - Accent1 7 4 4" xfId="7807" xr:uid="{00000000-0005-0000-0000-00000E140000}"/>
    <cellStyle name="20% - Accent1 7 4 5" xfId="6609" xr:uid="{00000000-0005-0000-0000-00000F140000}"/>
    <cellStyle name="20% - Accent1 7 4 6" xfId="5410" xr:uid="{00000000-0005-0000-0000-000010140000}"/>
    <cellStyle name="20% - Accent1 7 4 7" xfId="4211" xr:uid="{00000000-0005-0000-0000-000011140000}"/>
    <cellStyle name="20% - Accent1 7 5" xfId="10200" xr:uid="{00000000-0005-0000-0000-000012140000}"/>
    <cellStyle name="20% - Accent1 7 6" xfId="9002" xr:uid="{00000000-0005-0000-0000-000013140000}"/>
    <cellStyle name="20% - Accent1 7 7" xfId="7804" xr:uid="{00000000-0005-0000-0000-000014140000}"/>
    <cellStyle name="20% - Accent1 7 8" xfId="6606" xr:uid="{00000000-0005-0000-0000-000015140000}"/>
    <cellStyle name="20% - Accent1 7 9" xfId="5407" xr:uid="{00000000-0005-0000-0000-000016140000}"/>
    <cellStyle name="20% - Accent1 7_2" xfId="1094" xr:uid="{00000000-0005-0000-0000-000017140000}"/>
    <cellStyle name="20% - Accent1 8" xfId="1095" xr:uid="{00000000-0005-0000-0000-000018140000}"/>
    <cellStyle name="20% - Accent1 8 10" xfId="4212" xr:uid="{00000000-0005-0000-0000-000019140000}"/>
    <cellStyle name="20% - Accent1 8 2" xfId="1096" xr:uid="{00000000-0005-0000-0000-00001A140000}"/>
    <cellStyle name="20% - Accent1 8 2 2" xfId="10205" xr:uid="{00000000-0005-0000-0000-00001B140000}"/>
    <cellStyle name="20% - Accent1 8 2 3" xfId="9007" xr:uid="{00000000-0005-0000-0000-00001C140000}"/>
    <cellStyle name="20% - Accent1 8 2 4" xfId="7809" xr:uid="{00000000-0005-0000-0000-00001D140000}"/>
    <cellStyle name="20% - Accent1 8 2 5" xfId="6611" xr:uid="{00000000-0005-0000-0000-00001E140000}"/>
    <cellStyle name="20% - Accent1 8 2 6" xfId="5412" xr:uid="{00000000-0005-0000-0000-00001F140000}"/>
    <cellStyle name="20% - Accent1 8 2 7" xfId="4213" xr:uid="{00000000-0005-0000-0000-000020140000}"/>
    <cellStyle name="20% - Accent1 8 3" xfId="1097" xr:uid="{00000000-0005-0000-0000-000021140000}"/>
    <cellStyle name="20% - Accent1 8 3 2" xfId="10206" xr:uid="{00000000-0005-0000-0000-000022140000}"/>
    <cellStyle name="20% - Accent1 8 3 3" xfId="9008" xr:uid="{00000000-0005-0000-0000-000023140000}"/>
    <cellStyle name="20% - Accent1 8 3 4" xfId="7810" xr:uid="{00000000-0005-0000-0000-000024140000}"/>
    <cellStyle name="20% - Accent1 8 3 5" xfId="6612" xr:uid="{00000000-0005-0000-0000-000025140000}"/>
    <cellStyle name="20% - Accent1 8 3 6" xfId="5413" xr:uid="{00000000-0005-0000-0000-000026140000}"/>
    <cellStyle name="20% - Accent1 8 3 7" xfId="4214" xr:uid="{00000000-0005-0000-0000-000027140000}"/>
    <cellStyle name="20% - Accent1 8 4" xfId="1098" xr:uid="{00000000-0005-0000-0000-000028140000}"/>
    <cellStyle name="20% - Accent1 8 4 2" xfId="10207" xr:uid="{00000000-0005-0000-0000-000029140000}"/>
    <cellStyle name="20% - Accent1 8 4 3" xfId="9009" xr:uid="{00000000-0005-0000-0000-00002A140000}"/>
    <cellStyle name="20% - Accent1 8 4 4" xfId="7811" xr:uid="{00000000-0005-0000-0000-00002B140000}"/>
    <cellStyle name="20% - Accent1 8 4 5" xfId="6613" xr:uid="{00000000-0005-0000-0000-00002C140000}"/>
    <cellStyle name="20% - Accent1 8 4 6" xfId="5414" xr:uid="{00000000-0005-0000-0000-00002D140000}"/>
    <cellStyle name="20% - Accent1 8 4 7" xfId="4215" xr:uid="{00000000-0005-0000-0000-00002E140000}"/>
    <cellStyle name="20% - Accent1 8 5" xfId="10204" xr:uid="{00000000-0005-0000-0000-00002F140000}"/>
    <cellStyle name="20% - Accent1 8 6" xfId="9006" xr:uid="{00000000-0005-0000-0000-000030140000}"/>
    <cellStyle name="20% - Accent1 8 7" xfId="7808" xr:uid="{00000000-0005-0000-0000-000031140000}"/>
    <cellStyle name="20% - Accent1 8 8" xfId="6610" xr:uid="{00000000-0005-0000-0000-000032140000}"/>
    <cellStyle name="20% - Accent1 8 9" xfId="5411" xr:uid="{00000000-0005-0000-0000-000033140000}"/>
    <cellStyle name="20% - Accent1 8_2" xfId="1099" xr:uid="{00000000-0005-0000-0000-000034140000}"/>
    <cellStyle name="20% - Accent1 9" xfId="1100" xr:uid="{00000000-0005-0000-0000-000035140000}"/>
    <cellStyle name="20% - Accent1 9 2" xfId="10208" xr:uid="{00000000-0005-0000-0000-000036140000}"/>
    <cellStyle name="20% - Accent1 9 3" xfId="9010" xr:uid="{00000000-0005-0000-0000-000037140000}"/>
    <cellStyle name="20% - Accent1 9 4" xfId="7812" xr:uid="{00000000-0005-0000-0000-000038140000}"/>
    <cellStyle name="20% - Accent1 9 5" xfId="6614" xr:uid="{00000000-0005-0000-0000-000039140000}"/>
    <cellStyle name="20% - Accent1 9 6" xfId="5415" xr:uid="{00000000-0005-0000-0000-00003A140000}"/>
    <cellStyle name="20% - Accent1 9 7" xfId="4216" xr:uid="{00000000-0005-0000-0000-00003B140000}"/>
    <cellStyle name="20% - Accent2 10" xfId="1101" xr:uid="{00000000-0005-0000-0000-00003C140000}"/>
    <cellStyle name="20% - Accent2 10 2" xfId="10209" xr:uid="{00000000-0005-0000-0000-00003D140000}"/>
    <cellStyle name="20% - Accent2 10 3" xfId="9011" xr:uid="{00000000-0005-0000-0000-00003E140000}"/>
    <cellStyle name="20% - Accent2 10 4" xfId="7813" xr:uid="{00000000-0005-0000-0000-00003F140000}"/>
    <cellStyle name="20% - Accent2 10 5" xfId="6615" xr:uid="{00000000-0005-0000-0000-000040140000}"/>
    <cellStyle name="20% - Accent2 10 6" xfId="5416" xr:uid="{00000000-0005-0000-0000-000041140000}"/>
    <cellStyle name="20% - Accent2 10 7" xfId="4217" xr:uid="{00000000-0005-0000-0000-000042140000}"/>
    <cellStyle name="20% - Accent2 11" xfId="1102" xr:uid="{00000000-0005-0000-0000-000043140000}"/>
    <cellStyle name="20% - Accent2 11 2" xfId="10210" xr:uid="{00000000-0005-0000-0000-000044140000}"/>
    <cellStyle name="20% - Accent2 11 3" xfId="9012" xr:uid="{00000000-0005-0000-0000-000045140000}"/>
    <cellStyle name="20% - Accent2 11 4" xfId="7814" xr:uid="{00000000-0005-0000-0000-000046140000}"/>
    <cellStyle name="20% - Accent2 11 5" xfId="6616" xr:uid="{00000000-0005-0000-0000-000047140000}"/>
    <cellStyle name="20% - Accent2 11 6" xfId="5417" xr:uid="{00000000-0005-0000-0000-000048140000}"/>
    <cellStyle name="20% - Accent2 11 7" xfId="4218" xr:uid="{00000000-0005-0000-0000-000049140000}"/>
    <cellStyle name="20% - Accent2 12" xfId="1103" xr:uid="{00000000-0005-0000-0000-00004A140000}"/>
    <cellStyle name="20% - Accent2 12 2" xfId="1104" xr:uid="{00000000-0005-0000-0000-00004B140000}"/>
    <cellStyle name="20% - Accent2 12 2 2" xfId="10212" xr:uid="{00000000-0005-0000-0000-00004C140000}"/>
    <cellStyle name="20% - Accent2 12 2 3" xfId="9014" xr:uid="{00000000-0005-0000-0000-00004D140000}"/>
    <cellStyle name="20% - Accent2 12 2 4" xfId="7816" xr:uid="{00000000-0005-0000-0000-00004E140000}"/>
    <cellStyle name="20% - Accent2 12 2 5" xfId="6618" xr:uid="{00000000-0005-0000-0000-00004F140000}"/>
    <cellStyle name="20% - Accent2 12 2 6" xfId="5419" xr:uid="{00000000-0005-0000-0000-000050140000}"/>
    <cellStyle name="20% - Accent2 12 2 7" xfId="4220" xr:uid="{00000000-0005-0000-0000-000051140000}"/>
    <cellStyle name="20% - Accent2 12 3" xfId="10211" xr:uid="{00000000-0005-0000-0000-000052140000}"/>
    <cellStyle name="20% - Accent2 12 4" xfId="9013" xr:uid="{00000000-0005-0000-0000-000053140000}"/>
    <cellStyle name="20% - Accent2 12 5" xfId="7815" xr:uid="{00000000-0005-0000-0000-000054140000}"/>
    <cellStyle name="20% - Accent2 12 6" xfId="6617" xr:uid="{00000000-0005-0000-0000-000055140000}"/>
    <cellStyle name="20% - Accent2 12 7" xfId="5418" xr:uid="{00000000-0005-0000-0000-000056140000}"/>
    <cellStyle name="20% - Accent2 12 8" xfId="4219" xr:uid="{00000000-0005-0000-0000-000057140000}"/>
    <cellStyle name="20% - Accent2 12_2" xfId="1105" xr:uid="{00000000-0005-0000-0000-000058140000}"/>
    <cellStyle name="20% - Accent2 13" xfId="1106" xr:uid="{00000000-0005-0000-0000-000059140000}"/>
    <cellStyle name="20% - Accent2 13 2" xfId="1107" xr:uid="{00000000-0005-0000-0000-00005A140000}"/>
    <cellStyle name="20% - Accent2 13 2 2" xfId="10214" xr:uid="{00000000-0005-0000-0000-00005B140000}"/>
    <cellStyle name="20% - Accent2 13 2 3" xfId="9016" xr:uid="{00000000-0005-0000-0000-00005C140000}"/>
    <cellStyle name="20% - Accent2 13 2 4" xfId="7818" xr:uid="{00000000-0005-0000-0000-00005D140000}"/>
    <cellStyle name="20% - Accent2 13 2 5" xfId="6620" xr:uid="{00000000-0005-0000-0000-00005E140000}"/>
    <cellStyle name="20% - Accent2 13 2 6" xfId="5421" xr:uid="{00000000-0005-0000-0000-00005F140000}"/>
    <cellStyle name="20% - Accent2 13 2 7" xfId="4222" xr:uid="{00000000-0005-0000-0000-000060140000}"/>
    <cellStyle name="20% - Accent2 13 3" xfId="10213" xr:uid="{00000000-0005-0000-0000-000061140000}"/>
    <cellStyle name="20% - Accent2 13 4" xfId="9015" xr:uid="{00000000-0005-0000-0000-000062140000}"/>
    <cellStyle name="20% - Accent2 13 5" xfId="7817" xr:uid="{00000000-0005-0000-0000-000063140000}"/>
    <cellStyle name="20% - Accent2 13 6" xfId="6619" xr:uid="{00000000-0005-0000-0000-000064140000}"/>
    <cellStyle name="20% - Accent2 13 7" xfId="5420" xr:uid="{00000000-0005-0000-0000-000065140000}"/>
    <cellStyle name="20% - Accent2 13 8" xfId="4221" xr:uid="{00000000-0005-0000-0000-000066140000}"/>
    <cellStyle name="20% - Accent2 13_2" xfId="1108" xr:uid="{00000000-0005-0000-0000-000067140000}"/>
    <cellStyle name="20% - Accent2 14" xfId="1109" xr:uid="{00000000-0005-0000-0000-000068140000}"/>
    <cellStyle name="20% - Accent2 14 2" xfId="1110" xr:uid="{00000000-0005-0000-0000-000069140000}"/>
    <cellStyle name="20% - Accent2 14 2 2" xfId="10216" xr:uid="{00000000-0005-0000-0000-00006A140000}"/>
    <cellStyle name="20% - Accent2 14 2 3" xfId="9018" xr:uid="{00000000-0005-0000-0000-00006B140000}"/>
    <cellStyle name="20% - Accent2 14 2 4" xfId="7820" xr:uid="{00000000-0005-0000-0000-00006C140000}"/>
    <cellStyle name="20% - Accent2 14 2 5" xfId="6622" xr:uid="{00000000-0005-0000-0000-00006D140000}"/>
    <cellStyle name="20% - Accent2 14 2 6" xfId="5423" xr:uid="{00000000-0005-0000-0000-00006E140000}"/>
    <cellStyle name="20% - Accent2 14 2 7" xfId="4224" xr:uid="{00000000-0005-0000-0000-00006F140000}"/>
    <cellStyle name="20% - Accent2 14 3" xfId="10215" xr:uid="{00000000-0005-0000-0000-000070140000}"/>
    <cellStyle name="20% - Accent2 14 4" xfId="9017" xr:uid="{00000000-0005-0000-0000-000071140000}"/>
    <cellStyle name="20% - Accent2 14 5" xfId="7819" xr:uid="{00000000-0005-0000-0000-000072140000}"/>
    <cellStyle name="20% - Accent2 14 6" xfId="6621" xr:uid="{00000000-0005-0000-0000-000073140000}"/>
    <cellStyle name="20% - Accent2 14 7" xfId="5422" xr:uid="{00000000-0005-0000-0000-000074140000}"/>
    <cellStyle name="20% - Accent2 14 8" xfId="4223" xr:uid="{00000000-0005-0000-0000-000075140000}"/>
    <cellStyle name="20% - Accent2 14_2" xfId="1111" xr:uid="{00000000-0005-0000-0000-000076140000}"/>
    <cellStyle name="20% - Accent2 15" xfId="1112" xr:uid="{00000000-0005-0000-0000-000077140000}"/>
    <cellStyle name="20% - Accent2 15 2" xfId="10217" xr:uid="{00000000-0005-0000-0000-000078140000}"/>
    <cellStyle name="20% - Accent2 15 3" xfId="9019" xr:uid="{00000000-0005-0000-0000-000079140000}"/>
    <cellStyle name="20% - Accent2 15 4" xfId="7821" xr:uid="{00000000-0005-0000-0000-00007A140000}"/>
    <cellStyle name="20% - Accent2 15 5" xfId="6623" xr:uid="{00000000-0005-0000-0000-00007B140000}"/>
    <cellStyle name="20% - Accent2 15 6" xfId="5424" xr:uid="{00000000-0005-0000-0000-00007C140000}"/>
    <cellStyle name="20% - Accent2 15 7" xfId="4225" xr:uid="{00000000-0005-0000-0000-00007D140000}"/>
    <cellStyle name="20% - Accent2 16" xfId="1113" xr:uid="{00000000-0005-0000-0000-00007E140000}"/>
    <cellStyle name="20% - Accent2 16 2" xfId="10218" xr:uid="{00000000-0005-0000-0000-00007F140000}"/>
    <cellStyle name="20% - Accent2 16 3" xfId="9020" xr:uid="{00000000-0005-0000-0000-000080140000}"/>
    <cellStyle name="20% - Accent2 16 4" xfId="7822" xr:uid="{00000000-0005-0000-0000-000081140000}"/>
    <cellStyle name="20% - Accent2 16 5" xfId="6624" xr:uid="{00000000-0005-0000-0000-000082140000}"/>
    <cellStyle name="20% - Accent2 16 6" xfId="5425" xr:uid="{00000000-0005-0000-0000-000083140000}"/>
    <cellStyle name="20% - Accent2 16 7" xfId="4226" xr:uid="{00000000-0005-0000-0000-000084140000}"/>
    <cellStyle name="20% - Accent2 2" xfId="1114" xr:uid="{00000000-0005-0000-0000-000085140000}"/>
    <cellStyle name="20% - Accent2 2 10" xfId="10219" xr:uid="{00000000-0005-0000-0000-000086140000}"/>
    <cellStyle name="20% - Accent2 2 11" xfId="9021" xr:uid="{00000000-0005-0000-0000-000087140000}"/>
    <cellStyle name="20% - Accent2 2 12" xfId="7823" xr:uid="{00000000-0005-0000-0000-000088140000}"/>
    <cellStyle name="20% - Accent2 2 13" xfId="6625" xr:uid="{00000000-0005-0000-0000-000089140000}"/>
    <cellStyle name="20% - Accent2 2 14" xfId="5426" xr:uid="{00000000-0005-0000-0000-00008A140000}"/>
    <cellStyle name="20% - Accent2 2 15" xfId="4227" xr:uid="{00000000-0005-0000-0000-00008B140000}"/>
    <cellStyle name="20% - Accent2 2 2" xfId="1115" xr:uid="{00000000-0005-0000-0000-00008C140000}"/>
    <cellStyle name="20% - Accent2 2 2 2" xfId="10220" xr:uid="{00000000-0005-0000-0000-00008D140000}"/>
    <cellStyle name="20% - Accent2 2 2 3" xfId="9022" xr:uid="{00000000-0005-0000-0000-00008E140000}"/>
    <cellStyle name="20% - Accent2 2 2 4" xfId="7824" xr:uid="{00000000-0005-0000-0000-00008F140000}"/>
    <cellStyle name="20% - Accent2 2 2 5" xfId="6626" xr:uid="{00000000-0005-0000-0000-000090140000}"/>
    <cellStyle name="20% - Accent2 2 2 6" xfId="5427" xr:uid="{00000000-0005-0000-0000-000091140000}"/>
    <cellStyle name="20% - Accent2 2 2 7" xfId="4228" xr:uid="{00000000-0005-0000-0000-000092140000}"/>
    <cellStyle name="20% - Accent2 2 3" xfId="1116" xr:uid="{00000000-0005-0000-0000-000093140000}"/>
    <cellStyle name="20% - Accent2 2 3 2" xfId="10221" xr:uid="{00000000-0005-0000-0000-000094140000}"/>
    <cellStyle name="20% - Accent2 2 3 3" xfId="9023" xr:uid="{00000000-0005-0000-0000-000095140000}"/>
    <cellStyle name="20% - Accent2 2 3 4" xfId="7825" xr:uid="{00000000-0005-0000-0000-000096140000}"/>
    <cellStyle name="20% - Accent2 2 3 5" xfId="6627" xr:uid="{00000000-0005-0000-0000-000097140000}"/>
    <cellStyle name="20% - Accent2 2 3 6" xfId="5428" xr:uid="{00000000-0005-0000-0000-000098140000}"/>
    <cellStyle name="20% - Accent2 2 3 7" xfId="4229" xr:uid="{00000000-0005-0000-0000-000099140000}"/>
    <cellStyle name="20% - Accent2 2 4" xfId="1117" xr:uid="{00000000-0005-0000-0000-00009A140000}"/>
    <cellStyle name="20% - Accent2 2 4 2" xfId="10222" xr:uid="{00000000-0005-0000-0000-00009B140000}"/>
    <cellStyle name="20% - Accent2 2 4 3" xfId="9024" xr:uid="{00000000-0005-0000-0000-00009C140000}"/>
    <cellStyle name="20% - Accent2 2 4 4" xfId="7826" xr:uid="{00000000-0005-0000-0000-00009D140000}"/>
    <cellStyle name="20% - Accent2 2 4 5" xfId="6628" xr:uid="{00000000-0005-0000-0000-00009E140000}"/>
    <cellStyle name="20% - Accent2 2 4 6" xfId="5429" xr:uid="{00000000-0005-0000-0000-00009F140000}"/>
    <cellStyle name="20% - Accent2 2 4 7" xfId="4230" xr:uid="{00000000-0005-0000-0000-0000A0140000}"/>
    <cellStyle name="20% - Accent2 2 5" xfId="1118" xr:uid="{00000000-0005-0000-0000-0000A1140000}"/>
    <cellStyle name="20% - Accent2 2 5 2" xfId="10223" xr:uid="{00000000-0005-0000-0000-0000A2140000}"/>
    <cellStyle name="20% - Accent2 2 5 3" xfId="9025" xr:uid="{00000000-0005-0000-0000-0000A3140000}"/>
    <cellStyle name="20% - Accent2 2 5 4" xfId="7827" xr:uid="{00000000-0005-0000-0000-0000A4140000}"/>
    <cellStyle name="20% - Accent2 2 5 5" xfId="6629" xr:uid="{00000000-0005-0000-0000-0000A5140000}"/>
    <cellStyle name="20% - Accent2 2 5 6" xfId="5430" xr:uid="{00000000-0005-0000-0000-0000A6140000}"/>
    <cellStyle name="20% - Accent2 2 5 7" xfId="4231" xr:uid="{00000000-0005-0000-0000-0000A7140000}"/>
    <cellStyle name="20% - Accent2 2 6" xfId="1119" xr:uid="{00000000-0005-0000-0000-0000A8140000}"/>
    <cellStyle name="20% - Accent2 2 6 2" xfId="10224" xr:uid="{00000000-0005-0000-0000-0000A9140000}"/>
    <cellStyle name="20% - Accent2 2 6 3" xfId="9026" xr:uid="{00000000-0005-0000-0000-0000AA140000}"/>
    <cellStyle name="20% - Accent2 2 6 4" xfId="7828" xr:uid="{00000000-0005-0000-0000-0000AB140000}"/>
    <cellStyle name="20% - Accent2 2 6 5" xfId="6630" xr:uid="{00000000-0005-0000-0000-0000AC140000}"/>
    <cellStyle name="20% - Accent2 2 6 6" xfId="5431" xr:uid="{00000000-0005-0000-0000-0000AD140000}"/>
    <cellStyle name="20% - Accent2 2 6 7" xfId="4232" xr:uid="{00000000-0005-0000-0000-0000AE140000}"/>
    <cellStyle name="20% - Accent2 2 7" xfId="1120" xr:uid="{00000000-0005-0000-0000-0000AF140000}"/>
    <cellStyle name="20% - Accent2 2 7 2" xfId="10225" xr:uid="{00000000-0005-0000-0000-0000B0140000}"/>
    <cellStyle name="20% - Accent2 2 7 3" xfId="9027" xr:uid="{00000000-0005-0000-0000-0000B1140000}"/>
    <cellStyle name="20% - Accent2 2 7 4" xfId="7829" xr:uid="{00000000-0005-0000-0000-0000B2140000}"/>
    <cellStyle name="20% - Accent2 2 7 5" xfId="6631" xr:uid="{00000000-0005-0000-0000-0000B3140000}"/>
    <cellStyle name="20% - Accent2 2 7 6" xfId="5432" xr:uid="{00000000-0005-0000-0000-0000B4140000}"/>
    <cellStyle name="20% - Accent2 2 7 7" xfId="4233" xr:uid="{00000000-0005-0000-0000-0000B5140000}"/>
    <cellStyle name="20% - Accent2 2 8" xfId="1121" xr:uid="{00000000-0005-0000-0000-0000B6140000}"/>
    <cellStyle name="20% - Accent2 2 8 2" xfId="10226" xr:uid="{00000000-0005-0000-0000-0000B7140000}"/>
    <cellStyle name="20% - Accent2 2 8 3" xfId="9028" xr:uid="{00000000-0005-0000-0000-0000B8140000}"/>
    <cellStyle name="20% - Accent2 2 8 4" xfId="7830" xr:uid="{00000000-0005-0000-0000-0000B9140000}"/>
    <cellStyle name="20% - Accent2 2 8 5" xfId="6632" xr:uid="{00000000-0005-0000-0000-0000BA140000}"/>
    <cellStyle name="20% - Accent2 2 8 6" xfId="5433" xr:uid="{00000000-0005-0000-0000-0000BB140000}"/>
    <cellStyle name="20% - Accent2 2 8 7" xfId="4234" xr:uid="{00000000-0005-0000-0000-0000BC140000}"/>
    <cellStyle name="20% - Accent2 2 9" xfId="1122" xr:uid="{00000000-0005-0000-0000-0000BD140000}"/>
    <cellStyle name="20% - Accent2 2 9 2" xfId="10227" xr:uid="{00000000-0005-0000-0000-0000BE140000}"/>
    <cellStyle name="20% - Accent2 2 9 3" xfId="9029" xr:uid="{00000000-0005-0000-0000-0000BF140000}"/>
    <cellStyle name="20% - Accent2 2 9 4" xfId="7831" xr:uid="{00000000-0005-0000-0000-0000C0140000}"/>
    <cellStyle name="20% - Accent2 2 9 5" xfId="6633" xr:uid="{00000000-0005-0000-0000-0000C1140000}"/>
    <cellStyle name="20% - Accent2 2 9 6" xfId="5434" xr:uid="{00000000-0005-0000-0000-0000C2140000}"/>
    <cellStyle name="20% - Accent2 2 9 7" xfId="4235" xr:uid="{00000000-0005-0000-0000-0000C3140000}"/>
    <cellStyle name="20% - Accent2 2_2" xfId="1123" xr:uid="{00000000-0005-0000-0000-0000C4140000}"/>
    <cellStyle name="20% - Accent2 3" xfId="1124" xr:uid="{00000000-0005-0000-0000-0000C5140000}"/>
    <cellStyle name="20% - Accent2 3 10" xfId="4236" xr:uid="{00000000-0005-0000-0000-0000C6140000}"/>
    <cellStyle name="20% - Accent2 3 2" xfId="1125" xr:uid="{00000000-0005-0000-0000-0000C7140000}"/>
    <cellStyle name="20% - Accent2 3 2 2" xfId="10229" xr:uid="{00000000-0005-0000-0000-0000C8140000}"/>
    <cellStyle name="20% - Accent2 3 2 3" xfId="9031" xr:uid="{00000000-0005-0000-0000-0000C9140000}"/>
    <cellStyle name="20% - Accent2 3 2 4" xfId="7833" xr:uid="{00000000-0005-0000-0000-0000CA140000}"/>
    <cellStyle name="20% - Accent2 3 2 5" xfId="6635" xr:uid="{00000000-0005-0000-0000-0000CB140000}"/>
    <cellStyle name="20% - Accent2 3 2 6" xfId="5436" xr:uid="{00000000-0005-0000-0000-0000CC140000}"/>
    <cellStyle name="20% - Accent2 3 2 7" xfId="4237" xr:uid="{00000000-0005-0000-0000-0000CD140000}"/>
    <cellStyle name="20% - Accent2 3 3" xfId="1126" xr:uid="{00000000-0005-0000-0000-0000CE140000}"/>
    <cellStyle name="20% - Accent2 3 3 2" xfId="10230" xr:uid="{00000000-0005-0000-0000-0000CF140000}"/>
    <cellStyle name="20% - Accent2 3 3 3" xfId="9032" xr:uid="{00000000-0005-0000-0000-0000D0140000}"/>
    <cellStyle name="20% - Accent2 3 3 4" xfId="7834" xr:uid="{00000000-0005-0000-0000-0000D1140000}"/>
    <cellStyle name="20% - Accent2 3 3 5" xfId="6636" xr:uid="{00000000-0005-0000-0000-0000D2140000}"/>
    <cellStyle name="20% - Accent2 3 3 6" xfId="5437" xr:uid="{00000000-0005-0000-0000-0000D3140000}"/>
    <cellStyle name="20% - Accent2 3 3 7" xfId="4238" xr:uid="{00000000-0005-0000-0000-0000D4140000}"/>
    <cellStyle name="20% - Accent2 3 4" xfId="1127" xr:uid="{00000000-0005-0000-0000-0000D5140000}"/>
    <cellStyle name="20% - Accent2 3 4 2" xfId="10231" xr:uid="{00000000-0005-0000-0000-0000D6140000}"/>
    <cellStyle name="20% - Accent2 3 4 3" xfId="9033" xr:uid="{00000000-0005-0000-0000-0000D7140000}"/>
    <cellStyle name="20% - Accent2 3 4 4" xfId="7835" xr:uid="{00000000-0005-0000-0000-0000D8140000}"/>
    <cellStyle name="20% - Accent2 3 4 5" xfId="6637" xr:uid="{00000000-0005-0000-0000-0000D9140000}"/>
    <cellStyle name="20% - Accent2 3 4 6" xfId="5438" xr:uid="{00000000-0005-0000-0000-0000DA140000}"/>
    <cellStyle name="20% - Accent2 3 4 7" xfId="4239" xr:uid="{00000000-0005-0000-0000-0000DB140000}"/>
    <cellStyle name="20% - Accent2 3 5" xfId="10228" xr:uid="{00000000-0005-0000-0000-0000DC140000}"/>
    <cellStyle name="20% - Accent2 3 6" xfId="9030" xr:uid="{00000000-0005-0000-0000-0000DD140000}"/>
    <cellStyle name="20% - Accent2 3 7" xfId="7832" xr:uid="{00000000-0005-0000-0000-0000DE140000}"/>
    <cellStyle name="20% - Accent2 3 8" xfId="6634" xr:uid="{00000000-0005-0000-0000-0000DF140000}"/>
    <cellStyle name="20% - Accent2 3 9" xfId="5435" xr:uid="{00000000-0005-0000-0000-0000E0140000}"/>
    <cellStyle name="20% - Accent2 3_2" xfId="1128" xr:uid="{00000000-0005-0000-0000-0000E1140000}"/>
    <cellStyle name="20% - Accent2 4" xfId="1129" xr:uid="{00000000-0005-0000-0000-0000E2140000}"/>
    <cellStyle name="20% - Accent2 4 10" xfId="4240" xr:uid="{00000000-0005-0000-0000-0000E3140000}"/>
    <cellStyle name="20% - Accent2 4 2" xfId="1130" xr:uid="{00000000-0005-0000-0000-0000E4140000}"/>
    <cellStyle name="20% - Accent2 4 2 2" xfId="10233" xr:uid="{00000000-0005-0000-0000-0000E5140000}"/>
    <cellStyle name="20% - Accent2 4 2 3" xfId="9035" xr:uid="{00000000-0005-0000-0000-0000E6140000}"/>
    <cellStyle name="20% - Accent2 4 2 4" xfId="7837" xr:uid="{00000000-0005-0000-0000-0000E7140000}"/>
    <cellStyle name="20% - Accent2 4 2 5" xfId="6639" xr:uid="{00000000-0005-0000-0000-0000E8140000}"/>
    <cellStyle name="20% - Accent2 4 2 6" xfId="5440" xr:uid="{00000000-0005-0000-0000-0000E9140000}"/>
    <cellStyle name="20% - Accent2 4 2 7" xfId="4241" xr:uid="{00000000-0005-0000-0000-0000EA140000}"/>
    <cellStyle name="20% - Accent2 4 3" xfId="1131" xr:uid="{00000000-0005-0000-0000-0000EB140000}"/>
    <cellStyle name="20% - Accent2 4 3 2" xfId="10234" xr:uid="{00000000-0005-0000-0000-0000EC140000}"/>
    <cellStyle name="20% - Accent2 4 3 3" xfId="9036" xr:uid="{00000000-0005-0000-0000-0000ED140000}"/>
    <cellStyle name="20% - Accent2 4 3 4" xfId="7838" xr:uid="{00000000-0005-0000-0000-0000EE140000}"/>
    <cellStyle name="20% - Accent2 4 3 5" xfId="6640" xr:uid="{00000000-0005-0000-0000-0000EF140000}"/>
    <cellStyle name="20% - Accent2 4 3 6" xfId="5441" xr:uid="{00000000-0005-0000-0000-0000F0140000}"/>
    <cellStyle name="20% - Accent2 4 3 7" xfId="4242" xr:uid="{00000000-0005-0000-0000-0000F1140000}"/>
    <cellStyle name="20% - Accent2 4 4" xfId="1132" xr:uid="{00000000-0005-0000-0000-0000F2140000}"/>
    <cellStyle name="20% - Accent2 4 4 2" xfId="10235" xr:uid="{00000000-0005-0000-0000-0000F3140000}"/>
    <cellStyle name="20% - Accent2 4 4 3" xfId="9037" xr:uid="{00000000-0005-0000-0000-0000F4140000}"/>
    <cellStyle name="20% - Accent2 4 4 4" xfId="7839" xr:uid="{00000000-0005-0000-0000-0000F5140000}"/>
    <cellStyle name="20% - Accent2 4 4 5" xfId="6641" xr:uid="{00000000-0005-0000-0000-0000F6140000}"/>
    <cellStyle name="20% - Accent2 4 4 6" xfId="5442" xr:uid="{00000000-0005-0000-0000-0000F7140000}"/>
    <cellStyle name="20% - Accent2 4 4 7" xfId="4243" xr:uid="{00000000-0005-0000-0000-0000F8140000}"/>
    <cellStyle name="20% - Accent2 4 5" xfId="10232" xr:uid="{00000000-0005-0000-0000-0000F9140000}"/>
    <cellStyle name="20% - Accent2 4 6" xfId="9034" xr:uid="{00000000-0005-0000-0000-0000FA140000}"/>
    <cellStyle name="20% - Accent2 4 7" xfId="7836" xr:uid="{00000000-0005-0000-0000-0000FB140000}"/>
    <cellStyle name="20% - Accent2 4 8" xfId="6638" xr:uid="{00000000-0005-0000-0000-0000FC140000}"/>
    <cellStyle name="20% - Accent2 4 9" xfId="5439" xr:uid="{00000000-0005-0000-0000-0000FD140000}"/>
    <cellStyle name="20% - Accent2 4_2" xfId="1133" xr:uid="{00000000-0005-0000-0000-0000FE140000}"/>
    <cellStyle name="20% - Accent2 5" xfId="1134" xr:uid="{00000000-0005-0000-0000-0000FF140000}"/>
    <cellStyle name="20% - Accent2 5 10" xfId="4244" xr:uid="{00000000-0005-0000-0000-000000150000}"/>
    <cellStyle name="20% - Accent2 5 2" xfId="1135" xr:uid="{00000000-0005-0000-0000-000001150000}"/>
    <cellStyle name="20% - Accent2 5 2 2" xfId="10237" xr:uid="{00000000-0005-0000-0000-000002150000}"/>
    <cellStyle name="20% - Accent2 5 2 3" xfId="9039" xr:uid="{00000000-0005-0000-0000-000003150000}"/>
    <cellStyle name="20% - Accent2 5 2 4" xfId="7841" xr:uid="{00000000-0005-0000-0000-000004150000}"/>
    <cellStyle name="20% - Accent2 5 2 5" xfId="6643" xr:uid="{00000000-0005-0000-0000-000005150000}"/>
    <cellStyle name="20% - Accent2 5 2 6" xfId="5444" xr:uid="{00000000-0005-0000-0000-000006150000}"/>
    <cellStyle name="20% - Accent2 5 2 7" xfId="4245" xr:uid="{00000000-0005-0000-0000-000007150000}"/>
    <cellStyle name="20% - Accent2 5 3" xfId="1136" xr:uid="{00000000-0005-0000-0000-000008150000}"/>
    <cellStyle name="20% - Accent2 5 3 2" xfId="10238" xr:uid="{00000000-0005-0000-0000-000009150000}"/>
    <cellStyle name="20% - Accent2 5 3 3" xfId="9040" xr:uid="{00000000-0005-0000-0000-00000A150000}"/>
    <cellStyle name="20% - Accent2 5 3 4" xfId="7842" xr:uid="{00000000-0005-0000-0000-00000B150000}"/>
    <cellStyle name="20% - Accent2 5 3 5" xfId="6644" xr:uid="{00000000-0005-0000-0000-00000C150000}"/>
    <cellStyle name="20% - Accent2 5 3 6" xfId="5445" xr:uid="{00000000-0005-0000-0000-00000D150000}"/>
    <cellStyle name="20% - Accent2 5 3 7" xfId="4246" xr:uid="{00000000-0005-0000-0000-00000E150000}"/>
    <cellStyle name="20% - Accent2 5 4" xfId="1137" xr:uid="{00000000-0005-0000-0000-00000F150000}"/>
    <cellStyle name="20% - Accent2 5 4 2" xfId="10239" xr:uid="{00000000-0005-0000-0000-000010150000}"/>
    <cellStyle name="20% - Accent2 5 4 3" xfId="9041" xr:uid="{00000000-0005-0000-0000-000011150000}"/>
    <cellStyle name="20% - Accent2 5 4 4" xfId="7843" xr:uid="{00000000-0005-0000-0000-000012150000}"/>
    <cellStyle name="20% - Accent2 5 4 5" xfId="6645" xr:uid="{00000000-0005-0000-0000-000013150000}"/>
    <cellStyle name="20% - Accent2 5 4 6" xfId="5446" xr:uid="{00000000-0005-0000-0000-000014150000}"/>
    <cellStyle name="20% - Accent2 5 4 7" xfId="4247" xr:uid="{00000000-0005-0000-0000-000015150000}"/>
    <cellStyle name="20% - Accent2 5 5" xfId="10236" xr:uid="{00000000-0005-0000-0000-000016150000}"/>
    <cellStyle name="20% - Accent2 5 6" xfId="9038" xr:uid="{00000000-0005-0000-0000-000017150000}"/>
    <cellStyle name="20% - Accent2 5 7" xfId="7840" xr:uid="{00000000-0005-0000-0000-000018150000}"/>
    <cellStyle name="20% - Accent2 5 8" xfId="6642" xr:uid="{00000000-0005-0000-0000-000019150000}"/>
    <cellStyle name="20% - Accent2 5 9" xfId="5443" xr:uid="{00000000-0005-0000-0000-00001A150000}"/>
    <cellStyle name="20% - Accent2 5_2" xfId="1138" xr:uid="{00000000-0005-0000-0000-00001B150000}"/>
    <cellStyle name="20% - Accent2 6" xfId="1139" xr:uid="{00000000-0005-0000-0000-00001C150000}"/>
    <cellStyle name="20% - Accent2 6 10" xfId="4248" xr:uid="{00000000-0005-0000-0000-00001D150000}"/>
    <cellStyle name="20% - Accent2 6 2" xfId="1140" xr:uid="{00000000-0005-0000-0000-00001E150000}"/>
    <cellStyle name="20% - Accent2 6 2 2" xfId="10241" xr:uid="{00000000-0005-0000-0000-00001F150000}"/>
    <cellStyle name="20% - Accent2 6 2 3" xfId="9043" xr:uid="{00000000-0005-0000-0000-000020150000}"/>
    <cellStyle name="20% - Accent2 6 2 4" xfId="7845" xr:uid="{00000000-0005-0000-0000-000021150000}"/>
    <cellStyle name="20% - Accent2 6 2 5" xfId="6647" xr:uid="{00000000-0005-0000-0000-000022150000}"/>
    <cellStyle name="20% - Accent2 6 2 6" xfId="5448" xr:uid="{00000000-0005-0000-0000-000023150000}"/>
    <cellStyle name="20% - Accent2 6 2 7" xfId="4249" xr:uid="{00000000-0005-0000-0000-000024150000}"/>
    <cellStyle name="20% - Accent2 6 3" xfId="1141" xr:uid="{00000000-0005-0000-0000-000025150000}"/>
    <cellStyle name="20% - Accent2 6 3 2" xfId="10242" xr:uid="{00000000-0005-0000-0000-000026150000}"/>
    <cellStyle name="20% - Accent2 6 3 3" xfId="9044" xr:uid="{00000000-0005-0000-0000-000027150000}"/>
    <cellStyle name="20% - Accent2 6 3 4" xfId="7846" xr:uid="{00000000-0005-0000-0000-000028150000}"/>
    <cellStyle name="20% - Accent2 6 3 5" xfId="6648" xr:uid="{00000000-0005-0000-0000-000029150000}"/>
    <cellStyle name="20% - Accent2 6 3 6" xfId="5449" xr:uid="{00000000-0005-0000-0000-00002A150000}"/>
    <cellStyle name="20% - Accent2 6 3 7" xfId="4250" xr:uid="{00000000-0005-0000-0000-00002B150000}"/>
    <cellStyle name="20% - Accent2 6 4" xfId="1142" xr:uid="{00000000-0005-0000-0000-00002C150000}"/>
    <cellStyle name="20% - Accent2 6 4 2" xfId="10243" xr:uid="{00000000-0005-0000-0000-00002D150000}"/>
    <cellStyle name="20% - Accent2 6 4 3" xfId="9045" xr:uid="{00000000-0005-0000-0000-00002E150000}"/>
    <cellStyle name="20% - Accent2 6 4 4" xfId="7847" xr:uid="{00000000-0005-0000-0000-00002F150000}"/>
    <cellStyle name="20% - Accent2 6 4 5" xfId="6649" xr:uid="{00000000-0005-0000-0000-000030150000}"/>
    <cellStyle name="20% - Accent2 6 4 6" xfId="5450" xr:uid="{00000000-0005-0000-0000-000031150000}"/>
    <cellStyle name="20% - Accent2 6 4 7" xfId="4251" xr:uid="{00000000-0005-0000-0000-000032150000}"/>
    <cellStyle name="20% - Accent2 6 5" xfId="10240" xr:uid="{00000000-0005-0000-0000-000033150000}"/>
    <cellStyle name="20% - Accent2 6 6" xfId="9042" xr:uid="{00000000-0005-0000-0000-000034150000}"/>
    <cellStyle name="20% - Accent2 6 7" xfId="7844" xr:uid="{00000000-0005-0000-0000-000035150000}"/>
    <cellStyle name="20% - Accent2 6 8" xfId="6646" xr:uid="{00000000-0005-0000-0000-000036150000}"/>
    <cellStyle name="20% - Accent2 6 9" xfId="5447" xr:uid="{00000000-0005-0000-0000-000037150000}"/>
    <cellStyle name="20% - Accent2 6_2" xfId="1143" xr:uid="{00000000-0005-0000-0000-000038150000}"/>
    <cellStyle name="20% - Accent2 7" xfId="1144" xr:uid="{00000000-0005-0000-0000-000039150000}"/>
    <cellStyle name="20% - Accent2 7 10" xfId="4252" xr:uid="{00000000-0005-0000-0000-00003A150000}"/>
    <cellStyle name="20% - Accent2 7 2" xfId="1145" xr:uid="{00000000-0005-0000-0000-00003B150000}"/>
    <cellStyle name="20% - Accent2 7 2 2" xfId="10245" xr:uid="{00000000-0005-0000-0000-00003C150000}"/>
    <cellStyle name="20% - Accent2 7 2 3" xfId="9047" xr:uid="{00000000-0005-0000-0000-00003D150000}"/>
    <cellStyle name="20% - Accent2 7 2 4" xfId="7849" xr:uid="{00000000-0005-0000-0000-00003E150000}"/>
    <cellStyle name="20% - Accent2 7 2 5" xfId="6651" xr:uid="{00000000-0005-0000-0000-00003F150000}"/>
    <cellStyle name="20% - Accent2 7 2 6" xfId="5452" xr:uid="{00000000-0005-0000-0000-000040150000}"/>
    <cellStyle name="20% - Accent2 7 2 7" xfId="4253" xr:uid="{00000000-0005-0000-0000-000041150000}"/>
    <cellStyle name="20% - Accent2 7 3" xfId="1146" xr:uid="{00000000-0005-0000-0000-000042150000}"/>
    <cellStyle name="20% - Accent2 7 3 2" xfId="10246" xr:uid="{00000000-0005-0000-0000-000043150000}"/>
    <cellStyle name="20% - Accent2 7 3 3" xfId="9048" xr:uid="{00000000-0005-0000-0000-000044150000}"/>
    <cellStyle name="20% - Accent2 7 3 4" xfId="7850" xr:uid="{00000000-0005-0000-0000-000045150000}"/>
    <cellStyle name="20% - Accent2 7 3 5" xfId="6652" xr:uid="{00000000-0005-0000-0000-000046150000}"/>
    <cellStyle name="20% - Accent2 7 3 6" xfId="5453" xr:uid="{00000000-0005-0000-0000-000047150000}"/>
    <cellStyle name="20% - Accent2 7 3 7" xfId="4254" xr:uid="{00000000-0005-0000-0000-000048150000}"/>
    <cellStyle name="20% - Accent2 7 4" xfId="1147" xr:uid="{00000000-0005-0000-0000-000049150000}"/>
    <cellStyle name="20% - Accent2 7 4 2" xfId="10247" xr:uid="{00000000-0005-0000-0000-00004A150000}"/>
    <cellStyle name="20% - Accent2 7 4 3" xfId="9049" xr:uid="{00000000-0005-0000-0000-00004B150000}"/>
    <cellStyle name="20% - Accent2 7 4 4" xfId="7851" xr:uid="{00000000-0005-0000-0000-00004C150000}"/>
    <cellStyle name="20% - Accent2 7 4 5" xfId="6653" xr:uid="{00000000-0005-0000-0000-00004D150000}"/>
    <cellStyle name="20% - Accent2 7 4 6" xfId="5454" xr:uid="{00000000-0005-0000-0000-00004E150000}"/>
    <cellStyle name="20% - Accent2 7 4 7" xfId="4255" xr:uid="{00000000-0005-0000-0000-00004F150000}"/>
    <cellStyle name="20% - Accent2 7 5" xfId="10244" xr:uid="{00000000-0005-0000-0000-000050150000}"/>
    <cellStyle name="20% - Accent2 7 6" xfId="9046" xr:uid="{00000000-0005-0000-0000-000051150000}"/>
    <cellStyle name="20% - Accent2 7 7" xfId="7848" xr:uid="{00000000-0005-0000-0000-000052150000}"/>
    <cellStyle name="20% - Accent2 7 8" xfId="6650" xr:uid="{00000000-0005-0000-0000-000053150000}"/>
    <cellStyle name="20% - Accent2 7 9" xfId="5451" xr:uid="{00000000-0005-0000-0000-000054150000}"/>
    <cellStyle name="20% - Accent2 7_2" xfId="1148" xr:uid="{00000000-0005-0000-0000-000055150000}"/>
    <cellStyle name="20% - Accent2 8" xfId="1149" xr:uid="{00000000-0005-0000-0000-000056150000}"/>
    <cellStyle name="20% - Accent2 8 10" xfId="4256" xr:uid="{00000000-0005-0000-0000-000057150000}"/>
    <cellStyle name="20% - Accent2 8 2" xfId="1150" xr:uid="{00000000-0005-0000-0000-000058150000}"/>
    <cellStyle name="20% - Accent2 8 2 2" xfId="10249" xr:uid="{00000000-0005-0000-0000-000059150000}"/>
    <cellStyle name="20% - Accent2 8 2 3" xfId="9051" xr:uid="{00000000-0005-0000-0000-00005A150000}"/>
    <cellStyle name="20% - Accent2 8 2 4" xfId="7853" xr:uid="{00000000-0005-0000-0000-00005B150000}"/>
    <cellStyle name="20% - Accent2 8 2 5" xfId="6655" xr:uid="{00000000-0005-0000-0000-00005C150000}"/>
    <cellStyle name="20% - Accent2 8 2 6" xfId="5456" xr:uid="{00000000-0005-0000-0000-00005D150000}"/>
    <cellStyle name="20% - Accent2 8 2 7" xfId="4257" xr:uid="{00000000-0005-0000-0000-00005E150000}"/>
    <cellStyle name="20% - Accent2 8 3" xfId="1151" xr:uid="{00000000-0005-0000-0000-00005F150000}"/>
    <cellStyle name="20% - Accent2 8 3 2" xfId="10250" xr:uid="{00000000-0005-0000-0000-000060150000}"/>
    <cellStyle name="20% - Accent2 8 3 3" xfId="9052" xr:uid="{00000000-0005-0000-0000-000061150000}"/>
    <cellStyle name="20% - Accent2 8 3 4" xfId="7854" xr:uid="{00000000-0005-0000-0000-000062150000}"/>
    <cellStyle name="20% - Accent2 8 3 5" xfId="6656" xr:uid="{00000000-0005-0000-0000-000063150000}"/>
    <cellStyle name="20% - Accent2 8 3 6" xfId="5457" xr:uid="{00000000-0005-0000-0000-000064150000}"/>
    <cellStyle name="20% - Accent2 8 3 7" xfId="4258" xr:uid="{00000000-0005-0000-0000-000065150000}"/>
    <cellStyle name="20% - Accent2 8 4" xfId="1152" xr:uid="{00000000-0005-0000-0000-000066150000}"/>
    <cellStyle name="20% - Accent2 8 4 2" xfId="10251" xr:uid="{00000000-0005-0000-0000-000067150000}"/>
    <cellStyle name="20% - Accent2 8 4 3" xfId="9053" xr:uid="{00000000-0005-0000-0000-000068150000}"/>
    <cellStyle name="20% - Accent2 8 4 4" xfId="7855" xr:uid="{00000000-0005-0000-0000-000069150000}"/>
    <cellStyle name="20% - Accent2 8 4 5" xfId="6657" xr:uid="{00000000-0005-0000-0000-00006A150000}"/>
    <cellStyle name="20% - Accent2 8 4 6" xfId="5458" xr:uid="{00000000-0005-0000-0000-00006B150000}"/>
    <cellStyle name="20% - Accent2 8 4 7" xfId="4259" xr:uid="{00000000-0005-0000-0000-00006C150000}"/>
    <cellStyle name="20% - Accent2 8 5" xfId="10248" xr:uid="{00000000-0005-0000-0000-00006D150000}"/>
    <cellStyle name="20% - Accent2 8 6" xfId="9050" xr:uid="{00000000-0005-0000-0000-00006E150000}"/>
    <cellStyle name="20% - Accent2 8 7" xfId="7852" xr:uid="{00000000-0005-0000-0000-00006F150000}"/>
    <cellStyle name="20% - Accent2 8 8" xfId="6654" xr:uid="{00000000-0005-0000-0000-000070150000}"/>
    <cellStyle name="20% - Accent2 8 9" xfId="5455" xr:uid="{00000000-0005-0000-0000-000071150000}"/>
    <cellStyle name="20% - Accent2 8_2" xfId="1153" xr:uid="{00000000-0005-0000-0000-000072150000}"/>
    <cellStyle name="20% - Accent2 9" xfId="1154" xr:uid="{00000000-0005-0000-0000-000073150000}"/>
    <cellStyle name="20% - Accent2 9 2" xfId="10252" xr:uid="{00000000-0005-0000-0000-000074150000}"/>
    <cellStyle name="20% - Accent2 9 3" xfId="9054" xr:uid="{00000000-0005-0000-0000-000075150000}"/>
    <cellStyle name="20% - Accent2 9 4" xfId="7856" xr:uid="{00000000-0005-0000-0000-000076150000}"/>
    <cellStyle name="20% - Accent2 9 5" xfId="6658" xr:uid="{00000000-0005-0000-0000-000077150000}"/>
    <cellStyle name="20% - Accent2 9 6" xfId="5459" xr:uid="{00000000-0005-0000-0000-000078150000}"/>
    <cellStyle name="20% - Accent2 9 7" xfId="4260" xr:uid="{00000000-0005-0000-0000-000079150000}"/>
    <cellStyle name="20% - Accent3 10" xfId="1155" xr:uid="{00000000-0005-0000-0000-00007A150000}"/>
    <cellStyle name="20% - Accent3 10 2" xfId="10253" xr:uid="{00000000-0005-0000-0000-00007B150000}"/>
    <cellStyle name="20% - Accent3 10 3" xfId="9055" xr:uid="{00000000-0005-0000-0000-00007C150000}"/>
    <cellStyle name="20% - Accent3 10 4" xfId="7857" xr:uid="{00000000-0005-0000-0000-00007D150000}"/>
    <cellStyle name="20% - Accent3 10 5" xfId="6659" xr:uid="{00000000-0005-0000-0000-00007E150000}"/>
    <cellStyle name="20% - Accent3 10 6" xfId="5460" xr:uid="{00000000-0005-0000-0000-00007F150000}"/>
    <cellStyle name="20% - Accent3 10 7" xfId="4261" xr:uid="{00000000-0005-0000-0000-000080150000}"/>
    <cellStyle name="20% - Accent3 11" xfId="1156" xr:uid="{00000000-0005-0000-0000-000081150000}"/>
    <cellStyle name="20% - Accent3 11 2" xfId="10254" xr:uid="{00000000-0005-0000-0000-000082150000}"/>
    <cellStyle name="20% - Accent3 11 3" xfId="9056" xr:uid="{00000000-0005-0000-0000-000083150000}"/>
    <cellStyle name="20% - Accent3 11 4" xfId="7858" xr:uid="{00000000-0005-0000-0000-000084150000}"/>
    <cellStyle name="20% - Accent3 11 5" xfId="6660" xr:uid="{00000000-0005-0000-0000-000085150000}"/>
    <cellStyle name="20% - Accent3 11 6" xfId="5461" xr:uid="{00000000-0005-0000-0000-000086150000}"/>
    <cellStyle name="20% - Accent3 11 7" xfId="4262" xr:uid="{00000000-0005-0000-0000-000087150000}"/>
    <cellStyle name="20% - Accent3 12" xfId="1157" xr:uid="{00000000-0005-0000-0000-000088150000}"/>
    <cellStyle name="20% - Accent3 12 2" xfId="1158" xr:uid="{00000000-0005-0000-0000-000089150000}"/>
    <cellStyle name="20% - Accent3 12 2 2" xfId="10256" xr:uid="{00000000-0005-0000-0000-00008A150000}"/>
    <cellStyle name="20% - Accent3 12 2 3" xfId="9058" xr:uid="{00000000-0005-0000-0000-00008B150000}"/>
    <cellStyle name="20% - Accent3 12 2 4" xfId="7860" xr:uid="{00000000-0005-0000-0000-00008C150000}"/>
    <cellStyle name="20% - Accent3 12 2 5" xfId="6662" xr:uid="{00000000-0005-0000-0000-00008D150000}"/>
    <cellStyle name="20% - Accent3 12 2 6" xfId="5463" xr:uid="{00000000-0005-0000-0000-00008E150000}"/>
    <cellStyle name="20% - Accent3 12 2 7" xfId="4264" xr:uid="{00000000-0005-0000-0000-00008F150000}"/>
    <cellStyle name="20% - Accent3 12 3" xfId="10255" xr:uid="{00000000-0005-0000-0000-000090150000}"/>
    <cellStyle name="20% - Accent3 12 4" xfId="9057" xr:uid="{00000000-0005-0000-0000-000091150000}"/>
    <cellStyle name="20% - Accent3 12 5" xfId="7859" xr:uid="{00000000-0005-0000-0000-000092150000}"/>
    <cellStyle name="20% - Accent3 12 6" xfId="6661" xr:uid="{00000000-0005-0000-0000-000093150000}"/>
    <cellStyle name="20% - Accent3 12 7" xfId="5462" xr:uid="{00000000-0005-0000-0000-000094150000}"/>
    <cellStyle name="20% - Accent3 12 8" xfId="4263" xr:uid="{00000000-0005-0000-0000-000095150000}"/>
    <cellStyle name="20% - Accent3 12_2" xfId="1159" xr:uid="{00000000-0005-0000-0000-000096150000}"/>
    <cellStyle name="20% - Accent3 13" xfId="1160" xr:uid="{00000000-0005-0000-0000-000097150000}"/>
    <cellStyle name="20% - Accent3 13 2" xfId="1161" xr:uid="{00000000-0005-0000-0000-000098150000}"/>
    <cellStyle name="20% - Accent3 13 2 2" xfId="10258" xr:uid="{00000000-0005-0000-0000-000099150000}"/>
    <cellStyle name="20% - Accent3 13 2 3" xfId="9060" xr:uid="{00000000-0005-0000-0000-00009A150000}"/>
    <cellStyle name="20% - Accent3 13 2 4" xfId="7862" xr:uid="{00000000-0005-0000-0000-00009B150000}"/>
    <cellStyle name="20% - Accent3 13 2 5" xfId="6664" xr:uid="{00000000-0005-0000-0000-00009C150000}"/>
    <cellStyle name="20% - Accent3 13 2 6" xfId="5465" xr:uid="{00000000-0005-0000-0000-00009D150000}"/>
    <cellStyle name="20% - Accent3 13 2 7" xfId="4266" xr:uid="{00000000-0005-0000-0000-00009E150000}"/>
    <cellStyle name="20% - Accent3 13 3" xfId="10257" xr:uid="{00000000-0005-0000-0000-00009F150000}"/>
    <cellStyle name="20% - Accent3 13 4" xfId="9059" xr:uid="{00000000-0005-0000-0000-0000A0150000}"/>
    <cellStyle name="20% - Accent3 13 5" xfId="7861" xr:uid="{00000000-0005-0000-0000-0000A1150000}"/>
    <cellStyle name="20% - Accent3 13 6" xfId="6663" xr:uid="{00000000-0005-0000-0000-0000A2150000}"/>
    <cellStyle name="20% - Accent3 13 7" xfId="5464" xr:uid="{00000000-0005-0000-0000-0000A3150000}"/>
    <cellStyle name="20% - Accent3 13 8" xfId="4265" xr:uid="{00000000-0005-0000-0000-0000A4150000}"/>
    <cellStyle name="20% - Accent3 13_2" xfId="1162" xr:uid="{00000000-0005-0000-0000-0000A5150000}"/>
    <cellStyle name="20% - Accent3 14" xfId="1163" xr:uid="{00000000-0005-0000-0000-0000A6150000}"/>
    <cellStyle name="20% - Accent3 14 2" xfId="1164" xr:uid="{00000000-0005-0000-0000-0000A7150000}"/>
    <cellStyle name="20% - Accent3 14 2 2" xfId="10260" xr:uid="{00000000-0005-0000-0000-0000A8150000}"/>
    <cellStyle name="20% - Accent3 14 2 3" xfId="9062" xr:uid="{00000000-0005-0000-0000-0000A9150000}"/>
    <cellStyle name="20% - Accent3 14 2 4" xfId="7864" xr:uid="{00000000-0005-0000-0000-0000AA150000}"/>
    <cellStyle name="20% - Accent3 14 2 5" xfId="6666" xr:uid="{00000000-0005-0000-0000-0000AB150000}"/>
    <cellStyle name="20% - Accent3 14 2 6" xfId="5467" xr:uid="{00000000-0005-0000-0000-0000AC150000}"/>
    <cellStyle name="20% - Accent3 14 2 7" xfId="4268" xr:uid="{00000000-0005-0000-0000-0000AD150000}"/>
    <cellStyle name="20% - Accent3 14 3" xfId="10259" xr:uid="{00000000-0005-0000-0000-0000AE150000}"/>
    <cellStyle name="20% - Accent3 14 4" xfId="9061" xr:uid="{00000000-0005-0000-0000-0000AF150000}"/>
    <cellStyle name="20% - Accent3 14 5" xfId="7863" xr:uid="{00000000-0005-0000-0000-0000B0150000}"/>
    <cellStyle name="20% - Accent3 14 6" xfId="6665" xr:uid="{00000000-0005-0000-0000-0000B1150000}"/>
    <cellStyle name="20% - Accent3 14 7" xfId="5466" xr:uid="{00000000-0005-0000-0000-0000B2150000}"/>
    <cellStyle name="20% - Accent3 14 8" xfId="4267" xr:uid="{00000000-0005-0000-0000-0000B3150000}"/>
    <cellStyle name="20% - Accent3 14_2" xfId="1165" xr:uid="{00000000-0005-0000-0000-0000B4150000}"/>
    <cellStyle name="20% - Accent3 15" xfId="1166" xr:uid="{00000000-0005-0000-0000-0000B5150000}"/>
    <cellStyle name="20% - Accent3 15 2" xfId="10261" xr:uid="{00000000-0005-0000-0000-0000B6150000}"/>
    <cellStyle name="20% - Accent3 15 3" xfId="9063" xr:uid="{00000000-0005-0000-0000-0000B7150000}"/>
    <cellStyle name="20% - Accent3 15 4" xfId="7865" xr:uid="{00000000-0005-0000-0000-0000B8150000}"/>
    <cellStyle name="20% - Accent3 15 5" xfId="6667" xr:uid="{00000000-0005-0000-0000-0000B9150000}"/>
    <cellStyle name="20% - Accent3 15 6" xfId="5468" xr:uid="{00000000-0005-0000-0000-0000BA150000}"/>
    <cellStyle name="20% - Accent3 15 7" xfId="4269" xr:uid="{00000000-0005-0000-0000-0000BB150000}"/>
    <cellStyle name="20% - Accent3 16" xfId="1167" xr:uid="{00000000-0005-0000-0000-0000BC150000}"/>
    <cellStyle name="20% - Accent3 16 2" xfId="10262" xr:uid="{00000000-0005-0000-0000-0000BD150000}"/>
    <cellStyle name="20% - Accent3 16 3" xfId="9064" xr:uid="{00000000-0005-0000-0000-0000BE150000}"/>
    <cellStyle name="20% - Accent3 16 4" xfId="7866" xr:uid="{00000000-0005-0000-0000-0000BF150000}"/>
    <cellStyle name="20% - Accent3 16 5" xfId="6668" xr:uid="{00000000-0005-0000-0000-0000C0150000}"/>
    <cellStyle name="20% - Accent3 16 6" xfId="5469" xr:uid="{00000000-0005-0000-0000-0000C1150000}"/>
    <cellStyle name="20% - Accent3 16 7" xfId="4270" xr:uid="{00000000-0005-0000-0000-0000C2150000}"/>
    <cellStyle name="20% - Accent3 2" xfId="1168" xr:uid="{00000000-0005-0000-0000-0000C3150000}"/>
    <cellStyle name="20% - Accent3 2 10" xfId="10263" xr:uid="{00000000-0005-0000-0000-0000C4150000}"/>
    <cellStyle name="20% - Accent3 2 11" xfId="9065" xr:uid="{00000000-0005-0000-0000-0000C5150000}"/>
    <cellStyle name="20% - Accent3 2 12" xfId="7867" xr:uid="{00000000-0005-0000-0000-0000C6150000}"/>
    <cellStyle name="20% - Accent3 2 13" xfId="6669" xr:uid="{00000000-0005-0000-0000-0000C7150000}"/>
    <cellStyle name="20% - Accent3 2 14" xfId="5470" xr:uid="{00000000-0005-0000-0000-0000C8150000}"/>
    <cellStyle name="20% - Accent3 2 15" xfId="4271" xr:uid="{00000000-0005-0000-0000-0000C9150000}"/>
    <cellStyle name="20% - Accent3 2 2" xfId="1169" xr:uid="{00000000-0005-0000-0000-0000CA150000}"/>
    <cellStyle name="20% - Accent3 2 2 2" xfId="10264" xr:uid="{00000000-0005-0000-0000-0000CB150000}"/>
    <cellStyle name="20% - Accent3 2 2 3" xfId="9066" xr:uid="{00000000-0005-0000-0000-0000CC150000}"/>
    <cellStyle name="20% - Accent3 2 2 4" xfId="7868" xr:uid="{00000000-0005-0000-0000-0000CD150000}"/>
    <cellStyle name="20% - Accent3 2 2 5" xfId="6670" xr:uid="{00000000-0005-0000-0000-0000CE150000}"/>
    <cellStyle name="20% - Accent3 2 2 6" xfId="5471" xr:uid="{00000000-0005-0000-0000-0000CF150000}"/>
    <cellStyle name="20% - Accent3 2 2 7" xfId="4272" xr:uid="{00000000-0005-0000-0000-0000D0150000}"/>
    <cellStyle name="20% - Accent3 2 3" xfId="1170" xr:uid="{00000000-0005-0000-0000-0000D1150000}"/>
    <cellStyle name="20% - Accent3 2 3 2" xfId="10265" xr:uid="{00000000-0005-0000-0000-0000D2150000}"/>
    <cellStyle name="20% - Accent3 2 3 3" xfId="9067" xr:uid="{00000000-0005-0000-0000-0000D3150000}"/>
    <cellStyle name="20% - Accent3 2 3 4" xfId="7869" xr:uid="{00000000-0005-0000-0000-0000D4150000}"/>
    <cellStyle name="20% - Accent3 2 3 5" xfId="6671" xr:uid="{00000000-0005-0000-0000-0000D5150000}"/>
    <cellStyle name="20% - Accent3 2 3 6" xfId="5472" xr:uid="{00000000-0005-0000-0000-0000D6150000}"/>
    <cellStyle name="20% - Accent3 2 3 7" xfId="4273" xr:uid="{00000000-0005-0000-0000-0000D7150000}"/>
    <cellStyle name="20% - Accent3 2 4" xfId="1171" xr:uid="{00000000-0005-0000-0000-0000D8150000}"/>
    <cellStyle name="20% - Accent3 2 4 2" xfId="10266" xr:uid="{00000000-0005-0000-0000-0000D9150000}"/>
    <cellStyle name="20% - Accent3 2 4 3" xfId="9068" xr:uid="{00000000-0005-0000-0000-0000DA150000}"/>
    <cellStyle name="20% - Accent3 2 4 4" xfId="7870" xr:uid="{00000000-0005-0000-0000-0000DB150000}"/>
    <cellStyle name="20% - Accent3 2 4 5" xfId="6672" xr:uid="{00000000-0005-0000-0000-0000DC150000}"/>
    <cellStyle name="20% - Accent3 2 4 6" xfId="5473" xr:uid="{00000000-0005-0000-0000-0000DD150000}"/>
    <cellStyle name="20% - Accent3 2 4 7" xfId="4274" xr:uid="{00000000-0005-0000-0000-0000DE150000}"/>
    <cellStyle name="20% - Accent3 2 5" xfId="1172" xr:uid="{00000000-0005-0000-0000-0000DF150000}"/>
    <cellStyle name="20% - Accent3 2 5 2" xfId="10267" xr:uid="{00000000-0005-0000-0000-0000E0150000}"/>
    <cellStyle name="20% - Accent3 2 5 3" xfId="9069" xr:uid="{00000000-0005-0000-0000-0000E1150000}"/>
    <cellStyle name="20% - Accent3 2 5 4" xfId="7871" xr:uid="{00000000-0005-0000-0000-0000E2150000}"/>
    <cellStyle name="20% - Accent3 2 5 5" xfId="6673" xr:uid="{00000000-0005-0000-0000-0000E3150000}"/>
    <cellStyle name="20% - Accent3 2 5 6" xfId="5474" xr:uid="{00000000-0005-0000-0000-0000E4150000}"/>
    <cellStyle name="20% - Accent3 2 5 7" xfId="4275" xr:uid="{00000000-0005-0000-0000-0000E5150000}"/>
    <cellStyle name="20% - Accent3 2 6" xfId="1173" xr:uid="{00000000-0005-0000-0000-0000E6150000}"/>
    <cellStyle name="20% - Accent3 2 6 2" xfId="10268" xr:uid="{00000000-0005-0000-0000-0000E7150000}"/>
    <cellStyle name="20% - Accent3 2 6 3" xfId="9070" xr:uid="{00000000-0005-0000-0000-0000E8150000}"/>
    <cellStyle name="20% - Accent3 2 6 4" xfId="7872" xr:uid="{00000000-0005-0000-0000-0000E9150000}"/>
    <cellStyle name="20% - Accent3 2 6 5" xfId="6674" xr:uid="{00000000-0005-0000-0000-0000EA150000}"/>
    <cellStyle name="20% - Accent3 2 6 6" xfId="5475" xr:uid="{00000000-0005-0000-0000-0000EB150000}"/>
    <cellStyle name="20% - Accent3 2 6 7" xfId="4276" xr:uid="{00000000-0005-0000-0000-0000EC150000}"/>
    <cellStyle name="20% - Accent3 2 7" xfId="1174" xr:uid="{00000000-0005-0000-0000-0000ED150000}"/>
    <cellStyle name="20% - Accent3 2 7 2" xfId="10269" xr:uid="{00000000-0005-0000-0000-0000EE150000}"/>
    <cellStyle name="20% - Accent3 2 7 3" xfId="9071" xr:uid="{00000000-0005-0000-0000-0000EF150000}"/>
    <cellStyle name="20% - Accent3 2 7 4" xfId="7873" xr:uid="{00000000-0005-0000-0000-0000F0150000}"/>
    <cellStyle name="20% - Accent3 2 7 5" xfId="6675" xr:uid="{00000000-0005-0000-0000-0000F1150000}"/>
    <cellStyle name="20% - Accent3 2 7 6" xfId="5476" xr:uid="{00000000-0005-0000-0000-0000F2150000}"/>
    <cellStyle name="20% - Accent3 2 7 7" xfId="4277" xr:uid="{00000000-0005-0000-0000-0000F3150000}"/>
    <cellStyle name="20% - Accent3 2 8" xfId="1175" xr:uid="{00000000-0005-0000-0000-0000F4150000}"/>
    <cellStyle name="20% - Accent3 2 8 2" xfId="10270" xr:uid="{00000000-0005-0000-0000-0000F5150000}"/>
    <cellStyle name="20% - Accent3 2 8 3" xfId="9072" xr:uid="{00000000-0005-0000-0000-0000F6150000}"/>
    <cellStyle name="20% - Accent3 2 8 4" xfId="7874" xr:uid="{00000000-0005-0000-0000-0000F7150000}"/>
    <cellStyle name="20% - Accent3 2 8 5" xfId="6676" xr:uid="{00000000-0005-0000-0000-0000F8150000}"/>
    <cellStyle name="20% - Accent3 2 8 6" xfId="5477" xr:uid="{00000000-0005-0000-0000-0000F9150000}"/>
    <cellStyle name="20% - Accent3 2 8 7" xfId="4278" xr:uid="{00000000-0005-0000-0000-0000FA150000}"/>
    <cellStyle name="20% - Accent3 2 9" xfId="1176" xr:uid="{00000000-0005-0000-0000-0000FB150000}"/>
    <cellStyle name="20% - Accent3 2 9 2" xfId="10271" xr:uid="{00000000-0005-0000-0000-0000FC150000}"/>
    <cellStyle name="20% - Accent3 2 9 3" xfId="9073" xr:uid="{00000000-0005-0000-0000-0000FD150000}"/>
    <cellStyle name="20% - Accent3 2 9 4" xfId="7875" xr:uid="{00000000-0005-0000-0000-0000FE150000}"/>
    <cellStyle name="20% - Accent3 2 9 5" xfId="6677" xr:uid="{00000000-0005-0000-0000-0000FF150000}"/>
    <cellStyle name="20% - Accent3 2 9 6" xfId="5478" xr:uid="{00000000-0005-0000-0000-000000160000}"/>
    <cellStyle name="20% - Accent3 2 9 7" xfId="4279" xr:uid="{00000000-0005-0000-0000-000001160000}"/>
    <cellStyle name="20% - Accent3 2_2" xfId="1177" xr:uid="{00000000-0005-0000-0000-000002160000}"/>
    <cellStyle name="20% - Accent3 3" xfId="1178" xr:uid="{00000000-0005-0000-0000-000003160000}"/>
    <cellStyle name="20% - Accent3 3 10" xfId="4280" xr:uid="{00000000-0005-0000-0000-000004160000}"/>
    <cellStyle name="20% - Accent3 3 2" xfId="1179" xr:uid="{00000000-0005-0000-0000-000005160000}"/>
    <cellStyle name="20% - Accent3 3 2 2" xfId="10273" xr:uid="{00000000-0005-0000-0000-000006160000}"/>
    <cellStyle name="20% - Accent3 3 2 3" xfId="9075" xr:uid="{00000000-0005-0000-0000-000007160000}"/>
    <cellStyle name="20% - Accent3 3 2 4" xfId="7877" xr:uid="{00000000-0005-0000-0000-000008160000}"/>
    <cellStyle name="20% - Accent3 3 2 5" xfId="6679" xr:uid="{00000000-0005-0000-0000-000009160000}"/>
    <cellStyle name="20% - Accent3 3 2 6" xfId="5480" xr:uid="{00000000-0005-0000-0000-00000A160000}"/>
    <cellStyle name="20% - Accent3 3 2 7" xfId="4281" xr:uid="{00000000-0005-0000-0000-00000B160000}"/>
    <cellStyle name="20% - Accent3 3 3" xfId="1180" xr:uid="{00000000-0005-0000-0000-00000C160000}"/>
    <cellStyle name="20% - Accent3 3 3 2" xfId="10274" xr:uid="{00000000-0005-0000-0000-00000D160000}"/>
    <cellStyle name="20% - Accent3 3 3 3" xfId="9076" xr:uid="{00000000-0005-0000-0000-00000E160000}"/>
    <cellStyle name="20% - Accent3 3 3 4" xfId="7878" xr:uid="{00000000-0005-0000-0000-00000F160000}"/>
    <cellStyle name="20% - Accent3 3 3 5" xfId="6680" xr:uid="{00000000-0005-0000-0000-000010160000}"/>
    <cellStyle name="20% - Accent3 3 3 6" xfId="5481" xr:uid="{00000000-0005-0000-0000-000011160000}"/>
    <cellStyle name="20% - Accent3 3 3 7" xfId="4282" xr:uid="{00000000-0005-0000-0000-000012160000}"/>
    <cellStyle name="20% - Accent3 3 4" xfId="1181" xr:uid="{00000000-0005-0000-0000-000013160000}"/>
    <cellStyle name="20% - Accent3 3 4 2" xfId="10275" xr:uid="{00000000-0005-0000-0000-000014160000}"/>
    <cellStyle name="20% - Accent3 3 4 3" xfId="9077" xr:uid="{00000000-0005-0000-0000-000015160000}"/>
    <cellStyle name="20% - Accent3 3 4 4" xfId="7879" xr:uid="{00000000-0005-0000-0000-000016160000}"/>
    <cellStyle name="20% - Accent3 3 4 5" xfId="6681" xr:uid="{00000000-0005-0000-0000-000017160000}"/>
    <cellStyle name="20% - Accent3 3 4 6" xfId="5482" xr:uid="{00000000-0005-0000-0000-000018160000}"/>
    <cellStyle name="20% - Accent3 3 4 7" xfId="4283" xr:uid="{00000000-0005-0000-0000-000019160000}"/>
    <cellStyle name="20% - Accent3 3 5" xfId="10272" xr:uid="{00000000-0005-0000-0000-00001A160000}"/>
    <cellStyle name="20% - Accent3 3 6" xfId="9074" xr:uid="{00000000-0005-0000-0000-00001B160000}"/>
    <cellStyle name="20% - Accent3 3 7" xfId="7876" xr:uid="{00000000-0005-0000-0000-00001C160000}"/>
    <cellStyle name="20% - Accent3 3 8" xfId="6678" xr:uid="{00000000-0005-0000-0000-00001D160000}"/>
    <cellStyle name="20% - Accent3 3 9" xfId="5479" xr:uid="{00000000-0005-0000-0000-00001E160000}"/>
    <cellStyle name="20% - Accent3 3_2" xfId="1182" xr:uid="{00000000-0005-0000-0000-00001F160000}"/>
    <cellStyle name="20% - Accent3 4" xfId="1183" xr:uid="{00000000-0005-0000-0000-000020160000}"/>
    <cellStyle name="20% - Accent3 4 10" xfId="4284" xr:uid="{00000000-0005-0000-0000-000021160000}"/>
    <cellStyle name="20% - Accent3 4 2" xfId="1184" xr:uid="{00000000-0005-0000-0000-000022160000}"/>
    <cellStyle name="20% - Accent3 4 2 2" xfId="10277" xr:uid="{00000000-0005-0000-0000-000023160000}"/>
    <cellStyle name="20% - Accent3 4 2 3" xfId="9079" xr:uid="{00000000-0005-0000-0000-000024160000}"/>
    <cellStyle name="20% - Accent3 4 2 4" xfId="7881" xr:uid="{00000000-0005-0000-0000-000025160000}"/>
    <cellStyle name="20% - Accent3 4 2 5" xfId="6683" xr:uid="{00000000-0005-0000-0000-000026160000}"/>
    <cellStyle name="20% - Accent3 4 2 6" xfId="5484" xr:uid="{00000000-0005-0000-0000-000027160000}"/>
    <cellStyle name="20% - Accent3 4 2 7" xfId="4285" xr:uid="{00000000-0005-0000-0000-000028160000}"/>
    <cellStyle name="20% - Accent3 4 3" xfId="1185" xr:uid="{00000000-0005-0000-0000-000029160000}"/>
    <cellStyle name="20% - Accent3 4 3 2" xfId="10278" xr:uid="{00000000-0005-0000-0000-00002A160000}"/>
    <cellStyle name="20% - Accent3 4 3 3" xfId="9080" xr:uid="{00000000-0005-0000-0000-00002B160000}"/>
    <cellStyle name="20% - Accent3 4 3 4" xfId="7882" xr:uid="{00000000-0005-0000-0000-00002C160000}"/>
    <cellStyle name="20% - Accent3 4 3 5" xfId="6684" xr:uid="{00000000-0005-0000-0000-00002D160000}"/>
    <cellStyle name="20% - Accent3 4 3 6" xfId="5485" xr:uid="{00000000-0005-0000-0000-00002E160000}"/>
    <cellStyle name="20% - Accent3 4 3 7" xfId="4286" xr:uid="{00000000-0005-0000-0000-00002F160000}"/>
    <cellStyle name="20% - Accent3 4 4" xfId="1186" xr:uid="{00000000-0005-0000-0000-000030160000}"/>
    <cellStyle name="20% - Accent3 4 4 2" xfId="10279" xr:uid="{00000000-0005-0000-0000-000031160000}"/>
    <cellStyle name="20% - Accent3 4 4 3" xfId="9081" xr:uid="{00000000-0005-0000-0000-000032160000}"/>
    <cellStyle name="20% - Accent3 4 4 4" xfId="7883" xr:uid="{00000000-0005-0000-0000-000033160000}"/>
    <cellStyle name="20% - Accent3 4 4 5" xfId="6685" xr:uid="{00000000-0005-0000-0000-000034160000}"/>
    <cellStyle name="20% - Accent3 4 4 6" xfId="5486" xr:uid="{00000000-0005-0000-0000-000035160000}"/>
    <cellStyle name="20% - Accent3 4 4 7" xfId="4287" xr:uid="{00000000-0005-0000-0000-000036160000}"/>
    <cellStyle name="20% - Accent3 4 5" xfId="10276" xr:uid="{00000000-0005-0000-0000-000037160000}"/>
    <cellStyle name="20% - Accent3 4 6" xfId="9078" xr:uid="{00000000-0005-0000-0000-000038160000}"/>
    <cellStyle name="20% - Accent3 4 7" xfId="7880" xr:uid="{00000000-0005-0000-0000-000039160000}"/>
    <cellStyle name="20% - Accent3 4 8" xfId="6682" xr:uid="{00000000-0005-0000-0000-00003A160000}"/>
    <cellStyle name="20% - Accent3 4 9" xfId="5483" xr:uid="{00000000-0005-0000-0000-00003B160000}"/>
    <cellStyle name="20% - Accent3 4_2" xfId="1187" xr:uid="{00000000-0005-0000-0000-00003C160000}"/>
    <cellStyle name="20% - Accent3 5" xfId="1188" xr:uid="{00000000-0005-0000-0000-00003D160000}"/>
    <cellStyle name="20% - Accent3 5 10" xfId="4288" xr:uid="{00000000-0005-0000-0000-00003E160000}"/>
    <cellStyle name="20% - Accent3 5 2" xfId="1189" xr:uid="{00000000-0005-0000-0000-00003F160000}"/>
    <cellStyle name="20% - Accent3 5 2 2" xfId="10281" xr:uid="{00000000-0005-0000-0000-000040160000}"/>
    <cellStyle name="20% - Accent3 5 2 3" xfId="9083" xr:uid="{00000000-0005-0000-0000-000041160000}"/>
    <cellStyle name="20% - Accent3 5 2 4" xfId="7885" xr:uid="{00000000-0005-0000-0000-000042160000}"/>
    <cellStyle name="20% - Accent3 5 2 5" xfId="6687" xr:uid="{00000000-0005-0000-0000-000043160000}"/>
    <cellStyle name="20% - Accent3 5 2 6" xfId="5488" xr:uid="{00000000-0005-0000-0000-000044160000}"/>
    <cellStyle name="20% - Accent3 5 2 7" xfId="4289" xr:uid="{00000000-0005-0000-0000-000045160000}"/>
    <cellStyle name="20% - Accent3 5 3" xfId="1190" xr:uid="{00000000-0005-0000-0000-000046160000}"/>
    <cellStyle name="20% - Accent3 5 3 2" xfId="10282" xr:uid="{00000000-0005-0000-0000-000047160000}"/>
    <cellStyle name="20% - Accent3 5 3 3" xfId="9084" xr:uid="{00000000-0005-0000-0000-000048160000}"/>
    <cellStyle name="20% - Accent3 5 3 4" xfId="7886" xr:uid="{00000000-0005-0000-0000-000049160000}"/>
    <cellStyle name="20% - Accent3 5 3 5" xfId="6688" xr:uid="{00000000-0005-0000-0000-00004A160000}"/>
    <cellStyle name="20% - Accent3 5 3 6" xfId="5489" xr:uid="{00000000-0005-0000-0000-00004B160000}"/>
    <cellStyle name="20% - Accent3 5 3 7" xfId="4290" xr:uid="{00000000-0005-0000-0000-00004C160000}"/>
    <cellStyle name="20% - Accent3 5 4" xfId="1191" xr:uid="{00000000-0005-0000-0000-00004D160000}"/>
    <cellStyle name="20% - Accent3 5 4 2" xfId="10283" xr:uid="{00000000-0005-0000-0000-00004E160000}"/>
    <cellStyle name="20% - Accent3 5 4 3" xfId="9085" xr:uid="{00000000-0005-0000-0000-00004F160000}"/>
    <cellStyle name="20% - Accent3 5 4 4" xfId="7887" xr:uid="{00000000-0005-0000-0000-000050160000}"/>
    <cellStyle name="20% - Accent3 5 4 5" xfId="6689" xr:uid="{00000000-0005-0000-0000-000051160000}"/>
    <cellStyle name="20% - Accent3 5 4 6" xfId="5490" xr:uid="{00000000-0005-0000-0000-000052160000}"/>
    <cellStyle name="20% - Accent3 5 4 7" xfId="4291" xr:uid="{00000000-0005-0000-0000-000053160000}"/>
    <cellStyle name="20% - Accent3 5 5" xfId="10280" xr:uid="{00000000-0005-0000-0000-000054160000}"/>
    <cellStyle name="20% - Accent3 5 6" xfId="9082" xr:uid="{00000000-0005-0000-0000-000055160000}"/>
    <cellStyle name="20% - Accent3 5 7" xfId="7884" xr:uid="{00000000-0005-0000-0000-000056160000}"/>
    <cellStyle name="20% - Accent3 5 8" xfId="6686" xr:uid="{00000000-0005-0000-0000-000057160000}"/>
    <cellStyle name="20% - Accent3 5 9" xfId="5487" xr:uid="{00000000-0005-0000-0000-000058160000}"/>
    <cellStyle name="20% - Accent3 5_2" xfId="1192" xr:uid="{00000000-0005-0000-0000-000059160000}"/>
    <cellStyle name="20% - Accent3 6" xfId="1193" xr:uid="{00000000-0005-0000-0000-00005A160000}"/>
    <cellStyle name="20% - Accent3 6 10" xfId="4292" xr:uid="{00000000-0005-0000-0000-00005B160000}"/>
    <cellStyle name="20% - Accent3 6 2" xfId="1194" xr:uid="{00000000-0005-0000-0000-00005C160000}"/>
    <cellStyle name="20% - Accent3 6 2 2" xfId="10285" xr:uid="{00000000-0005-0000-0000-00005D160000}"/>
    <cellStyle name="20% - Accent3 6 2 3" xfId="9087" xr:uid="{00000000-0005-0000-0000-00005E160000}"/>
    <cellStyle name="20% - Accent3 6 2 4" xfId="7889" xr:uid="{00000000-0005-0000-0000-00005F160000}"/>
    <cellStyle name="20% - Accent3 6 2 5" xfId="6691" xr:uid="{00000000-0005-0000-0000-000060160000}"/>
    <cellStyle name="20% - Accent3 6 2 6" xfId="5492" xr:uid="{00000000-0005-0000-0000-000061160000}"/>
    <cellStyle name="20% - Accent3 6 2 7" xfId="4293" xr:uid="{00000000-0005-0000-0000-000062160000}"/>
    <cellStyle name="20% - Accent3 6 3" xfId="1195" xr:uid="{00000000-0005-0000-0000-000063160000}"/>
    <cellStyle name="20% - Accent3 6 3 2" xfId="10286" xr:uid="{00000000-0005-0000-0000-000064160000}"/>
    <cellStyle name="20% - Accent3 6 3 3" xfId="9088" xr:uid="{00000000-0005-0000-0000-000065160000}"/>
    <cellStyle name="20% - Accent3 6 3 4" xfId="7890" xr:uid="{00000000-0005-0000-0000-000066160000}"/>
    <cellStyle name="20% - Accent3 6 3 5" xfId="6692" xr:uid="{00000000-0005-0000-0000-000067160000}"/>
    <cellStyle name="20% - Accent3 6 3 6" xfId="5493" xr:uid="{00000000-0005-0000-0000-000068160000}"/>
    <cellStyle name="20% - Accent3 6 3 7" xfId="4294" xr:uid="{00000000-0005-0000-0000-000069160000}"/>
    <cellStyle name="20% - Accent3 6 4" xfId="1196" xr:uid="{00000000-0005-0000-0000-00006A160000}"/>
    <cellStyle name="20% - Accent3 6 4 2" xfId="10287" xr:uid="{00000000-0005-0000-0000-00006B160000}"/>
    <cellStyle name="20% - Accent3 6 4 3" xfId="9089" xr:uid="{00000000-0005-0000-0000-00006C160000}"/>
    <cellStyle name="20% - Accent3 6 4 4" xfId="7891" xr:uid="{00000000-0005-0000-0000-00006D160000}"/>
    <cellStyle name="20% - Accent3 6 4 5" xfId="6693" xr:uid="{00000000-0005-0000-0000-00006E160000}"/>
    <cellStyle name="20% - Accent3 6 4 6" xfId="5494" xr:uid="{00000000-0005-0000-0000-00006F160000}"/>
    <cellStyle name="20% - Accent3 6 4 7" xfId="4295" xr:uid="{00000000-0005-0000-0000-000070160000}"/>
    <cellStyle name="20% - Accent3 6 5" xfId="10284" xr:uid="{00000000-0005-0000-0000-000071160000}"/>
    <cellStyle name="20% - Accent3 6 6" xfId="9086" xr:uid="{00000000-0005-0000-0000-000072160000}"/>
    <cellStyle name="20% - Accent3 6 7" xfId="7888" xr:uid="{00000000-0005-0000-0000-000073160000}"/>
    <cellStyle name="20% - Accent3 6 8" xfId="6690" xr:uid="{00000000-0005-0000-0000-000074160000}"/>
    <cellStyle name="20% - Accent3 6 9" xfId="5491" xr:uid="{00000000-0005-0000-0000-000075160000}"/>
    <cellStyle name="20% - Accent3 6_2" xfId="1197" xr:uid="{00000000-0005-0000-0000-000076160000}"/>
    <cellStyle name="20% - Accent3 7" xfId="1198" xr:uid="{00000000-0005-0000-0000-000077160000}"/>
    <cellStyle name="20% - Accent3 7 10" xfId="4296" xr:uid="{00000000-0005-0000-0000-000078160000}"/>
    <cellStyle name="20% - Accent3 7 2" xfId="1199" xr:uid="{00000000-0005-0000-0000-000079160000}"/>
    <cellStyle name="20% - Accent3 7 2 2" xfId="10289" xr:uid="{00000000-0005-0000-0000-00007A160000}"/>
    <cellStyle name="20% - Accent3 7 2 3" xfId="9091" xr:uid="{00000000-0005-0000-0000-00007B160000}"/>
    <cellStyle name="20% - Accent3 7 2 4" xfId="7893" xr:uid="{00000000-0005-0000-0000-00007C160000}"/>
    <cellStyle name="20% - Accent3 7 2 5" xfId="6695" xr:uid="{00000000-0005-0000-0000-00007D160000}"/>
    <cellStyle name="20% - Accent3 7 2 6" xfId="5496" xr:uid="{00000000-0005-0000-0000-00007E160000}"/>
    <cellStyle name="20% - Accent3 7 2 7" xfId="4297" xr:uid="{00000000-0005-0000-0000-00007F160000}"/>
    <cellStyle name="20% - Accent3 7 3" xfId="1200" xr:uid="{00000000-0005-0000-0000-000080160000}"/>
    <cellStyle name="20% - Accent3 7 3 2" xfId="10290" xr:uid="{00000000-0005-0000-0000-000081160000}"/>
    <cellStyle name="20% - Accent3 7 3 3" xfId="9092" xr:uid="{00000000-0005-0000-0000-000082160000}"/>
    <cellStyle name="20% - Accent3 7 3 4" xfId="7894" xr:uid="{00000000-0005-0000-0000-000083160000}"/>
    <cellStyle name="20% - Accent3 7 3 5" xfId="6696" xr:uid="{00000000-0005-0000-0000-000084160000}"/>
    <cellStyle name="20% - Accent3 7 3 6" xfId="5497" xr:uid="{00000000-0005-0000-0000-000085160000}"/>
    <cellStyle name="20% - Accent3 7 3 7" xfId="4298" xr:uid="{00000000-0005-0000-0000-000086160000}"/>
    <cellStyle name="20% - Accent3 7 4" xfId="1201" xr:uid="{00000000-0005-0000-0000-000087160000}"/>
    <cellStyle name="20% - Accent3 7 4 2" xfId="10291" xr:uid="{00000000-0005-0000-0000-000088160000}"/>
    <cellStyle name="20% - Accent3 7 4 3" xfId="9093" xr:uid="{00000000-0005-0000-0000-000089160000}"/>
    <cellStyle name="20% - Accent3 7 4 4" xfId="7895" xr:uid="{00000000-0005-0000-0000-00008A160000}"/>
    <cellStyle name="20% - Accent3 7 4 5" xfId="6697" xr:uid="{00000000-0005-0000-0000-00008B160000}"/>
    <cellStyle name="20% - Accent3 7 4 6" xfId="5498" xr:uid="{00000000-0005-0000-0000-00008C160000}"/>
    <cellStyle name="20% - Accent3 7 4 7" xfId="4299" xr:uid="{00000000-0005-0000-0000-00008D160000}"/>
    <cellStyle name="20% - Accent3 7 5" xfId="10288" xr:uid="{00000000-0005-0000-0000-00008E160000}"/>
    <cellStyle name="20% - Accent3 7 6" xfId="9090" xr:uid="{00000000-0005-0000-0000-00008F160000}"/>
    <cellStyle name="20% - Accent3 7 7" xfId="7892" xr:uid="{00000000-0005-0000-0000-000090160000}"/>
    <cellStyle name="20% - Accent3 7 8" xfId="6694" xr:uid="{00000000-0005-0000-0000-000091160000}"/>
    <cellStyle name="20% - Accent3 7 9" xfId="5495" xr:uid="{00000000-0005-0000-0000-000092160000}"/>
    <cellStyle name="20% - Accent3 7_2" xfId="1202" xr:uid="{00000000-0005-0000-0000-000093160000}"/>
    <cellStyle name="20% - Accent3 8" xfId="1203" xr:uid="{00000000-0005-0000-0000-000094160000}"/>
    <cellStyle name="20% - Accent3 8 10" xfId="4300" xr:uid="{00000000-0005-0000-0000-000095160000}"/>
    <cellStyle name="20% - Accent3 8 2" xfId="1204" xr:uid="{00000000-0005-0000-0000-000096160000}"/>
    <cellStyle name="20% - Accent3 8 2 2" xfId="10293" xr:uid="{00000000-0005-0000-0000-000097160000}"/>
    <cellStyle name="20% - Accent3 8 2 3" xfId="9095" xr:uid="{00000000-0005-0000-0000-000098160000}"/>
    <cellStyle name="20% - Accent3 8 2 4" xfId="7897" xr:uid="{00000000-0005-0000-0000-000099160000}"/>
    <cellStyle name="20% - Accent3 8 2 5" xfId="6699" xr:uid="{00000000-0005-0000-0000-00009A160000}"/>
    <cellStyle name="20% - Accent3 8 2 6" xfId="5500" xr:uid="{00000000-0005-0000-0000-00009B160000}"/>
    <cellStyle name="20% - Accent3 8 2 7" xfId="4301" xr:uid="{00000000-0005-0000-0000-00009C160000}"/>
    <cellStyle name="20% - Accent3 8 3" xfId="1205" xr:uid="{00000000-0005-0000-0000-00009D160000}"/>
    <cellStyle name="20% - Accent3 8 3 2" xfId="10294" xr:uid="{00000000-0005-0000-0000-00009E160000}"/>
    <cellStyle name="20% - Accent3 8 3 3" xfId="9096" xr:uid="{00000000-0005-0000-0000-00009F160000}"/>
    <cellStyle name="20% - Accent3 8 3 4" xfId="7898" xr:uid="{00000000-0005-0000-0000-0000A0160000}"/>
    <cellStyle name="20% - Accent3 8 3 5" xfId="6700" xr:uid="{00000000-0005-0000-0000-0000A1160000}"/>
    <cellStyle name="20% - Accent3 8 3 6" xfId="5501" xr:uid="{00000000-0005-0000-0000-0000A2160000}"/>
    <cellStyle name="20% - Accent3 8 3 7" xfId="4302" xr:uid="{00000000-0005-0000-0000-0000A3160000}"/>
    <cellStyle name="20% - Accent3 8 4" xfId="1206" xr:uid="{00000000-0005-0000-0000-0000A4160000}"/>
    <cellStyle name="20% - Accent3 8 4 2" xfId="10295" xr:uid="{00000000-0005-0000-0000-0000A5160000}"/>
    <cellStyle name="20% - Accent3 8 4 3" xfId="9097" xr:uid="{00000000-0005-0000-0000-0000A6160000}"/>
    <cellStyle name="20% - Accent3 8 4 4" xfId="7899" xr:uid="{00000000-0005-0000-0000-0000A7160000}"/>
    <cellStyle name="20% - Accent3 8 4 5" xfId="6701" xr:uid="{00000000-0005-0000-0000-0000A8160000}"/>
    <cellStyle name="20% - Accent3 8 4 6" xfId="5502" xr:uid="{00000000-0005-0000-0000-0000A9160000}"/>
    <cellStyle name="20% - Accent3 8 4 7" xfId="4303" xr:uid="{00000000-0005-0000-0000-0000AA160000}"/>
    <cellStyle name="20% - Accent3 8 5" xfId="10292" xr:uid="{00000000-0005-0000-0000-0000AB160000}"/>
    <cellStyle name="20% - Accent3 8 6" xfId="9094" xr:uid="{00000000-0005-0000-0000-0000AC160000}"/>
    <cellStyle name="20% - Accent3 8 7" xfId="7896" xr:uid="{00000000-0005-0000-0000-0000AD160000}"/>
    <cellStyle name="20% - Accent3 8 8" xfId="6698" xr:uid="{00000000-0005-0000-0000-0000AE160000}"/>
    <cellStyle name="20% - Accent3 8 9" xfId="5499" xr:uid="{00000000-0005-0000-0000-0000AF160000}"/>
    <cellStyle name="20% - Accent3 8_2" xfId="1207" xr:uid="{00000000-0005-0000-0000-0000B0160000}"/>
    <cellStyle name="20% - Accent3 9" xfId="1208" xr:uid="{00000000-0005-0000-0000-0000B1160000}"/>
    <cellStyle name="20% - Accent3 9 2" xfId="10296" xr:uid="{00000000-0005-0000-0000-0000B2160000}"/>
    <cellStyle name="20% - Accent3 9 3" xfId="9098" xr:uid="{00000000-0005-0000-0000-0000B3160000}"/>
    <cellStyle name="20% - Accent3 9 4" xfId="7900" xr:uid="{00000000-0005-0000-0000-0000B4160000}"/>
    <cellStyle name="20% - Accent3 9 5" xfId="6702" xr:uid="{00000000-0005-0000-0000-0000B5160000}"/>
    <cellStyle name="20% - Accent3 9 6" xfId="5503" xr:uid="{00000000-0005-0000-0000-0000B6160000}"/>
    <cellStyle name="20% - Accent3 9 7" xfId="4304" xr:uid="{00000000-0005-0000-0000-0000B7160000}"/>
    <cellStyle name="20% - Accent4 10" xfId="1209" xr:uid="{00000000-0005-0000-0000-0000B8160000}"/>
    <cellStyle name="20% - Accent4 10 2" xfId="10297" xr:uid="{00000000-0005-0000-0000-0000B9160000}"/>
    <cellStyle name="20% - Accent4 10 3" xfId="9099" xr:uid="{00000000-0005-0000-0000-0000BA160000}"/>
    <cellStyle name="20% - Accent4 10 4" xfId="7901" xr:uid="{00000000-0005-0000-0000-0000BB160000}"/>
    <cellStyle name="20% - Accent4 10 5" xfId="6703" xr:uid="{00000000-0005-0000-0000-0000BC160000}"/>
    <cellStyle name="20% - Accent4 10 6" xfId="5504" xr:uid="{00000000-0005-0000-0000-0000BD160000}"/>
    <cellStyle name="20% - Accent4 10 7" xfId="4305" xr:uid="{00000000-0005-0000-0000-0000BE160000}"/>
    <cellStyle name="20% - Accent4 11" xfId="1210" xr:uid="{00000000-0005-0000-0000-0000BF160000}"/>
    <cellStyle name="20% - Accent4 11 2" xfId="10298" xr:uid="{00000000-0005-0000-0000-0000C0160000}"/>
    <cellStyle name="20% - Accent4 11 3" xfId="9100" xr:uid="{00000000-0005-0000-0000-0000C1160000}"/>
    <cellStyle name="20% - Accent4 11 4" xfId="7902" xr:uid="{00000000-0005-0000-0000-0000C2160000}"/>
    <cellStyle name="20% - Accent4 11 5" xfId="6704" xr:uid="{00000000-0005-0000-0000-0000C3160000}"/>
    <cellStyle name="20% - Accent4 11 6" xfId="5505" xr:uid="{00000000-0005-0000-0000-0000C4160000}"/>
    <cellStyle name="20% - Accent4 11 7" xfId="4306" xr:uid="{00000000-0005-0000-0000-0000C5160000}"/>
    <cellStyle name="20% - Accent4 12" xfId="1211" xr:uid="{00000000-0005-0000-0000-0000C6160000}"/>
    <cellStyle name="20% - Accent4 12 2" xfId="1212" xr:uid="{00000000-0005-0000-0000-0000C7160000}"/>
    <cellStyle name="20% - Accent4 12 2 2" xfId="10300" xr:uid="{00000000-0005-0000-0000-0000C8160000}"/>
    <cellStyle name="20% - Accent4 12 2 3" xfId="9102" xr:uid="{00000000-0005-0000-0000-0000C9160000}"/>
    <cellStyle name="20% - Accent4 12 2 4" xfId="7904" xr:uid="{00000000-0005-0000-0000-0000CA160000}"/>
    <cellStyle name="20% - Accent4 12 2 5" xfId="6706" xr:uid="{00000000-0005-0000-0000-0000CB160000}"/>
    <cellStyle name="20% - Accent4 12 2 6" xfId="5507" xr:uid="{00000000-0005-0000-0000-0000CC160000}"/>
    <cellStyle name="20% - Accent4 12 2 7" xfId="4308" xr:uid="{00000000-0005-0000-0000-0000CD160000}"/>
    <cellStyle name="20% - Accent4 12 3" xfId="10299" xr:uid="{00000000-0005-0000-0000-0000CE160000}"/>
    <cellStyle name="20% - Accent4 12 4" xfId="9101" xr:uid="{00000000-0005-0000-0000-0000CF160000}"/>
    <cellStyle name="20% - Accent4 12 5" xfId="7903" xr:uid="{00000000-0005-0000-0000-0000D0160000}"/>
    <cellStyle name="20% - Accent4 12 6" xfId="6705" xr:uid="{00000000-0005-0000-0000-0000D1160000}"/>
    <cellStyle name="20% - Accent4 12 7" xfId="5506" xr:uid="{00000000-0005-0000-0000-0000D2160000}"/>
    <cellStyle name="20% - Accent4 12 8" xfId="4307" xr:uid="{00000000-0005-0000-0000-0000D3160000}"/>
    <cellStyle name="20% - Accent4 12_2" xfId="1213" xr:uid="{00000000-0005-0000-0000-0000D4160000}"/>
    <cellStyle name="20% - Accent4 13" xfId="1214" xr:uid="{00000000-0005-0000-0000-0000D5160000}"/>
    <cellStyle name="20% - Accent4 13 2" xfId="1215" xr:uid="{00000000-0005-0000-0000-0000D6160000}"/>
    <cellStyle name="20% - Accent4 13 2 2" xfId="10302" xr:uid="{00000000-0005-0000-0000-0000D7160000}"/>
    <cellStyle name="20% - Accent4 13 2 3" xfId="9104" xr:uid="{00000000-0005-0000-0000-0000D8160000}"/>
    <cellStyle name="20% - Accent4 13 2 4" xfId="7906" xr:uid="{00000000-0005-0000-0000-0000D9160000}"/>
    <cellStyle name="20% - Accent4 13 2 5" xfId="6708" xr:uid="{00000000-0005-0000-0000-0000DA160000}"/>
    <cellStyle name="20% - Accent4 13 2 6" xfId="5509" xr:uid="{00000000-0005-0000-0000-0000DB160000}"/>
    <cellStyle name="20% - Accent4 13 2 7" xfId="4310" xr:uid="{00000000-0005-0000-0000-0000DC160000}"/>
    <cellStyle name="20% - Accent4 13 3" xfId="10301" xr:uid="{00000000-0005-0000-0000-0000DD160000}"/>
    <cellStyle name="20% - Accent4 13 4" xfId="9103" xr:uid="{00000000-0005-0000-0000-0000DE160000}"/>
    <cellStyle name="20% - Accent4 13 5" xfId="7905" xr:uid="{00000000-0005-0000-0000-0000DF160000}"/>
    <cellStyle name="20% - Accent4 13 6" xfId="6707" xr:uid="{00000000-0005-0000-0000-0000E0160000}"/>
    <cellStyle name="20% - Accent4 13 7" xfId="5508" xr:uid="{00000000-0005-0000-0000-0000E1160000}"/>
    <cellStyle name="20% - Accent4 13 8" xfId="4309" xr:uid="{00000000-0005-0000-0000-0000E2160000}"/>
    <cellStyle name="20% - Accent4 13_2" xfId="1216" xr:uid="{00000000-0005-0000-0000-0000E3160000}"/>
    <cellStyle name="20% - Accent4 14" xfId="1217" xr:uid="{00000000-0005-0000-0000-0000E4160000}"/>
    <cellStyle name="20% - Accent4 14 2" xfId="1218" xr:uid="{00000000-0005-0000-0000-0000E5160000}"/>
    <cellStyle name="20% - Accent4 14 2 2" xfId="10304" xr:uid="{00000000-0005-0000-0000-0000E6160000}"/>
    <cellStyle name="20% - Accent4 14 2 3" xfId="9106" xr:uid="{00000000-0005-0000-0000-0000E7160000}"/>
    <cellStyle name="20% - Accent4 14 2 4" xfId="7908" xr:uid="{00000000-0005-0000-0000-0000E8160000}"/>
    <cellStyle name="20% - Accent4 14 2 5" xfId="6710" xr:uid="{00000000-0005-0000-0000-0000E9160000}"/>
    <cellStyle name="20% - Accent4 14 2 6" xfId="5511" xr:uid="{00000000-0005-0000-0000-0000EA160000}"/>
    <cellStyle name="20% - Accent4 14 2 7" xfId="4312" xr:uid="{00000000-0005-0000-0000-0000EB160000}"/>
    <cellStyle name="20% - Accent4 14 3" xfId="10303" xr:uid="{00000000-0005-0000-0000-0000EC160000}"/>
    <cellStyle name="20% - Accent4 14 4" xfId="9105" xr:uid="{00000000-0005-0000-0000-0000ED160000}"/>
    <cellStyle name="20% - Accent4 14 5" xfId="7907" xr:uid="{00000000-0005-0000-0000-0000EE160000}"/>
    <cellStyle name="20% - Accent4 14 6" xfId="6709" xr:uid="{00000000-0005-0000-0000-0000EF160000}"/>
    <cellStyle name="20% - Accent4 14 7" xfId="5510" xr:uid="{00000000-0005-0000-0000-0000F0160000}"/>
    <cellStyle name="20% - Accent4 14 8" xfId="4311" xr:uid="{00000000-0005-0000-0000-0000F1160000}"/>
    <cellStyle name="20% - Accent4 14_2" xfId="1219" xr:uid="{00000000-0005-0000-0000-0000F2160000}"/>
    <cellStyle name="20% - Accent4 15" xfId="1220" xr:uid="{00000000-0005-0000-0000-0000F3160000}"/>
    <cellStyle name="20% - Accent4 15 2" xfId="10305" xr:uid="{00000000-0005-0000-0000-0000F4160000}"/>
    <cellStyle name="20% - Accent4 15 3" xfId="9107" xr:uid="{00000000-0005-0000-0000-0000F5160000}"/>
    <cellStyle name="20% - Accent4 15 4" xfId="7909" xr:uid="{00000000-0005-0000-0000-0000F6160000}"/>
    <cellStyle name="20% - Accent4 15 5" xfId="6711" xr:uid="{00000000-0005-0000-0000-0000F7160000}"/>
    <cellStyle name="20% - Accent4 15 6" xfId="5512" xr:uid="{00000000-0005-0000-0000-0000F8160000}"/>
    <cellStyle name="20% - Accent4 15 7" xfId="4313" xr:uid="{00000000-0005-0000-0000-0000F9160000}"/>
    <cellStyle name="20% - Accent4 16" xfId="1221" xr:uid="{00000000-0005-0000-0000-0000FA160000}"/>
    <cellStyle name="20% - Accent4 16 2" xfId="10306" xr:uid="{00000000-0005-0000-0000-0000FB160000}"/>
    <cellStyle name="20% - Accent4 16 3" xfId="9108" xr:uid="{00000000-0005-0000-0000-0000FC160000}"/>
    <cellStyle name="20% - Accent4 16 4" xfId="7910" xr:uid="{00000000-0005-0000-0000-0000FD160000}"/>
    <cellStyle name="20% - Accent4 16 5" xfId="6712" xr:uid="{00000000-0005-0000-0000-0000FE160000}"/>
    <cellStyle name="20% - Accent4 16 6" xfId="5513" xr:uid="{00000000-0005-0000-0000-0000FF160000}"/>
    <cellStyle name="20% - Accent4 16 7" xfId="4314" xr:uid="{00000000-0005-0000-0000-000000170000}"/>
    <cellStyle name="20% - Accent4 2" xfId="1222" xr:uid="{00000000-0005-0000-0000-000001170000}"/>
    <cellStyle name="20% - Accent4 2 10" xfId="10307" xr:uid="{00000000-0005-0000-0000-000002170000}"/>
    <cellStyle name="20% - Accent4 2 11" xfId="9109" xr:uid="{00000000-0005-0000-0000-000003170000}"/>
    <cellStyle name="20% - Accent4 2 12" xfId="7911" xr:uid="{00000000-0005-0000-0000-000004170000}"/>
    <cellStyle name="20% - Accent4 2 13" xfId="6713" xr:uid="{00000000-0005-0000-0000-000005170000}"/>
    <cellStyle name="20% - Accent4 2 14" xfId="5514" xr:uid="{00000000-0005-0000-0000-000006170000}"/>
    <cellStyle name="20% - Accent4 2 15" xfId="4315" xr:uid="{00000000-0005-0000-0000-000007170000}"/>
    <cellStyle name="20% - Accent4 2 2" xfId="1223" xr:uid="{00000000-0005-0000-0000-000008170000}"/>
    <cellStyle name="20% - Accent4 2 2 2" xfId="10308" xr:uid="{00000000-0005-0000-0000-000009170000}"/>
    <cellStyle name="20% - Accent4 2 2 3" xfId="9110" xr:uid="{00000000-0005-0000-0000-00000A170000}"/>
    <cellStyle name="20% - Accent4 2 2 4" xfId="7912" xr:uid="{00000000-0005-0000-0000-00000B170000}"/>
    <cellStyle name="20% - Accent4 2 2 5" xfId="6714" xr:uid="{00000000-0005-0000-0000-00000C170000}"/>
    <cellStyle name="20% - Accent4 2 2 6" xfId="5515" xr:uid="{00000000-0005-0000-0000-00000D170000}"/>
    <cellStyle name="20% - Accent4 2 2 7" xfId="4316" xr:uid="{00000000-0005-0000-0000-00000E170000}"/>
    <cellStyle name="20% - Accent4 2 3" xfId="1224" xr:uid="{00000000-0005-0000-0000-00000F170000}"/>
    <cellStyle name="20% - Accent4 2 3 2" xfId="10309" xr:uid="{00000000-0005-0000-0000-000010170000}"/>
    <cellStyle name="20% - Accent4 2 3 3" xfId="9111" xr:uid="{00000000-0005-0000-0000-000011170000}"/>
    <cellStyle name="20% - Accent4 2 3 4" xfId="7913" xr:uid="{00000000-0005-0000-0000-000012170000}"/>
    <cellStyle name="20% - Accent4 2 3 5" xfId="6715" xr:uid="{00000000-0005-0000-0000-000013170000}"/>
    <cellStyle name="20% - Accent4 2 3 6" xfId="5516" xr:uid="{00000000-0005-0000-0000-000014170000}"/>
    <cellStyle name="20% - Accent4 2 3 7" xfId="4317" xr:uid="{00000000-0005-0000-0000-000015170000}"/>
    <cellStyle name="20% - Accent4 2 4" xfId="1225" xr:uid="{00000000-0005-0000-0000-000016170000}"/>
    <cellStyle name="20% - Accent4 2 4 2" xfId="10310" xr:uid="{00000000-0005-0000-0000-000017170000}"/>
    <cellStyle name="20% - Accent4 2 4 3" xfId="9112" xr:uid="{00000000-0005-0000-0000-000018170000}"/>
    <cellStyle name="20% - Accent4 2 4 4" xfId="7914" xr:uid="{00000000-0005-0000-0000-000019170000}"/>
    <cellStyle name="20% - Accent4 2 4 5" xfId="6716" xr:uid="{00000000-0005-0000-0000-00001A170000}"/>
    <cellStyle name="20% - Accent4 2 4 6" xfId="5517" xr:uid="{00000000-0005-0000-0000-00001B170000}"/>
    <cellStyle name="20% - Accent4 2 4 7" xfId="4318" xr:uid="{00000000-0005-0000-0000-00001C170000}"/>
    <cellStyle name="20% - Accent4 2 5" xfId="1226" xr:uid="{00000000-0005-0000-0000-00001D170000}"/>
    <cellStyle name="20% - Accent4 2 5 2" xfId="10311" xr:uid="{00000000-0005-0000-0000-00001E170000}"/>
    <cellStyle name="20% - Accent4 2 5 3" xfId="9113" xr:uid="{00000000-0005-0000-0000-00001F170000}"/>
    <cellStyle name="20% - Accent4 2 5 4" xfId="7915" xr:uid="{00000000-0005-0000-0000-000020170000}"/>
    <cellStyle name="20% - Accent4 2 5 5" xfId="6717" xr:uid="{00000000-0005-0000-0000-000021170000}"/>
    <cellStyle name="20% - Accent4 2 5 6" xfId="5518" xr:uid="{00000000-0005-0000-0000-000022170000}"/>
    <cellStyle name="20% - Accent4 2 5 7" xfId="4319" xr:uid="{00000000-0005-0000-0000-000023170000}"/>
    <cellStyle name="20% - Accent4 2 6" xfId="1227" xr:uid="{00000000-0005-0000-0000-000024170000}"/>
    <cellStyle name="20% - Accent4 2 6 2" xfId="10312" xr:uid="{00000000-0005-0000-0000-000025170000}"/>
    <cellStyle name="20% - Accent4 2 6 3" xfId="9114" xr:uid="{00000000-0005-0000-0000-000026170000}"/>
    <cellStyle name="20% - Accent4 2 6 4" xfId="7916" xr:uid="{00000000-0005-0000-0000-000027170000}"/>
    <cellStyle name="20% - Accent4 2 6 5" xfId="6718" xr:uid="{00000000-0005-0000-0000-000028170000}"/>
    <cellStyle name="20% - Accent4 2 6 6" xfId="5519" xr:uid="{00000000-0005-0000-0000-000029170000}"/>
    <cellStyle name="20% - Accent4 2 6 7" xfId="4320" xr:uid="{00000000-0005-0000-0000-00002A170000}"/>
    <cellStyle name="20% - Accent4 2 7" xfId="1228" xr:uid="{00000000-0005-0000-0000-00002B170000}"/>
    <cellStyle name="20% - Accent4 2 7 2" xfId="10313" xr:uid="{00000000-0005-0000-0000-00002C170000}"/>
    <cellStyle name="20% - Accent4 2 7 3" xfId="9115" xr:uid="{00000000-0005-0000-0000-00002D170000}"/>
    <cellStyle name="20% - Accent4 2 7 4" xfId="7917" xr:uid="{00000000-0005-0000-0000-00002E170000}"/>
    <cellStyle name="20% - Accent4 2 7 5" xfId="6719" xr:uid="{00000000-0005-0000-0000-00002F170000}"/>
    <cellStyle name="20% - Accent4 2 7 6" xfId="5520" xr:uid="{00000000-0005-0000-0000-000030170000}"/>
    <cellStyle name="20% - Accent4 2 7 7" xfId="4321" xr:uid="{00000000-0005-0000-0000-000031170000}"/>
    <cellStyle name="20% - Accent4 2 8" xfId="1229" xr:uid="{00000000-0005-0000-0000-000032170000}"/>
    <cellStyle name="20% - Accent4 2 8 2" xfId="10314" xr:uid="{00000000-0005-0000-0000-000033170000}"/>
    <cellStyle name="20% - Accent4 2 8 3" xfId="9116" xr:uid="{00000000-0005-0000-0000-000034170000}"/>
    <cellStyle name="20% - Accent4 2 8 4" xfId="7918" xr:uid="{00000000-0005-0000-0000-000035170000}"/>
    <cellStyle name="20% - Accent4 2 8 5" xfId="6720" xr:uid="{00000000-0005-0000-0000-000036170000}"/>
    <cellStyle name="20% - Accent4 2 8 6" xfId="5521" xr:uid="{00000000-0005-0000-0000-000037170000}"/>
    <cellStyle name="20% - Accent4 2 8 7" xfId="4322" xr:uid="{00000000-0005-0000-0000-000038170000}"/>
    <cellStyle name="20% - Accent4 2 9" xfId="1230" xr:uid="{00000000-0005-0000-0000-000039170000}"/>
    <cellStyle name="20% - Accent4 2 9 2" xfId="10315" xr:uid="{00000000-0005-0000-0000-00003A170000}"/>
    <cellStyle name="20% - Accent4 2 9 3" xfId="9117" xr:uid="{00000000-0005-0000-0000-00003B170000}"/>
    <cellStyle name="20% - Accent4 2 9 4" xfId="7919" xr:uid="{00000000-0005-0000-0000-00003C170000}"/>
    <cellStyle name="20% - Accent4 2 9 5" xfId="6721" xr:uid="{00000000-0005-0000-0000-00003D170000}"/>
    <cellStyle name="20% - Accent4 2 9 6" xfId="5522" xr:uid="{00000000-0005-0000-0000-00003E170000}"/>
    <cellStyle name="20% - Accent4 2 9 7" xfId="4323" xr:uid="{00000000-0005-0000-0000-00003F170000}"/>
    <cellStyle name="20% - Accent4 2_2" xfId="1231" xr:uid="{00000000-0005-0000-0000-000040170000}"/>
    <cellStyle name="20% - Accent4 3" xfId="1232" xr:uid="{00000000-0005-0000-0000-000041170000}"/>
    <cellStyle name="20% - Accent4 3 10" xfId="4324" xr:uid="{00000000-0005-0000-0000-000042170000}"/>
    <cellStyle name="20% - Accent4 3 2" xfId="1233" xr:uid="{00000000-0005-0000-0000-000043170000}"/>
    <cellStyle name="20% - Accent4 3 2 2" xfId="10317" xr:uid="{00000000-0005-0000-0000-000044170000}"/>
    <cellStyle name="20% - Accent4 3 2 3" xfId="9119" xr:uid="{00000000-0005-0000-0000-000045170000}"/>
    <cellStyle name="20% - Accent4 3 2 4" xfId="7921" xr:uid="{00000000-0005-0000-0000-000046170000}"/>
    <cellStyle name="20% - Accent4 3 2 5" xfId="6723" xr:uid="{00000000-0005-0000-0000-000047170000}"/>
    <cellStyle name="20% - Accent4 3 2 6" xfId="5524" xr:uid="{00000000-0005-0000-0000-000048170000}"/>
    <cellStyle name="20% - Accent4 3 2 7" xfId="4325" xr:uid="{00000000-0005-0000-0000-000049170000}"/>
    <cellStyle name="20% - Accent4 3 3" xfId="1234" xr:uid="{00000000-0005-0000-0000-00004A170000}"/>
    <cellStyle name="20% - Accent4 3 3 2" xfId="10318" xr:uid="{00000000-0005-0000-0000-00004B170000}"/>
    <cellStyle name="20% - Accent4 3 3 3" xfId="9120" xr:uid="{00000000-0005-0000-0000-00004C170000}"/>
    <cellStyle name="20% - Accent4 3 3 4" xfId="7922" xr:uid="{00000000-0005-0000-0000-00004D170000}"/>
    <cellStyle name="20% - Accent4 3 3 5" xfId="6724" xr:uid="{00000000-0005-0000-0000-00004E170000}"/>
    <cellStyle name="20% - Accent4 3 3 6" xfId="5525" xr:uid="{00000000-0005-0000-0000-00004F170000}"/>
    <cellStyle name="20% - Accent4 3 3 7" xfId="4326" xr:uid="{00000000-0005-0000-0000-000050170000}"/>
    <cellStyle name="20% - Accent4 3 4" xfId="1235" xr:uid="{00000000-0005-0000-0000-000051170000}"/>
    <cellStyle name="20% - Accent4 3 4 2" xfId="10319" xr:uid="{00000000-0005-0000-0000-000052170000}"/>
    <cellStyle name="20% - Accent4 3 4 3" xfId="9121" xr:uid="{00000000-0005-0000-0000-000053170000}"/>
    <cellStyle name="20% - Accent4 3 4 4" xfId="7923" xr:uid="{00000000-0005-0000-0000-000054170000}"/>
    <cellStyle name="20% - Accent4 3 4 5" xfId="6725" xr:uid="{00000000-0005-0000-0000-000055170000}"/>
    <cellStyle name="20% - Accent4 3 4 6" xfId="5526" xr:uid="{00000000-0005-0000-0000-000056170000}"/>
    <cellStyle name="20% - Accent4 3 4 7" xfId="4327" xr:uid="{00000000-0005-0000-0000-000057170000}"/>
    <cellStyle name="20% - Accent4 3 5" xfId="10316" xr:uid="{00000000-0005-0000-0000-000058170000}"/>
    <cellStyle name="20% - Accent4 3 6" xfId="9118" xr:uid="{00000000-0005-0000-0000-000059170000}"/>
    <cellStyle name="20% - Accent4 3 7" xfId="7920" xr:uid="{00000000-0005-0000-0000-00005A170000}"/>
    <cellStyle name="20% - Accent4 3 8" xfId="6722" xr:uid="{00000000-0005-0000-0000-00005B170000}"/>
    <cellStyle name="20% - Accent4 3 9" xfId="5523" xr:uid="{00000000-0005-0000-0000-00005C170000}"/>
    <cellStyle name="20% - Accent4 3_2" xfId="1236" xr:uid="{00000000-0005-0000-0000-00005D170000}"/>
    <cellStyle name="20% - Accent4 4" xfId="1237" xr:uid="{00000000-0005-0000-0000-00005E170000}"/>
    <cellStyle name="20% - Accent4 4 10" xfId="4328" xr:uid="{00000000-0005-0000-0000-00005F170000}"/>
    <cellStyle name="20% - Accent4 4 2" xfId="1238" xr:uid="{00000000-0005-0000-0000-000060170000}"/>
    <cellStyle name="20% - Accent4 4 2 2" xfId="10321" xr:uid="{00000000-0005-0000-0000-000061170000}"/>
    <cellStyle name="20% - Accent4 4 2 3" xfId="9123" xr:uid="{00000000-0005-0000-0000-000062170000}"/>
    <cellStyle name="20% - Accent4 4 2 4" xfId="7925" xr:uid="{00000000-0005-0000-0000-000063170000}"/>
    <cellStyle name="20% - Accent4 4 2 5" xfId="6727" xr:uid="{00000000-0005-0000-0000-000064170000}"/>
    <cellStyle name="20% - Accent4 4 2 6" xfId="5528" xr:uid="{00000000-0005-0000-0000-000065170000}"/>
    <cellStyle name="20% - Accent4 4 2 7" xfId="4329" xr:uid="{00000000-0005-0000-0000-000066170000}"/>
    <cellStyle name="20% - Accent4 4 3" xfId="1239" xr:uid="{00000000-0005-0000-0000-000067170000}"/>
    <cellStyle name="20% - Accent4 4 3 2" xfId="10322" xr:uid="{00000000-0005-0000-0000-000068170000}"/>
    <cellStyle name="20% - Accent4 4 3 3" xfId="9124" xr:uid="{00000000-0005-0000-0000-000069170000}"/>
    <cellStyle name="20% - Accent4 4 3 4" xfId="7926" xr:uid="{00000000-0005-0000-0000-00006A170000}"/>
    <cellStyle name="20% - Accent4 4 3 5" xfId="6728" xr:uid="{00000000-0005-0000-0000-00006B170000}"/>
    <cellStyle name="20% - Accent4 4 3 6" xfId="5529" xr:uid="{00000000-0005-0000-0000-00006C170000}"/>
    <cellStyle name="20% - Accent4 4 3 7" xfId="4330" xr:uid="{00000000-0005-0000-0000-00006D170000}"/>
    <cellStyle name="20% - Accent4 4 4" xfId="1240" xr:uid="{00000000-0005-0000-0000-00006E170000}"/>
    <cellStyle name="20% - Accent4 4 4 2" xfId="10323" xr:uid="{00000000-0005-0000-0000-00006F170000}"/>
    <cellStyle name="20% - Accent4 4 4 3" xfId="9125" xr:uid="{00000000-0005-0000-0000-000070170000}"/>
    <cellStyle name="20% - Accent4 4 4 4" xfId="7927" xr:uid="{00000000-0005-0000-0000-000071170000}"/>
    <cellStyle name="20% - Accent4 4 4 5" xfId="6729" xr:uid="{00000000-0005-0000-0000-000072170000}"/>
    <cellStyle name="20% - Accent4 4 4 6" xfId="5530" xr:uid="{00000000-0005-0000-0000-000073170000}"/>
    <cellStyle name="20% - Accent4 4 4 7" xfId="4331" xr:uid="{00000000-0005-0000-0000-000074170000}"/>
    <cellStyle name="20% - Accent4 4 5" xfId="10320" xr:uid="{00000000-0005-0000-0000-000075170000}"/>
    <cellStyle name="20% - Accent4 4 6" xfId="9122" xr:uid="{00000000-0005-0000-0000-000076170000}"/>
    <cellStyle name="20% - Accent4 4 7" xfId="7924" xr:uid="{00000000-0005-0000-0000-000077170000}"/>
    <cellStyle name="20% - Accent4 4 8" xfId="6726" xr:uid="{00000000-0005-0000-0000-000078170000}"/>
    <cellStyle name="20% - Accent4 4 9" xfId="5527" xr:uid="{00000000-0005-0000-0000-000079170000}"/>
    <cellStyle name="20% - Accent4 4_2" xfId="1241" xr:uid="{00000000-0005-0000-0000-00007A170000}"/>
    <cellStyle name="20% - Accent4 5" xfId="1242" xr:uid="{00000000-0005-0000-0000-00007B170000}"/>
    <cellStyle name="20% - Accent4 5 10" xfId="4332" xr:uid="{00000000-0005-0000-0000-00007C170000}"/>
    <cellStyle name="20% - Accent4 5 2" xfId="1243" xr:uid="{00000000-0005-0000-0000-00007D170000}"/>
    <cellStyle name="20% - Accent4 5 2 2" xfId="10325" xr:uid="{00000000-0005-0000-0000-00007E170000}"/>
    <cellStyle name="20% - Accent4 5 2 3" xfId="9127" xr:uid="{00000000-0005-0000-0000-00007F170000}"/>
    <cellStyle name="20% - Accent4 5 2 4" xfId="7929" xr:uid="{00000000-0005-0000-0000-000080170000}"/>
    <cellStyle name="20% - Accent4 5 2 5" xfId="6731" xr:uid="{00000000-0005-0000-0000-000081170000}"/>
    <cellStyle name="20% - Accent4 5 2 6" xfId="5532" xr:uid="{00000000-0005-0000-0000-000082170000}"/>
    <cellStyle name="20% - Accent4 5 2 7" xfId="4333" xr:uid="{00000000-0005-0000-0000-000083170000}"/>
    <cellStyle name="20% - Accent4 5 3" xfId="1244" xr:uid="{00000000-0005-0000-0000-000084170000}"/>
    <cellStyle name="20% - Accent4 5 3 2" xfId="10326" xr:uid="{00000000-0005-0000-0000-000085170000}"/>
    <cellStyle name="20% - Accent4 5 3 3" xfId="9128" xr:uid="{00000000-0005-0000-0000-000086170000}"/>
    <cellStyle name="20% - Accent4 5 3 4" xfId="7930" xr:uid="{00000000-0005-0000-0000-000087170000}"/>
    <cellStyle name="20% - Accent4 5 3 5" xfId="6732" xr:uid="{00000000-0005-0000-0000-000088170000}"/>
    <cellStyle name="20% - Accent4 5 3 6" xfId="5533" xr:uid="{00000000-0005-0000-0000-000089170000}"/>
    <cellStyle name="20% - Accent4 5 3 7" xfId="4334" xr:uid="{00000000-0005-0000-0000-00008A170000}"/>
    <cellStyle name="20% - Accent4 5 4" xfId="1245" xr:uid="{00000000-0005-0000-0000-00008B170000}"/>
    <cellStyle name="20% - Accent4 5 4 2" xfId="10327" xr:uid="{00000000-0005-0000-0000-00008C170000}"/>
    <cellStyle name="20% - Accent4 5 4 3" xfId="9129" xr:uid="{00000000-0005-0000-0000-00008D170000}"/>
    <cellStyle name="20% - Accent4 5 4 4" xfId="7931" xr:uid="{00000000-0005-0000-0000-00008E170000}"/>
    <cellStyle name="20% - Accent4 5 4 5" xfId="6733" xr:uid="{00000000-0005-0000-0000-00008F170000}"/>
    <cellStyle name="20% - Accent4 5 4 6" xfId="5534" xr:uid="{00000000-0005-0000-0000-000090170000}"/>
    <cellStyle name="20% - Accent4 5 4 7" xfId="4335" xr:uid="{00000000-0005-0000-0000-000091170000}"/>
    <cellStyle name="20% - Accent4 5 5" xfId="10324" xr:uid="{00000000-0005-0000-0000-000092170000}"/>
    <cellStyle name="20% - Accent4 5 6" xfId="9126" xr:uid="{00000000-0005-0000-0000-000093170000}"/>
    <cellStyle name="20% - Accent4 5 7" xfId="7928" xr:uid="{00000000-0005-0000-0000-000094170000}"/>
    <cellStyle name="20% - Accent4 5 8" xfId="6730" xr:uid="{00000000-0005-0000-0000-000095170000}"/>
    <cellStyle name="20% - Accent4 5 9" xfId="5531" xr:uid="{00000000-0005-0000-0000-000096170000}"/>
    <cellStyle name="20% - Accent4 5_2" xfId="1246" xr:uid="{00000000-0005-0000-0000-000097170000}"/>
    <cellStyle name="20% - Accent4 6" xfId="1247" xr:uid="{00000000-0005-0000-0000-000098170000}"/>
    <cellStyle name="20% - Accent4 6 10" xfId="4336" xr:uid="{00000000-0005-0000-0000-000099170000}"/>
    <cellStyle name="20% - Accent4 6 2" xfId="1248" xr:uid="{00000000-0005-0000-0000-00009A170000}"/>
    <cellStyle name="20% - Accent4 6 2 2" xfId="10329" xr:uid="{00000000-0005-0000-0000-00009B170000}"/>
    <cellStyle name="20% - Accent4 6 2 3" xfId="9131" xr:uid="{00000000-0005-0000-0000-00009C170000}"/>
    <cellStyle name="20% - Accent4 6 2 4" xfId="7933" xr:uid="{00000000-0005-0000-0000-00009D170000}"/>
    <cellStyle name="20% - Accent4 6 2 5" xfId="6735" xr:uid="{00000000-0005-0000-0000-00009E170000}"/>
    <cellStyle name="20% - Accent4 6 2 6" xfId="5536" xr:uid="{00000000-0005-0000-0000-00009F170000}"/>
    <cellStyle name="20% - Accent4 6 2 7" xfId="4337" xr:uid="{00000000-0005-0000-0000-0000A0170000}"/>
    <cellStyle name="20% - Accent4 6 3" xfId="1249" xr:uid="{00000000-0005-0000-0000-0000A1170000}"/>
    <cellStyle name="20% - Accent4 6 3 2" xfId="10330" xr:uid="{00000000-0005-0000-0000-0000A2170000}"/>
    <cellStyle name="20% - Accent4 6 3 3" xfId="9132" xr:uid="{00000000-0005-0000-0000-0000A3170000}"/>
    <cellStyle name="20% - Accent4 6 3 4" xfId="7934" xr:uid="{00000000-0005-0000-0000-0000A4170000}"/>
    <cellStyle name="20% - Accent4 6 3 5" xfId="6736" xr:uid="{00000000-0005-0000-0000-0000A5170000}"/>
    <cellStyle name="20% - Accent4 6 3 6" xfId="5537" xr:uid="{00000000-0005-0000-0000-0000A6170000}"/>
    <cellStyle name="20% - Accent4 6 3 7" xfId="4338" xr:uid="{00000000-0005-0000-0000-0000A7170000}"/>
    <cellStyle name="20% - Accent4 6 4" xfId="1250" xr:uid="{00000000-0005-0000-0000-0000A8170000}"/>
    <cellStyle name="20% - Accent4 6 4 2" xfId="10331" xr:uid="{00000000-0005-0000-0000-0000A9170000}"/>
    <cellStyle name="20% - Accent4 6 4 3" xfId="9133" xr:uid="{00000000-0005-0000-0000-0000AA170000}"/>
    <cellStyle name="20% - Accent4 6 4 4" xfId="7935" xr:uid="{00000000-0005-0000-0000-0000AB170000}"/>
    <cellStyle name="20% - Accent4 6 4 5" xfId="6737" xr:uid="{00000000-0005-0000-0000-0000AC170000}"/>
    <cellStyle name="20% - Accent4 6 4 6" xfId="5538" xr:uid="{00000000-0005-0000-0000-0000AD170000}"/>
    <cellStyle name="20% - Accent4 6 4 7" xfId="4339" xr:uid="{00000000-0005-0000-0000-0000AE170000}"/>
    <cellStyle name="20% - Accent4 6 5" xfId="10328" xr:uid="{00000000-0005-0000-0000-0000AF170000}"/>
    <cellStyle name="20% - Accent4 6 6" xfId="9130" xr:uid="{00000000-0005-0000-0000-0000B0170000}"/>
    <cellStyle name="20% - Accent4 6 7" xfId="7932" xr:uid="{00000000-0005-0000-0000-0000B1170000}"/>
    <cellStyle name="20% - Accent4 6 8" xfId="6734" xr:uid="{00000000-0005-0000-0000-0000B2170000}"/>
    <cellStyle name="20% - Accent4 6 9" xfId="5535" xr:uid="{00000000-0005-0000-0000-0000B3170000}"/>
    <cellStyle name="20% - Accent4 6_2" xfId="1251" xr:uid="{00000000-0005-0000-0000-0000B4170000}"/>
    <cellStyle name="20% - Accent4 7" xfId="1252" xr:uid="{00000000-0005-0000-0000-0000B5170000}"/>
    <cellStyle name="20% - Accent4 7 10" xfId="4340" xr:uid="{00000000-0005-0000-0000-0000B6170000}"/>
    <cellStyle name="20% - Accent4 7 2" xfId="1253" xr:uid="{00000000-0005-0000-0000-0000B7170000}"/>
    <cellStyle name="20% - Accent4 7 2 2" xfId="10333" xr:uid="{00000000-0005-0000-0000-0000B8170000}"/>
    <cellStyle name="20% - Accent4 7 2 3" xfId="9135" xr:uid="{00000000-0005-0000-0000-0000B9170000}"/>
    <cellStyle name="20% - Accent4 7 2 4" xfId="7937" xr:uid="{00000000-0005-0000-0000-0000BA170000}"/>
    <cellStyle name="20% - Accent4 7 2 5" xfId="6739" xr:uid="{00000000-0005-0000-0000-0000BB170000}"/>
    <cellStyle name="20% - Accent4 7 2 6" xfId="5540" xr:uid="{00000000-0005-0000-0000-0000BC170000}"/>
    <cellStyle name="20% - Accent4 7 2 7" xfId="4341" xr:uid="{00000000-0005-0000-0000-0000BD170000}"/>
    <cellStyle name="20% - Accent4 7 3" xfId="1254" xr:uid="{00000000-0005-0000-0000-0000BE170000}"/>
    <cellStyle name="20% - Accent4 7 3 2" xfId="10334" xr:uid="{00000000-0005-0000-0000-0000BF170000}"/>
    <cellStyle name="20% - Accent4 7 3 3" xfId="9136" xr:uid="{00000000-0005-0000-0000-0000C0170000}"/>
    <cellStyle name="20% - Accent4 7 3 4" xfId="7938" xr:uid="{00000000-0005-0000-0000-0000C1170000}"/>
    <cellStyle name="20% - Accent4 7 3 5" xfId="6740" xr:uid="{00000000-0005-0000-0000-0000C2170000}"/>
    <cellStyle name="20% - Accent4 7 3 6" xfId="5541" xr:uid="{00000000-0005-0000-0000-0000C3170000}"/>
    <cellStyle name="20% - Accent4 7 3 7" xfId="4342" xr:uid="{00000000-0005-0000-0000-0000C4170000}"/>
    <cellStyle name="20% - Accent4 7 4" xfId="1255" xr:uid="{00000000-0005-0000-0000-0000C5170000}"/>
    <cellStyle name="20% - Accent4 7 4 2" xfId="10335" xr:uid="{00000000-0005-0000-0000-0000C6170000}"/>
    <cellStyle name="20% - Accent4 7 4 3" xfId="9137" xr:uid="{00000000-0005-0000-0000-0000C7170000}"/>
    <cellStyle name="20% - Accent4 7 4 4" xfId="7939" xr:uid="{00000000-0005-0000-0000-0000C8170000}"/>
    <cellStyle name="20% - Accent4 7 4 5" xfId="6741" xr:uid="{00000000-0005-0000-0000-0000C9170000}"/>
    <cellStyle name="20% - Accent4 7 4 6" xfId="5542" xr:uid="{00000000-0005-0000-0000-0000CA170000}"/>
    <cellStyle name="20% - Accent4 7 4 7" xfId="4343" xr:uid="{00000000-0005-0000-0000-0000CB170000}"/>
    <cellStyle name="20% - Accent4 7 5" xfId="10332" xr:uid="{00000000-0005-0000-0000-0000CC170000}"/>
    <cellStyle name="20% - Accent4 7 6" xfId="9134" xr:uid="{00000000-0005-0000-0000-0000CD170000}"/>
    <cellStyle name="20% - Accent4 7 7" xfId="7936" xr:uid="{00000000-0005-0000-0000-0000CE170000}"/>
    <cellStyle name="20% - Accent4 7 8" xfId="6738" xr:uid="{00000000-0005-0000-0000-0000CF170000}"/>
    <cellStyle name="20% - Accent4 7 9" xfId="5539" xr:uid="{00000000-0005-0000-0000-0000D0170000}"/>
    <cellStyle name="20% - Accent4 7_2" xfId="1256" xr:uid="{00000000-0005-0000-0000-0000D1170000}"/>
    <cellStyle name="20% - Accent4 8" xfId="1257" xr:uid="{00000000-0005-0000-0000-0000D2170000}"/>
    <cellStyle name="20% - Accent4 8 10" xfId="4344" xr:uid="{00000000-0005-0000-0000-0000D3170000}"/>
    <cellStyle name="20% - Accent4 8 2" xfId="1258" xr:uid="{00000000-0005-0000-0000-0000D4170000}"/>
    <cellStyle name="20% - Accent4 8 2 2" xfId="10337" xr:uid="{00000000-0005-0000-0000-0000D5170000}"/>
    <cellStyle name="20% - Accent4 8 2 3" xfId="9139" xr:uid="{00000000-0005-0000-0000-0000D6170000}"/>
    <cellStyle name="20% - Accent4 8 2 4" xfId="7941" xr:uid="{00000000-0005-0000-0000-0000D7170000}"/>
    <cellStyle name="20% - Accent4 8 2 5" xfId="6743" xr:uid="{00000000-0005-0000-0000-0000D8170000}"/>
    <cellStyle name="20% - Accent4 8 2 6" xfId="5544" xr:uid="{00000000-0005-0000-0000-0000D9170000}"/>
    <cellStyle name="20% - Accent4 8 2 7" xfId="4345" xr:uid="{00000000-0005-0000-0000-0000DA170000}"/>
    <cellStyle name="20% - Accent4 8 3" xfId="1259" xr:uid="{00000000-0005-0000-0000-0000DB170000}"/>
    <cellStyle name="20% - Accent4 8 3 2" xfId="10338" xr:uid="{00000000-0005-0000-0000-0000DC170000}"/>
    <cellStyle name="20% - Accent4 8 3 3" xfId="9140" xr:uid="{00000000-0005-0000-0000-0000DD170000}"/>
    <cellStyle name="20% - Accent4 8 3 4" xfId="7942" xr:uid="{00000000-0005-0000-0000-0000DE170000}"/>
    <cellStyle name="20% - Accent4 8 3 5" xfId="6744" xr:uid="{00000000-0005-0000-0000-0000DF170000}"/>
    <cellStyle name="20% - Accent4 8 3 6" xfId="5545" xr:uid="{00000000-0005-0000-0000-0000E0170000}"/>
    <cellStyle name="20% - Accent4 8 3 7" xfId="4346" xr:uid="{00000000-0005-0000-0000-0000E1170000}"/>
    <cellStyle name="20% - Accent4 8 4" xfId="1260" xr:uid="{00000000-0005-0000-0000-0000E2170000}"/>
    <cellStyle name="20% - Accent4 8 4 2" xfId="10339" xr:uid="{00000000-0005-0000-0000-0000E3170000}"/>
    <cellStyle name="20% - Accent4 8 4 3" xfId="9141" xr:uid="{00000000-0005-0000-0000-0000E4170000}"/>
    <cellStyle name="20% - Accent4 8 4 4" xfId="7943" xr:uid="{00000000-0005-0000-0000-0000E5170000}"/>
    <cellStyle name="20% - Accent4 8 4 5" xfId="6745" xr:uid="{00000000-0005-0000-0000-0000E6170000}"/>
    <cellStyle name="20% - Accent4 8 4 6" xfId="5546" xr:uid="{00000000-0005-0000-0000-0000E7170000}"/>
    <cellStyle name="20% - Accent4 8 4 7" xfId="4347" xr:uid="{00000000-0005-0000-0000-0000E8170000}"/>
    <cellStyle name="20% - Accent4 8 5" xfId="10336" xr:uid="{00000000-0005-0000-0000-0000E9170000}"/>
    <cellStyle name="20% - Accent4 8 6" xfId="9138" xr:uid="{00000000-0005-0000-0000-0000EA170000}"/>
    <cellStyle name="20% - Accent4 8 7" xfId="7940" xr:uid="{00000000-0005-0000-0000-0000EB170000}"/>
    <cellStyle name="20% - Accent4 8 8" xfId="6742" xr:uid="{00000000-0005-0000-0000-0000EC170000}"/>
    <cellStyle name="20% - Accent4 8 9" xfId="5543" xr:uid="{00000000-0005-0000-0000-0000ED170000}"/>
    <cellStyle name="20% - Accent4 8_2" xfId="1261" xr:uid="{00000000-0005-0000-0000-0000EE170000}"/>
    <cellStyle name="20% - Accent4 9" xfId="1262" xr:uid="{00000000-0005-0000-0000-0000EF170000}"/>
    <cellStyle name="20% - Accent4 9 2" xfId="10340" xr:uid="{00000000-0005-0000-0000-0000F0170000}"/>
    <cellStyle name="20% - Accent4 9 3" xfId="9142" xr:uid="{00000000-0005-0000-0000-0000F1170000}"/>
    <cellStyle name="20% - Accent4 9 4" xfId="7944" xr:uid="{00000000-0005-0000-0000-0000F2170000}"/>
    <cellStyle name="20% - Accent4 9 5" xfId="6746" xr:uid="{00000000-0005-0000-0000-0000F3170000}"/>
    <cellStyle name="20% - Accent4 9 6" xfId="5547" xr:uid="{00000000-0005-0000-0000-0000F4170000}"/>
    <cellStyle name="20% - Accent4 9 7" xfId="4348" xr:uid="{00000000-0005-0000-0000-0000F5170000}"/>
    <cellStyle name="20% - Accent5 10" xfId="1263" xr:uid="{00000000-0005-0000-0000-0000F6170000}"/>
    <cellStyle name="20% - Accent5 10 2" xfId="10341" xr:uid="{00000000-0005-0000-0000-0000F7170000}"/>
    <cellStyle name="20% - Accent5 10 3" xfId="9143" xr:uid="{00000000-0005-0000-0000-0000F8170000}"/>
    <cellStyle name="20% - Accent5 10 4" xfId="7945" xr:uid="{00000000-0005-0000-0000-0000F9170000}"/>
    <cellStyle name="20% - Accent5 10 5" xfId="6747" xr:uid="{00000000-0005-0000-0000-0000FA170000}"/>
    <cellStyle name="20% - Accent5 10 6" xfId="5548" xr:uid="{00000000-0005-0000-0000-0000FB170000}"/>
    <cellStyle name="20% - Accent5 10 7" xfId="4349" xr:uid="{00000000-0005-0000-0000-0000FC170000}"/>
    <cellStyle name="20% - Accent5 11" xfId="1264" xr:uid="{00000000-0005-0000-0000-0000FD170000}"/>
    <cellStyle name="20% - Accent5 11 2" xfId="10342" xr:uid="{00000000-0005-0000-0000-0000FE170000}"/>
    <cellStyle name="20% - Accent5 11 3" xfId="9144" xr:uid="{00000000-0005-0000-0000-0000FF170000}"/>
    <cellStyle name="20% - Accent5 11 4" xfId="7946" xr:uid="{00000000-0005-0000-0000-000000180000}"/>
    <cellStyle name="20% - Accent5 11 5" xfId="6748" xr:uid="{00000000-0005-0000-0000-000001180000}"/>
    <cellStyle name="20% - Accent5 11 6" xfId="5549" xr:uid="{00000000-0005-0000-0000-000002180000}"/>
    <cellStyle name="20% - Accent5 11 7" xfId="4350" xr:uid="{00000000-0005-0000-0000-000003180000}"/>
    <cellStyle name="20% - Accent5 12" xfId="1265" xr:uid="{00000000-0005-0000-0000-000004180000}"/>
    <cellStyle name="20% - Accent5 12 2" xfId="1266" xr:uid="{00000000-0005-0000-0000-000005180000}"/>
    <cellStyle name="20% - Accent5 12 2 2" xfId="10344" xr:uid="{00000000-0005-0000-0000-000006180000}"/>
    <cellStyle name="20% - Accent5 12 2 3" xfId="9146" xr:uid="{00000000-0005-0000-0000-000007180000}"/>
    <cellStyle name="20% - Accent5 12 2 4" xfId="7948" xr:uid="{00000000-0005-0000-0000-000008180000}"/>
    <cellStyle name="20% - Accent5 12 2 5" xfId="6750" xr:uid="{00000000-0005-0000-0000-000009180000}"/>
    <cellStyle name="20% - Accent5 12 2 6" xfId="5551" xr:uid="{00000000-0005-0000-0000-00000A180000}"/>
    <cellStyle name="20% - Accent5 12 2 7" xfId="4352" xr:uid="{00000000-0005-0000-0000-00000B180000}"/>
    <cellStyle name="20% - Accent5 12 3" xfId="10343" xr:uid="{00000000-0005-0000-0000-00000C180000}"/>
    <cellStyle name="20% - Accent5 12 4" xfId="9145" xr:uid="{00000000-0005-0000-0000-00000D180000}"/>
    <cellStyle name="20% - Accent5 12 5" xfId="7947" xr:uid="{00000000-0005-0000-0000-00000E180000}"/>
    <cellStyle name="20% - Accent5 12 6" xfId="6749" xr:uid="{00000000-0005-0000-0000-00000F180000}"/>
    <cellStyle name="20% - Accent5 12 7" xfId="5550" xr:uid="{00000000-0005-0000-0000-000010180000}"/>
    <cellStyle name="20% - Accent5 12 8" xfId="4351" xr:uid="{00000000-0005-0000-0000-000011180000}"/>
    <cellStyle name="20% - Accent5 12_2" xfId="1267" xr:uid="{00000000-0005-0000-0000-000012180000}"/>
    <cellStyle name="20% - Accent5 13" xfId="1268" xr:uid="{00000000-0005-0000-0000-000013180000}"/>
    <cellStyle name="20% - Accent5 13 2" xfId="1269" xr:uid="{00000000-0005-0000-0000-000014180000}"/>
    <cellStyle name="20% - Accent5 13 2 2" xfId="10346" xr:uid="{00000000-0005-0000-0000-000015180000}"/>
    <cellStyle name="20% - Accent5 13 2 3" xfId="9148" xr:uid="{00000000-0005-0000-0000-000016180000}"/>
    <cellStyle name="20% - Accent5 13 2 4" xfId="7950" xr:uid="{00000000-0005-0000-0000-000017180000}"/>
    <cellStyle name="20% - Accent5 13 2 5" xfId="6752" xr:uid="{00000000-0005-0000-0000-000018180000}"/>
    <cellStyle name="20% - Accent5 13 2 6" xfId="5553" xr:uid="{00000000-0005-0000-0000-000019180000}"/>
    <cellStyle name="20% - Accent5 13 2 7" xfId="4354" xr:uid="{00000000-0005-0000-0000-00001A180000}"/>
    <cellStyle name="20% - Accent5 13 3" xfId="10345" xr:uid="{00000000-0005-0000-0000-00001B180000}"/>
    <cellStyle name="20% - Accent5 13 4" xfId="9147" xr:uid="{00000000-0005-0000-0000-00001C180000}"/>
    <cellStyle name="20% - Accent5 13 5" xfId="7949" xr:uid="{00000000-0005-0000-0000-00001D180000}"/>
    <cellStyle name="20% - Accent5 13 6" xfId="6751" xr:uid="{00000000-0005-0000-0000-00001E180000}"/>
    <cellStyle name="20% - Accent5 13 7" xfId="5552" xr:uid="{00000000-0005-0000-0000-00001F180000}"/>
    <cellStyle name="20% - Accent5 13 8" xfId="4353" xr:uid="{00000000-0005-0000-0000-000020180000}"/>
    <cellStyle name="20% - Accent5 13_2" xfId="1270" xr:uid="{00000000-0005-0000-0000-000021180000}"/>
    <cellStyle name="20% - Accent5 14" xfId="1271" xr:uid="{00000000-0005-0000-0000-000022180000}"/>
    <cellStyle name="20% - Accent5 14 2" xfId="1272" xr:uid="{00000000-0005-0000-0000-000023180000}"/>
    <cellStyle name="20% - Accent5 14 2 2" xfId="10348" xr:uid="{00000000-0005-0000-0000-000024180000}"/>
    <cellStyle name="20% - Accent5 14 2 3" xfId="9150" xr:uid="{00000000-0005-0000-0000-000025180000}"/>
    <cellStyle name="20% - Accent5 14 2 4" xfId="7952" xr:uid="{00000000-0005-0000-0000-000026180000}"/>
    <cellStyle name="20% - Accent5 14 2 5" xfId="6754" xr:uid="{00000000-0005-0000-0000-000027180000}"/>
    <cellStyle name="20% - Accent5 14 2 6" xfId="5555" xr:uid="{00000000-0005-0000-0000-000028180000}"/>
    <cellStyle name="20% - Accent5 14 2 7" xfId="4356" xr:uid="{00000000-0005-0000-0000-000029180000}"/>
    <cellStyle name="20% - Accent5 14 3" xfId="10347" xr:uid="{00000000-0005-0000-0000-00002A180000}"/>
    <cellStyle name="20% - Accent5 14 4" xfId="9149" xr:uid="{00000000-0005-0000-0000-00002B180000}"/>
    <cellStyle name="20% - Accent5 14 5" xfId="7951" xr:uid="{00000000-0005-0000-0000-00002C180000}"/>
    <cellStyle name="20% - Accent5 14 6" xfId="6753" xr:uid="{00000000-0005-0000-0000-00002D180000}"/>
    <cellStyle name="20% - Accent5 14 7" xfId="5554" xr:uid="{00000000-0005-0000-0000-00002E180000}"/>
    <cellStyle name="20% - Accent5 14 8" xfId="4355" xr:uid="{00000000-0005-0000-0000-00002F180000}"/>
    <cellStyle name="20% - Accent5 14_2" xfId="1273" xr:uid="{00000000-0005-0000-0000-000030180000}"/>
    <cellStyle name="20% - Accent5 15" xfId="1274" xr:uid="{00000000-0005-0000-0000-000031180000}"/>
    <cellStyle name="20% - Accent5 15 2" xfId="10349" xr:uid="{00000000-0005-0000-0000-000032180000}"/>
    <cellStyle name="20% - Accent5 15 3" xfId="9151" xr:uid="{00000000-0005-0000-0000-000033180000}"/>
    <cellStyle name="20% - Accent5 15 4" xfId="7953" xr:uid="{00000000-0005-0000-0000-000034180000}"/>
    <cellStyle name="20% - Accent5 15 5" xfId="6755" xr:uid="{00000000-0005-0000-0000-000035180000}"/>
    <cellStyle name="20% - Accent5 15 6" xfId="5556" xr:uid="{00000000-0005-0000-0000-000036180000}"/>
    <cellStyle name="20% - Accent5 15 7" xfId="4357" xr:uid="{00000000-0005-0000-0000-000037180000}"/>
    <cellStyle name="20% - Accent5 16" xfId="1275" xr:uid="{00000000-0005-0000-0000-000038180000}"/>
    <cellStyle name="20% - Accent5 16 2" xfId="10350" xr:uid="{00000000-0005-0000-0000-000039180000}"/>
    <cellStyle name="20% - Accent5 16 3" xfId="9152" xr:uid="{00000000-0005-0000-0000-00003A180000}"/>
    <cellStyle name="20% - Accent5 16 4" xfId="7954" xr:uid="{00000000-0005-0000-0000-00003B180000}"/>
    <cellStyle name="20% - Accent5 16 5" xfId="6756" xr:uid="{00000000-0005-0000-0000-00003C180000}"/>
    <cellStyle name="20% - Accent5 16 6" xfId="5557" xr:uid="{00000000-0005-0000-0000-00003D180000}"/>
    <cellStyle name="20% - Accent5 16 7" xfId="4358" xr:uid="{00000000-0005-0000-0000-00003E180000}"/>
    <cellStyle name="20% - Accent5 2" xfId="1276" xr:uid="{00000000-0005-0000-0000-00003F180000}"/>
    <cellStyle name="20% - Accent5 2 10" xfId="10351" xr:uid="{00000000-0005-0000-0000-000040180000}"/>
    <cellStyle name="20% - Accent5 2 11" xfId="9153" xr:uid="{00000000-0005-0000-0000-000041180000}"/>
    <cellStyle name="20% - Accent5 2 12" xfId="7955" xr:uid="{00000000-0005-0000-0000-000042180000}"/>
    <cellStyle name="20% - Accent5 2 13" xfId="6757" xr:uid="{00000000-0005-0000-0000-000043180000}"/>
    <cellStyle name="20% - Accent5 2 14" xfId="5558" xr:uid="{00000000-0005-0000-0000-000044180000}"/>
    <cellStyle name="20% - Accent5 2 15" xfId="4359" xr:uid="{00000000-0005-0000-0000-000045180000}"/>
    <cellStyle name="20% - Accent5 2 2" xfId="1277" xr:uid="{00000000-0005-0000-0000-000046180000}"/>
    <cellStyle name="20% - Accent5 2 2 2" xfId="10352" xr:uid="{00000000-0005-0000-0000-000047180000}"/>
    <cellStyle name="20% - Accent5 2 2 3" xfId="9154" xr:uid="{00000000-0005-0000-0000-000048180000}"/>
    <cellStyle name="20% - Accent5 2 2 4" xfId="7956" xr:uid="{00000000-0005-0000-0000-000049180000}"/>
    <cellStyle name="20% - Accent5 2 2 5" xfId="6758" xr:uid="{00000000-0005-0000-0000-00004A180000}"/>
    <cellStyle name="20% - Accent5 2 2 6" xfId="5559" xr:uid="{00000000-0005-0000-0000-00004B180000}"/>
    <cellStyle name="20% - Accent5 2 2 7" xfId="4360" xr:uid="{00000000-0005-0000-0000-00004C180000}"/>
    <cellStyle name="20% - Accent5 2 3" xfId="1278" xr:uid="{00000000-0005-0000-0000-00004D180000}"/>
    <cellStyle name="20% - Accent5 2 3 2" xfId="10353" xr:uid="{00000000-0005-0000-0000-00004E180000}"/>
    <cellStyle name="20% - Accent5 2 3 3" xfId="9155" xr:uid="{00000000-0005-0000-0000-00004F180000}"/>
    <cellStyle name="20% - Accent5 2 3 4" xfId="7957" xr:uid="{00000000-0005-0000-0000-000050180000}"/>
    <cellStyle name="20% - Accent5 2 3 5" xfId="6759" xr:uid="{00000000-0005-0000-0000-000051180000}"/>
    <cellStyle name="20% - Accent5 2 3 6" xfId="5560" xr:uid="{00000000-0005-0000-0000-000052180000}"/>
    <cellStyle name="20% - Accent5 2 3 7" xfId="4361" xr:uid="{00000000-0005-0000-0000-000053180000}"/>
    <cellStyle name="20% - Accent5 2 4" xfId="1279" xr:uid="{00000000-0005-0000-0000-000054180000}"/>
    <cellStyle name="20% - Accent5 2 4 2" xfId="10354" xr:uid="{00000000-0005-0000-0000-000055180000}"/>
    <cellStyle name="20% - Accent5 2 4 3" xfId="9156" xr:uid="{00000000-0005-0000-0000-000056180000}"/>
    <cellStyle name="20% - Accent5 2 4 4" xfId="7958" xr:uid="{00000000-0005-0000-0000-000057180000}"/>
    <cellStyle name="20% - Accent5 2 4 5" xfId="6760" xr:uid="{00000000-0005-0000-0000-000058180000}"/>
    <cellStyle name="20% - Accent5 2 4 6" xfId="5561" xr:uid="{00000000-0005-0000-0000-000059180000}"/>
    <cellStyle name="20% - Accent5 2 4 7" xfId="4362" xr:uid="{00000000-0005-0000-0000-00005A180000}"/>
    <cellStyle name="20% - Accent5 2 5" xfId="1280" xr:uid="{00000000-0005-0000-0000-00005B180000}"/>
    <cellStyle name="20% - Accent5 2 5 2" xfId="10355" xr:uid="{00000000-0005-0000-0000-00005C180000}"/>
    <cellStyle name="20% - Accent5 2 5 3" xfId="9157" xr:uid="{00000000-0005-0000-0000-00005D180000}"/>
    <cellStyle name="20% - Accent5 2 5 4" xfId="7959" xr:uid="{00000000-0005-0000-0000-00005E180000}"/>
    <cellStyle name="20% - Accent5 2 5 5" xfId="6761" xr:uid="{00000000-0005-0000-0000-00005F180000}"/>
    <cellStyle name="20% - Accent5 2 5 6" xfId="5562" xr:uid="{00000000-0005-0000-0000-000060180000}"/>
    <cellStyle name="20% - Accent5 2 5 7" xfId="4363" xr:uid="{00000000-0005-0000-0000-000061180000}"/>
    <cellStyle name="20% - Accent5 2 6" xfId="1281" xr:uid="{00000000-0005-0000-0000-000062180000}"/>
    <cellStyle name="20% - Accent5 2 6 2" xfId="10356" xr:uid="{00000000-0005-0000-0000-000063180000}"/>
    <cellStyle name="20% - Accent5 2 6 3" xfId="9158" xr:uid="{00000000-0005-0000-0000-000064180000}"/>
    <cellStyle name="20% - Accent5 2 6 4" xfId="7960" xr:uid="{00000000-0005-0000-0000-000065180000}"/>
    <cellStyle name="20% - Accent5 2 6 5" xfId="6762" xr:uid="{00000000-0005-0000-0000-000066180000}"/>
    <cellStyle name="20% - Accent5 2 6 6" xfId="5563" xr:uid="{00000000-0005-0000-0000-000067180000}"/>
    <cellStyle name="20% - Accent5 2 6 7" xfId="4364" xr:uid="{00000000-0005-0000-0000-000068180000}"/>
    <cellStyle name="20% - Accent5 2 7" xfId="1282" xr:uid="{00000000-0005-0000-0000-000069180000}"/>
    <cellStyle name="20% - Accent5 2 7 2" xfId="10357" xr:uid="{00000000-0005-0000-0000-00006A180000}"/>
    <cellStyle name="20% - Accent5 2 7 3" xfId="9159" xr:uid="{00000000-0005-0000-0000-00006B180000}"/>
    <cellStyle name="20% - Accent5 2 7 4" xfId="7961" xr:uid="{00000000-0005-0000-0000-00006C180000}"/>
    <cellStyle name="20% - Accent5 2 7 5" xfId="6763" xr:uid="{00000000-0005-0000-0000-00006D180000}"/>
    <cellStyle name="20% - Accent5 2 7 6" xfId="5564" xr:uid="{00000000-0005-0000-0000-00006E180000}"/>
    <cellStyle name="20% - Accent5 2 7 7" xfId="4365" xr:uid="{00000000-0005-0000-0000-00006F180000}"/>
    <cellStyle name="20% - Accent5 2 8" xfId="1283" xr:uid="{00000000-0005-0000-0000-000070180000}"/>
    <cellStyle name="20% - Accent5 2 8 2" xfId="10358" xr:uid="{00000000-0005-0000-0000-000071180000}"/>
    <cellStyle name="20% - Accent5 2 8 3" xfId="9160" xr:uid="{00000000-0005-0000-0000-000072180000}"/>
    <cellStyle name="20% - Accent5 2 8 4" xfId="7962" xr:uid="{00000000-0005-0000-0000-000073180000}"/>
    <cellStyle name="20% - Accent5 2 8 5" xfId="6764" xr:uid="{00000000-0005-0000-0000-000074180000}"/>
    <cellStyle name="20% - Accent5 2 8 6" xfId="5565" xr:uid="{00000000-0005-0000-0000-000075180000}"/>
    <cellStyle name="20% - Accent5 2 8 7" xfId="4366" xr:uid="{00000000-0005-0000-0000-000076180000}"/>
    <cellStyle name="20% - Accent5 2 9" xfId="1284" xr:uid="{00000000-0005-0000-0000-000077180000}"/>
    <cellStyle name="20% - Accent5 2 9 2" xfId="10359" xr:uid="{00000000-0005-0000-0000-000078180000}"/>
    <cellStyle name="20% - Accent5 2 9 3" xfId="9161" xr:uid="{00000000-0005-0000-0000-000079180000}"/>
    <cellStyle name="20% - Accent5 2 9 4" xfId="7963" xr:uid="{00000000-0005-0000-0000-00007A180000}"/>
    <cellStyle name="20% - Accent5 2 9 5" xfId="6765" xr:uid="{00000000-0005-0000-0000-00007B180000}"/>
    <cellStyle name="20% - Accent5 2 9 6" xfId="5566" xr:uid="{00000000-0005-0000-0000-00007C180000}"/>
    <cellStyle name="20% - Accent5 2 9 7" xfId="4367" xr:uid="{00000000-0005-0000-0000-00007D180000}"/>
    <cellStyle name="20% - Accent5 2_2" xfId="1285" xr:uid="{00000000-0005-0000-0000-00007E180000}"/>
    <cellStyle name="20% - Accent5 3" xfId="1286" xr:uid="{00000000-0005-0000-0000-00007F180000}"/>
    <cellStyle name="20% - Accent5 3 10" xfId="4368" xr:uid="{00000000-0005-0000-0000-000080180000}"/>
    <cellStyle name="20% - Accent5 3 2" xfId="1287" xr:uid="{00000000-0005-0000-0000-000081180000}"/>
    <cellStyle name="20% - Accent5 3 2 2" xfId="10361" xr:uid="{00000000-0005-0000-0000-000082180000}"/>
    <cellStyle name="20% - Accent5 3 2 3" xfId="9163" xr:uid="{00000000-0005-0000-0000-000083180000}"/>
    <cellStyle name="20% - Accent5 3 2 4" xfId="7965" xr:uid="{00000000-0005-0000-0000-000084180000}"/>
    <cellStyle name="20% - Accent5 3 2 5" xfId="6767" xr:uid="{00000000-0005-0000-0000-000085180000}"/>
    <cellStyle name="20% - Accent5 3 2 6" xfId="5568" xr:uid="{00000000-0005-0000-0000-000086180000}"/>
    <cellStyle name="20% - Accent5 3 2 7" xfId="4369" xr:uid="{00000000-0005-0000-0000-000087180000}"/>
    <cellStyle name="20% - Accent5 3 3" xfId="1288" xr:uid="{00000000-0005-0000-0000-000088180000}"/>
    <cellStyle name="20% - Accent5 3 3 2" xfId="10362" xr:uid="{00000000-0005-0000-0000-000089180000}"/>
    <cellStyle name="20% - Accent5 3 3 3" xfId="9164" xr:uid="{00000000-0005-0000-0000-00008A180000}"/>
    <cellStyle name="20% - Accent5 3 3 4" xfId="7966" xr:uid="{00000000-0005-0000-0000-00008B180000}"/>
    <cellStyle name="20% - Accent5 3 3 5" xfId="6768" xr:uid="{00000000-0005-0000-0000-00008C180000}"/>
    <cellStyle name="20% - Accent5 3 3 6" xfId="5569" xr:uid="{00000000-0005-0000-0000-00008D180000}"/>
    <cellStyle name="20% - Accent5 3 3 7" xfId="4370" xr:uid="{00000000-0005-0000-0000-00008E180000}"/>
    <cellStyle name="20% - Accent5 3 4" xfId="1289" xr:uid="{00000000-0005-0000-0000-00008F180000}"/>
    <cellStyle name="20% - Accent5 3 4 2" xfId="10363" xr:uid="{00000000-0005-0000-0000-000090180000}"/>
    <cellStyle name="20% - Accent5 3 4 3" xfId="9165" xr:uid="{00000000-0005-0000-0000-000091180000}"/>
    <cellStyle name="20% - Accent5 3 4 4" xfId="7967" xr:uid="{00000000-0005-0000-0000-000092180000}"/>
    <cellStyle name="20% - Accent5 3 4 5" xfId="6769" xr:uid="{00000000-0005-0000-0000-000093180000}"/>
    <cellStyle name="20% - Accent5 3 4 6" xfId="5570" xr:uid="{00000000-0005-0000-0000-000094180000}"/>
    <cellStyle name="20% - Accent5 3 4 7" xfId="4371" xr:uid="{00000000-0005-0000-0000-000095180000}"/>
    <cellStyle name="20% - Accent5 3 5" xfId="10360" xr:uid="{00000000-0005-0000-0000-000096180000}"/>
    <cellStyle name="20% - Accent5 3 6" xfId="9162" xr:uid="{00000000-0005-0000-0000-000097180000}"/>
    <cellStyle name="20% - Accent5 3 7" xfId="7964" xr:uid="{00000000-0005-0000-0000-000098180000}"/>
    <cellStyle name="20% - Accent5 3 8" xfId="6766" xr:uid="{00000000-0005-0000-0000-000099180000}"/>
    <cellStyle name="20% - Accent5 3 9" xfId="5567" xr:uid="{00000000-0005-0000-0000-00009A180000}"/>
    <cellStyle name="20% - Accent5 3_2" xfId="1290" xr:uid="{00000000-0005-0000-0000-00009B180000}"/>
    <cellStyle name="20% - Accent5 4" xfId="1291" xr:uid="{00000000-0005-0000-0000-00009C180000}"/>
    <cellStyle name="20% - Accent5 4 10" xfId="4372" xr:uid="{00000000-0005-0000-0000-00009D180000}"/>
    <cellStyle name="20% - Accent5 4 2" xfId="1292" xr:uid="{00000000-0005-0000-0000-00009E180000}"/>
    <cellStyle name="20% - Accent5 4 2 2" xfId="10365" xr:uid="{00000000-0005-0000-0000-00009F180000}"/>
    <cellStyle name="20% - Accent5 4 2 3" xfId="9167" xr:uid="{00000000-0005-0000-0000-0000A0180000}"/>
    <cellStyle name="20% - Accent5 4 2 4" xfId="7969" xr:uid="{00000000-0005-0000-0000-0000A1180000}"/>
    <cellStyle name="20% - Accent5 4 2 5" xfId="6771" xr:uid="{00000000-0005-0000-0000-0000A2180000}"/>
    <cellStyle name="20% - Accent5 4 2 6" xfId="5572" xr:uid="{00000000-0005-0000-0000-0000A3180000}"/>
    <cellStyle name="20% - Accent5 4 2 7" xfId="4373" xr:uid="{00000000-0005-0000-0000-0000A4180000}"/>
    <cellStyle name="20% - Accent5 4 3" xfId="1293" xr:uid="{00000000-0005-0000-0000-0000A5180000}"/>
    <cellStyle name="20% - Accent5 4 3 2" xfId="10366" xr:uid="{00000000-0005-0000-0000-0000A6180000}"/>
    <cellStyle name="20% - Accent5 4 3 3" xfId="9168" xr:uid="{00000000-0005-0000-0000-0000A7180000}"/>
    <cellStyle name="20% - Accent5 4 3 4" xfId="7970" xr:uid="{00000000-0005-0000-0000-0000A8180000}"/>
    <cellStyle name="20% - Accent5 4 3 5" xfId="6772" xr:uid="{00000000-0005-0000-0000-0000A9180000}"/>
    <cellStyle name="20% - Accent5 4 3 6" xfId="5573" xr:uid="{00000000-0005-0000-0000-0000AA180000}"/>
    <cellStyle name="20% - Accent5 4 3 7" xfId="4374" xr:uid="{00000000-0005-0000-0000-0000AB180000}"/>
    <cellStyle name="20% - Accent5 4 4" xfId="1294" xr:uid="{00000000-0005-0000-0000-0000AC180000}"/>
    <cellStyle name="20% - Accent5 4 4 2" xfId="10367" xr:uid="{00000000-0005-0000-0000-0000AD180000}"/>
    <cellStyle name="20% - Accent5 4 4 3" xfId="9169" xr:uid="{00000000-0005-0000-0000-0000AE180000}"/>
    <cellStyle name="20% - Accent5 4 4 4" xfId="7971" xr:uid="{00000000-0005-0000-0000-0000AF180000}"/>
    <cellStyle name="20% - Accent5 4 4 5" xfId="6773" xr:uid="{00000000-0005-0000-0000-0000B0180000}"/>
    <cellStyle name="20% - Accent5 4 4 6" xfId="5574" xr:uid="{00000000-0005-0000-0000-0000B1180000}"/>
    <cellStyle name="20% - Accent5 4 4 7" xfId="4375" xr:uid="{00000000-0005-0000-0000-0000B2180000}"/>
    <cellStyle name="20% - Accent5 4 5" xfId="10364" xr:uid="{00000000-0005-0000-0000-0000B3180000}"/>
    <cellStyle name="20% - Accent5 4 6" xfId="9166" xr:uid="{00000000-0005-0000-0000-0000B4180000}"/>
    <cellStyle name="20% - Accent5 4 7" xfId="7968" xr:uid="{00000000-0005-0000-0000-0000B5180000}"/>
    <cellStyle name="20% - Accent5 4 8" xfId="6770" xr:uid="{00000000-0005-0000-0000-0000B6180000}"/>
    <cellStyle name="20% - Accent5 4 9" xfId="5571" xr:uid="{00000000-0005-0000-0000-0000B7180000}"/>
    <cellStyle name="20% - Accent5 4_2" xfId="1295" xr:uid="{00000000-0005-0000-0000-0000B8180000}"/>
    <cellStyle name="20% - Accent5 5" xfId="1296" xr:uid="{00000000-0005-0000-0000-0000B9180000}"/>
    <cellStyle name="20% - Accent5 5 10" xfId="4376" xr:uid="{00000000-0005-0000-0000-0000BA180000}"/>
    <cellStyle name="20% - Accent5 5 2" xfId="1297" xr:uid="{00000000-0005-0000-0000-0000BB180000}"/>
    <cellStyle name="20% - Accent5 5 2 2" xfId="10369" xr:uid="{00000000-0005-0000-0000-0000BC180000}"/>
    <cellStyle name="20% - Accent5 5 2 3" xfId="9171" xr:uid="{00000000-0005-0000-0000-0000BD180000}"/>
    <cellStyle name="20% - Accent5 5 2 4" xfId="7973" xr:uid="{00000000-0005-0000-0000-0000BE180000}"/>
    <cellStyle name="20% - Accent5 5 2 5" xfId="6775" xr:uid="{00000000-0005-0000-0000-0000BF180000}"/>
    <cellStyle name="20% - Accent5 5 2 6" xfId="5576" xr:uid="{00000000-0005-0000-0000-0000C0180000}"/>
    <cellStyle name="20% - Accent5 5 2 7" xfId="4377" xr:uid="{00000000-0005-0000-0000-0000C1180000}"/>
    <cellStyle name="20% - Accent5 5 3" xfId="1298" xr:uid="{00000000-0005-0000-0000-0000C2180000}"/>
    <cellStyle name="20% - Accent5 5 3 2" xfId="10370" xr:uid="{00000000-0005-0000-0000-0000C3180000}"/>
    <cellStyle name="20% - Accent5 5 3 3" xfId="9172" xr:uid="{00000000-0005-0000-0000-0000C4180000}"/>
    <cellStyle name="20% - Accent5 5 3 4" xfId="7974" xr:uid="{00000000-0005-0000-0000-0000C5180000}"/>
    <cellStyle name="20% - Accent5 5 3 5" xfId="6776" xr:uid="{00000000-0005-0000-0000-0000C6180000}"/>
    <cellStyle name="20% - Accent5 5 3 6" xfId="5577" xr:uid="{00000000-0005-0000-0000-0000C7180000}"/>
    <cellStyle name="20% - Accent5 5 3 7" xfId="4378" xr:uid="{00000000-0005-0000-0000-0000C8180000}"/>
    <cellStyle name="20% - Accent5 5 4" xfId="1299" xr:uid="{00000000-0005-0000-0000-0000C9180000}"/>
    <cellStyle name="20% - Accent5 5 4 2" xfId="10371" xr:uid="{00000000-0005-0000-0000-0000CA180000}"/>
    <cellStyle name="20% - Accent5 5 4 3" xfId="9173" xr:uid="{00000000-0005-0000-0000-0000CB180000}"/>
    <cellStyle name="20% - Accent5 5 4 4" xfId="7975" xr:uid="{00000000-0005-0000-0000-0000CC180000}"/>
    <cellStyle name="20% - Accent5 5 4 5" xfId="6777" xr:uid="{00000000-0005-0000-0000-0000CD180000}"/>
    <cellStyle name="20% - Accent5 5 4 6" xfId="5578" xr:uid="{00000000-0005-0000-0000-0000CE180000}"/>
    <cellStyle name="20% - Accent5 5 4 7" xfId="4379" xr:uid="{00000000-0005-0000-0000-0000CF180000}"/>
    <cellStyle name="20% - Accent5 5 5" xfId="10368" xr:uid="{00000000-0005-0000-0000-0000D0180000}"/>
    <cellStyle name="20% - Accent5 5 6" xfId="9170" xr:uid="{00000000-0005-0000-0000-0000D1180000}"/>
    <cellStyle name="20% - Accent5 5 7" xfId="7972" xr:uid="{00000000-0005-0000-0000-0000D2180000}"/>
    <cellStyle name="20% - Accent5 5 8" xfId="6774" xr:uid="{00000000-0005-0000-0000-0000D3180000}"/>
    <cellStyle name="20% - Accent5 5 9" xfId="5575" xr:uid="{00000000-0005-0000-0000-0000D4180000}"/>
    <cellStyle name="20% - Accent5 5_2" xfId="1300" xr:uid="{00000000-0005-0000-0000-0000D5180000}"/>
    <cellStyle name="20% - Accent5 6" xfId="1301" xr:uid="{00000000-0005-0000-0000-0000D6180000}"/>
    <cellStyle name="20% - Accent5 6 10" xfId="4380" xr:uid="{00000000-0005-0000-0000-0000D7180000}"/>
    <cellStyle name="20% - Accent5 6 2" xfId="1302" xr:uid="{00000000-0005-0000-0000-0000D8180000}"/>
    <cellStyle name="20% - Accent5 6 2 2" xfId="10373" xr:uid="{00000000-0005-0000-0000-0000D9180000}"/>
    <cellStyle name="20% - Accent5 6 2 3" xfId="9175" xr:uid="{00000000-0005-0000-0000-0000DA180000}"/>
    <cellStyle name="20% - Accent5 6 2 4" xfId="7977" xr:uid="{00000000-0005-0000-0000-0000DB180000}"/>
    <cellStyle name="20% - Accent5 6 2 5" xfId="6779" xr:uid="{00000000-0005-0000-0000-0000DC180000}"/>
    <cellStyle name="20% - Accent5 6 2 6" xfId="5580" xr:uid="{00000000-0005-0000-0000-0000DD180000}"/>
    <cellStyle name="20% - Accent5 6 2 7" xfId="4381" xr:uid="{00000000-0005-0000-0000-0000DE180000}"/>
    <cellStyle name="20% - Accent5 6 3" xfId="1303" xr:uid="{00000000-0005-0000-0000-0000DF180000}"/>
    <cellStyle name="20% - Accent5 6 3 2" xfId="10374" xr:uid="{00000000-0005-0000-0000-0000E0180000}"/>
    <cellStyle name="20% - Accent5 6 3 3" xfId="9176" xr:uid="{00000000-0005-0000-0000-0000E1180000}"/>
    <cellStyle name="20% - Accent5 6 3 4" xfId="7978" xr:uid="{00000000-0005-0000-0000-0000E2180000}"/>
    <cellStyle name="20% - Accent5 6 3 5" xfId="6780" xr:uid="{00000000-0005-0000-0000-0000E3180000}"/>
    <cellStyle name="20% - Accent5 6 3 6" xfId="5581" xr:uid="{00000000-0005-0000-0000-0000E4180000}"/>
    <cellStyle name="20% - Accent5 6 3 7" xfId="4382" xr:uid="{00000000-0005-0000-0000-0000E5180000}"/>
    <cellStyle name="20% - Accent5 6 4" xfId="1304" xr:uid="{00000000-0005-0000-0000-0000E6180000}"/>
    <cellStyle name="20% - Accent5 6 4 2" xfId="10375" xr:uid="{00000000-0005-0000-0000-0000E7180000}"/>
    <cellStyle name="20% - Accent5 6 4 3" xfId="9177" xr:uid="{00000000-0005-0000-0000-0000E8180000}"/>
    <cellStyle name="20% - Accent5 6 4 4" xfId="7979" xr:uid="{00000000-0005-0000-0000-0000E9180000}"/>
    <cellStyle name="20% - Accent5 6 4 5" xfId="6781" xr:uid="{00000000-0005-0000-0000-0000EA180000}"/>
    <cellStyle name="20% - Accent5 6 4 6" xfId="5582" xr:uid="{00000000-0005-0000-0000-0000EB180000}"/>
    <cellStyle name="20% - Accent5 6 4 7" xfId="4383" xr:uid="{00000000-0005-0000-0000-0000EC180000}"/>
    <cellStyle name="20% - Accent5 6 5" xfId="10372" xr:uid="{00000000-0005-0000-0000-0000ED180000}"/>
    <cellStyle name="20% - Accent5 6 6" xfId="9174" xr:uid="{00000000-0005-0000-0000-0000EE180000}"/>
    <cellStyle name="20% - Accent5 6 7" xfId="7976" xr:uid="{00000000-0005-0000-0000-0000EF180000}"/>
    <cellStyle name="20% - Accent5 6 8" xfId="6778" xr:uid="{00000000-0005-0000-0000-0000F0180000}"/>
    <cellStyle name="20% - Accent5 6 9" xfId="5579" xr:uid="{00000000-0005-0000-0000-0000F1180000}"/>
    <cellStyle name="20% - Accent5 6_2" xfId="1305" xr:uid="{00000000-0005-0000-0000-0000F2180000}"/>
    <cellStyle name="20% - Accent5 7" xfId="1306" xr:uid="{00000000-0005-0000-0000-0000F3180000}"/>
    <cellStyle name="20% - Accent5 7 10" xfId="4384" xr:uid="{00000000-0005-0000-0000-0000F4180000}"/>
    <cellStyle name="20% - Accent5 7 2" xfId="1307" xr:uid="{00000000-0005-0000-0000-0000F5180000}"/>
    <cellStyle name="20% - Accent5 7 2 2" xfId="10377" xr:uid="{00000000-0005-0000-0000-0000F6180000}"/>
    <cellStyle name="20% - Accent5 7 2 3" xfId="9179" xr:uid="{00000000-0005-0000-0000-0000F7180000}"/>
    <cellStyle name="20% - Accent5 7 2 4" xfId="7981" xr:uid="{00000000-0005-0000-0000-0000F8180000}"/>
    <cellStyle name="20% - Accent5 7 2 5" xfId="6783" xr:uid="{00000000-0005-0000-0000-0000F9180000}"/>
    <cellStyle name="20% - Accent5 7 2 6" xfId="5584" xr:uid="{00000000-0005-0000-0000-0000FA180000}"/>
    <cellStyle name="20% - Accent5 7 2 7" xfId="4385" xr:uid="{00000000-0005-0000-0000-0000FB180000}"/>
    <cellStyle name="20% - Accent5 7 3" xfId="1308" xr:uid="{00000000-0005-0000-0000-0000FC180000}"/>
    <cellStyle name="20% - Accent5 7 3 2" xfId="10378" xr:uid="{00000000-0005-0000-0000-0000FD180000}"/>
    <cellStyle name="20% - Accent5 7 3 3" xfId="9180" xr:uid="{00000000-0005-0000-0000-0000FE180000}"/>
    <cellStyle name="20% - Accent5 7 3 4" xfId="7982" xr:uid="{00000000-0005-0000-0000-0000FF180000}"/>
    <cellStyle name="20% - Accent5 7 3 5" xfId="6784" xr:uid="{00000000-0005-0000-0000-000000190000}"/>
    <cellStyle name="20% - Accent5 7 3 6" xfId="5585" xr:uid="{00000000-0005-0000-0000-000001190000}"/>
    <cellStyle name="20% - Accent5 7 3 7" xfId="4386" xr:uid="{00000000-0005-0000-0000-000002190000}"/>
    <cellStyle name="20% - Accent5 7 4" xfId="1309" xr:uid="{00000000-0005-0000-0000-000003190000}"/>
    <cellStyle name="20% - Accent5 7 4 2" xfId="10379" xr:uid="{00000000-0005-0000-0000-000004190000}"/>
    <cellStyle name="20% - Accent5 7 4 3" xfId="9181" xr:uid="{00000000-0005-0000-0000-000005190000}"/>
    <cellStyle name="20% - Accent5 7 4 4" xfId="7983" xr:uid="{00000000-0005-0000-0000-000006190000}"/>
    <cellStyle name="20% - Accent5 7 4 5" xfId="6785" xr:uid="{00000000-0005-0000-0000-000007190000}"/>
    <cellStyle name="20% - Accent5 7 4 6" xfId="5586" xr:uid="{00000000-0005-0000-0000-000008190000}"/>
    <cellStyle name="20% - Accent5 7 4 7" xfId="4387" xr:uid="{00000000-0005-0000-0000-000009190000}"/>
    <cellStyle name="20% - Accent5 7 5" xfId="10376" xr:uid="{00000000-0005-0000-0000-00000A190000}"/>
    <cellStyle name="20% - Accent5 7 6" xfId="9178" xr:uid="{00000000-0005-0000-0000-00000B190000}"/>
    <cellStyle name="20% - Accent5 7 7" xfId="7980" xr:uid="{00000000-0005-0000-0000-00000C190000}"/>
    <cellStyle name="20% - Accent5 7 8" xfId="6782" xr:uid="{00000000-0005-0000-0000-00000D190000}"/>
    <cellStyle name="20% - Accent5 7 9" xfId="5583" xr:uid="{00000000-0005-0000-0000-00000E190000}"/>
    <cellStyle name="20% - Accent5 7_2" xfId="1310" xr:uid="{00000000-0005-0000-0000-00000F190000}"/>
    <cellStyle name="20% - Accent5 8" xfId="1311" xr:uid="{00000000-0005-0000-0000-000010190000}"/>
    <cellStyle name="20% - Accent5 8 10" xfId="4388" xr:uid="{00000000-0005-0000-0000-000011190000}"/>
    <cellStyle name="20% - Accent5 8 2" xfId="1312" xr:uid="{00000000-0005-0000-0000-000012190000}"/>
    <cellStyle name="20% - Accent5 8 2 2" xfId="10381" xr:uid="{00000000-0005-0000-0000-000013190000}"/>
    <cellStyle name="20% - Accent5 8 2 3" xfId="9183" xr:uid="{00000000-0005-0000-0000-000014190000}"/>
    <cellStyle name="20% - Accent5 8 2 4" xfId="7985" xr:uid="{00000000-0005-0000-0000-000015190000}"/>
    <cellStyle name="20% - Accent5 8 2 5" xfId="6787" xr:uid="{00000000-0005-0000-0000-000016190000}"/>
    <cellStyle name="20% - Accent5 8 2 6" xfId="5588" xr:uid="{00000000-0005-0000-0000-000017190000}"/>
    <cellStyle name="20% - Accent5 8 2 7" xfId="4389" xr:uid="{00000000-0005-0000-0000-000018190000}"/>
    <cellStyle name="20% - Accent5 8 3" xfId="1313" xr:uid="{00000000-0005-0000-0000-000019190000}"/>
    <cellStyle name="20% - Accent5 8 3 2" xfId="10382" xr:uid="{00000000-0005-0000-0000-00001A190000}"/>
    <cellStyle name="20% - Accent5 8 3 3" xfId="9184" xr:uid="{00000000-0005-0000-0000-00001B190000}"/>
    <cellStyle name="20% - Accent5 8 3 4" xfId="7986" xr:uid="{00000000-0005-0000-0000-00001C190000}"/>
    <cellStyle name="20% - Accent5 8 3 5" xfId="6788" xr:uid="{00000000-0005-0000-0000-00001D190000}"/>
    <cellStyle name="20% - Accent5 8 3 6" xfId="5589" xr:uid="{00000000-0005-0000-0000-00001E190000}"/>
    <cellStyle name="20% - Accent5 8 3 7" xfId="4390" xr:uid="{00000000-0005-0000-0000-00001F190000}"/>
    <cellStyle name="20% - Accent5 8 4" xfId="1314" xr:uid="{00000000-0005-0000-0000-000020190000}"/>
    <cellStyle name="20% - Accent5 8 4 2" xfId="10383" xr:uid="{00000000-0005-0000-0000-000021190000}"/>
    <cellStyle name="20% - Accent5 8 4 3" xfId="9185" xr:uid="{00000000-0005-0000-0000-000022190000}"/>
    <cellStyle name="20% - Accent5 8 4 4" xfId="7987" xr:uid="{00000000-0005-0000-0000-000023190000}"/>
    <cellStyle name="20% - Accent5 8 4 5" xfId="6789" xr:uid="{00000000-0005-0000-0000-000024190000}"/>
    <cellStyle name="20% - Accent5 8 4 6" xfId="5590" xr:uid="{00000000-0005-0000-0000-000025190000}"/>
    <cellStyle name="20% - Accent5 8 4 7" xfId="4391" xr:uid="{00000000-0005-0000-0000-000026190000}"/>
    <cellStyle name="20% - Accent5 8 5" xfId="10380" xr:uid="{00000000-0005-0000-0000-000027190000}"/>
    <cellStyle name="20% - Accent5 8 6" xfId="9182" xr:uid="{00000000-0005-0000-0000-000028190000}"/>
    <cellStyle name="20% - Accent5 8 7" xfId="7984" xr:uid="{00000000-0005-0000-0000-000029190000}"/>
    <cellStyle name="20% - Accent5 8 8" xfId="6786" xr:uid="{00000000-0005-0000-0000-00002A190000}"/>
    <cellStyle name="20% - Accent5 8 9" xfId="5587" xr:uid="{00000000-0005-0000-0000-00002B190000}"/>
    <cellStyle name="20% - Accent5 8_2" xfId="1315" xr:uid="{00000000-0005-0000-0000-00002C190000}"/>
    <cellStyle name="20% - Accent5 9" xfId="1316" xr:uid="{00000000-0005-0000-0000-00002D190000}"/>
    <cellStyle name="20% - Accent5 9 2" xfId="10384" xr:uid="{00000000-0005-0000-0000-00002E190000}"/>
    <cellStyle name="20% - Accent5 9 3" xfId="9186" xr:uid="{00000000-0005-0000-0000-00002F190000}"/>
    <cellStyle name="20% - Accent5 9 4" xfId="7988" xr:uid="{00000000-0005-0000-0000-000030190000}"/>
    <cellStyle name="20% - Accent5 9 5" xfId="6790" xr:uid="{00000000-0005-0000-0000-000031190000}"/>
    <cellStyle name="20% - Accent5 9 6" xfId="5591" xr:uid="{00000000-0005-0000-0000-000032190000}"/>
    <cellStyle name="20% - Accent5 9 7" xfId="4392" xr:uid="{00000000-0005-0000-0000-000033190000}"/>
    <cellStyle name="20% - Accent6 10" xfId="1317" xr:uid="{00000000-0005-0000-0000-000034190000}"/>
    <cellStyle name="20% - Accent6 10 2" xfId="10385" xr:uid="{00000000-0005-0000-0000-000035190000}"/>
    <cellStyle name="20% - Accent6 10 3" xfId="9187" xr:uid="{00000000-0005-0000-0000-000036190000}"/>
    <cellStyle name="20% - Accent6 10 4" xfId="7989" xr:uid="{00000000-0005-0000-0000-000037190000}"/>
    <cellStyle name="20% - Accent6 10 5" xfId="6791" xr:uid="{00000000-0005-0000-0000-000038190000}"/>
    <cellStyle name="20% - Accent6 10 6" xfId="5592" xr:uid="{00000000-0005-0000-0000-000039190000}"/>
    <cellStyle name="20% - Accent6 10 7" xfId="4393" xr:uid="{00000000-0005-0000-0000-00003A190000}"/>
    <cellStyle name="20% - Accent6 11" xfId="1318" xr:uid="{00000000-0005-0000-0000-00003B190000}"/>
    <cellStyle name="20% - Accent6 11 2" xfId="10386" xr:uid="{00000000-0005-0000-0000-00003C190000}"/>
    <cellStyle name="20% - Accent6 11 3" xfId="9188" xr:uid="{00000000-0005-0000-0000-00003D190000}"/>
    <cellStyle name="20% - Accent6 11 4" xfId="7990" xr:uid="{00000000-0005-0000-0000-00003E190000}"/>
    <cellStyle name="20% - Accent6 11 5" xfId="6792" xr:uid="{00000000-0005-0000-0000-00003F190000}"/>
    <cellStyle name="20% - Accent6 11 6" xfId="5593" xr:uid="{00000000-0005-0000-0000-000040190000}"/>
    <cellStyle name="20% - Accent6 11 7" xfId="4394" xr:uid="{00000000-0005-0000-0000-000041190000}"/>
    <cellStyle name="20% - Accent6 12" xfId="1319" xr:uid="{00000000-0005-0000-0000-000042190000}"/>
    <cellStyle name="20% - Accent6 12 2" xfId="1320" xr:uid="{00000000-0005-0000-0000-000043190000}"/>
    <cellStyle name="20% - Accent6 12 2 2" xfId="10388" xr:uid="{00000000-0005-0000-0000-000044190000}"/>
    <cellStyle name="20% - Accent6 12 2 3" xfId="9190" xr:uid="{00000000-0005-0000-0000-000045190000}"/>
    <cellStyle name="20% - Accent6 12 2 4" xfId="7992" xr:uid="{00000000-0005-0000-0000-000046190000}"/>
    <cellStyle name="20% - Accent6 12 2 5" xfId="6794" xr:uid="{00000000-0005-0000-0000-000047190000}"/>
    <cellStyle name="20% - Accent6 12 2 6" xfId="5595" xr:uid="{00000000-0005-0000-0000-000048190000}"/>
    <cellStyle name="20% - Accent6 12 2 7" xfId="4396" xr:uid="{00000000-0005-0000-0000-000049190000}"/>
    <cellStyle name="20% - Accent6 12 3" xfId="10387" xr:uid="{00000000-0005-0000-0000-00004A190000}"/>
    <cellStyle name="20% - Accent6 12 4" xfId="9189" xr:uid="{00000000-0005-0000-0000-00004B190000}"/>
    <cellStyle name="20% - Accent6 12 5" xfId="7991" xr:uid="{00000000-0005-0000-0000-00004C190000}"/>
    <cellStyle name="20% - Accent6 12 6" xfId="6793" xr:uid="{00000000-0005-0000-0000-00004D190000}"/>
    <cellStyle name="20% - Accent6 12 7" xfId="5594" xr:uid="{00000000-0005-0000-0000-00004E190000}"/>
    <cellStyle name="20% - Accent6 12 8" xfId="4395" xr:uid="{00000000-0005-0000-0000-00004F190000}"/>
    <cellStyle name="20% - Accent6 12_2" xfId="1321" xr:uid="{00000000-0005-0000-0000-000050190000}"/>
    <cellStyle name="20% - Accent6 13" xfId="1322" xr:uid="{00000000-0005-0000-0000-000051190000}"/>
    <cellStyle name="20% - Accent6 13 2" xfId="1323" xr:uid="{00000000-0005-0000-0000-000052190000}"/>
    <cellStyle name="20% - Accent6 13 2 2" xfId="10390" xr:uid="{00000000-0005-0000-0000-000053190000}"/>
    <cellStyle name="20% - Accent6 13 2 3" xfId="9192" xr:uid="{00000000-0005-0000-0000-000054190000}"/>
    <cellStyle name="20% - Accent6 13 2 4" xfId="7994" xr:uid="{00000000-0005-0000-0000-000055190000}"/>
    <cellStyle name="20% - Accent6 13 2 5" xfId="6796" xr:uid="{00000000-0005-0000-0000-000056190000}"/>
    <cellStyle name="20% - Accent6 13 2 6" xfId="5597" xr:uid="{00000000-0005-0000-0000-000057190000}"/>
    <cellStyle name="20% - Accent6 13 2 7" xfId="4398" xr:uid="{00000000-0005-0000-0000-000058190000}"/>
    <cellStyle name="20% - Accent6 13 3" xfId="10389" xr:uid="{00000000-0005-0000-0000-000059190000}"/>
    <cellStyle name="20% - Accent6 13 4" xfId="9191" xr:uid="{00000000-0005-0000-0000-00005A190000}"/>
    <cellStyle name="20% - Accent6 13 5" xfId="7993" xr:uid="{00000000-0005-0000-0000-00005B190000}"/>
    <cellStyle name="20% - Accent6 13 6" xfId="6795" xr:uid="{00000000-0005-0000-0000-00005C190000}"/>
    <cellStyle name="20% - Accent6 13 7" xfId="5596" xr:uid="{00000000-0005-0000-0000-00005D190000}"/>
    <cellStyle name="20% - Accent6 13 8" xfId="4397" xr:uid="{00000000-0005-0000-0000-00005E190000}"/>
    <cellStyle name="20% - Accent6 13_2" xfId="1324" xr:uid="{00000000-0005-0000-0000-00005F190000}"/>
    <cellStyle name="20% - Accent6 14" xfId="1325" xr:uid="{00000000-0005-0000-0000-000060190000}"/>
    <cellStyle name="20% - Accent6 14 2" xfId="1326" xr:uid="{00000000-0005-0000-0000-000061190000}"/>
    <cellStyle name="20% - Accent6 14 2 2" xfId="10392" xr:uid="{00000000-0005-0000-0000-000062190000}"/>
    <cellStyle name="20% - Accent6 14 2 3" xfId="9194" xr:uid="{00000000-0005-0000-0000-000063190000}"/>
    <cellStyle name="20% - Accent6 14 2 4" xfId="7996" xr:uid="{00000000-0005-0000-0000-000064190000}"/>
    <cellStyle name="20% - Accent6 14 2 5" xfId="6798" xr:uid="{00000000-0005-0000-0000-000065190000}"/>
    <cellStyle name="20% - Accent6 14 2 6" xfId="5599" xr:uid="{00000000-0005-0000-0000-000066190000}"/>
    <cellStyle name="20% - Accent6 14 2 7" xfId="4400" xr:uid="{00000000-0005-0000-0000-000067190000}"/>
    <cellStyle name="20% - Accent6 14 3" xfId="10391" xr:uid="{00000000-0005-0000-0000-000068190000}"/>
    <cellStyle name="20% - Accent6 14 4" xfId="9193" xr:uid="{00000000-0005-0000-0000-000069190000}"/>
    <cellStyle name="20% - Accent6 14 5" xfId="7995" xr:uid="{00000000-0005-0000-0000-00006A190000}"/>
    <cellStyle name="20% - Accent6 14 6" xfId="6797" xr:uid="{00000000-0005-0000-0000-00006B190000}"/>
    <cellStyle name="20% - Accent6 14 7" xfId="5598" xr:uid="{00000000-0005-0000-0000-00006C190000}"/>
    <cellStyle name="20% - Accent6 14 8" xfId="4399" xr:uid="{00000000-0005-0000-0000-00006D190000}"/>
    <cellStyle name="20% - Accent6 14_2" xfId="1327" xr:uid="{00000000-0005-0000-0000-00006E190000}"/>
    <cellStyle name="20% - Accent6 15" xfId="1328" xr:uid="{00000000-0005-0000-0000-00006F190000}"/>
    <cellStyle name="20% - Accent6 15 2" xfId="10393" xr:uid="{00000000-0005-0000-0000-000070190000}"/>
    <cellStyle name="20% - Accent6 15 3" xfId="9195" xr:uid="{00000000-0005-0000-0000-000071190000}"/>
    <cellStyle name="20% - Accent6 15 4" xfId="7997" xr:uid="{00000000-0005-0000-0000-000072190000}"/>
    <cellStyle name="20% - Accent6 15 5" xfId="6799" xr:uid="{00000000-0005-0000-0000-000073190000}"/>
    <cellStyle name="20% - Accent6 15 6" xfId="5600" xr:uid="{00000000-0005-0000-0000-000074190000}"/>
    <cellStyle name="20% - Accent6 15 7" xfId="4401" xr:uid="{00000000-0005-0000-0000-000075190000}"/>
    <cellStyle name="20% - Accent6 16" xfId="1329" xr:uid="{00000000-0005-0000-0000-000076190000}"/>
    <cellStyle name="20% - Accent6 16 2" xfId="10394" xr:uid="{00000000-0005-0000-0000-000077190000}"/>
    <cellStyle name="20% - Accent6 16 3" xfId="9196" xr:uid="{00000000-0005-0000-0000-000078190000}"/>
    <cellStyle name="20% - Accent6 16 4" xfId="7998" xr:uid="{00000000-0005-0000-0000-000079190000}"/>
    <cellStyle name="20% - Accent6 16 5" xfId="6800" xr:uid="{00000000-0005-0000-0000-00007A190000}"/>
    <cellStyle name="20% - Accent6 16 6" xfId="5601" xr:uid="{00000000-0005-0000-0000-00007B190000}"/>
    <cellStyle name="20% - Accent6 16 7" xfId="4402" xr:uid="{00000000-0005-0000-0000-00007C190000}"/>
    <cellStyle name="20% - Accent6 2" xfId="1330" xr:uid="{00000000-0005-0000-0000-00007D190000}"/>
    <cellStyle name="20% - Accent6 2 10" xfId="10395" xr:uid="{00000000-0005-0000-0000-00007E190000}"/>
    <cellStyle name="20% - Accent6 2 11" xfId="9197" xr:uid="{00000000-0005-0000-0000-00007F190000}"/>
    <cellStyle name="20% - Accent6 2 12" xfId="7999" xr:uid="{00000000-0005-0000-0000-000080190000}"/>
    <cellStyle name="20% - Accent6 2 13" xfId="6801" xr:uid="{00000000-0005-0000-0000-000081190000}"/>
    <cellStyle name="20% - Accent6 2 14" xfId="5602" xr:uid="{00000000-0005-0000-0000-000082190000}"/>
    <cellStyle name="20% - Accent6 2 15" xfId="4403" xr:uid="{00000000-0005-0000-0000-000083190000}"/>
    <cellStyle name="20% - Accent6 2 2" xfId="1331" xr:uid="{00000000-0005-0000-0000-000084190000}"/>
    <cellStyle name="20% - Accent6 2 2 2" xfId="10396" xr:uid="{00000000-0005-0000-0000-000085190000}"/>
    <cellStyle name="20% - Accent6 2 2 3" xfId="9198" xr:uid="{00000000-0005-0000-0000-000086190000}"/>
    <cellStyle name="20% - Accent6 2 2 4" xfId="8000" xr:uid="{00000000-0005-0000-0000-000087190000}"/>
    <cellStyle name="20% - Accent6 2 2 5" xfId="6802" xr:uid="{00000000-0005-0000-0000-000088190000}"/>
    <cellStyle name="20% - Accent6 2 2 6" xfId="5603" xr:uid="{00000000-0005-0000-0000-000089190000}"/>
    <cellStyle name="20% - Accent6 2 2 7" xfId="4404" xr:uid="{00000000-0005-0000-0000-00008A190000}"/>
    <cellStyle name="20% - Accent6 2 3" xfId="1332" xr:uid="{00000000-0005-0000-0000-00008B190000}"/>
    <cellStyle name="20% - Accent6 2 3 2" xfId="10397" xr:uid="{00000000-0005-0000-0000-00008C190000}"/>
    <cellStyle name="20% - Accent6 2 3 3" xfId="9199" xr:uid="{00000000-0005-0000-0000-00008D190000}"/>
    <cellStyle name="20% - Accent6 2 3 4" xfId="8001" xr:uid="{00000000-0005-0000-0000-00008E190000}"/>
    <cellStyle name="20% - Accent6 2 3 5" xfId="6803" xr:uid="{00000000-0005-0000-0000-00008F190000}"/>
    <cellStyle name="20% - Accent6 2 3 6" xfId="5604" xr:uid="{00000000-0005-0000-0000-000090190000}"/>
    <cellStyle name="20% - Accent6 2 3 7" xfId="4405" xr:uid="{00000000-0005-0000-0000-000091190000}"/>
    <cellStyle name="20% - Accent6 2 4" xfId="1333" xr:uid="{00000000-0005-0000-0000-000092190000}"/>
    <cellStyle name="20% - Accent6 2 4 2" xfId="10398" xr:uid="{00000000-0005-0000-0000-000093190000}"/>
    <cellStyle name="20% - Accent6 2 4 3" xfId="9200" xr:uid="{00000000-0005-0000-0000-000094190000}"/>
    <cellStyle name="20% - Accent6 2 4 4" xfId="8002" xr:uid="{00000000-0005-0000-0000-000095190000}"/>
    <cellStyle name="20% - Accent6 2 4 5" xfId="6804" xr:uid="{00000000-0005-0000-0000-000096190000}"/>
    <cellStyle name="20% - Accent6 2 4 6" xfId="5605" xr:uid="{00000000-0005-0000-0000-000097190000}"/>
    <cellStyle name="20% - Accent6 2 4 7" xfId="4406" xr:uid="{00000000-0005-0000-0000-000098190000}"/>
    <cellStyle name="20% - Accent6 2 5" xfId="1334" xr:uid="{00000000-0005-0000-0000-000099190000}"/>
    <cellStyle name="20% - Accent6 2 5 2" xfId="10399" xr:uid="{00000000-0005-0000-0000-00009A190000}"/>
    <cellStyle name="20% - Accent6 2 5 3" xfId="9201" xr:uid="{00000000-0005-0000-0000-00009B190000}"/>
    <cellStyle name="20% - Accent6 2 5 4" xfId="8003" xr:uid="{00000000-0005-0000-0000-00009C190000}"/>
    <cellStyle name="20% - Accent6 2 5 5" xfId="6805" xr:uid="{00000000-0005-0000-0000-00009D190000}"/>
    <cellStyle name="20% - Accent6 2 5 6" xfId="5606" xr:uid="{00000000-0005-0000-0000-00009E190000}"/>
    <cellStyle name="20% - Accent6 2 5 7" xfId="4407" xr:uid="{00000000-0005-0000-0000-00009F190000}"/>
    <cellStyle name="20% - Accent6 2 6" xfId="1335" xr:uid="{00000000-0005-0000-0000-0000A0190000}"/>
    <cellStyle name="20% - Accent6 2 6 2" xfId="10400" xr:uid="{00000000-0005-0000-0000-0000A1190000}"/>
    <cellStyle name="20% - Accent6 2 6 3" xfId="9202" xr:uid="{00000000-0005-0000-0000-0000A2190000}"/>
    <cellStyle name="20% - Accent6 2 6 4" xfId="8004" xr:uid="{00000000-0005-0000-0000-0000A3190000}"/>
    <cellStyle name="20% - Accent6 2 6 5" xfId="6806" xr:uid="{00000000-0005-0000-0000-0000A4190000}"/>
    <cellStyle name="20% - Accent6 2 6 6" xfId="5607" xr:uid="{00000000-0005-0000-0000-0000A5190000}"/>
    <cellStyle name="20% - Accent6 2 6 7" xfId="4408" xr:uid="{00000000-0005-0000-0000-0000A6190000}"/>
    <cellStyle name="20% - Accent6 2 7" xfId="1336" xr:uid="{00000000-0005-0000-0000-0000A7190000}"/>
    <cellStyle name="20% - Accent6 2 7 2" xfId="10401" xr:uid="{00000000-0005-0000-0000-0000A8190000}"/>
    <cellStyle name="20% - Accent6 2 7 3" xfId="9203" xr:uid="{00000000-0005-0000-0000-0000A9190000}"/>
    <cellStyle name="20% - Accent6 2 7 4" xfId="8005" xr:uid="{00000000-0005-0000-0000-0000AA190000}"/>
    <cellStyle name="20% - Accent6 2 7 5" xfId="6807" xr:uid="{00000000-0005-0000-0000-0000AB190000}"/>
    <cellStyle name="20% - Accent6 2 7 6" xfId="5608" xr:uid="{00000000-0005-0000-0000-0000AC190000}"/>
    <cellStyle name="20% - Accent6 2 7 7" xfId="4409" xr:uid="{00000000-0005-0000-0000-0000AD190000}"/>
    <cellStyle name="20% - Accent6 2 8" xfId="1337" xr:uid="{00000000-0005-0000-0000-0000AE190000}"/>
    <cellStyle name="20% - Accent6 2 8 2" xfId="10402" xr:uid="{00000000-0005-0000-0000-0000AF190000}"/>
    <cellStyle name="20% - Accent6 2 8 3" xfId="9204" xr:uid="{00000000-0005-0000-0000-0000B0190000}"/>
    <cellStyle name="20% - Accent6 2 8 4" xfId="8006" xr:uid="{00000000-0005-0000-0000-0000B1190000}"/>
    <cellStyle name="20% - Accent6 2 8 5" xfId="6808" xr:uid="{00000000-0005-0000-0000-0000B2190000}"/>
    <cellStyle name="20% - Accent6 2 8 6" xfId="5609" xr:uid="{00000000-0005-0000-0000-0000B3190000}"/>
    <cellStyle name="20% - Accent6 2 8 7" xfId="4410" xr:uid="{00000000-0005-0000-0000-0000B4190000}"/>
    <cellStyle name="20% - Accent6 2 9" xfId="1338" xr:uid="{00000000-0005-0000-0000-0000B5190000}"/>
    <cellStyle name="20% - Accent6 2 9 2" xfId="10403" xr:uid="{00000000-0005-0000-0000-0000B6190000}"/>
    <cellStyle name="20% - Accent6 2 9 3" xfId="9205" xr:uid="{00000000-0005-0000-0000-0000B7190000}"/>
    <cellStyle name="20% - Accent6 2 9 4" xfId="8007" xr:uid="{00000000-0005-0000-0000-0000B8190000}"/>
    <cellStyle name="20% - Accent6 2 9 5" xfId="6809" xr:uid="{00000000-0005-0000-0000-0000B9190000}"/>
    <cellStyle name="20% - Accent6 2 9 6" xfId="5610" xr:uid="{00000000-0005-0000-0000-0000BA190000}"/>
    <cellStyle name="20% - Accent6 2 9 7" xfId="4411" xr:uid="{00000000-0005-0000-0000-0000BB190000}"/>
    <cellStyle name="20% - Accent6 2_2" xfId="1339" xr:uid="{00000000-0005-0000-0000-0000BC190000}"/>
    <cellStyle name="20% - Accent6 3" xfId="1340" xr:uid="{00000000-0005-0000-0000-0000BD190000}"/>
    <cellStyle name="20% - Accent6 3 10" xfId="4412" xr:uid="{00000000-0005-0000-0000-0000BE190000}"/>
    <cellStyle name="20% - Accent6 3 2" xfId="1341" xr:uid="{00000000-0005-0000-0000-0000BF190000}"/>
    <cellStyle name="20% - Accent6 3 2 2" xfId="10405" xr:uid="{00000000-0005-0000-0000-0000C0190000}"/>
    <cellStyle name="20% - Accent6 3 2 3" xfId="9207" xr:uid="{00000000-0005-0000-0000-0000C1190000}"/>
    <cellStyle name="20% - Accent6 3 2 4" xfId="8009" xr:uid="{00000000-0005-0000-0000-0000C2190000}"/>
    <cellStyle name="20% - Accent6 3 2 5" xfId="6811" xr:uid="{00000000-0005-0000-0000-0000C3190000}"/>
    <cellStyle name="20% - Accent6 3 2 6" xfId="5612" xr:uid="{00000000-0005-0000-0000-0000C4190000}"/>
    <cellStyle name="20% - Accent6 3 2 7" xfId="4413" xr:uid="{00000000-0005-0000-0000-0000C5190000}"/>
    <cellStyle name="20% - Accent6 3 3" xfId="1342" xr:uid="{00000000-0005-0000-0000-0000C6190000}"/>
    <cellStyle name="20% - Accent6 3 3 2" xfId="10406" xr:uid="{00000000-0005-0000-0000-0000C7190000}"/>
    <cellStyle name="20% - Accent6 3 3 3" xfId="9208" xr:uid="{00000000-0005-0000-0000-0000C8190000}"/>
    <cellStyle name="20% - Accent6 3 3 4" xfId="8010" xr:uid="{00000000-0005-0000-0000-0000C9190000}"/>
    <cellStyle name="20% - Accent6 3 3 5" xfId="6812" xr:uid="{00000000-0005-0000-0000-0000CA190000}"/>
    <cellStyle name="20% - Accent6 3 3 6" xfId="5613" xr:uid="{00000000-0005-0000-0000-0000CB190000}"/>
    <cellStyle name="20% - Accent6 3 3 7" xfId="4414" xr:uid="{00000000-0005-0000-0000-0000CC190000}"/>
    <cellStyle name="20% - Accent6 3 4" xfId="1343" xr:uid="{00000000-0005-0000-0000-0000CD190000}"/>
    <cellStyle name="20% - Accent6 3 4 2" xfId="10407" xr:uid="{00000000-0005-0000-0000-0000CE190000}"/>
    <cellStyle name="20% - Accent6 3 4 3" xfId="9209" xr:uid="{00000000-0005-0000-0000-0000CF190000}"/>
    <cellStyle name="20% - Accent6 3 4 4" xfId="8011" xr:uid="{00000000-0005-0000-0000-0000D0190000}"/>
    <cellStyle name="20% - Accent6 3 4 5" xfId="6813" xr:uid="{00000000-0005-0000-0000-0000D1190000}"/>
    <cellStyle name="20% - Accent6 3 4 6" xfId="5614" xr:uid="{00000000-0005-0000-0000-0000D2190000}"/>
    <cellStyle name="20% - Accent6 3 4 7" xfId="4415" xr:uid="{00000000-0005-0000-0000-0000D3190000}"/>
    <cellStyle name="20% - Accent6 3 5" xfId="10404" xr:uid="{00000000-0005-0000-0000-0000D4190000}"/>
    <cellStyle name="20% - Accent6 3 6" xfId="9206" xr:uid="{00000000-0005-0000-0000-0000D5190000}"/>
    <cellStyle name="20% - Accent6 3 7" xfId="8008" xr:uid="{00000000-0005-0000-0000-0000D6190000}"/>
    <cellStyle name="20% - Accent6 3 8" xfId="6810" xr:uid="{00000000-0005-0000-0000-0000D7190000}"/>
    <cellStyle name="20% - Accent6 3 9" xfId="5611" xr:uid="{00000000-0005-0000-0000-0000D8190000}"/>
    <cellStyle name="20% - Accent6 3_2" xfId="1344" xr:uid="{00000000-0005-0000-0000-0000D9190000}"/>
    <cellStyle name="20% - Accent6 4" xfId="1345" xr:uid="{00000000-0005-0000-0000-0000DA190000}"/>
    <cellStyle name="20% - Accent6 4 10" xfId="4416" xr:uid="{00000000-0005-0000-0000-0000DB190000}"/>
    <cellStyle name="20% - Accent6 4 2" xfId="1346" xr:uid="{00000000-0005-0000-0000-0000DC190000}"/>
    <cellStyle name="20% - Accent6 4 2 2" xfId="10409" xr:uid="{00000000-0005-0000-0000-0000DD190000}"/>
    <cellStyle name="20% - Accent6 4 2 3" xfId="9211" xr:uid="{00000000-0005-0000-0000-0000DE190000}"/>
    <cellStyle name="20% - Accent6 4 2 4" xfId="8013" xr:uid="{00000000-0005-0000-0000-0000DF190000}"/>
    <cellStyle name="20% - Accent6 4 2 5" xfId="6815" xr:uid="{00000000-0005-0000-0000-0000E0190000}"/>
    <cellStyle name="20% - Accent6 4 2 6" xfId="5616" xr:uid="{00000000-0005-0000-0000-0000E1190000}"/>
    <cellStyle name="20% - Accent6 4 2 7" xfId="4417" xr:uid="{00000000-0005-0000-0000-0000E2190000}"/>
    <cellStyle name="20% - Accent6 4 3" xfId="1347" xr:uid="{00000000-0005-0000-0000-0000E3190000}"/>
    <cellStyle name="20% - Accent6 4 3 2" xfId="10410" xr:uid="{00000000-0005-0000-0000-0000E4190000}"/>
    <cellStyle name="20% - Accent6 4 3 3" xfId="9212" xr:uid="{00000000-0005-0000-0000-0000E5190000}"/>
    <cellStyle name="20% - Accent6 4 3 4" xfId="8014" xr:uid="{00000000-0005-0000-0000-0000E6190000}"/>
    <cellStyle name="20% - Accent6 4 3 5" xfId="6816" xr:uid="{00000000-0005-0000-0000-0000E7190000}"/>
    <cellStyle name="20% - Accent6 4 3 6" xfId="5617" xr:uid="{00000000-0005-0000-0000-0000E8190000}"/>
    <cellStyle name="20% - Accent6 4 3 7" xfId="4418" xr:uid="{00000000-0005-0000-0000-0000E9190000}"/>
    <cellStyle name="20% - Accent6 4 4" xfId="1348" xr:uid="{00000000-0005-0000-0000-0000EA190000}"/>
    <cellStyle name="20% - Accent6 4 4 2" xfId="10411" xr:uid="{00000000-0005-0000-0000-0000EB190000}"/>
    <cellStyle name="20% - Accent6 4 4 3" xfId="9213" xr:uid="{00000000-0005-0000-0000-0000EC190000}"/>
    <cellStyle name="20% - Accent6 4 4 4" xfId="8015" xr:uid="{00000000-0005-0000-0000-0000ED190000}"/>
    <cellStyle name="20% - Accent6 4 4 5" xfId="6817" xr:uid="{00000000-0005-0000-0000-0000EE190000}"/>
    <cellStyle name="20% - Accent6 4 4 6" xfId="5618" xr:uid="{00000000-0005-0000-0000-0000EF190000}"/>
    <cellStyle name="20% - Accent6 4 4 7" xfId="4419" xr:uid="{00000000-0005-0000-0000-0000F0190000}"/>
    <cellStyle name="20% - Accent6 4 5" xfId="10408" xr:uid="{00000000-0005-0000-0000-0000F1190000}"/>
    <cellStyle name="20% - Accent6 4 6" xfId="9210" xr:uid="{00000000-0005-0000-0000-0000F2190000}"/>
    <cellStyle name="20% - Accent6 4 7" xfId="8012" xr:uid="{00000000-0005-0000-0000-0000F3190000}"/>
    <cellStyle name="20% - Accent6 4 8" xfId="6814" xr:uid="{00000000-0005-0000-0000-0000F4190000}"/>
    <cellStyle name="20% - Accent6 4 9" xfId="5615" xr:uid="{00000000-0005-0000-0000-0000F5190000}"/>
    <cellStyle name="20% - Accent6 4_2" xfId="1349" xr:uid="{00000000-0005-0000-0000-0000F6190000}"/>
    <cellStyle name="20% - Accent6 5" xfId="1350" xr:uid="{00000000-0005-0000-0000-0000F7190000}"/>
    <cellStyle name="20% - Accent6 5 10" xfId="4420" xr:uid="{00000000-0005-0000-0000-0000F8190000}"/>
    <cellStyle name="20% - Accent6 5 2" xfId="1351" xr:uid="{00000000-0005-0000-0000-0000F9190000}"/>
    <cellStyle name="20% - Accent6 5 2 2" xfId="10413" xr:uid="{00000000-0005-0000-0000-0000FA190000}"/>
    <cellStyle name="20% - Accent6 5 2 3" xfId="9215" xr:uid="{00000000-0005-0000-0000-0000FB190000}"/>
    <cellStyle name="20% - Accent6 5 2 4" xfId="8017" xr:uid="{00000000-0005-0000-0000-0000FC190000}"/>
    <cellStyle name="20% - Accent6 5 2 5" xfId="6819" xr:uid="{00000000-0005-0000-0000-0000FD190000}"/>
    <cellStyle name="20% - Accent6 5 2 6" xfId="5620" xr:uid="{00000000-0005-0000-0000-0000FE190000}"/>
    <cellStyle name="20% - Accent6 5 2 7" xfId="4421" xr:uid="{00000000-0005-0000-0000-0000FF190000}"/>
    <cellStyle name="20% - Accent6 5 3" xfId="1352" xr:uid="{00000000-0005-0000-0000-0000001A0000}"/>
    <cellStyle name="20% - Accent6 5 3 2" xfId="10414" xr:uid="{00000000-0005-0000-0000-0000011A0000}"/>
    <cellStyle name="20% - Accent6 5 3 3" xfId="9216" xr:uid="{00000000-0005-0000-0000-0000021A0000}"/>
    <cellStyle name="20% - Accent6 5 3 4" xfId="8018" xr:uid="{00000000-0005-0000-0000-0000031A0000}"/>
    <cellStyle name="20% - Accent6 5 3 5" xfId="6820" xr:uid="{00000000-0005-0000-0000-0000041A0000}"/>
    <cellStyle name="20% - Accent6 5 3 6" xfId="5621" xr:uid="{00000000-0005-0000-0000-0000051A0000}"/>
    <cellStyle name="20% - Accent6 5 3 7" xfId="4422" xr:uid="{00000000-0005-0000-0000-0000061A0000}"/>
    <cellStyle name="20% - Accent6 5 4" xfId="1353" xr:uid="{00000000-0005-0000-0000-0000071A0000}"/>
    <cellStyle name="20% - Accent6 5 4 2" xfId="10415" xr:uid="{00000000-0005-0000-0000-0000081A0000}"/>
    <cellStyle name="20% - Accent6 5 4 3" xfId="9217" xr:uid="{00000000-0005-0000-0000-0000091A0000}"/>
    <cellStyle name="20% - Accent6 5 4 4" xfId="8019" xr:uid="{00000000-0005-0000-0000-00000A1A0000}"/>
    <cellStyle name="20% - Accent6 5 4 5" xfId="6821" xr:uid="{00000000-0005-0000-0000-00000B1A0000}"/>
    <cellStyle name="20% - Accent6 5 4 6" xfId="5622" xr:uid="{00000000-0005-0000-0000-00000C1A0000}"/>
    <cellStyle name="20% - Accent6 5 4 7" xfId="4423" xr:uid="{00000000-0005-0000-0000-00000D1A0000}"/>
    <cellStyle name="20% - Accent6 5 5" xfId="10412" xr:uid="{00000000-0005-0000-0000-00000E1A0000}"/>
    <cellStyle name="20% - Accent6 5 6" xfId="9214" xr:uid="{00000000-0005-0000-0000-00000F1A0000}"/>
    <cellStyle name="20% - Accent6 5 7" xfId="8016" xr:uid="{00000000-0005-0000-0000-0000101A0000}"/>
    <cellStyle name="20% - Accent6 5 8" xfId="6818" xr:uid="{00000000-0005-0000-0000-0000111A0000}"/>
    <cellStyle name="20% - Accent6 5 9" xfId="5619" xr:uid="{00000000-0005-0000-0000-0000121A0000}"/>
    <cellStyle name="20% - Accent6 5_2" xfId="1354" xr:uid="{00000000-0005-0000-0000-0000131A0000}"/>
    <cellStyle name="20% - Accent6 6" xfId="1355" xr:uid="{00000000-0005-0000-0000-0000141A0000}"/>
    <cellStyle name="20% - Accent6 6 10" xfId="4424" xr:uid="{00000000-0005-0000-0000-0000151A0000}"/>
    <cellStyle name="20% - Accent6 6 2" xfId="1356" xr:uid="{00000000-0005-0000-0000-0000161A0000}"/>
    <cellStyle name="20% - Accent6 6 2 2" xfId="10417" xr:uid="{00000000-0005-0000-0000-0000171A0000}"/>
    <cellStyle name="20% - Accent6 6 2 3" xfId="9219" xr:uid="{00000000-0005-0000-0000-0000181A0000}"/>
    <cellStyle name="20% - Accent6 6 2 4" xfId="8021" xr:uid="{00000000-0005-0000-0000-0000191A0000}"/>
    <cellStyle name="20% - Accent6 6 2 5" xfId="6823" xr:uid="{00000000-0005-0000-0000-00001A1A0000}"/>
    <cellStyle name="20% - Accent6 6 2 6" xfId="5624" xr:uid="{00000000-0005-0000-0000-00001B1A0000}"/>
    <cellStyle name="20% - Accent6 6 2 7" xfId="4425" xr:uid="{00000000-0005-0000-0000-00001C1A0000}"/>
    <cellStyle name="20% - Accent6 6 3" xfId="1357" xr:uid="{00000000-0005-0000-0000-00001D1A0000}"/>
    <cellStyle name="20% - Accent6 6 3 2" xfId="10418" xr:uid="{00000000-0005-0000-0000-00001E1A0000}"/>
    <cellStyle name="20% - Accent6 6 3 3" xfId="9220" xr:uid="{00000000-0005-0000-0000-00001F1A0000}"/>
    <cellStyle name="20% - Accent6 6 3 4" xfId="8022" xr:uid="{00000000-0005-0000-0000-0000201A0000}"/>
    <cellStyle name="20% - Accent6 6 3 5" xfId="6824" xr:uid="{00000000-0005-0000-0000-0000211A0000}"/>
    <cellStyle name="20% - Accent6 6 3 6" xfId="5625" xr:uid="{00000000-0005-0000-0000-0000221A0000}"/>
    <cellStyle name="20% - Accent6 6 3 7" xfId="4426" xr:uid="{00000000-0005-0000-0000-0000231A0000}"/>
    <cellStyle name="20% - Accent6 6 4" xfId="1358" xr:uid="{00000000-0005-0000-0000-0000241A0000}"/>
    <cellStyle name="20% - Accent6 6 4 2" xfId="10419" xr:uid="{00000000-0005-0000-0000-0000251A0000}"/>
    <cellStyle name="20% - Accent6 6 4 3" xfId="9221" xr:uid="{00000000-0005-0000-0000-0000261A0000}"/>
    <cellStyle name="20% - Accent6 6 4 4" xfId="8023" xr:uid="{00000000-0005-0000-0000-0000271A0000}"/>
    <cellStyle name="20% - Accent6 6 4 5" xfId="6825" xr:uid="{00000000-0005-0000-0000-0000281A0000}"/>
    <cellStyle name="20% - Accent6 6 4 6" xfId="5626" xr:uid="{00000000-0005-0000-0000-0000291A0000}"/>
    <cellStyle name="20% - Accent6 6 4 7" xfId="4427" xr:uid="{00000000-0005-0000-0000-00002A1A0000}"/>
    <cellStyle name="20% - Accent6 6 5" xfId="10416" xr:uid="{00000000-0005-0000-0000-00002B1A0000}"/>
    <cellStyle name="20% - Accent6 6 6" xfId="9218" xr:uid="{00000000-0005-0000-0000-00002C1A0000}"/>
    <cellStyle name="20% - Accent6 6 7" xfId="8020" xr:uid="{00000000-0005-0000-0000-00002D1A0000}"/>
    <cellStyle name="20% - Accent6 6 8" xfId="6822" xr:uid="{00000000-0005-0000-0000-00002E1A0000}"/>
    <cellStyle name="20% - Accent6 6 9" xfId="5623" xr:uid="{00000000-0005-0000-0000-00002F1A0000}"/>
    <cellStyle name="20% - Accent6 6_2" xfId="1359" xr:uid="{00000000-0005-0000-0000-0000301A0000}"/>
    <cellStyle name="20% - Accent6 7" xfId="1360" xr:uid="{00000000-0005-0000-0000-0000311A0000}"/>
    <cellStyle name="20% - Accent6 7 10" xfId="4428" xr:uid="{00000000-0005-0000-0000-0000321A0000}"/>
    <cellStyle name="20% - Accent6 7 2" xfId="1361" xr:uid="{00000000-0005-0000-0000-0000331A0000}"/>
    <cellStyle name="20% - Accent6 7 2 2" xfId="10421" xr:uid="{00000000-0005-0000-0000-0000341A0000}"/>
    <cellStyle name="20% - Accent6 7 2 3" xfId="9223" xr:uid="{00000000-0005-0000-0000-0000351A0000}"/>
    <cellStyle name="20% - Accent6 7 2 4" xfId="8025" xr:uid="{00000000-0005-0000-0000-0000361A0000}"/>
    <cellStyle name="20% - Accent6 7 2 5" xfId="6827" xr:uid="{00000000-0005-0000-0000-0000371A0000}"/>
    <cellStyle name="20% - Accent6 7 2 6" xfId="5628" xr:uid="{00000000-0005-0000-0000-0000381A0000}"/>
    <cellStyle name="20% - Accent6 7 2 7" xfId="4429" xr:uid="{00000000-0005-0000-0000-0000391A0000}"/>
    <cellStyle name="20% - Accent6 7 3" xfId="1362" xr:uid="{00000000-0005-0000-0000-00003A1A0000}"/>
    <cellStyle name="20% - Accent6 7 3 2" xfId="10422" xr:uid="{00000000-0005-0000-0000-00003B1A0000}"/>
    <cellStyle name="20% - Accent6 7 3 3" xfId="9224" xr:uid="{00000000-0005-0000-0000-00003C1A0000}"/>
    <cellStyle name="20% - Accent6 7 3 4" xfId="8026" xr:uid="{00000000-0005-0000-0000-00003D1A0000}"/>
    <cellStyle name="20% - Accent6 7 3 5" xfId="6828" xr:uid="{00000000-0005-0000-0000-00003E1A0000}"/>
    <cellStyle name="20% - Accent6 7 3 6" xfId="5629" xr:uid="{00000000-0005-0000-0000-00003F1A0000}"/>
    <cellStyle name="20% - Accent6 7 3 7" xfId="4430" xr:uid="{00000000-0005-0000-0000-0000401A0000}"/>
    <cellStyle name="20% - Accent6 7 4" xfId="1363" xr:uid="{00000000-0005-0000-0000-0000411A0000}"/>
    <cellStyle name="20% - Accent6 7 4 2" xfId="10423" xr:uid="{00000000-0005-0000-0000-0000421A0000}"/>
    <cellStyle name="20% - Accent6 7 4 3" xfId="9225" xr:uid="{00000000-0005-0000-0000-0000431A0000}"/>
    <cellStyle name="20% - Accent6 7 4 4" xfId="8027" xr:uid="{00000000-0005-0000-0000-0000441A0000}"/>
    <cellStyle name="20% - Accent6 7 4 5" xfId="6829" xr:uid="{00000000-0005-0000-0000-0000451A0000}"/>
    <cellStyle name="20% - Accent6 7 4 6" xfId="5630" xr:uid="{00000000-0005-0000-0000-0000461A0000}"/>
    <cellStyle name="20% - Accent6 7 4 7" xfId="4431" xr:uid="{00000000-0005-0000-0000-0000471A0000}"/>
    <cellStyle name="20% - Accent6 7 5" xfId="10420" xr:uid="{00000000-0005-0000-0000-0000481A0000}"/>
    <cellStyle name="20% - Accent6 7 6" xfId="9222" xr:uid="{00000000-0005-0000-0000-0000491A0000}"/>
    <cellStyle name="20% - Accent6 7 7" xfId="8024" xr:uid="{00000000-0005-0000-0000-00004A1A0000}"/>
    <cellStyle name="20% - Accent6 7 8" xfId="6826" xr:uid="{00000000-0005-0000-0000-00004B1A0000}"/>
    <cellStyle name="20% - Accent6 7 9" xfId="5627" xr:uid="{00000000-0005-0000-0000-00004C1A0000}"/>
    <cellStyle name="20% - Accent6 7_2" xfId="1364" xr:uid="{00000000-0005-0000-0000-00004D1A0000}"/>
    <cellStyle name="20% - Accent6 8" xfId="1365" xr:uid="{00000000-0005-0000-0000-00004E1A0000}"/>
    <cellStyle name="20% - Accent6 8 10" xfId="4432" xr:uid="{00000000-0005-0000-0000-00004F1A0000}"/>
    <cellStyle name="20% - Accent6 8 2" xfId="1366" xr:uid="{00000000-0005-0000-0000-0000501A0000}"/>
    <cellStyle name="20% - Accent6 8 2 2" xfId="10425" xr:uid="{00000000-0005-0000-0000-0000511A0000}"/>
    <cellStyle name="20% - Accent6 8 2 3" xfId="9227" xr:uid="{00000000-0005-0000-0000-0000521A0000}"/>
    <cellStyle name="20% - Accent6 8 2 4" xfId="8029" xr:uid="{00000000-0005-0000-0000-0000531A0000}"/>
    <cellStyle name="20% - Accent6 8 2 5" xfId="6831" xr:uid="{00000000-0005-0000-0000-0000541A0000}"/>
    <cellStyle name="20% - Accent6 8 2 6" xfId="5632" xr:uid="{00000000-0005-0000-0000-0000551A0000}"/>
    <cellStyle name="20% - Accent6 8 2 7" xfId="4433" xr:uid="{00000000-0005-0000-0000-0000561A0000}"/>
    <cellStyle name="20% - Accent6 8 3" xfId="1367" xr:uid="{00000000-0005-0000-0000-0000571A0000}"/>
    <cellStyle name="20% - Accent6 8 3 2" xfId="10426" xr:uid="{00000000-0005-0000-0000-0000581A0000}"/>
    <cellStyle name="20% - Accent6 8 3 3" xfId="9228" xr:uid="{00000000-0005-0000-0000-0000591A0000}"/>
    <cellStyle name="20% - Accent6 8 3 4" xfId="8030" xr:uid="{00000000-0005-0000-0000-00005A1A0000}"/>
    <cellStyle name="20% - Accent6 8 3 5" xfId="6832" xr:uid="{00000000-0005-0000-0000-00005B1A0000}"/>
    <cellStyle name="20% - Accent6 8 3 6" xfId="5633" xr:uid="{00000000-0005-0000-0000-00005C1A0000}"/>
    <cellStyle name="20% - Accent6 8 3 7" xfId="4434" xr:uid="{00000000-0005-0000-0000-00005D1A0000}"/>
    <cellStyle name="20% - Accent6 8 4" xfId="1368" xr:uid="{00000000-0005-0000-0000-00005E1A0000}"/>
    <cellStyle name="20% - Accent6 8 4 2" xfId="10427" xr:uid="{00000000-0005-0000-0000-00005F1A0000}"/>
    <cellStyle name="20% - Accent6 8 4 3" xfId="9229" xr:uid="{00000000-0005-0000-0000-0000601A0000}"/>
    <cellStyle name="20% - Accent6 8 4 4" xfId="8031" xr:uid="{00000000-0005-0000-0000-0000611A0000}"/>
    <cellStyle name="20% - Accent6 8 4 5" xfId="6833" xr:uid="{00000000-0005-0000-0000-0000621A0000}"/>
    <cellStyle name="20% - Accent6 8 4 6" xfId="5634" xr:uid="{00000000-0005-0000-0000-0000631A0000}"/>
    <cellStyle name="20% - Accent6 8 4 7" xfId="4435" xr:uid="{00000000-0005-0000-0000-0000641A0000}"/>
    <cellStyle name="20% - Accent6 8 5" xfId="10424" xr:uid="{00000000-0005-0000-0000-0000651A0000}"/>
    <cellStyle name="20% - Accent6 8 6" xfId="9226" xr:uid="{00000000-0005-0000-0000-0000661A0000}"/>
    <cellStyle name="20% - Accent6 8 7" xfId="8028" xr:uid="{00000000-0005-0000-0000-0000671A0000}"/>
    <cellStyle name="20% - Accent6 8 8" xfId="6830" xr:uid="{00000000-0005-0000-0000-0000681A0000}"/>
    <cellStyle name="20% - Accent6 8 9" xfId="5631" xr:uid="{00000000-0005-0000-0000-0000691A0000}"/>
    <cellStyle name="20% - Accent6 8_2" xfId="1369" xr:uid="{00000000-0005-0000-0000-00006A1A0000}"/>
    <cellStyle name="20% - Accent6 9" xfId="1370" xr:uid="{00000000-0005-0000-0000-00006B1A0000}"/>
    <cellStyle name="20% - Accent6 9 2" xfId="10428" xr:uid="{00000000-0005-0000-0000-00006C1A0000}"/>
    <cellStyle name="20% - Accent6 9 3" xfId="9230" xr:uid="{00000000-0005-0000-0000-00006D1A0000}"/>
    <cellStyle name="20% - Accent6 9 4" xfId="8032" xr:uid="{00000000-0005-0000-0000-00006E1A0000}"/>
    <cellStyle name="20% - Accent6 9 5" xfId="6834" xr:uid="{00000000-0005-0000-0000-00006F1A0000}"/>
    <cellStyle name="20% - Accent6 9 6" xfId="5635" xr:uid="{00000000-0005-0000-0000-0000701A0000}"/>
    <cellStyle name="20% - Accent6 9 7" xfId="4436" xr:uid="{00000000-0005-0000-0000-0000711A0000}"/>
    <cellStyle name="40% - Accent1 10" xfId="1371" xr:uid="{00000000-0005-0000-0000-0000721A0000}"/>
    <cellStyle name="40% - Accent1 10 2" xfId="10429" xr:uid="{00000000-0005-0000-0000-0000731A0000}"/>
    <cellStyle name="40% - Accent1 10 3" xfId="9231" xr:uid="{00000000-0005-0000-0000-0000741A0000}"/>
    <cellStyle name="40% - Accent1 10 4" xfId="8033" xr:uid="{00000000-0005-0000-0000-0000751A0000}"/>
    <cellStyle name="40% - Accent1 10 5" xfId="6835" xr:uid="{00000000-0005-0000-0000-0000761A0000}"/>
    <cellStyle name="40% - Accent1 10 6" xfId="5636" xr:uid="{00000000-0005-0000-0000-0000771A0000}"/>
    <cellStyle name="40% - Accent1 10 7" xfId="4437" xr:uid="{00000000-0005-0000-0000-0000781A0000}"/>
    <cellStyle name="40% - Accent1 11" xfId="1372" xr:uid="{00000000-0005-0000-0000-0000791A0000}"/>
    <cellStyle name="40% - Accent1 11 2" xfId="10430" xr:uid="{00000000-0005-0000-0000-00007A1A0000}"/>
    <cellStyle name="40% - Accent1 11 3" xfId="9232" xr:uid="{00000000-0005-0000-0000-00007B1A0000}"/>
    <cellStyle name="40% - Accent1 11 4" xfId="8034" xr:uid="{00000000-0005-0000-0000-00007C1A0000}"/>
    <cellStyle name="40% - Accent1 11 5" xfId="6836" xr:uid="{00000000-0005-0000-0000-00007D1A0000}"/>
    <cellStyle name="40% - Accent1 11 6" xfId="5637" xr:uid="{00000000-0005-0000-0000-00007E1A0000}"/>
    <cellStyle name="40% - Accent1 11 7" xfId="4438" xr:uid="{00000000-0005-0000-0000-00007F1A0000}"/>
    <cellStyle name="40% - Accent1 12" xfId="1373" xr:uid="{00000000-0005-0000-0000-0000801A0000}"/>
    <cellStyle name="40% - Accent1 12 2" xfId="1374" xr:uid="{00000000-0005-0000-0000-0000811A0000}"/>
    <cellStyle name="40% - Accent1 12 2 2" xfId="10432" xr:uid="{00000000-0005-0000-0000-0000821A0000}"/>
    <cellStyle name="40% - Accent1 12 2 3" xfId="9234" xr:uid="{00000000-0005-0000-0000-0000831A0000}"/>
    <cellStyle name="40% - Accent1 12 2 4" xfId="8036" xr:uid="{00000000-0005-0000-0000-0000841A0000}"/>
    <cellStyle name="40% - Accent1 12 2 5" xfId="6838" xr:uid="{00000000-0005-0000-0000-0000851A0000}"/>
    <cellStyle name="40% - Accent1 12 2 6" xfId="5639" xr:uid="{00000000-0005-0000-0000-0000861A0000}"/>
    <cellStyle name="40% - Accent1 12 2 7" xfId="4440" xr:uid="{00000000-0005-0000-0000-0000871A0000}"/>
    <cellStyle name="40% - Accent1 12 3" xfId="10431" xr:uid="{00000000-0005-0000-0000-0000881A0000}"/>
    <cellStyle name="40% - Accent1 12 4" xfId="9233" xr:uid="{00000000-0005-0000-0000-0000891A0000}"/>
    <cellStyle name="40% - Accent1 12 5" xfId="8035" xr:uid="{00000000-0005-0000-0000-00008A1A0000}"/>
    <cellStyle name="40% - Accent1 12 6" xfId="6837" xr:uid="{00000000-0005-0000-0000-00008B1A0000}"/>
    <cellStyle name="40% - Accent1 12 7" xfId="5638" xr:uid="{00000000-0005-0000-0000-00008C1A0000}"/>
    <cellStyle name="40% - Accent1 12 8" xfId="4439" xr:uid="{00000000-0005-0000-0000-00008D1A0000}"/>
    <cellStyle name="40% - Accent1 12_2" xfId="1375" xr:uid="{00000000-0005-0000-0000-00008E1A0000}"/>
    <cellStyle name="40% - Accent1 13" xfId="1376" xr:uid="{00000000-0005-0000-0000-00008F1A0000}"/>
    <cellStyle name="40% - Accent1 13 2" xfId="1377" xr:uid="{00000000-0005-0000-0000-0000901A0000}"/>
    <cellStyle name="40% - Accent1 13 2 2" xfId="10434" xr:uid="{00000000-0005-0000-0000-0000911A0000}"/>
    <cellStyle name="40% - Accent1 13 2 3" xfId="9236" xr:uid="{00000000-0005-0000-0000-0000921A0000}"/>
    <cellStyle name="40% - Accent1 13 2 4" xfId="8038" xr:uid="{00000000-0005-0000-0000-0000931A0000}"/>
    <cellStyle name="40% - Accent1 13 2 5" xfId="6840" xr:uid="{00000000-0005-0000-0000-0000941A0000}"/>
    <cellStyle name="40% - Accent1 13 2 6" xfId="5641" xr:uid="{00000000-0005-0000-0000-0000951A0000}"/>
    <cellStyle name="40% - Accent1 13 2 7" xfId="4442" xr:uid="{00000000-0005-0000-0000-0000961A0000}"/>
    <cellStyle name="40% - Accent1 13 3" xfId="10433" xr:uid="{00000000-0005-0000-0000-0000971A0000}"/>
    <cellStyle name="40% - Accent1 13 4" xfId="9235" xr:uid="{00000000-0005-0000-0000-0000981A0000}"/>
    <cellStyle name="40% - Accent1 13 5" xfId="8037" xr:uid="{00000000-0005-0000-0000-0000991A0000}"/>
    <cellStyle name="40% - Accent1 13 6" xfId="6839" xr:uid="{00000000-0005-0000-0000-00009A1A0000}"/>
    <cellStyle name="40% - Accent1 13 7" xfId="5640" xr:uid="{00000000-0005-0000-0000-00009B1A0000}"/>
    <cellStyle name="40% - Accent1 13 8" xfId="4441" xr:uid="{00000000-0005-0000-0000-00009C1A0000}"/>
    <cellStyle name="40% - Accent1 13_2" xfId="1378" xr:uid="{00000000-0005-0000-0000-00009D1A0000}"/>
    <cellStyle name="40% - Accent1 14" xfId="1379" xr:uid="{00000000-0005-0000-0000-00009E1A0000}"/>
    <cellStyle name="40% - Accent1 14 2" xfId="1380" xr:uid="{00000000-0005-0000-0000-00009F1A0000}"/>
    <cellStyle name="40% - Accent1 14 2 2" xfId="10436" xr:uid="{00000000-0005-0000-0000-0000A01A0000}"/>
    <cellStyle name="40% - Accent1 14 2 3" xfId="9238" xr:uid="{00000000-0005-0000-0000-0000A11A0000}"/>
    <cellStyle name="40% - Accent1 14 2 4" xfId="8040" xr:uid="{00000000-0005-0000-0000-0000A21A0000}"/>
    <cellStyle name="40% - Accent1 14 2 5" xfId="6842" xr:uid="{00000000-0005-0000-0000-0000A31A0000}"/>
    <cellStyle name="40% - Accent1 14 2 6" xfId="5643" xr:uid="{00000000-0005-0000-0000-0000A41A0000}"/>
    <cellStyle name="40% - Accent1 14 2 7" xfId="4444" xr:uid="{00000000-0005-0000-0000-0000A51A0000}"/>
    <cellStyle name="40% - Accent1 14 3" xfId="10435" xr:uid="{00000000-0005-0000-0000-0000A61A0000}"/>
    <cellStyle name="40% - Accent1 14 4" xfId="9237" xr:uid="{00000000-0005-0000-0000-0000A71A0000}"/>
    <cellStyle name="40% - Accent1 14 5" xfId="8039" xr:uid="{00000000-0005-0000-0000-0000A81A0000}"/>
    <cellStyle name="40% - Accent1 14 6" xfId="6841" xr:uid="{00000000-0005-0000-0000-0000A91A0000}"/>
    <cellStyle name="40% - Accent1 14 7" xfId="5642" xr:uid="{00000000-0005-0000-0000-0000AA1A0000}"/>
    <cellStyle name="40% - Accent1 14 8" xfId="4443" xr:uid="{00000000-0005-0000-0000-0000AB1A0000}"/>
    <cellStyle name="40% - Accent1 14_2" xfId="1381" xr:uid="{00000000-0005-0000-0000-0000AC1A0000}"/>
    <cellStyle name="40% - Accent1 15" xfId="1382" xr:uid="{00000000-0005-0000-0000-0000AD1A0000}"/>
    <cellStyle name="40% - Accent1 15 2" xfId="10437" xr:uid="{00000000-0005-0000-0000-0000AE1A0000}"/>
    <cellStyle name="40% - Accent1 15 3" xfId="9239" xr:uid="{00000000-0005-0000-0000-0000AF1A0000}"/>
    <cellStyle name="40% - Accent1 15 4" xfId="8041" xr:uid="{00000000-0005-0000-0000-0000B01A0000}"/>
    <cellStyle name="40% - Accent1 15 5" xfId="6843" xr:uid="{00000000-0005-0000-0000-0000B11A0000}"/>
    <cellStyle name="40% - Accent1 15 6" xfId="5644" xr:uid="{00000000-0005-0000-0000-0000B21A0000}"/>
    <cellStyle name="40% - Accent1 15 7" xfId="4445" xr:uid="{00000000-0005-0000-0000-0000B31A0000}"/>
    <cellStyle name="40% - Accent1 16" xfId="1383" xr:uid="{00000000-0005-0000-0000-0000B41A0000}"/>
    <cellStyle name="40% - Accent1 16 2" xfId="10438" xr:uid="{00000000-0005-0000-0000-0000B51A0000}"/>
    <cellStyle name="40% - Accent1 16 3" xfId="9240" xr:uid="{00000000-0005-0000-0000-0000B61A0000}"/>
    <cellStyle name="40% - Accent1 16 4" xfId="8042" xr:uid="{00000000-0005-0000-0000-0000B71A0000}"/>
    <cellStyle name="40% - Accent1 16 5" xfId="6844" xr:uid="{00000000-0005-0000-0000-0000B81A0000}"/>
    <cellStyle name="40% - Accent1 16 6" xfId="5645" xr:uid="{00000000-0005-0000-0000-0000B91A0000}"/>
    <cellStyle name="40% - Accent1 16 7" xfId="4446" xr:uid="{00000000-0005-0000-0000-0000BA1A0000}"/>
    <cellStyle name="40% - Accent1 2" xfId="1384" xr:uid="{00000000-0005-0000-0000-0000BB1A0000}"/>
    <cellStyle name="40% - Accent1 2 10" xfId="10439" xr:uid="{00000000-0005-0000-0000-0000BC1A0000}"/>
    <cellStyle name="40% - Accent1 2 11" xfId="9241" xr:uid="{00000000-0005-0000-0000-0000BD1A0000}"/>
    <cellStyle name="40% - Accent1 2 12" xfId="8043" xr:uid="{00000000-0005-0000-0000-0000BE1A0000}"/>
    <cellStyle name="40% - Accent1 2 13" xfId="6845" xr:uid="{00000000-0005-0000-0000-0000BF1A0000}"/>
    <cellStyle name="40% - Accent1 2 14" xfId="5646" xr:uid="{00000000-0005-0000-0000-0000C01A0000}"/>
    <cellStyle name="40% - Accent1 2 15" xfId="4447" xr:uid="{00000000-0005-0000-0000-0000C11A0000}"/>
    <cellStyle name="40% - Accent1 2 2" xfId="1385" xr:uid="{00000000-0005-0000-0000-0000C21A0000}"/>
    <cellStyle name="40% - Accent1 2 2 2" xfId="10440" xr:uid="{00000000-0005-0000-0000-0000C31A0000}"/>
    <cellStyle name="40% - Accent1 2 2 3" xfId="9242" xr:uid="{00000000-0005-0000-0000-0000C41A0000}"/>
    <cellStyle name="40% - Accent1 2 2 4" xfId="8044" xr:uid="{00000000-0005-0000-0000-0000C51A0000}"/>
    <cellStyle name="40% - Accent1 2 2 5" xfId="6846" xr:uid="{00000000-0005-0000-0000-0000C61A0000}"/>
    <cellStyle name="40% - Accent1 2 2 6" xfId="5647" xr:uid="{00000000-0005-0000-0000-0000C71A0000}"/>
    <cellStyle name="40% - Accent1 2 2 7" xfId="4448" xr:uid="{00000000-0005-0000-0000-0000C81A0000}"/>
    <cellStyle name="40% - Accent1 2 3" xfId="1386" xr:uid="{00000000-0005-0000-0000-0000C91A0000}"/>
    <cellStyle name="40% - Accent1 2 3 2" xfId="10441" xr:uid="{00000000-0005-0000-0000-0000CA1A0000}"/>
    <cellStyle name="40% - Accent1 2 3 3" xfId="9243" xr:uid="{00000000-0005-0000-0000-0000CB1A0000}"/>
    <cellStyle name="40% - Accent1 2 3 4" xfId="8045" xr:uid="{00000000-0005-0000-0000-0000CC1A0000}"/>
    <cellStyle name="40% - Accent1 2 3 5" xfId="6847" xr:uid="{00000000-0005-0000-0000-0000CD1A0000}"/>
    <cellStyle name="40% - Accent1 2 3 6" xfId="5648" xr:uid="{00000000-0005-0000-0000-0000CE1A0000}"/>
    <cellStyle name="40% - Accent1 2 3 7" xfId="4449" xr:uid="{00000000-0005-0000-0000-0000CF1A0000}"/>
    <cellStyle name="40% - Accent1 2 4" xfId="1387" xr:uid="{00000000-0005-0000-0000-0000D01A0000}"/>
    <cellStyle name="40% - Accent1 2 4 2" xfId="10442" xr:uid="{00000000-0005-0000-0000-0000D11A0000}"/>
    <cellStyle name="40% - Accent1 2 4 3" xfId="9244" xr:uid="{00000000-0005-0000-0000-0000D21A0000}"/>
    <cellStyle name="40% - Accent1 2 4 4" xfId="8046" xr:uid="{00000000-0005-0000-0000-0000D31A0000}"/>
    <cellStyle name="40% - Accent1 2 4 5" xfId="6848" xr:uid="{00000000-0005-0000-0000-0000D41A0000}"/>
    <cellStyle name="40% - Accent1 2 4 6" xfId="5649" xr:uid="{00000000-0005-0000-0000-0000D51A0000}"/>
    <cellStyle name="40% - Accent1 2 4 7" xfId="4450" xr:uid="{00000000-0005-0000-0000-0000D61A0000}"/>
    <cellStyle name="40% - Accent1 2 5" xfId="1388" xr:uid="{00000000-0005-0000-0000-0000D71A0000}"/>
    <cellStyle name="40% - Accent1 2 5 2" xfId="10443" xr:uid="{00000000-0005-0000-0000-0000D81A0000}"/>
    <cellStyle name="40% - Accent1 2 5 3" xfId="9245" xr:uid="{00000000-0005-0000-0000-0000D91A0000}"/>
    <cellStyle name="40% - Accent1 2 5 4" xfId="8047" xr:uid="{00000000-0005-0000-0000-0000DA1A0000}"/>
    <cellStyle name="40% - Accent1 2 5 5" xfId="6849" xr:uid="{00000000-0005-0000-0000-0000DB1A0000}"/>
    <cellStyle name="40% - Accent1 2 5 6" xfId="5650" xr:uid="{00000000-0005-0000-0000-0000DC1A0000}"/>
    <cellStyle name="40% - Accent1 2 5 7" xfId="4451" xr:uid="{00000000-0005-0000-0000-0000DD1A0000}"/>
    <cellStyle name="40% - Accent1 2 6" xfId="1389" xr:uid="{00000000-0005-0000-0000-0000DE1A0000}"/>
    <cellStyle name="40% - Accent1 2 6 2" xfId="10444" xr:uid="{00000000-0005-0000-0000-0000DF1A0000}"/>
    <cellStyle name="40% - Accent1 2 6 3" xfId="9246" xr:uid="{00000000-0005-0000-0000-0000E01A0000}"/>
    <cellStyle name="40% - Accent1 2 6 4" xfId="8048" xr:uid="{00000000-0005-0000-0000-0000E11A0000}"/>
    <cellStyle name="40% - Accent1 2 6 5" xfId="6850" xr:uid="{00000000-0005-0000-0000-0000E21A0000}"/>
    <cellStyle name="40% - Accent1 2 6 6" xfId="5651" xr:uid="{00000000-0005-0000-0000-0000E31A0000}"/>
    <cellStyle name="40% - Accent1 2 6 7" xfId="4452" xr:uid="{00000000-0005-0000-0000-0000E41A0000}"/>
    <cellStyle name="40% - Accent1 2 7" xfId="1390" xr:uid="{00000000-0005-0000-0000-0000E51A0000}"/>
    <cellStyle name="40% - Accent1 2 7 2" xfId="10445" xr:uid="{00000000-0005-0000-0000-0000E61A0000}"/>
    <cellStyle name="40% - Accent1 2 7 3" xfId="9247" xr:uid="{00000000-0005-0000-0000-0000E71A0000}"/>
    <cellStyle name="40% - Accent1 2 7 4" xfId="8049" xr:uid="{00000000-0005-0000-0000-0000E81A0000}"/>
    <cellStyle name="40% - Accent1 2 7 5" xfId="6851" xr:uid="{00000000-0005-0000-0000-0000E91A0000}"/>
    <cellStyle name="40% - Accent1 2 7 6" xfId="5652" xr:uid="{00000000-0005-0000-0000-0000EA1A0000}"/>
    <cellStyle name="40% - Accent1 2 7 7" xfId="4453" xr:uid="{00000000-0005-0000-0000-0000EB1A0000}"/>
    <cellStyle name="40% - Accent1 2 8" xfId="1391" xr:uid="{00000000-0005-0000-0000-0000EC1A0000}"/>
    <cellStyle name="40% - Accent1 2 8 2" xfId="10446" xr:uid="{00000000-0005-0000-0000-0000ED1A0000}"/>
    <cellStyle name="40% - Accent1 2 8 3" xfId="9248" xr:uid="{00000000-0005-0000-0000-0000EE1A0000}"/>
    <cellStyle name="40% - Accent1 2 8 4" xfId="8050" xr:uid="{00000000-0005-0000-0000-0000EF1A0000}"/>
    <cellStyle name="40% - Accent1 2 8 5" xfId="6852" xr:uid="{00000000-0005-0000-0000-0000F01A0000}"/>
    <cellStyle name="40% - Accent1 2 8 6" xfId="5653" xr:uid="{00000000-0005-0000-0000-0000F11A0000}"/>
    <cellStyle name="40% - Accent1 2 8 7" xfId="4454" xr:uid="{00000000-0005-0000-0000-0000F21A0000}"/>
    <cellStyle name="40% - Accent1 2 9" xfId="1392" xr:uid="{00000000-0005-0000-0000-0000F31A0000}"/>
    <cellStyle name="40% - Accent1 2 9 2" xfId="10447" xr:uid="{00000000-0005-0000-0000-0000F41A0000}"/>
    <cellStyle name="40% - Accent1 2 9 3" xfId="9249" xr:uid="{00000000-0005-0000-0000-0000F51A0000}"/>
    <cellStyle name="40% - Accent1 2 9 4" xfId="8051" xr:uid="{00000000-0005-0000-0000-0000F61A0000}"/>
    <cellStyle name="40% - Accent1 2 9 5" xfId="6853" xr:uid="{00000000-0005-0000-0000-0000F71A0000}"/>
    <cellStyle name="40% - Accent1 2 9 6" xfId="5654" xr:uid="{00000000-0005-0000-0000-0000F81A0000}"/>
    <cellStyle name="40% - Accent1 2 9 7" xfId="4455" xr:uid="{00000000-0005-0000-0000-0000F91A0000}"/>
    <cellStyle name="40% - Accent1 2_2" xfId="1393" xr:uid="{00000000-0005-0000-0000-0000FA1A0000}"/>
    <cellStyle name="40% - Accent1 3" xfId="1394" xr:uid="{00000000-0005-0000-0000-0000FB1A0000}"/>
    <cellStyle name="40% - Accent1 3 10" xfId="4456" xr:uid="{00000000-0005-0000-0000-0000FC1A0000}"/>
    <cellStyle name="40% - Accent1 3 2" xfId="1395" xr:uid="{00000000-0005-0000-0000-0000FD1A0000}"/>
    <cellStyle name="40% - Accent1 3 2 2" xfId="10449" xr:uid="{00000000-0005-0000-0000-0000FE1A0000}"/>
    <cellStyle name="40% - Accent1 3 2 3" xfId="9251" xr:uid="{00000000-0005-0000-0000-0000FF1A0000}"/>
    <cellStyle name="40% - Accent1 3 2 4" xfId="8053" xr:uid="{00000000-0005-0000-0000-0000001B0000}"/>
    <cellStyle name="40% - Accent1 3 2 5" xfId="6855" xr:uid="{00000000-0005-0000-0000-0000011B0000}"/>
    <cellStyle name="40% - Accent1 3 2 6" xfId="5656" xr:uid="{00000000-0005-0000-0000-0000021B0000}"/>
    <cellStyle name="40% - Accent1 3 2 7" xfId="4457" xr:uid="{00000000-0005-0000-0000-0000031B0000}"/>
    <cellStyle name="40% - Accent1 3 3" xfId="1396" xr:uid="{00000000-0005-0000-0000-0000041B0000}"/>
    <cellStyle name="40% - Accent1 3 3 2" xfId="10450" xr:uid="{00000000-0005-0000-0000-0000051B0000}"/>
    <cellStyle name="40% - Accent1 3 3 3" xfId="9252" xr:uid="{00000000-0005-0000-0000-0000061B0000}"/>
    <cellStyle name="40% - Accent1 3 3 4" xfId="8054" xr:uid="{00000000-0005-0000-0000-0000071B0000}"/>
    <cellStyle name="40% - Accent1 3 3 5" xfId="6856" xr:uid="{00000000-0005-0000-0000-0000081B0000}"/>
    <cellStyle name="40% - Accent1 3 3 6" xfId="5657" xr:uid="{00000000-0005-0000-0000-0000091B0000}"/>
    <cellStyle name="40% - Accent1 3 3 7" xfId="4458" xr:uid="{00000000-0005-0000-0000-00000A1B0000}"/>
    <cellStyle name="40% - Accent1 3 4" xfId="1397" xr:uid="{00000000-0005-0000-0000-00000B1B0000}"/>
    <cellStyle name="40% - Accent1 3 4 2" xfId="10451" xr:uid="{00000000-0005-0000-0000-00000C1B0000}"/>
    <cellStyle name="40% - Accent1 3 4 3" xfId="9253" xr:uid="{00000000-0005-0000-0000-00000D1B0000}"/>
    <cellStyle name="40% - Accent1 3 4 4" xfId="8055" xr:uid="{00000000-0005-0000-0000-00000E1B0000}"/>
    <cellStyle name="40% - Accent1 3 4 5" xfId="6857" xr:uid="{00000000-0005-0000-0000-00000F1B0000}"/>
    <cellStyle name="40% - Accent1 3 4 6" xfId="5658" xr:uid="{00000000-0005-0000-0000-0000101B0000}"/>
    <cellStyle name="40% - Accent1 3 4 7" xfId="4459" xr:uid="{00000000-0005-0000-0000-0000111B0000}"/>
    <cellStyle name="40% - Accent1 3 5" xfId="10448" xr:uid="{00000000-0005-0000-0000-0000121B0000}"/>
    <cellStyle name="40% - Accent1 3 6" xfId="9250" xr:uid="{00000000-0005-0000-0000-0000131B0000}"/>
    <cellStyle name="40% - Accent1 3 7" xfId="8052" xr:uid="{00000000-0005-0000-0000-0000141B0000}"/>
    <cellStyle name="40% - Accent1 3 8" xfId="6854" xr:uid="{00000000-0005-0000-0000-0000151B0000}"/>
    <cellStyle name="40% - Accent1 3 9" xfId="5655" xr:uid="{00000000-0005-0000-0000-0000161B0000}"/>
    <cellStyle name="40% - Accent1 3_2" xfId="1398" xr:uid="{00000000-0005-0000-0000-0000171B0000}"/>
    <cellStyle name="40% - Accent1 4" xfId="1399" xr:uid="{00000000-0005-0000-0000-0000181B0000}"/>
    <cellStyle name="40% - Accent1 4 10" xfId="4460" xr:uid="{00000000-0005-0000-0000-0000191B0000}"/>
    <cellStyle name="40% - Accent1 4 2" xfId="1400" xr:uid="{00000000-0005-0000-0000-00001A1B0000}"/>
    <cellStyle name="40% - Accent1 4 2 2" xfId="10453" xr:uid="{00000000-0005-0000-0000-00001B1B0000}"/>
    <cellStyle name="40% - Accent1 4 2 3" xfId="9255" xr:uid="{00000000-0005-0000-0000-00001C1B0000}"/>
    <cellStyle name="40% - Accent1 4 2 4" xfId="8057" xr:uid="{00000000-0005-0000-0000-00001D1B0000}"/>
    <cellStyle name="40% - Accent1 4 2 5" xfId="6859" xr:uid="{00000000-0005-0000-0000-00001E1B0000}"/>
    <cellStyle name="40% - Accent1 4 2 6" xfId="5660" xr:uid="{00000000-0005-0000-0000-00001F1B0000}"/>
    <cellStyle name="40% - Accent1 4 2 7" xfId="4461" xr:uid="{00000000-0005-0000-0000-0000201B0000}"/>
    <cellStyle name="40% - Accent1 4 3" xfId="1401" xr:uid="{00000000-0005-0000-0000-0000211B0000}"/>
    <cellStyle name="40% - Accent1 4 3 2" xfId="10454" xr:uid="{00000000-0005-0000-0000-0000221B0000}"/>
    <cellStyle name="40% - Accent1 4 3 3" xfId="9256" xr:uid="{00000000-0005-0000-0000-0000231B0000}"/>
    <cellStyle name="40% - Accent1 4 3 4" xfId="8058" xr:uid="{00000000-0005-0000-0000-0000241B0000}"/>
    <cellStyle name="40% - Accent1 4 3 5" xfId="6860" xr:uid="{00000000-0005-0000-0000-0000251B0000}"/>
    <cellStyle name="40% - Accent1 4 3 6" xfId="5661" xr:uid="{00000000-0005-0000-0000-0000261B0000}"/>
    <cellStyle name="40% - Accent1 4 3 7" xfId="4462" xr:uid="{00000000-0005-0000-0000-0000271B0000}"/>
    <cellStyle name="40% - Accent1 4 4" xfId="1402" xr:uid="{00000000-0005-0000-0000-0000281B0000}"/>
    <cellStyle name="40% - Accent1 4 4 2" xfId="10455" xr:uid="{00000000-0005-0000-0000-0000291B0000}"/>
    <cellStyle name="40% - Accent1 4 4 3" xfId="9257" xr:uid="{00000000-0005-0000-0000-00002A1B0000}"/>
    <cellStyle name="40% - Accent1 4 4 4" xfId="8059" xr:uid="{00000000-0005-0000-0000-00002B1B0000}"/>
    <cellStyle name="40% - Accent1 4 4 5" xfId="6861" xr:uid="{00000000-0005-0000-0000-00002C1B0000}"/>
    <cellStyle name="40% - Accent1 4 4 6" xfId="5662" xr:uid="{00000000-0005-0000-0000-00002D1B0000}"/>
    <cellStyle name="40% - Accent1 4 4 7" xfId="4463" xr:uid="{00000000-0005-0000-0000-00002E1B0000}"/>
    <cellStyle name="40% - Accent1 4 5" xfId="10452" xr:uid="{00000000-0005-0000-0000-00002F1B0000}"/>
    <cellStyle name="40% - Accent1 4 6" xfId="9254" xr:uid="{00000000-0005-0000-0000-0000301B0000}"/>
    <cellStyle name="40% - Accent1 4 7" xfId="8056" xr:uid="{00000000-0005-0000-0000-0000311B0000}"/>
    <cellStyle name="40% - Accent1 4 8" xfId="6858" xr:uid="{00000000-0005-0000-0000-0000321B0000}"/>
    <cellStyle name="40% - Accent1 4 9" xfId="5659" xr:uid="{00000000-0005-0000-0000-0000331B0000}"/>
    <cellStyle name="40% - Accent1 4_2" xfId="1403" xr:uid="{00000000-0005-0000-0000-0000341B0000}"/>
    <cellStyle name="40% - Accent1 5" xfId="1404" xr:uid="{00000000-0005-0000-0000-0000351B0000}"/>
    <cellStyle name="40% - Accent1 5 10" xfId="4464" xr:uid="{00000000-0005-0000-0000-0000361B0000}"/>
    <cellStyle name="40% - Accent1 5 2" xfId="1405" xr:uid="{00000000-0005-0000-0000-0000371B0000}"/>
    <cellStyle name="40% - Accent1 5 2 2" xfId="10457" xr:uid="{00000000-0005-0000-0000-0000381B0000}"/>
    <cellStyle name="40% - Accent1 5 2 3" xfId="9259" xr:uid="{00000000-0005-0000-0000-0000391B0000}"/>
    <cellStyle name="40% - Accent1 5 2 4" xfId="8061" xr:uid="{00000000-0005-0000-0000-00003A1B0000}"/>
    <cellStyle name="40% - Accent1 5 2 5" xfId="6863" xr:uid="{00000000-0005-0000-0000-00003B1B0000}"/>
    <cellStyle name="40% - Accent1 5 2 6" xfId="5664" xr:uid="{00000000-0005-0000-0000-00003C1B0000}"/>
    <cellStyle name="40% - Accent1 5 2 7" xfId="4465" xr:uid="{00000000-0005-0000-0000-00003D1B0000}"/>
    <cellStyle name="40% - Accent1 5 3" xfId="1406" xr:uid="{00000000-0005-0000-0000-00003E1B0000}"/>
    <cellStyle name="40% - Accent1 5 3 2" xfId="10458" xr:uid="{00000000-0005-0000-0000-00003F1B0000}"/>
    <cellStyle name="40% - Accent1 5 3 3" xfId="9260" xr:uid="{00000000-0005-0000-0000-0000401B0000}"/>
    <cellStyle name="40% - Accent1 5 3 4" xfId="8062" xr:uid="{00000000-0005-0000-0000-0000411B0000}"/>
    <cellStyle name="40% - Accent1 5 3 5" xfId="6864" xr:uid="{00000000-0005-0000-0000-0000421B0000}"/>
    <cellStyle name="40% - Accent1 5 3 6" xfId="5665" xr:uid="{00000000-0005-0000-0000-0000431B0000}"/>
    <cellStyle name="40% - Accent1 5 3 7" xfId="4466" xr:uid="{00000000-0005-0000-0000-0000441B0000}"/>
    <cellStyle name="40% - Accent1 5 4" xfId="1407" xr:uid="{00000000-0005-0000-0000-0000451B0000}"/>
    <cellStyle name="40% - Accent1 5 4 2" xfId="10459" xr:uid="{00000000-0005-0000-0000-0000461B0000}"/>
    <cellStyle name="40% - Accent1 5 4 3" xfId="9261" xr:uid="{00000000-0005-0000-0000-0000471B0000}"/>
    <cellStyle name="40% - Accent1 5 4 4" xfId="8063" xr:uid="{00000000-0005-0000-0000-0000481B0000}"/>
    <cellStyle name="40% - Accent1 5 4 5" xfId="6865" xr:uid="{00000000-0005-0000-0000-0000491B0000}"/>
    <cellStyle name="40% - Accent1 5 4 6" xfId="5666" xr:uid="{00000000-0005-0000-0000-00004A1B0000}"/>
    <cellStyle name="40% - Accent1 5 4 7" xfId="4467" xr:uid="{00000000-0005-0000-0000-00004B1B0000}"/>
    <cellStyle name="40% - Accent1 5 5" xfId="10456" xr:uid="{00000000-0005-0000-0000-00004C1B0000}"/>
    <cellStyle name="40% - Accent1 5 6" xfId="9258" xr:uid="{00000000-0005-0000-0000-00004D1B0000}"/>
    <cellStyle name="40% - Accent1 5 7" xfId="8060" xr:uid="{00000000-0005-0000-0000-00004E1B0000}"/>
    <cellStyle name="40% - Accent1 5 8" xfId="6862" xr:uid="{00000000-0005-0000-0000-00004F1B0000}"/>
    <cellStyle name="40% - Accent1 5 9" xfId="5663" xr:uid="{00000000-0005-0000-0000-0000501B0000}"/>
    <cellStyle name="40% - Accent1 5_2" xfId="1408" xr:uid="{00000000-0005-0000-0000-0000511B0000}"/>
    <cellStyle name="40% - Accent1 6" xfId="1409" xr:uid="{00000000-0005-0000-0000-0000521B0000}"/>
    <cellStyle name="40% - Accent1 6 10" xfId="4468" xr:uid="{00000000-0005-0000-0000-0000531B0000}"/>
    <cellStyle name="40% - Accent1 6 2" xfId="1410" xr:uid="{00000000-0005-0000-0000-0000541B0000}"/>
    <cellStyle name="40% - Accent1 6 2 2" xfId="10461" xr:uid="{00000000-0005-0000-0000-0000551B0000}"/>
    <cellStyle name="40% - Accent1 6 2 3" xfId="9263" xr:uid="{00000000-0005-0000-0000-0000561B0000}"/>
    <cellStyle name="40% - Accent1 6 2 4" xfId="8065" xr:uid="{00000000-0005-0000-0000-0000571B0000}"/>
    <cellStyle name="40% - Accent1 6 2 5" xfId="6867" xr:uid="{00000000-0005-0000-0000-0000581B0000}"/>
    <cellStyle name="40% - Accent1 6 2 6" xfId="5668" xr:uid="{00000000-0005-0000-0000-0000591B0000}"/>
    <cellStyle name="40% - Accent1 6 2 7" xfId="4469" xr:uid="{00000000-0005-0000-0000-00005A1B0000}"/>
    <cellStyle name="40% - Accent1 6 3" xfId="1411" xr:uid="{00000000-0005-0000-0000-00005B1B0000}"/>
    <cellStyle name="40% - Accent1 6 3 2" xfId="10462" xr:uid="{00000000-0005-0000-0000-00005C1B0000}"/>
    <cellStyle name="40% - Accent1 6 3 3" xfId="9264" xr:uid="{00000000-0005-0000-0000-00005D1B0000}"/>
    <cellStyle name="40% - Accent1 6 3 4" xfId="8066" xr:uid="{00000000-0005-0000-0000-00005E1B0000}"/>
    <cellStyle name="40% - Accent1 6 3 5" xfId="6868" xr:uid="{00000000-0005-0000-0000-00005F1B0000}"/>
    <cellStyle name="40% - Accent1 6 3 6" xfId="5669" xr:uid="{00000000-0005-0000-0000-0000601B0000}"/>
    <cellStyle name="40% - Accent1 6 3 7" xfId="4470" xr:uid="{00000000-0005-0000-0000-0000611B0000}"/>
    <cellStyle name="40% - Accent1 6 4" xfId="1412" xr:uid="{00000000-0005-0000-0000-0000621B0000}"/>
    <cellStyle name="40% - Accent1 6 4 2" xfId="10463" xr:uid="{00000000-0005-0000-0000-0000631B0000}"/>
    <cellStyle name="40% - Accent1 6 4 3" xfId="9265" xr:uid="{00000000-0005-0000-0000-0000641B0000}"/>
    <cellStyle name="40% - Accent1 6 4 4" xfId="8067" xr:uid="{00000000-0005-0000-0000-0000651B0000}"/>
    <cellStyle name="40% - Accent1 6 4 5" xfId="6869" xr:uid="{00000000-0005-0000-0000-0000661B0000}"/>
    <cellStyle name="40% - Accent1 6 4 6" xfId="5670" xr:uid="{00000000-0005-0000-0000-0000671B0000}"/>
    <cellStyle name="40% - Accent1 6 4 7" xfId="4471" xr:uid="{00000000-0005-0000-0000-0000681B0000}"/>
    <cellStyle name="40% - Accent1 6 5" xfId="10460" xr:uid="{00000000-0005-0000-0000-0000691B0000}"/>
    <cellStyle name="40% - Accent1 6 6" xfId="9262" xr:uid="{00000000-0005-0000-0000-00006A1B0000}"/>
    <cellStyle name="40% - Accent1 6 7" xfId="8064" xr:uid="{00000000-0005-0000-0000-00006B1B0000}"/>
    <cellStyle name="40% - Accent1 6 8" xfId="6866" xr:uid="{00000000-0005-0000-0000-00006C1B0000}"/>
    <cellStyle name="40% - Accent1 6 9" xfId="5667" xr:uid="{00000000-0005-0000-0000-00006D1B0000}"/>
    <cellStyle name="40% - Accent1 6_2" xfId="1413" xr:uid="{00000000-0005-0000-0000-00006E1B0000}"/>
    <cellStyle name="40% - Accent1 7" xfId="1414" xr:uid="{00000000-0005-0000-0000-00006F1B0000}"/>
    <cellStyle name="40% - Accent1 7 10" xfId="4472" xr:uid="{00000000-0005-0000-0000-0000701B0000}"/>
    <cellStyle name="40% - Accent1 7 2" xfId="1415" xr:uid="{00000000-0005-0000-0000-0000711B0000}"/>
    <cellStyle name="40% - Accent1 7 2 2" xfId="10465" xr:uid="{00000000-0005-0000-0000-0000721B0000}"/>
    <cellStyle name="40% - Accent1 7 2 3" xfId="9267" xr:uid="{00000000-0005-0000-0000-0000731B0000}"/>
    <cellStyle name="40% - Accent1 7 2 4" xfId="8069" xr:uid="{00000000-0005-0000-0000-0000741B0000}"/>
    <cellStyle name="40% - Accent1 7 2 5" xfId="6871" xr:uid="{00000000-0005-0000-0000-0000751B0000}"/>
    <cellStyle name="40% - Accent1 7 2 6" xfId="5672" xr:uid="{00000000-0005-0000-0000-0000761B0000}"/>
    <cellStyle name="40% - Accent1 7 2 7" xfId="4473" xr:uid="{00000000-0005-0000-0000-0000771B0000}"/>
    <cellStyle name="40% - Accent1 7 3" xfId="1416" xr:uid="{00000000-0005-0000-0000-0000781B0000}"/>
    <cellStyle name="40% - Accent1 7 3 2" xfId="10466" xr:uid="{00000000-0005-0000-0000-0000791B0000}"/>
    <cellStyle name="40% - Accent1 7 3 3" xfId="9268" xr:uid="{00000000-0005-0000-0000-00007A1B0000}"/>
    <cellStyle name="40% - Accent1 7 3 4" xfId="8070" xr:uid="{00000000-0005-0000-0000-00007B1B0000}"/>
    <cellStyle name="40% - Accent1 7 3 5" xfId="6872" xr:uid="{00000000-0005-0000-0000-00007C1B0000}"/>
    <cellStyle name="40% - Accent1 7 3 6" xfId="5673" xr:uid="{00000000-0005-0000-0000-00007D1B0000}"/>
    <cellStyle name="40% - Accent1 7 3 7" xfId="4474" xr:uid="{00000000-0005-0000-0000-00007E1B0000}"/>
    <cellStyle name="40% - Accent1 7 4" xfId="1417" xr:uid="{00000000-0005-0000-0000-00007F1B0000}"/>
    <cellStyle name="40% - Accent1 7 4 2" xfId="10467" xr:uid="{00000000-0005-0000-0000-0000801B0000}"/>
    <cellStyle name="40% - Accent1 7 4 3" xfId="9269" xr:uid="{00000000-0005-0000-0000-0000811B0000}"/>
    <cellStyle name="40% - Accent1 7 4 4" xfId="8071" xr:uid="{00000000-0005-0000-0000-0000821B0000}"/>
    <cellStyle name="40% - Accent1 7 4 5" xfId="6873" xr:uid="{00000000-0005-0000-0000-0000831B0000}"/>
    <cellStyle name="40% - Accent1 7 4 6" xfId="5674" xr:uid="{00000000-0005-0000-0000-0000841B0000}"/>
    <cellStyle name="40% - Accent1 7 4 7" xfId="4475" xr:uid="{00000000-0005-0000-0000-0000851B0000}"/>
    <cellStyle name="40% - Accent1 7 5" xfId="10464" xr:uid="{00000000-0005-0000-0000-0000861B0000}"/>
    <cellStyle name="40% - Accent1 7 6" xfId="9266" xr:uid="{00000000-0005-0000-0000-0000871B0000}"/>
    <cellStyle name="40% - Accent1 7 7" xfId="8068" xr:uid="{00000000-0005-0000-0000-0000881B0000}"/>
    <cellStyle name="40% - Accent1 7 8" xfId="6870" xr:uid="{00000000-0005-0000-0000-0000891B0000}"/>
    <cellStyle name="40% - Accent1 7 9" xfId="5671" xr:uid="{00000000-0005-0000-0000-00008A1B0000}"/>
    <cellStyle name="40% - Accent1 7_2" xfId="1418" xr:uid="{00000000-0005-0000-0000-00008B1B0000}"/>
    <cellStyle name="40% - Accent1 8" xfId="1419" xr:uid="{00000000-0005-0000-0000-00008C1B0000}"/>
    <cellStyle name="40% - Accent1 8 10" xfId="4476" xr:uid="{00000000-0005-0000-0000-00008D1B0000}"/>
    <cellStyle name="40% - Accent1 8 2" xfId="1420" xr:uid="{00000000-0005-0000-0000-00008E1B0000}"/>
    <cellStyle name="40% - Accent1 8 2 2" xfId="10469" xr:uid="{00000000-0005-0000-0000-00008F1B0000}"/>
    <cellStyle name="40% - Accent1 8 2 3" xfId="9271" xr:uid="{00000000-0005-0000-0000-0000901B0000}"/>
    <cellStyle name="40% - Accent1 8 2 4" xfId="8073" xr:uid="{00000000-0005-0000-0000-0000911B0000}"/>
    <cellStyle name="40% - Accent1 8 2 5" xfId="6875" xr:uid="{00000000-0005-0000-0000-0000921B0000}"/>
    <cellStyle name="40% - Accent1 8 2 6" xfId="5676" xr:uid="{00000000-0005-0000-0000-0000931B0000}"/>
    <cellStyle name="40% - Accent1 8 2 7" xfId="4477" xr:uid="{00000000-0005-0000-0000-0000941B0000}"/>
    <cellStyle name="40% - Accent1 8 3" xfId="1421" xr:uid="{00000000-0005-0000-0000-0000951B0000}"/>
    <cellStyle name="40% - Accent1 8 3 2" xfId="10470" xr:uid="{00000000-0005-0000-0000-0000961B0000}"/>
    <cellStyle name="40% - Accent1 8 3 3" xfId="9272" xr:uid="{00000000-0005-0000-0000-0000971B0000}"/>
    <cellStyle name="40% - Accent1 8 3 4" xfId="8074" xr:uid="{00000000-0005-0000-0000-0000981B0000}"/>
    <cellStyle name="40% - Accent1 8 3 5" xfId="6876" xr:uid="{00000000-0005-0000-0000-0000991B0000}"/>
    <cellStyle name="40% - Accent1 8 3 6" xfId="5677" xr:uid="{00000000-0005-0000-0000-00009A1B0000}"/>
    <cellStyle name="40% - Accent1 8 3 7" xfId="4478" xr:uid="{00000000-0005-0000-0000-00009B1B0000}"/>
    <cellStyle name="40% - Accent1 8 4" xfId="1422" xr:uid="{00000000-0005-0000-0000-00009C1B0000}"/>
    <cellStyle name="40% - Accent1 8 4 2" xfId="10471" xr:uid="{00000000-0005-0000-0000-00009D1B0000}"/>
    <cellStyle name="40% - Accent1 8 4 3" xfId="9273" xr:uid="{00000000-0005-0000-0000-00009E1B0000}"/>
    <cellStyle name="40% - Accent1 8 4 4" xfId="8075" xr:uid="{00000000-0005-0000-0000-00009F1B0000}"/>
    <cellStyle name="40% - Accent1 8 4 5" xfId="6877" xr:uid="{00000000-0005-0000-0000-0000A01B0000}"/>
    <cellStyle name="40% - Accent1 8 4 6" xfId="5678" xr:uid="{00000000-0005-0000-0000-0000A11B0000}"/>
    <cellStyle name="40% - Accent1 8 4 7" xfId="4479" xr:uid="{00000000-0005-0000-0000-0000A21B0000}"/>
    <cellStyle name="40% - Accent1 8 5" xfId="10468" xr:uid="{00000000-0005-0000-0000-0000A31B0000}"/>
    <cellStyle name="40% - Accent1 8 6" xfId="9270" xr:uid="{00000000-0005-0000-0000-0000A41B0000}"/>
    <cellStyle name="40% - Accent1 8 7" xfId="8072" xr:uid="{00000000-0005-0000-0000-0000A51B0000}"/>
    <cellStyle name="40% - Accent1 8 8" xfId="6874" xr:uid="{00000000-0005-0000-0000-0000A61B0000}"/>
    <cellStyle name="40% - Accent1 8 9" xfId="5675" xr:uid="{00000000-0005-0000-0000-0000A71B0000}"/>
    <cellStyle name="40% - Accent1 8_2" xfId="1423" xr:uid="{00000000-0005-0000-0000-0000A81B0000}"/>
    <cellStyle name="40% - Accent1 9" xfId="1424" xr:uid="{00000000-0005-0000-0000-0000A91B0000}"/>
    <cellStyle name="40% - Accent1 9 2" xfId="10472" xr:uid="{00000000-0005-0000-0000-0000AA1B0000}"/>
    <cellStyle name="40% - Accent1 9 3" xfId="9274" xr:uid="{00000000-0005-0000-0000-0000AB1B0000}"/>
    <cellStyle name="40% - Accent1 9 4" xfId="8076" xr:uid="{00000000-0005-0000-0000-0000AC1B0000}"/>
    <cellStyle name="40% - Accent1 9 5" xfId="6878" xr:uid="{00000000-0005-0000-0000-0000AD1B0000}"/>
    <cellStyle name="40% - Accent1 9 6" xfId="5679" xr:uid="{00000000-0005-0000-0000-0000AE1B0000}"/>
    <cellStyle name="40% - Accent1 9 7" xfId="4480" xr:uid="{00000000-0005-0000-0000-0000AF1B0000}"/>
    <cellStyle name="40% - Accent2 10" xfId="1425" xr:uid="{00000000-0005-0000-0000-0000B01B0000}"/>
    <cellStyle name="40% - Accent2 10 2" xfId="10473" xr:uid="{00000000-0005-0000-0000-0000B11B0000}"/>
    <cellStyle name="40% - Accent2 10 3" xfId="9275" xr:uid="{00000000-0005-0000-0000-0000B21B0000}"/>
    <cellStyle name="40% - Accent2 10 4" xfId="8077" xr:uid="{00000000-0005-0000-0000-0000B31B0000}"/>
    <cellStyle name="40% - Accent2 10 5" xfId="6879" xr:uid="{00000000-0005-0000-0000-0000B41B0000}"/>
    <cellStyle name="40% - Accent2 10 6" xfId="5680" xr:uid="{00000000-0005-0000-0000-0000B51B0000}"/>
    <cellStyle name="40% - Accent2 10 7" xfId="4481" xr:uid="{00000000-0005-0000-0000-0000B61B0000}"/>
    <cellStyle name="40% - Accent2 11" xfId="1426" xr:uid="{00000000-0005-0000-0000-0000B71B0000}"/>
    <cellStyle name="40% - Accent2 11 2" xfId="10474" xr:uid="{00000000-0005-0000-0000-0000B81B0000}"/>
    <cellStyle name="40% - Accent2 11 3" xfId="9276" xr:uid="{00000000-0005-0000-0000-0000B91B0000}"/>
    <cellStyle name="40% - Accent2 11 4" xfId="8078" xr:uid="{00000000-0005-0000-0000-0000BA1B0000}"/>
    <cellStyle name="40% - Accent2 11 5" xfId="6880" xr:uid="{00000000-0005-0000-0000-0000BB1B0000}"/>
    <cellStyle name="40% - Accent2 11 6" xfId="5681" xr:uid="{00000000-0005-0000-0000-0000BC1B0000}"/>
    <cellStyle name="40% - Accent2 11 7" xfId="4482" xr:uid="{00000000-0005-0000-0000-0000BD1B0000}"/>
    <cellStyle name="40% - Accent2 12" xfId="1427" xr:uid="{00000000-0005-0000-0000-0000BE1B0000}"/>
    <cellStyle name="40% - Accent2 12 2" xfId="1428" xr:uid="{00000000-0005-0000-0000-0000BF1B0000}"/>
    <cellStyle name="40% - Accent2 12 2 2" xfId="10476" xr:uid="{00000000-0005-0000-0000-0000C01B0000}"/>
    <cellStyle name="40% - Accent2 12 2 3" xfId="9278" xr:uid="{00000000-0005-0000-0000-0000C11B0000}"/>
    <cellStyle name="40% - Accent2 12 2 4" xfId="8080" xr:uid="{00000000-0005-0000-0000-0000C21B0000}"/>
    <cellStyle name="40% - Accent2 12 2 5" xfId="6882" xr:uid="{00000000-0005-0000-0000-0000C31B0000}"/>
    <cellStyle name="40% - Accent2 12 2 6" xfId="5683" xr:uid="{00000000-0005-0000-0000-0000C41B0000}"/>
    <cellStyle name="40% - Accent2 12 2 7" xfId="4484" xr:uid="{00000000-0005-0000-0000-0000C51B0000}"/>
    <cellStyle name="40% - Accent2 12 3" xfId="10475" xr:uid="{00000000-0005-0000-0000-0000C61B0000}"/>
    <cellStyle name="40% - Accent2 12 4" xfId="9277" xr:uid="{00000000-0005-0000-0000-0000C71B0000}"/>
    <cellStyle name="40% - Accent2 12 5" xfId="8079" xr:uid="{00000000-0005-0000-0000-0000C81B0000}"/>
    <cellStyle name="40% - Accent2 12 6" xfId="6881" xr:uid="{00000000-0005-0000-0000-0000C91B0000}"/>
    <cellStyle name="40% - Accent2 12 7" xfId="5682" xr:uid="{00000000-0005-0000-0000-0000CA1B0000}"/>
    <cellStyle name="40% - Accent2 12 8" xfId="4483" xr:uid="{00000000-0005-0000-0000-0000CB1B0000}"/>
    <cellStyle name="40% - Accent2 12_2" xfId="1429" xr:uid="{00000000-0005-0000-0000-0000CC1B0000}"/>
    <cellStyle name="40% - Accent2 13" xfId="1430" xr:uid="{00000000-0005-0000-0000-0000CD1B0000}"/>
    <cellStyle name="40% - Accent2 13 2" xfId="1431" xr:uid="{00000000-0005-0000-0000-0000CE1B0000}"/>
    <cellStyle name="40% - Accent2 13 2 2" xfId="10478" xr:uid="{00000000-0005-0000-0000-0000CF1B0000}"/>
    <cellStyle name="40% - Accent2 13 2 3" xfId="9280" xr:uid="{00000000-0005-0000-0000-0000D01B0000}"/>
    <cellStyle name="40% - Accent2 13 2 4" xfId="8082" xr:uid="{00000000-0005-0000-0000-0000D11B0000}"/>
    <cellStyle name="40% - Accent2 13 2 5" xfId="6884" xr:uid="{00000000-0005-0000-0000-0000D21B0000}"/>
    <cellStyle name="40% - Accent2 13 2 6" xfId="5685" xr:uid="{00000000-0005-0000-0000-0000D31B0000}"/>
    <cellStyle name="40% - Accent2 13 2 7" xfId="4486" xr:uid="{00000000-0005-0000-0000-0000D41B0000}"/>
    <cellStyle name="40% - Accent2 13 3" xfId="10477" xr:uid="{00000000-0005-0000-0000-0000D51B0000}"/>
    <cellStyle name="40% - Accent2 13 4" xfId="9279" xr:uid="{00000000-0005-0000-0000-0000D61B0000}"/>
    <cellStyle name="40% - Accent2 13 5" xfId="8081" xr:uid="{00000000-0005-0000-0000-0000D71B0000}"/>
    <cellStyle name="40% - Accent2 13 6" xfId="6883" xr:uid="{00000000-0005-0000-0000-0000D81B0000}"/>
    <cellStyle name="40% - Accent2 13 7" xfId="5684" xr:uid="{00000000-0005-0000-0000-0000D91B0000}"/>
    <cellStyle name="40% - Accent2 13 8" xfId="4485" xr:uid="{00000000-0005-0000-0000-0000DA1B0000}"/>
    <cellStyle name="40% - Accent2 13_2" xfId="1432" xr:uid="{00000000-0005-0000-0000-0000DB1B0000}"/>
    <cellStyle name="40% - Accent2 14" xfId="1433" xr:uid="{00000000-0005-0000-0000-0000DC1B0000}"/>
    <cellStyle name="40% - Accent2 14 2" xfId="1434" xr:uid="{00000000-0005-0000-0000-0000DD1B0000}"/>
    <cellStyle name="40% - Accent2 14 2 2" xfId="10480" xr:uid="{00000000-0005-0000-0000-0000DE1B0000}"/>
    <cellStyle name="40% - Accent2 14 2 3" xfId="9282" xr:uid="{00000000-0005-0000-0000-0000DF1B0000}"/>
    <cellStyle name="40% - Accent2 14 2 4" xfId="8084" xr:uid="{00000000-0005-0000-0000-0000E01B0000}"/>
    <cellStyle name="40% - Accent2 14 2 5" xfId="6886" xr:uid="{00000000-0005-0000-0000-0000E11B0000}"/>
    <cellStyle name="40% - Accent2 14 2 6" xfId="5687" xr:uid="{00000000-0005-0000-0000-0000E21B0000}"/>
    <cellStyle name="40% - Accent2 14 2 7" xfId="4488" xr:uid="{00000000-0005-0000-0000-0000E31B0000}"/>
    <cellStyle name="40% - Accent2 14 3" xfId="10479" xr:uid="{00000000-0005-0000-0000-0000E41B0000}"/>
    <cellStyle name="40% - Accent2 14 4" xfId="9281" xr:uid="{00000000-0005-0000-0000-0000E51B0000}"/>
    <cellStyle name="40% - Accent2 14 5" xfId="8083" xr:uid="{00000000-0005-0000-0000-0000E61B0000}"/>
    <cellStyle name="40% - Accent2 14 6" xfId="6885" xr:uid="{00000000-0005-0000-0000-0000E71B0000}"/>
    <cellStyle name="40% - Accent2 14 7" xfId="5686" xr:uid="{00000000-0005-0000-0000-0000E81B0000}"/>
    <cellStyle name="40% - Accent2 14 8" xfId="4487" xr:uid="{00000000-0005-0000-0000-0000E91B0000}"/>
    <cellStyle name="40% - Accent2 14_2" xfId="1435" xr:uid="{00000000-0005-0000-0000-0000EA1B0000}"/>
    <cellStyle name="40% - Accent2 15" xfId="1436" xr:uid="{00000000-0005-0000-0000-0000EB1B0000}"/>
    <cellStyle name="40% - Accent2 15 2" xfId="10481" xr:uid="{00000000-0005-0000-0000-0000EC1B0000}"/>
    <cellStyle name="40% - Accent2 15 3" xfId="9283" xr:uid="{00000000-0005-0000-0000-0000ED1B0000}"/>
    <cellStyle name="40% - Accent2 15 4" xfId="8085" xr:uid="{00000000-0005-0000-0000-0000EE1B0000}"/>
    <cellStyle name="40% - Accent2 15 5" xfId="6887" xr:uid="{00000000-0005-0000-0000-0000EF1B0000}"/>
    <cellStyle name="40% - Accent2 15 6" xfId="5688" xr:uid="{00000000-0005-0000-0000-0000F01B0000}"/>
    <cellStyle name="40% - Accent2 15 7" xfId="4489" xr:uid="{00000000-0005-0000-0000-0000F11B0000}"/>
    <cellStyle name="40% - Accent2 16" xfId="1437" xr:uid="{00000000-0005-0000-0000-0000F21B0000}"/>
    <cellStyle name="40% - Accent2 16 2" xfId="10482" xr:uid="{00000000-0005-0000-0000-0000F31B0000}"/>
    <cellStyle name="40% - Accent2 16 3" xfId="9284" xr:uid="{00000000-0005-0000-0000-0000F41B0000}"/>
    <cellStyle name="40% - Accent2 16 4" xfId="8086" xr:uid="{00000000-0005-0000-0000-0000F51B0000}"/>
    <cellStyle name="40% - Accent2 16 5" xfId="6888" xr:uid="{00000000-0005-0000-0000-0000F61B0000}"/>
    <cellStyle name="40% - Accent2 16 6" xfId="5689" xr:uid="{00000000-0005-0000-0000-0000F71B0000}"/>
    <cellStyle name="40% - Accent2 16 7" xfId="4490" xr:uid="{00000000-0005-0000-0000-0000F81B0000}"/>
    <cellStyle name="40% - Accent2 2" xfId="1438" xr:uid="{00000000-0005-0000-0000-0000F91B0000}"/>
    <cellStyle name="40% - Accent2 2 10" xfId="10483" xr:uid="{00000000-0005-0000-0000-0000FA1B0000}"/>
    <cellStyle name="40% - Accent2 2 11" xfId="9285" xr:uid="{00000000-0005-0000-0000-0000FB1B0000}"/>
    <cellStyle name="40% - Accent2 2 12" xfId="8087" xr:uid="{00000000-0005-0000-0000-0000FC1B0000}"/>
    <cellStyle name="40% - Accent2 2 13" xfId="6889" xr:uid="{00000000-0005-0000-0000-0000FD1B0000}"/>
    <cellStyle name="40% - Accent2 2 14" xfId="5690" xr:uid="{00000000-0005-0000-0000-0000FE1B0000}"/>
    <cellStyle name="40% - Accent2 2 15" xfId="4491" xr:uid="{00000000-0005-0000-0000-0000FF1B0000}"/>
    <cellStyle name="40% - Accent2 2 2" xfId="1439" xr:uid="{00000000-0005-0000-0000-0000001C0000}"/>
    <cellStyle name="40% - Accent2 2 2 2" xfId="10484" xr:uid="{00000000-0005-0000-0000-0000011C0000}"/>
    <cellStyle name="40% - Accent2 2 2 3" xfId="9286" xr:uid="{00000000-0005-0000-0000-0000021C0000}"/>
    <cellStyle name="40% - Accent2 2 2 4" xfId="8088" xr:uid="{00000000-0005-0000-0000-0000031C0000}"/>
    <cellStyle name="40% - Accent2 2 2 5" xfId="6890" xr:uid="{00000000-0005-0000-0000-0000041C0000}"/>
    <cellStyle name="40% - Accent2 2 2 6" xfId="5691" xr:uid="{00000000-0005-0000-0000-0000051C0000}"/>
    <cellStyle name="40% - Accent2 2 2 7" xfId="4492" xr:uid="{00000000-0005-0000-0000-0000061C0000}"/>
    <cellStyle name="40% - Accent2 2 3" xfId="1440" xr:uid="{00000000-0005-0000-0000-0000071C0000}"/>
    <cellStyle name="40% - Accent2 2 3 2" xfId="10485" xr:uid="{00000000-0005-0000-0000-0000081C0000}"/>
    <cellStyle name="40% - Accent2 2 3 3" xfId="9287" xr:uid="{00000000-0005-0000-0000-0000091C0000}"/>
    <cellStyle name="40% - Accent2 2 3 4" xfId="8089" xr:uid="{00000000-0005-0000-0000-00000A1C0000}"/>
    <cellStyle name="40% - Accent2 2 3 5" xfId="6891" xr:uid="{00000000-0005-0000-0000-00000B1C0000}"/>
    <cellStyle name="40% - Accent2 2 3 6" xfId="5692" xr:uid="{00000000-0005-0000-0000-00000C1C0000}"/>
    <cellStyle name="40% - Accent2 2 3 7" xfId="4493" xr:uid="{00000000-0005-0000-0000-00000D1C0000}"/>
    <cellStyle name="40% - Accent2 2 4" xfId="1441" xr:uid="{00000000-0005-0000-0000-00000E1C0000}"/>
    <cellStyle name="40% - Accent2 2 4 2" xfId="10486" xr:uid="{00000000-0005-0000-0000-00000F1C0000}"/>
    <cellStyle name="40% - Accent2 2 4 3" xfId="9288" xr:uid="{00000000-0005-0000-0000-0000101C0000}"/>
    <cellStyle name="40% - Accent2 2 4 4" xfId="8090" xr:uid="{00000000-0005-0000-0000-0000111C0000}"/>
    <cellStyle name="40% - Accent2 2 4 5" xfId="6892" xr:uid="{00000000-0005-0000-0000-0000121C0000}"/>
    <cellStyle name="40% - Accent2 2 4 6" xfId="5693" xr:uid="{00000000-0005-0000-0000-0000131C0000}"/>
    <cellStyle name="40% - Accent2 2 4 7" xfId="4494" xr:uid="{00000000-0005-0000-0000-0000141C0000}"/>
    <cellStyle name="40% - Accent2 2 5" xfId="1442" xr:uid="{00000000-0005-0000-0000-0000151C0000}"/>
    <cellStyle name="40% - Accent2 2 5 2" xfId="10487" xr:uid="{00000000-0005-0000-0000-0000161C0000}"/>
    <cellStyle name="40% - Accent2 2 5 3" xfId="9289" xr:uid="{00000000-0005-0000-0000-0000171C0000}"/>
    <cellStyle name="40% - Accent2 2 5 4" xfId="8091" xr:uid="{00000000-0005-0000-0000-0000181C0000}"/>
    <cellStyle name="40% - Accent2 2 5 5" xfId="6893" xr:uid="{00000000-0005-0000-0000-0000191C0000}"/>
    <cellStyle name="40% - Accent2 2 5 6" xfId="5694" xr:uid="{00000000-0005-0000-0000-00001A1C0000}"/>
    <cellStyle name="40% - Accent2 2 5 7" xfId="4495" xr:uid="{00000000-0005-0000-0000-00001B1C0000}"/>
    <cellStyle name="40% - Accent2 2 6" xfId="1443" xr:uid="{00000000-0005-0000-0000-00001C1C0000}"/>
    <cellStyle name="40% - Accent2 2 6 2" xfId="10488" xr:uid="{00000000-0005-0000-0000-00001D1C0000}"/>
    <cellStyle name="40% - Accent2 2 6 3" xfId="9290" xr:uid="{00000000-0005-0000-0000-00001E1C0000}"/>
    <cellStyle name="40% - Accent2 2 6 4" xfId="8092" xr:uid="{00000000-0005-0000-0000-00001F1C0000}"/>
    <cellStyle name="40% - Accent2 2 6 5" xfId="6894" xr:uid="{00000000-0005-0000-0000-0000201C0000}"/>
    <cellStyle name="40% - Accent2 2 6 6" xfId="5695" xr:uid="{00000000-0005-0000-0000-0000211C0000}"/>
    <cellStyle name="40% - Accent2 2 6 7" xfId="4496" xr:uid="{00000000-0005-0000-0000-0000221C0000}"/>
    <cellStyle name="40% - Accent2 2 7" xfId="1444" xr:uid="{00000000-0005-0000-0000-0000231C0000}"/>
    <cellStyle name="40% - Accent2 2 7 2" xfId="10489" xr:uid="{00000000-0005-0000-0000-0000241C0000}"/>
    <cellStyle name="40% - Accent2 2 7 3" xfId="9291" xr:uid="{00000000-0005-0000-0000-0000251C0000}"/>
    <cellStyle name="40% - Accent2 2 7 4" xfId="8093" xr:uid="{00000000-0005-0000-0000-0000261C0000}"/>
    <cellStyle name="40% - Accent2 2 7 5" xfId="6895" xr:uid="{00000000-0005-0000-0000-0000271C0000}"/>
    <cellStyle name="40% - Accent2 2 7 6" xfId="5696" xr:uid="{00000000-0005-0000-0000-0000281C0000}"/>
    <cellStyle name="40% - Accent2 2 7 7" xfId="4497" xr:uid="{00000000-0005-0000-0000-0000291C0000}"/>
    <cellStyle name="40% - Accent2 2 8" xfId="1445" xr:uid="{00000000-0005-0000-0000-00002A1C0000}"/>
    <cellStyle name="40% - Accent2 2 8 2" xfId="10490" xr:uid="{00000000-0005-0000-0000-00002B1C0000}"/>
    <cellStyle name="40% - Accent2 2 8 3" xfId="9292" xr:uid="{00000000-0005-0000-0000-00002C1C0000}"/>
    <cellStyle name="40% - Accent2 2 8 4" xfId="8094" xr:uid="{00000000-0005-0000-0000-00002D1C0000}"/>
    <cellStyle name="40% - Accent2 2 8 5" xfId="6896" xr:uid="{00000000-0005-0000-0000-00002E1C0000}"/>
    <cellStyle name="40% - Accent2 2 8 6" xfId="5697" xr:uid="{00000000-0005-0000-0000-00002F1C0000}"/>
    <cellStyle name="40% - Accent2 2 8 7" xfId="4498" xr:uid="{00000000-0005-0000-0000-0000301C0000}"/>
    <cellStyle name="40% - Accent2 2 9" xfId="1446" xr:uid="{00000000-0005-0000-0000-0000311C0000}"/>
    <cellStyle name="40% - Accent2 2 9 2" xfId="10491" xr:uid="{00000000-0005-0000-0000-0000321C0000}"/>
    <cellStyle name="40% - Accent2 2 9 3" xfId="9293" xr:uid="{00000000-0005-0000-0000-0000331C0000}"/>
    <cellStyle name="40% - Accent2 2 9 4" xfId="8095" xr:uid="{00000000-0005-0000-0000-0000341C0000}"/>
    <cellStyle name="40% - Accent2 2 9 5" xfId="6897" xr:uid="{00000000-0005-0000-0000-0000351C0000}"/>
    <cellStyle name="40% - Accent2 2 9 6" xfId="5698" xr:uid="{00000000-0005-0000-0000-0000361C0000}"/>
    <cellStyle name="40% - Accent2 2 9 7" xfId="4499" xr:uid="{00000000-0005-0000-0000-0000371C0000}"/>
    <cellStyle name="40% - Accent2 2_2" xfId="1447" xr:uid="{00000000-0005-0000-0000-0000381C0000}"/>
    <cellStyle name="40% - Accent2 3" xfId="1448" xr:uid="{00000000-0005-0000-0000-0000391C0000}"/>
    <cellStyle name="40% - Accent2 3 10" xfId="4500" xr:uid="{00000000-0005-0000-0000-00003A1C0000}"/>
    <cellStyle name="40% - Accent2 3 2" xfId="1449" xr:uid="{00000000-0005-0000-0000-00003B1C0000}"/>
    <cellStyle name="40% - Accent2 3 2 2" xfId="10493" xr:uid="{00000000-0005-0000-0000-00003C1C0000}"/>
    <cellStyle name="40% - Accent2 3 2 3" xfId="9295" xr:uid="{00000000-0005-0000-0000-00003D1C0000}"/>
    <cellStyle name="40% - Accent2 3 2 4" xfId="8097" xr:uid="{00000000-0005-0000-0000-00003E1C0000}"/>
    <cellStyle name="40% - Accent2 3 2 5" xfId="6899" xr:uid="{00000000-0005-0000-0000-00003F1C0000}"/>
    <cellStyle name="40% - Accent2 3 2 6" xfId="5700" xr:uid="{00000000-0005-0000-0000-0000401C0000}"/>
    <cellStyle name="40% - Accent2 3 2 7" xfId="4501" xr:uid="{00000000-0005-0000-0000-0000411C0000}"/>
    <cellStyle name="40% - Accent2 3 3" xfId="1450" xr:uid="{00000000-0005-0000-0000-0000421C0000}"/>
    <cellStyle name="40% - Accent2 3 3 2" xfId="10494" xr:uid="{00000000-0005-0000-0000-0000431C0000}"/>
    <cellStyle name="40% - Accent2 3 3 3" xfId="9296" xr:uid="{00000000-0005-0000-0000-0000441C0000}"/>
    <cellStyle name="40% - Accent2 3 3 4" xfId="8098" xr:uid="{00000000-0005-0000-0000-0000451C0000}"/>
    <cellStyle name="40% - Accent2 3 3 5" xfId="6900" xr:uid="{00000000-0005-0000-0000-0000461C0000}"/>
    <cellStyle name="40% - Accent2 3 3 6" xfId="5701" xr:uid="{00000000-0005-0000-0000-0000471C0000}"/>
    <cellStyle name="40% - Accent2 3 3 7" xfId="4502" xr:uid="{00000000-0005-0000-0000-0000481C0000}"/>
    <cellStyle name="40% - Accent2 3 4" xfId="1451" xr:uid="{00000000-0005-0000-0000-0000491C0000}"/>
    <cellStyle name="40% - Accent2 3 4 2" xfId="10495" xr:uid="{00000000-0005-0000-0000-00004A1C0000}"/>
    <cellStyle name="40% - Accent2 3 4 3" xfId="9297" xr:uid="{00000000-0005-0000-0000-00004B1C0000}"/>
    <cellStyle name="40% - Accent2 3 4 4" xfId="8099" xr:uid="{00000000-0005-0000-0000-00004C1C0000}"/>
    <cellStyle name="40% - Accent2 3 4 5" xfId="6901" xr:uid="{00000000-0005-0000-0000-00004D1C0000}"/>
    <cellStyle name="40% - Accent2 3 4 6" xfId="5702" xr:uid="{00000000-0005-0000-0000-00004E1C0000}"/>
    <cellStyle name="40% - Accent2 3 4 7" xfId="4503" xr:uid="{00000000-0005-0000-0000-00004F1C0000}"/>
    <cellStyle name="40% - Accent2 3 5" xfId="10492" xr:uid="{00000000-0005-0000-0000-0000501C0000}"/>
    <cellStyle name="40% - Accent2 3 6" xfId="9294" xr:uid="{00000000-0005-0000-0000-0000511C0000}"/>
    <cellStyle name="40% - Accent2 3 7" xfId="8096" xr:uid="{00000000-0005-0000-0000-0000521C0000}"/>
    <cellStyle name="40% - Accent2 3 8" xfId="6898" xr:uid="{00000000-0005-0000-0000-0000531C0000}"/>
    <cellStyle name="40% - Accent2 3 9" xfId="5699" xr:uid="{00000000-0005-0000-0000-0000541C0000}"/>
    <cellStyle name="40% - Accent2 3_2" xfId="1452" xr:uid="{00000000-0005-0000-0000-0000551C0000}"/>
    <cellStyle name="40% - Accent2 4" xfId="1453" xr:uid="{00000000-0005-0000-0000-0000561C0000}"/>
    <cellStyle name="40% - Accent2 4 10" xfId="4504" xr:uid="{00000000-0005-0000-0000-0000571C0000}"/>
    <cellStyle name="40% - Accent2 4 2" xfId="1454" xr:uid="{00000000-0005-0000-0000-0000581C0000}"/>
    <cellStyle name="40% - Accent2 4 2 2" xfId="10497" xr:uid="{00000000-0005-0000-0000-0000591C0000}"/>
    <cellStyle name="40% - Accent2 4 2 3" xfId="9299" xr:uid="{00000000-0005-0000-0000-00005A1C0000}"/>
    <cellStyle name="40% - Accent2 4 2 4" xfId="8101" xr:uid="{00000000-0005-0000-0000-00005B1C0000}"/>
    <cellStyle name="40% - Accent2 4 2 5" xfId="6903" xr:uid="{00000000-0005-0000-0000-00005C1C0000}"/>
    <cellStyle name="40% - Accent2 4 2 6" xfId="5704" xr:uid="{00000000-0005-0000-0000-00005D1C0000}"/>
    <cellStyle name="40% - Accent2 4 2 7" xfId="4505" xr:uid="{00000000-0005-0000-0000-00005E1C0000}"/>
    <cellStyle name="40% - Accent2 4 3" xfId="1455" xr:uid="{00000000-0005-0000-0000-00005F1C0000}"/>
    <cellStyle name="40% - Accent2 4 3 2" xfId="10498" xr:uid="{00000000-0005-0000-0000-0000601C0000}"/>
    <cellStyle name="40% - Accent2 4 3 3" xfId="9300" xr:uid="{00000000-0005-0000-0000-0000611C0000}"/>
    <cellStyle name="40% - Accent2 4 3 4" xfId="8102" xr:uid="{00000000-0005-0000-0000-0000621C0000}"/>
    <cellStyle name="40% - Accent2 4 3 5" xfId="6904" xr:uid="{00000000-0005-0000-0000-0000631C0000}"/>
    <cellStyle name="40% - Accent2 4 3 6" xfId="5705" xr:uid="{00000000-0005-0000-0000-0000641C0000}"/>
    <cellStyle name="40% - Accent2 4 3 7" xfId="4506" xr:uid="{00000000-0005-0000-0000-0000651C0000}"/>
    <cellStyle name="40% - Accent2 4 4" xfId="1456" xr:uid="{00000000-0005-0000-0000-0000661C0000}"/>
    <cellStyle name="40% - Accent2 4 4 2" xfId="10499" xr:uid="{00000000-0005-0000-0000-0000671C0000}"/>
    <cellStyle name="40% - Accent2 4 4 3" xfId="9301" xr:uid="{00000000-0005-0000-0000-0000681C0000}"/>
    <cellStyle name="40% - Accent2 4 4 4" xfId="8103" xr:uid="{00000000-0005-0000-0000-0000691C0000}"/>
    <cellStyle name="40% - Accent2 4 4 5" xfId="6905" xr:uid="{00000000-0005-0000-0000-00006A1C0000}"/>
    <cellStyle name="40% - Accent2 4 4 6" xfId="5706" xr:uid="{00000000-0005-0000-0000-00006B1C0000}"/>
    <cellStyle name="40% - Accent2 4 4 7" xfId="4507" xr:uid="{00000000-0005-0000-0000-00006C1C0000}"/>
    <cellStyle name="40% - Accent2 4 5" xfId="10496" xr:uid="{00000000-0005-0000-0000-00006D1C0000}"/>
    <cellStyle name="40% - Accent2 4 6" xfId="9298" xr:uid="{00000000-0005-0000-0000-00006E1C0000}"/>
    <cellStyle name="40% - Accent2 4 7" xfId="8100" xr:uid="{00000000-0005-0000-0000-00006F1C0000}"/>
    <cellStyle name="40% - Accent2 4 8" xfId="6902" xr:uid="{00000000-0005-0000-0000-0000701C0000}"/>
    <cellStyle name="40% - Accent2 4 9" xfId="5703" xr:uid="{00000000-0005-0000-0000-0000711C0000}"/>
    <cellStyle name="40% - Accent2 4_2" xfId="1457" xr:uid="{00000000-0005-0000-0000-0000721C0000}"/>
    <cellStyle name="40% - Accent2 5" xfId="1458" xr:uid="{00000000-0005-0000-0000-0000731C0000}"/>
    <cellStyle name="40% - Accent2 5 10" xfId="4508" xr:uid="{00000000-0005-0000-0000-0000741C0000}"/>
    <cellStyle name="40% - Accent2 5 2" xfId="1459" xr:uid="{00000000-0005-0000-0000-0000751C0000}"/>
    <cellStyle name="40% - Accent2 5 2 2" xfId="10501" xr:uid="{00000000-0005-0000-0000-0000761C0000}"/>
    <cellStyle name="40% - Accent2 5 2 3" xfId="9303" xr:uid="{00000000-0005-0000-0000-0000771C0000}"/>
    <cellStyle name="40% - Accent2 5 2 4" xfId="8105" xr:uid="{00000000-0005-0000-0000-0000781C0000}"/>
    <cellStyle name="40% - Accent2 5 2 5" xfId="6907" xr:uid="{00000000-0005-0000-0000-0000791C0000}"/>
    <cellStyle name="40% - Accent2 5 2 6" xfId="5708" xr:uid="{00000000-0005-0000-0000-00007A1C0000}"/>
    <cellStyle name="40% - Accent2 5 2 7" xfId="4509" xr:uid="{00000000-0005-0000-0000-00007B1C0000}"/>
    <cellStyle name="40% - Accent2 5 3" xfId="1460" xr:uid="{00000000-0005-0000-0000-00007C1C0000}"/>
    <cellStyle name="40% - Accent2 5 3 2" xfId="10502" xr:uid="{00000000-0005-0000-0000-00007D1C0000}"/>
    <cellStyle name="40% - Accent2 5 3 3" xfId="9304" xr:uid="{00000000-0005-0000-0000-00007E1C0000}"/>
    <cellStyle name="40% - Accent2 5 3 4" xfId="8106" xr:uid="{00000000-0005-0000-0000-00007F1C0000}"/>
    <cellStyle name="40% - Accent2 5 3 5" xfId="6908" xr:uid="{00000000-0005-0000-0000-0000801C0000}"/>
    <cellStyle name="40% - Accent2 5 3 6" xfId="5709" xr:uid="{00000000-0005-0000-0000-0000811C0000}"/>
    <cellStyle name="40% - Accent2 5 3 7" xfId="4510" xr:uid="{00000000-0005-0000-0000-0000821C0000}"/>
    <cellStyle name="40% - Accent2 5 4" xfId="1461" xr:uid="{00000000-0005-0000-0000-0000831C0000}"/>
    <cellStyle name="40% - Accent2 5 4 2" xfId="10503" xr:uid="{00000000-0005-0000-0000-0000841C0000}"/>
    <cellStyle name="40% - Accent2 5 4 3" xfId="9305" xr:uid="{00000000-0005-0000-0000-0000851C0000}"/>
    <cellStyle name="40% - Accent2 5 4 4" xfId="8107" xr:uid="{00000000-0005-0000-0000-0000861C0000}"/>
    <cellStyle name="40% - Accent2 5 4 5" xfId="6909" xr:uid="{00000000-0005-0000-0000-0000871C0000}"/>
    <cellStyle name="40% - Accent2 5 4 6" xfId="5710" xr:uid="{00000000-0005-0000-0000-0000881C0000}"/>
    <cellStyle name="40% - Accent2 5 4 7" xfId="4511" xr:uid="{00000000-0005-0000-0000-0000891C0000}"/>
    <cellStyle name="40% - Accent2 5 5" xfId="10500" xr:uid="{00000000-0005-0000-0000-00008A1C0000}"/>
    <cellStyle name="40% - Accent2 5 6" xfId="9302" xr:uid="{00000000-0005-0000-0000-00008B1C0000}"/>
    <cellStyle name="40% - Accent2 5 7" xfId="8104" xr:uid="{00000000-0005-0000-0000-00008C1C0000}"/>
    <cellStyle name="40% - Accent2 5 8" xfId="6906" xr:uid="{00000000-0005-0000-0000-00008D1C0000}"/>
    <cellStyle name="40% - Accent2 5 9" xfId="5707" xr:uid="{00000000-0005-0000-0000-00008E1C0000}"/>
    <cellStyle name="40% - Accent2 5_2" xfId="1462" xr:uid="{00000000-0005-0000-0000-00008F1C0000}"/>
    <cellStyle name="40% - Accent2 6" xfId="1463" xr:uid="{00000000-0005-0000-0000-0000901C0000}"/>
    <cellStyle name="40% - Accent2 6 10" xfId="4512" xr:uid="{00000000-0005-0000-0000-0000911C0000}"/>
    <cellStyle name="40% - Accent2 6 2" xfId="1464" xr:uid="{00000000-0005-0000-0000-0000921C0000}"/>
    <cellStyle name="40% - Accent2 6 2 2" xfId="10505" xr:uid="{00000000-0005-0000-0000-0000931C0000}"/>
    <cellStyle name="40% - Accent2 6 2 3" xfId="9307" xr:uid="{00000000-0005-0000-0000-0000941C0000}"/>
    <cellStyle name="40% - Accent2 6 2 4" xfId="8109" xr:uid="{00000000-0005-0000-0000-0000951C0000}"/>
    <cellStyle name="40% - Accent2 6 2 5" xfId="6911" xr:uid="{00000000-0005-0000-0000-0000961C0000}"/>
    <cellStyle name="40% - Accent2 6 2 6" xfId="5712" xr:uid="{00000000-0005-0000-0000-0000971C0000}"/>
    <cellStyle name="40% - Accent2 6 2 7" xfId="4513" xr:uid="{00000000-0005-0000-0000-0000981C0000}"/>
    <cellStyle name="40% - Accent2 6 3" xfId="1465" xr:uid="{00000000-0005-0000-0000-0000991C0000}"/>
    <cellStyle name="40% - Accent2 6 3 2" xfId="10506" xr:uid="{00000000-0005-0000-0000-00009A1C0000}"/>
    <cellStyle name="40% - Accent2 6 3 3" xfId="9308" xr:uid="{00000000-0005-0000-0000-00009B1C0000}"/>
    <cellStyle name="40% - Accent2 6 3 4" xfId="8110" xr:uid="{00000000-0005-0000-0000-00009C1C0000}"/>
    <cellStyle name="40% - Accent2 6 3 5" xfId="6912" xr:uid="{00000000-0005-0000-0000-00009D1C0000}"/>
    <cellStyle name="40% - Accent2 6 3 6" xfId="5713" xr:uid="{00000000-0005-0000-0000-00009E1C0000}"/>
    <cellStyle name="40% - Accent2 6 3 7" xfId="4514" xr:uid="{00000000-0005-0000-0000-00009F1C0000}"/>
    <cellStyle name="40% - Accent2 6 4" xfId="1466" xr:uid="{00000000-0005-0000-0000-0000A01C0000}"/>
    <cellStyle name="40% - Accent2 6 4 2" xfId="10507" xr:uid="{00000000-0005-0000-0000-0000A11C0000}"/>
    <cellStyle name="40% - Accent2 6 4 3" xfId="9309" xr:uid="{00000000-0005-0000-0000-0000A21C0000}"/>
    <cellStyle name="40% - Accent2 6 4 4" xfId="8111" xr:uid="{00000000-0005-0000-0000-0000A31C0000}"/>
    <cellStyle name="40% - Accent2 6 4 5" xfId="6913" xr:uid="{00000000-0005-0000-0000-0000A41C0000}"/>
    <cellStyle name="40% - Accent2 6 4 6" xfId="5714" xr:uid="{00000000-0005-0000-0000-0000A51C0000}"/>
    <cellStyle name="40% - Accent2 6 4 7" xfId="4515" xr:uid="{00000000-0005-0000-0000-0000A61C0000}"/>
    <cellStyle name="40% - Accent2 6 5" xfId="10504" xr:uid="{00000000-0005-0000-0000-0000A71C0000}"/>
    <cellStyle name="40% - Accent2 6 6" xfId="9306" xr:uid="{00000000-0005-0000-0000-0000A81C0000}"/>
    <cellStyle name="40% - Accent2 6 7" xfId="8108" xr:uid="{00000000-0005-0000-0000-0000A91C0000}"/>
    <cellStyle name="40% - Accent2 6 8" xfId="6910" xr:uid="{00000000-0005-0000-0000-0000AA1C0000}"/>
    <cellStyle name="40% - Accent2 6 9" xfId="5711" xr:uid="{00000000-0005-0000-0000-0000AB1C0000}"/>
    <cellStyle name="40% - Accent2 6_2" xfId="1467" xr:uid="{00000000-0005-0000-0000-0000AC1C0000}"/>
    <cellStyle name="40% - Accent2 7" xfId="1468" xr:uid="{00000000-0005-0000-0000-0000AD1C0000}"/>
    <cellStyle name="40% - Accent2 7 10" xfId="4516" xr:uid="{00000000-0005-0000-0000-0000AE1C0000}"/>
    <cellStyle name="40% - Accent2 7 2" xfId="1469" xr:uid="{00000000-0005-0000-0000-0000AF1C0000}"/>
    <cellStyle name="40% - Accent2 7 2 2" xfId="10509" xr:uid="{00000000-0005-0000-0000-0000B01C0000}"/>
    <cellStyle name="40% - Accent2 7 2 3" xfId="9311" xr:uid="{00000000-0005-0000-0000-0000B11C0000}"/>
    <cellStyle name="40% - Accent2 7 2 4" xfId="8113" xr:uid="{00000000-0005-0000-0000-0000B21C0000}"/>
    <cellStyle name="40% - Accent2 7 2 5" xfId="6915" xr:uid="{00000000-0005-0000-0000-0000B31C0000}"/>
    <cellStyle name="40% - Accent2 7 2 6" xfId="5716" xr:uid="{00000000-0005-0000-0000-0000B41C0000}"/>
    <cellStyle name="40% - Accent2 7 2 7" xfId="4517" xr:uid="{00000000-0005-0000-0000-0000B51C0000}"/>
    <cellStyle name="40% - Accent2 7 3" xfId="1470" xr:uid="{00000000-0005-0000-0000-0000B61C0000}"/>
    <cellStyle name="40% - Accent2 7 3 2" xfId="10510" xr:uid="{00000000-0005-0000-0000-0000B71C0000}"/>
    <cellStyle name="40% - Accent2 7 3 3" xfId="9312" xr:uid="{00000000-0005-0000-0000-0000B81C0000}"/>
    <cellStyle name="40% - Accent2 7 3 4" xfId="8114" xr:uid="{00000000-0005-0000-0000-0000B91C0000}"/>
    <cellStyle name="40% - Accent2 7 3 5" xfId="6916" xr:uid="{00000000-0005-0000-0000-0000BA1C0000}"/>
    <cellStyle name="40% - Accent2 7 3 6" xfId="5717" xr:uid="{00000000-0005-0000-0000-0000BB1C0000}"/>
    <cellStyle name="40% - Accent2 7 3 7" xfId="4518" xr:uid="{00000000-0005-0000-0000-0000BC1C0000}"/>
    <cellStyle name="40% - Accent2 7 4" xfId="1471" xr:uid="{00000000-0005-0000-0000-0000BD1C0000}"/>
    <cellStyle name="40% - Accent2 7 4 2" xfId="10511" xr:uid="{00000000-0005-0000-0000-0000BE1C0000}"/>
    <cellStyle name="40% - Accent2 7 4 3" xfId="9313" xr:uid="{00000000-0005-0000-0000-0000BF1C0000}"/>
    <cellStyle name="40% - Accent2 7 4 4" xfId="8115" xr:uid="{00000000-0005-0000-0000-0000C01C0000}"/>
    <cellStyle name="40% - Accent2 7 4 5" xfId="6917" xr:uid="{00000000-0005-0000-0000-0000C11C0000}"/>
    <cellStyle name="40% - Accent2 7 4 6" xfId="5718" xr:uid="{00000000-0005-0000-0000-0000C21C0000}"/>
    <cellStyle name="40% - Accent2 7 4 7" xfId="4519" xr:uid="{00000000-0005-0000-0000-0000C31C0000}"/>
    <cellStyle name="40% - Accent2 7 5" xfId="10508" xr:uid="{00000000-0005-0000-0000-0000C41C0000}"/>
    <cellStyle name="40% - Accent2 7 6" xfId="9310" xr:uid="{00000000-0005-0000-0000-0000C51C0000}"/>
    <cellStyle name="40% - Accent2 7 7" xfId="8112" xr:uid="{00000000-0005-0000-0000-0000C61C0000}"/>
    <cellStyle name="40% - Accent2 7 8" xfId="6914" xr:uid="{00000000-0005-0000-0000-0000C71C0000}"/>
    <cellStyle name="40% - Accent2 7 9" xfId="5715" xr:uid="{00000000-0005-0000-0000-0000C81C0000}"/>
    <cellStyle name="40% - Accent2 7_2" xfId="1472" xr:uid="{00000000-0005-0000-0000-0000C91C0000}"/>
    <cellStyle name="40% - Accent2 8" xfId="1473" xr:uid="{00000000-0005-0000-0000-0000CA1C0000}"/>
    <cellStyle name="40% - Accent2 8 10" xfId="4520" xr:uid="{00000000-0005-0000-0000-0000CB1C0000}"/>
    <cellStyle name="40% - Accent2 8 2" xfId="1474" xr:uid="{00000000-0005-0000-0000-0000CC1C0000}"/>
    <cellStyle name="40% - Accent2 8 2 2" xfId="10513" xr:uid="{00000000-0005-0000-0000-0000CD1C0000}"/>
    <cellStyle name="40% - Accent2 8 2 3" xfId="9315" xr:uid="{00000000-0005-0000-0000-0000CE1C0000}"/>
    <cellStyle name="40% - Accent2 8 2 4" xfId="8117" xr:uid="{00000000-0005-0000-0000-0000CF1C0000}"/>
    <cellStyle name="40% - Accent2 8 2 5" xfId="6919" xr:uid="{00000000-0005-0000-0000-0000D01C0000}"/>
    <cellStyle name="40% - Accent2 8 2 6" xfId="5720" xr:uid="{00000000-0005-0000-0000-0000D11C0000}"/>
    <cellStyle name="40% - Accent2 8 2 7" xfId="4521" xr:uid="{00000000-0005-0000-0000-0000D21C0000}"/>
    <cellStyle name="40% - Accent2 8 3" xfId="1475" xr:uid="{00000000-0005-0000-0000-0000D31C0000}"/>
    <cellStyle name="40% - Accent2 8 3 2" xfId="10514" xr:uid="{00000000-0005-0000-0000-0000D41C0000}"/>
    <cellStyle name="40% - Accent2 8 3 3" xfId="9316" xr:uid="{00000000-0005-0000-0000-0000D51C0000}"/>
    <cellStyle name="40% - Accent2 8 3 4" xfId="8118" xr:uid="{00000000-0005-0000-0000-0000D61C0000}"/>
    <cellStyle name="40% - Accent2 8 3 5" xfId="6920" xr:uid="{00000000-0005-0000-0000-0000D71C0000}"/>
    <cellStyle name="40% - Accent2 8 3 6" xfId="5721" xr:uid="{00000000-0005-0000-0000-0000D81C0000}"/>
    <cellStyle name="40% - Accent2 8 3 7" xfId="4522" xr:uid="{00000000-0005-0000-0000-0000D91C0000}"/>
    <cellStyle name="40% - Accent2 8 4" xfId="1476" xr:uid="{00000000-0005-0000-0000-0000DA1C0000}"/>
    <cellStyle name="40% - Accent2 8 4 2" xfId="10515" xr:uid="{00000000-0005-0000-0000-0000DB1C0000}"/>
    <cellStyle name="40% - Accent2 8 4 3" xfId="9317" xr:uid="{00000000-0005-0000-0000-0000DC1C0000}"/>
    <cellStyle name="40% - Accent2 8 4 4" xfId="8119" xr:uid="{00000000-0005-0000-0000-0000DD1C0000}"/>
    <cellStyle name="40% - Accent2 8 4 5" xfId="6921" xr:uid="{00000000-0005-0000-0000-0000DE1C0000}"/>
    <cellStyle name="40% - Accent2 8 4 6" xfId="5722" xr:uid="{00000000-0005-0000-0000-0000DF1C0000}"/>
    <cellStyle name="40% - Accent2 8 4 7" xfId="4523" xr:uid="{00000000-0005-0000-0000-0000E01C0000}"/>
    <cellStyle name="40% - Accent2 8 5" xfId="10512" xr:uid="{00000000-0005-0000-0000-0000E11C0000}"/>
    <cellStyle name="40% - Accent2 8 6" xfId="9314" xr:uid="{00000000-0005-0000-0000-0000E21C0000}"/>
    <cellStyle name="40% - Accent2 8 7" xfId="8116" xr:uid="{00000000-0005-0000-0000-0000E31C0000}"/>
    <cellStyle name="40% - Accent2 8 8" xfId="6918" xr:uid="{00000000-0005-0000-0000-0000E41C0000}"/>
    <cellStyle name="40% - Accent2 8 9" xfId="5719" xr:uid="{00000000-0005-0000-0000-0000E51C0000}"/>
    <cellStyle name="40% - Accent2 8_2" xfId="1477" xr:uid="{00000000-0005-0000-0000-0000E61C0000}"/>
    <cellStyle name="40% - Accent2 9" xfId="1478" xr:uid="{00000000-0005-0000-0000-0000E71C0000}"/>
    <cellStyle name="40% - Accent2 9 2" xfId="10516" xr:uid="{00000000-0005-0000-0000-0000E81C0000}"/>
    <cellStyle name="40% - Accent2 9 3" xfId="9318" xr:uid="{00000000-0005-0000-0000-0000E91C0000}"/>
    <cellStyle name="40% - Accent2 9 4" xfId="8120" xr:uid="{00000000-0005-0000-0000-0000EA1C0000}"/>
    <cellStyle name="40% - Accent2 9 5" xfId="6922" xr:uid="{00000000-0005-0000-0000-0000EB1C0000}"/>
    <cellStyle name="40% - Accent2 9 6" xfId="5723" xr:uid="{00000000-0005-0000-0000-0000EC1C0000}"/>
    <cellStyle name="40% - Accent2 9 7" xfId="4524" xr:uid="{00000000-0005-0000-0000-0000ED1C0000}"/>
    <cellStyle name="40% - Accent3 10" xfId="1479" xr:uid="{00000000-0005-0000-0000-0000EE1C0000}"/>
    <cellStyle name="40% - Accent3 10 2" xfId="10517" xr:uid="{00000000-0005-0000-0000-0000EF1C0000}"/>
    <cellStyle name="40% - Accent3 10 3" xfId="9319" xr:uid="{00000000-0005-0000-0000-0000F01C0000}"/>
    <cellStyle name="40% - Accent3 10 4" xfId="8121" xr:uid="{00000000-0005-0000-0000-0000F11C0000}"/>
    <cellStyle name="40% - Accent3 10 5" xfId="6923" xr:uid="{00000000-0005-0000-0000-0000F21C0000}"/>
    <cellStyle name="40% - Accent3 10 6" xfId="5724" xr:uid="{00000000-0005-0000-0000-0000F31C0000}"/>
    <cellStyle name="40% - Accent3 10 7" xfId="4525" xr:uid="{00000000-0005-0000-0000-0000F41C0000}"/>
    <cellStyle name="40% - Accent3 11" xfId="1480" xr:uid="{00000000-0005-0000-0000-0000F51C0000}"/>
    <cellStyle name="40% - Accent3 11 2" xfId="10518" xr:uid="{00000000-0005-0000-0000-0000F61C0000}"/>
    <cellStyle name="40% - Accent3 11 3" xfId="9320" xr:uid="{00000000-0005-0000-0000-0000F71C0000}"/>
    <cellStyle name="40% - Accent3 11 4" xfId="8122" xr:uid="{00000000-0005-0000-0000-0000F81C0000}"/>
    <cellStyle name="40% - Accent3 11 5" xfId="6924" xr:uid="{00000000-0005-0000-0000-0000F91C0000}"/>
    <cellStyle name="40% - Accent3 11 6" xfId="5725" xr:uid="{00000000-0005-0000-0000-0000FA1C0000}"/>
    <cellStyle name="40% - Accent3 11 7" xfId="4526" xr:uid="{00000000-0005-0000-0000-0000FB1C0000}"/>
    <cellStyle name="40% - Accent3 12" xfId="1481" xr:uid="{00000000-0005-0000-0000-0000FC1C0000}"/>
    <cellStyle name="40% - Accent3 12 2" xfId="1482" xr:uid="{00000000-0005-0000-0000-0000FD1C0000}"/>
    <cellStyle name="40% - Accent3 12 2 2" xfId="10520" xr:uid="{00000000-0005-0000-0000-0000FE1C0000}"/>
    <cellStyle name="40% - Accent3 12 2 3" xfId="9322" xr:uid="{00000000-0005-0000-0000-0000FF1C0000}"/>
    <cellStyle name="40% - Accent3 12 2 4" xfId="8124" xr:uid="{00000000-0005-0000-0000-0000001D0000}"/>
    <cellStyle name="40% - Accent3 12 2 5" xfId="6926" xr:uid="{00000000-0005-0000-0000-0000011D0000}"/>
    <cellStyle name="40% - Accent3 12 2 6" xfId="5727" xr:uid="{00000000-0005-0000-0000-0000021D0000}"/>
    <cellStyle name="40% - Accent3 12 2 7" xfId="4528" xr:uid="{00000000-0005-0000-0000-0000031D0000}"/>
    <cellStyle name="40% - Accent3 12 3" xfId="10519" xr:uid="{00000000-0005-0000-0000-0000041D0000}"/>
    <cellStyle name="40% - Accent3 12 4" xfId="9321" xr:uid="{00000000-0005-0000-0000-0000051D0000}"/>
    <cellStyle name="40% - Accent3 12 5" xfId="8123" xr:uid="{00000000-0005-0000-0000-0000061D0000}"/>
    <cellStyle name="40% - Accent3 12 6" xfId="6925" xr:uid="{00000000-0005-0000-0000-0000071D0000}"/>
    <cellStyle name="40% - Accent3 12 7" xfId="5726" xr:uid="{00000000-0005-0000-0000-0000081D0000}"/>
    <cellStyle name="40% - Accent3 12 8" xfId="4527" xr:uid="{00000000-0005-0000-0000-0000091D0000}"/>
    <cellStyle name="40% - Accent3 12_2" xfId="1483" xr:uid="{00000000-0005-0000-0000-00000A1D0000}"/>
    <cellStyle name="40% - Accent3 13" xfId="1484" xr:uid="{00000000-0005-0000-0000-00000B1D0000}"/>
    <cellStyle name="40% - Accent3 13 2" xfId="1485" xr:uid="{00000000-0005-0000-0000-00000C1D0000}"/>
    <cellStyle name="40% - Accent3 13 2 2" xfId="10522" xr:uid="{00000000-0005-0000-0000-00000D1D0000}"/>
    <cellStyle name="40% - Accent3 13 2 3" xfId="9324" xr:uid="{00000000-0005-0000-0000-00000E1D0000}"/>
    <cellStyle name="40% - Accent3 13 2 4" xfId="8126" xr:uid="{00000000-0005-0000-0000-00000F1D0000}"/>
    <cellStyle name="40% - Accent3 13 2 5" xfId="6928" xr:uid="{00000000-0005-0000-0000-0000101D0000}"/>
    <cellStyle name="40% - Accent3 13 2 6" xfId="5729" xr:uid="{00000000-0005-0000-0000-0000111D0000}"/>
    <cellStyle name="40% - Accent3 13 2 7" xfId="4530" xr:uid="{00000000-0005-0000-0000-0000121D0000}"/>
    <cellStyle name="40% - Accent3 13 3" xfId="10521" xr:uid="{00000000-0005-0000-0000-0000131D0000}"/>
    <cellStyle name="40% - Accent3 13 4" xfId="9323" xr:uid="{00000000-0005-0000-0000-0000141D0000}"/>
    <cellStyle name="40% - Accent3 13 5" xfId="8125" xr:uid="{00000000-0005-0000-0000-0000151D0000}"/>
    <cellStyle name="40% - Accent3 13 6" xfId="6927" xr:uid="{00000000-0005-0000-0000-0000161D0000}"/>
    <cellStyle name="40% - Accent3 13 7" xfId="5728" xr:uid="{00000000-0005-0000-0000-0000171D0000}"/>
    <cellStyle name="40% - Accent3 13 8" xfId="4529" xr:uid="{00000000-0005-0000-0000-0000181D0000}"/>
    <cellStyle name="40% - Accent3 13_2" xfId="1486" xr:uid="{00000000-0005-0000-0000-0000191D0000}"/>
    <cellStyle name="40% - Accent3 14" xfId="1487" xr:uid="{00000000-0005-0000-0000-00001A1D0000}"/>
    <cellStyle name="40% - Accent3 14 2" xfId="1488" xr:uid="{00000000-0005-0000-0000-00001B1D0000}"/>
    <cellStyle name="40% - Accent3 14 2 2" xfId="10524" xr:uid="{00000000-0005-0000-0000-00001C1D0000}"/>
    <cellStyle name="40% - Accent3 14 2 3" xfId="9326" xr:uid="{00000000-0005-0000-0000-00001D1D0000}"/>
    <cellStyle name="40% - Accent3 14 2 4" xfId="8128" xr:uid="{00000000-0005-0000-0000-00001E1D0000}"/>
    <cellStyle name="40% - Accent3 14 2 5" xfId="6930" xr:uid="{00000000-0005-0000-0000-00001F1D0000}"/>
    <cellStyle name="40% - Accent3 14 2 6" xfId="5731" xr:uid="{00000000-0005-0000-0000-0000201D0000}"/>
    <cellStyle name="40% - Accent3 14 2 7" xfId="4532" xr:uid="{00000000-0005-0000-0000-0000211D0000}"/>
    <cellStyle name="40% - Accent3 14 3" xfId="10523" xr:uid="{00000000-0005-0000-0000-0000221D0000}"/>
    <cellStyle name="40% - Accent3 14 4" xfId="9325" xr:uid="{00000000-0005-0000-0000-0000231D0000}"/>
    <cellStyle name="40% - Accent3 14 5" xfId="8127" xr:uid="{00000000-0005-0000-0000-0000241D0000}"/>
    <cellStyle name="40% - Accent3 14 6" xfId="6929" xr:uid="{00000000-0005-0000-0000-0000251D0000}"/>
    <cellStyle name="40% - Accent3 14 7" xfId="5730" xr:uid="{00000000-0005-0000-0000-0000261D0000}"/>
    <cellStyle name="40% - Accent3 14 8" xfId="4531" xr:uid="{00000000-0005-0000-0000-0000271D0000}"/>
    <cellStyle name="40% - Accent3 14_2" xfId="1489" xr:uid="{00000000-0005-0000-0000-0000281D0000}"/>
    <cellStyle name="40% - Accent3 15" xfId="1490" xr:uid="{00000000-0005-0000-0000-0000291D0000}"/>
    <cellStyle name="40% - Accent3 15 2" xfId="10525" xr:uid="{00000000-0005-0000-0000-00002A1D0000}"/>
    <cellStyle name="40% - Accent3 15 3" xfId="9327" xr:uid="{00000000-0005-0000-0000-00002B1D0000}"/>
    <cellStyle name="40% - Accent3 15 4" xfId="8129" xr:uid="{00000000-0005-0000-0000-00002C1D0000}"/>
    <cellStyle name="40% - Accent3 15 5" xfId="6931" xr:uid="{00000000-0005-0000-0000-00002D1D0000}"/>
    <cellStyle name="40% - Accent3 15 6" xfId="5732" xr:uid="{00000000-0005-0000-0000-00002E1D0000}"/>
    <cellStyle name="40% - Accent3 15 7" xfId="4533" xr:uid="{00000000-0005-0000-0000-00002F1D0000}"/>
    <cellStyle name="40% - Accent3 16" xfId="1491" xr:uid="{00000000-0005-0000-0000-0000301D0000}"/>
    <cellStyle name="40% - Accent3 16 2" xfId="10526" xr:uid="{00000000-0005-0000-0000-0000311D0000}"/>
    <cellStyle name="40% - Accent3 16 3" xfId="9328" xr:uid="{00000000-0005-0000-0000-0000321D0000}"/>
    <cellStyle name="40% - Accent3 16 4" xfId="8130" xr:uid="{00000000-0005-0000-0000-0000331D0000}"/>
    <cellStyle name="40% - Accent3 16 5" xfId="6932" xr:uid="{00000000-0005-0000-0000-0000341D0000}"/>
    <cellStyle name="40% - Accent3 16 6" xfId="5733" xr:uid="{00000000-0005-0000-0000-0000351D0000}"/>
    <cellStyle name="40% - Accent3 16 7" xfId="4534" xr:uid="{00000000-0005-0000-0000-0000361D0000}"/>
    <cellStyle name="40% - Accent3 2" xfId="1492" xr:uid="{00000000-0005-0000-0000-0000371D0000}"/>
    <cellStyle name="40% - Accent3 2 10" xfId="10527" xr:uid="{00000000-0005-0000-0000-0000381D0000}"/>
    <cellStyle name="40% - Accent3 2 11" xfId="9329" xr:uid="{00000000-0005-0000-0000-0000391D0000}"/>
    <cellStyle name="40% - Accent3 2 12" xfId="8131" xr:uid="{00000000-0005-0000-0000-00003A1D0000}"/>
    <cellStyle name="40% - Accent3 2 13" xfId="6933" xr:uid="{00000000-0005-0000-0000-00003B1D0000}"/>
    <cellStyle name="40% - Accent3 2 14" xfId="5734" xr:uid="{00000000-0005-0000-0000-00003C1D0000}"/>
    <cellStyle name="40% - Accent3 2 15" xfId="4535" xr:uid="{00000000-0005-0000-0000-00003D1D0000}"/>
    <cellStyle name="40% - Accent3 2 2" xfId="1493" xr:uid="{00000000-0005-0000-0000-00003E1D0000}"/>
    <cellStyle name="40% - Accent3 2 2 2" xfId="10528" xr:uid="{00000000-0005-0000-0000-00003F1D0000}"/>
    <cellStyle name="40% - Accent3 2 2 3" xfId="9330" xr:uid="{00000000-0005-0000-0000-0000401D0000}"/>
    <cellStyle name="40% - Accent3 2 2 4" xfId="8132" xr:uid="{00000000-0005-0000-0000-0000411D0000}"/>
    <cellStyle name="40% - Accent3 2 2 5" xfId="6934" xr:uid="{00000000-0005-0000-0000-0000421D0000}"/>
    <cellStyle name="40% - Accent3 2 2 6" xfId="5735" xr:uid="{00000000-0005-0000-0000-0000431D0000}"/>
    <cellStyle name="40% - Accent3 2 2 7" xfId="4536" xr:uid="{00000000-0005-0000-0000-0000441D0000}"/>
    <cellStyle name="40% - Accent3 2 3" xfId="1494" xr:uid="{00000000-0005-0000-0000-0000451D0000}"/>
    <cellStyle name="40% - Accent3 2 3 2" xfId="10529" xr:uid="{00000000-0005-0000-0000-0000461D0000}"/>
    <cellStyle name="40% - Accent3 2 3 3" xfId="9331" xr:uid="{00000000-0005-0000-0000-0000471D0000}"/>
    <cellStyle name="40% - Accent3 2 3 4" xfId="8133" xr:uid="{00000000-0005-0000-0000-0000481D0000}"/>
    <cellStyle name="40% - Accent3 2 3 5" xfId="6935" xr:uid="{00000000-0005-0000-0000-0000491D0000}"/>
    <cellStyle name="40% - Accent3 2 3 6" xfId="5736" xr:uid="{00000000-0005-0000-0000-00004A1D0000}"/>
    <cellStyle name="40% - Accent3 2 3 7" xfId="4537" xr:uid="{00000000-0005-0000-0000-00004B1D0000}"/>
    <cellStyle name="40% - Accent3 2 4" xfId="1495" xr:uid="{00000000-0005-0000-0000-00004C1D0000}"/>
    <cellStyle name="40% - Accent3 2 4 2" xfId="10530" xr:uid="{00000000-0005-0000-0000-00004D1D0000}"/>
    <cellStyle name="40% - Accent3 2 4 3" xfId="9332" xr:uid="{00000000-0005-0000-0000-00004E1D0000}"/>
    <cellStyle name="40% - Accent3 2 4 4" xfId="8134" xr:uid="{00000000-0005-0000-0000-00004F1D0000}"/>
    <cellStyle name="40% - Accent3 2 4 5" xfId="6936" xr:uid="{00000000-0005-0000-0000-0000501D0000}"/>
    <cellStyle name="40% - Accent3 2 4 6" xfId="5737" xr:uid="{00000000-0005-0000-0000-0000511D0000}"/>
    <cellStyle name="40% - Accent3 2 4 7" xfId="4538" xr:uid="{00000000-0005-0000-0000-0000521D0000}"/>
    <cellStyle name="40% - Accent3 2 5" xfId="1496" xr:uid="{00000000-0005-0000-0000-0000531D0000}"/>
    <cellStyle name="40% - Accent3 2 5 2" xfId="10531" xr:uid="{00000000-0005-0000-0000-0000541D0000}"/>
    <cellStyle name="40% - Accent3 2 5 3" xfId="9333" xr:uid="{00000000-0005-0000-0000-0000551D0000}"/>
    <cellStyle name="40% - Accent3 2 5 4" xfId="8135" xr:uid="{00000000-0005-0000-0000-0000561D0000}"/>
    <cellStyle name="40% - Accent3 2 5 5" xfId="6937" xr:uid="{00000000-0005-0000-0000-0000571D0000}"/>
    <cellStyle name="40% - Accent3 2 5 6" xfId="5738" xr:uid="{00000000-0005-0000-0000-0000581D0000}"/>
    <cellStyle name="40% - Accent3 2 5 7" xfId="4539" xr:uid="{00000000-0005-0000-0000-0000591D0000}"/>
    <cellStyle name="40% - Accent3 2 6" xfId="1497" xr:uid="{00000000-0005-0000-0000-00005A1D0000}"/>
    <cellStyle name="40% - Accent3 2 6 2" xfId="10532" xr:uid="{00000000-0005-0000-0000-00005B1D0000}"/>
    <cellStyle name="40% - Accent3 2 6 3" xfId="9334" xr:uid="{00000000-0005-0000-0000-00005C1D0000}"/>
    <cellStyle name="40% - Accent3 2 6 4" xfId="8136" xr:uid="{00000000-0005-0000-0000-00005D1D0000}"/>
    <cellStyle name="40% - Accent3 2 6 5" xfId="6938" xr:uid="{00000000-0005-0000-0000-00005E1D0000}"/>
    <cellStyle name="40% - Accent3 2 6 6" xfId="5739" xr:uid="{00000000-0005-0000-0000-00005F1D0000}"/>
    <cellStyle name="40% - Accent3 2 6 7" xfId="4540" xr:uid="{00000000-0005-0000-0000-0000601D0000}"/>
    <cellStyle name="40% - Accent3 2 7" xfId="1498" xr:uid="{00000000-0005-0000-0000-0000611D0000}"/>
    <cellStyle name="40% - Accent3 2 7 2" xfId="10533" xr:uid="{00000000-0005-0000-0000-0000621D0000}"/>
    <cellStyle name="40% - Accent3 2 7 3" xfId="9335" xr:uid="{00000000-0005-0000-0000-0000631D0000}"/>
    <cellStyle name="40% - Accent3 2 7 4" xfId="8137" xr:uid="{00000000-0005-0000-0000-0000641D0000}"/>
    <cellStyle name="40% - Accent3 2 7 5" xfId="6939" xr:uid="{00000000-0005-0000-0000-0000651D0000}"/>
    <cellStyle name="40% - Accent3 2 7 6" xfId="5740" xr:uid="{00000000-0005-0000-0000-0000661D0000}"/>
    <cellStyle name="40% - Accent3 2 7 7" xfId="4541" xr:uid="{00000000-0005-0000-0000-0000671D0000}"/>
    <cellStyle name="40% - Accent3 2 8" xfId="1499" xr:uid="{00000000-0005-0000-0000-0000681D0000}"/>
    <cellStyle name="40% - Accent3 2 8 2" xfId="10534" xr:uid="{00000000-0005-0000-0000-0000691D0000}"/>
    <cellStyle name="40% - Accent3 2 8 3" xfId="9336" xr:uid="{00000000-0005-0000-0000-00006A1D0000}"/>
    <cellStyle name="40% - Accent3 2 8 4" xfId="8138" xr:uid="{00000000-0005-0000-0000-00006B1D0000}"/>
    <cellStyle name="40% - Accent3 2 8 5" xfId="6940" xr:uid="{00000000-0005-0000-0000-00006C1D0000}"/>
    <cellStyle name="40% - Accent3 2 8 6" xfId="5741" xr:uid="{00000000-0005-0000-0000-00006D1D0000}"/>
    <cellStyle name="40% - Accent3 2 8 7" xfId="4542" xr:uid="{00000000-0005-0000-0000-00006E1D0000}"/>
    <cellStyle name="40% - Accent3 2 9" xfId="1500" xr:uid="{00000000-0005-0000-0000-00006F1D0000}"/>
    <cellStyle name="40% - Accent3 2 9 2" xfId="10535" xr:uid="{00000000-0005-0000-0000-0000701D0000}"/>
    <cellStyle name="40% - Accent3 2 9 3" xfId="9337" xr:uid="{00000000-0005-0000-0000-0000711D0000}"/>
    <cellStyle name="40% - Accent3 2 9 4" xfId="8139" xr:uid="{00000000-0005-0000-0000-0000721D0000}"/>
    <cellStyle name="40% - Accent3 2 9 5" xfId="6941" xr:uid="{00000000-0005-0000-0000-0000731D0000}"/>
    <cellStyle name="40% - Accent3 2 9 6" xfId="5742" xr:uid="{00000000-0005-0000-0000-0000741D0000}"/>
    <cellStyle name="40% - Accent3 2 9 7" xfId="4543" xr:uid="{00000000-0005-0000-0000-0000751D0000}"/>
    <cellStyle name="40% - Accent3 2_2" xfId="1501" xr:uid="{00000000-0005-0000-0000-0000761D0000}"/>
    <cellStyle name="40% - Accent3 3" xfId="1502" xr:uid="{00000000-0005-0000-0000-0000771D0000}"/>
    <cellStyle name="40% - Accent3 3 10" xfId="4544" xr:uid="{00000000-0005-0000-0000-0000781D0000}"/>
    <cellStyle name="40% - Accent3 3 2" xfId="1503" xr:uid="{00000000-0005-0000-0000-0000791D0000}"/>
    <cellStyle name="40% - Accent3 3 2 2" xfId="10537" xr:uid="{00000000-0005-0000-0000-00007A1D0000}"/>
    <cellStyle name="40% - Accent3 3 2 3" xfId="9339" xr:uid="{00000000-0005-0000-0000-00007B1D0000}"/>
    <cellStyle name="40% - Accent3 3 2 4" xfId="8141" xr:uid="{00000000-0005-0000-0000-00007C1D0000}"/>
    <cellStyle name="40% - Accent3 3 2 5" xfId="6943" xr:uid="{00000000-0005-0000-0000-00007D1D0000}"/>
    <cellStyle name="40% - Accent3 3 2 6" xfId="5744" xr:uid="{00000000-0005-0000-0000-00007E1D0000}"/>
    <cellStyle name="40% - Accent3 3 2 7" xfId="4545" xr:uid="{00000000-0005-0000-0000-00007F1D0000}"/>
    <cellStyle name="40% - Accent3 3 3" xfId="1504" xr:uid="{00000000-0005-0000-0000-0000801D0000}"/>
    <cellStyle name="40% - Accent3 3 3 2" xfId="10538" xr:uid="{00000000-0005-0000-0000-0000811D0000}"/>
    <cellStyle name="40% - Accent3 3 3 3" xfId="9340" xr:uid="{00000000-0005-0000-0000-0000821D0000}"/>
    <cellStyle name="40% - Accent3 3 3 4" xfId="8142" xr:uid="{00000000-0005-0000-0000-0000831D0000}"/>
    <cellStyle name="40% - Accent3 3 3 5" xfId="6944" xr:uid="{00000000-0005-0000-0000-0000841D0000}"/>
    <cellStyle name="40% - Accent3 3 3 6" xfId="5745" xr:uid="{00000000-0005-0000-0000-0000851D0000}"/>
    <cellStyle name="40% - Accent3 3 3 7" xfId="4546" xr:uid="{00000000-0005-0000-0000-0000861D0000}"/>
    <cellStyle name="40% - Accent3 3 4" xfId="1505" xr:uid="{00000000-0005-0000-0000-0000871D0000}"/>
    <cellStyle name="40% - Accent3 3 4 2" xfId="10539" xr:uid="{00000000-0005-0000-0000-0000881D0000}"/>
    <cellStyle name="40% - Accent3 3 4 3" xfId="9341" xr:uid="{00000000-0005-0000-0000-0000891D0000}"/>
    <cellStyle name="40% - Accent3 3 4 4" xfId="8143" xr:uid="{00000000-0005-0000-0000-00008A1D0000}"/>
    <cellStyle name="40% - Accent3 3 4 5" xfId="6945" xr:uid="{00000000-0005-0000-0000-00008B1D0000}"/>
    <cellStyle name="40% - Accent3 3 4 6" xfId="5746" xr:uid="{00000000-0005-0000-0000-00008C1D0000}"/>
    <cellStyle name="40% - Accent3 3 4 7" xfId="4547" xr:uid="{00000000-0005-0000-0000-00008D1D0000}"/>
    <cellStyle name="40% - Accent3 3 5" xfId="10536" xr:uid="{00000000-0005-0000-0000-00008E1D0000}"/>
    <cellStyle name="40% - Accent3 3 6" xfId="9338" xr:uid="{00000000-0005-0000-0000-00008F1D0000}"/>
    <cellStyle name="40% - Accent3 3 7" xfId="8140" xr:uid="{00000000-0005-0000-0000-0000901D0000}"/>
    <cellStyle name="40% - Accent3 3 8" xfId="6942" xr:uid="{00000000-0005-0000-0000-0000911D0000}"/>
    <cellStyle name="40% - Accent3 3 9" xfId="5743" xr:uid="{00000000-0005-0000-0000-0000921D0000}"/>
    <cellStyle name="40% - Accent3 3_2" xfId="1506" xr:uid="{00000000-0005-0000-0000-0000931D0000}"/>
    <cellStyle name="40% - Accent3 4" xfId="1507" xr:uid="{00000000-0005-0000-0000-0000941D0000}"/>
    <cellStyle name="40% - Accent3 4 10" xfId="4548" xr:uid="{00000000-0005-0000-0000-0000951D0000}"/>
    <cellStyle name="40% - Accent3 4 2" xfId="1508" xr:uid="{00000000-0005-0000-0000-0000961D0000}"/>
    <cellStyle name="40% - Accent3 4 2 2" xfId="10541" xr:uid="{00000000-0005-0000-0000-0000971D0000}"/>
    <cellStyle name="40% - Accent3 4 2 3" xfId="9343" xr:uid="{00000000-0005-0000-0000-0000981D0000}"/>
    <cellStyle name="40% - Accent3 4 2 4" xfId="8145" xr:uid="{00000000-0005-0000-0000-0000991D0000}"/>
    <cellStyle name="40% - Accent3 4 2 5" xfId="6947" xr:uid="{00000000-0005-0000-0000-00009A1D0000}"/>
    <cellStyle name="40% - Accent3 4 2 6" xfId="5748" xr:uid="{00000000-0005-0000-0000-00009B1D0000}"/>
    <cellStyle name="40% - Accent3 4 2 7" xfId="4549" xr:uid="{00000000-0005-0000-0000-00009C1D0000}"/>
    <cellStyle name="40% - Accent3 4 3" xfId="1509" xr:uid="{00000000-0005-0000-0000-00009D1D0000}"/>
    <cellStyle name="40% - Accent3 4 3 2" xfId="10542" xr:uid="{00000000-0005-0000-0000-00009E1D0000}"/>
    <cellStyle name="40% - Accent3 4 3 3" xfId="9344" xr:uid="{00000000-0005-0000-0000-00009F1D0000}"/>
    <cellStyle name="40% - Accent3 4 3 4" xfId="8146" xr:uid="{00000000-0005-0000-0000-0000A01D0000}"/>
    <cellStyle name="40% - Accent3 4 3 5" xfId="6948" xr:uid="{00000000-0005-0000-0000-0000A11D0000}"/>
    <cellStyle name="40% - Accent3 4 3 6" xfId="5749" xr:uid="{00000000-0005-0000-0000-0000A21D0000}"/>
    <cellStyle name="40% - Accent3 4 3 7" xfId="4550" xr:uid="{00000000-0005-0000-0000-0000A31D0000}"/>
    <cellStyle name="40% - Accent3 4 4" xfId="1510" xr:uid="{00000000-0005-0000-0000-0000A41D0000}"/>
    <cellStyle name="40% - Accent3 4 4 2" xfId="10543" xr:uid="{00000000-0005-0000-0000-0000A51D0000}"/>
    <cellStyle name="40% - Accent3 4 4 3" xfId="9345" xr:uid="{00000000-0005-0000-0000-0000A61D0000}"/>
    <cellStyle name="40% - Accent3 4 4 4" xfId="8147" xr:uid="{00000000-0005-0000-0000-0000A71D0000}"/>
    <cellStyle name="40% - Accent3 4 4 5" xfId="6949" xr:uid="{00000000-0005-0000-0000-0000A81D0000}"/>
    <cellStyle name="40% - Accent3 4 4 6" xfId="5750" xr:uid="{00000000-0005-0000-0000-0000A91D0000}"/>
    <cellStyle name="40% - Accent3 4 4 7" xfId="4551" xr:uid="{00000000-0005-0000-0000-0000AA1D0000}"/>
    <cellStyle name="40% - Accent3 4 5" xfId="10540" xr:uid="{00000000-0005-0000-0000-0000AB1D0000}"/>
    <cellStyle name="40% - Accent3 4 6" xfId="9342" xr:uid="{00000000-0005-0000-0000-0000AC1D0000}"/>
    <cellStyle name="40% - Accent3 4 7" xfId="8144" xr:uid="{00000000-0005-0000-0000-0000AD1D0000}"/>
    <cellStyle name="40% - Accent3 4 8" xfId="6946" xr:uid="{00000000-0005-0000-0000-0000AE1D0000}"/>
    <cellStyle name="40% - Accent3 4 9" xfId="5747" xr:uid="{00000000-0005-0000-0000-0000AF1D0000}"/>
    <cellStyle name="40% - Accent3 4_2" xfId="1511" xr:uid="{00000000-0005-0000-0000-0000B01D0000}"/>
    <cellStyle name="40% - Accent3 5" xfId="1512" xr:uid="{00000000-0005-0000-0000-0000B11D0000}"/>
    <cellStyle name="40% - Accent3 5 10" xfId="4552" xr:uid="{00000000-0005-0000-0000-0000B21D0000}"/>
    <cellStyle name="40% - Accent3 5 2" xfId="1513" xr:uid="{00000000-0005-0000-0000-0000B31D0000}"/>
    <cellStyle name="40% - Accent3 5 2 2" xfId="10545" xr:uid="{00000000-0005-0000-0000-0000B41D0000}"/>
    <cellStyle name="40% - Accent3 5 2 3" xfId="9347" xr:uid="{00000000-0005-0000-0000-0000B51D0000}"/>
    <cellStyle name="40% - Accent3 5 2 4" xfId="8149" xr:uid="{00000000-0005-0000-0000-0000B61D0000}"/>
    <cellStyle name="40% - Accent3 5 2 5" xfId="6951" xr:uid="{00000000-0005-0000-0000-0000B71D0000}"/>
    <cellStyle name="40% - Accent3 5 2 6" xfId="5752" xr:uid="{00000000-0005-0000-0000-0000B81D0000}"/>
    <cellStyle name="40% - Accent3 5 2 7" xfId="4553" xr:uid="{00000000-0005-0000-0000-0000B91D0000}"/>
    <cellStyle name="40% - Accent3 5 3" xfId="1514" xr:uid="{00000000-0005-0000-0000-0000BA1D0000}"/>
    <cellStyle name="40% - Accent3 5 3 2" xfId="10546" xr:uid="{00000000-0005-0000-0000-0000BB1D0000}"/>
    <cellStyle name="40% - Accent3 5 3 3" xfId="9348" xr:uid="{00000000-0005-0000-0000-0000BC1D0000}"/>
    <cellStyle name="40% - Accent3 5 3 4" xfId="8150" xr:uid="{00000000-0005-0000-0000-0000BD1D0000}"/>
    <cellStyle name="40% - Accent3 5 3 5" xfId="6952" xr:uid="{00000000-0005-0000-0000-0000BE1D0000}"/>
    <cellStyle name="40% - Accent3 5 3 6" xfId="5753" xr:uid="{00000000-0005-0000-0000-0000BF1D0000}"/>
    <cellStyle name="40% - Accent3 5 3 7" xfId="4554" xr:uid="{00000000-0005-0000-0000-0000C01D0000}"/>
    <cellStyle name="40% - Accent3 5 4" xfId="1515" xr:uid="{00000000-0005-0000-0000-0000C11D0000}"/>
    <cellStyle name="40% - Accent3 5 4 2" xfId="10547" xr:uid="{00000000-0005-0000-0000-0000C21D0000}"/>
    <cellStyle name="40% - Accent3 5 4 3" xfId="9349" xr:uid="{00000000-0005-0000-0000-0000C31D0000}"/>
    <cellStyle name="40% - Accent3 5 4 4" xfId="8151" xr:uid="{00000000-0005-0000-0000-0000C41D0000}"/>
    <cellStyle name="40% - Accent3 5 4 5" xfId="6953" xr:uid="{00000000-0005-0000-0000-0000C51D0000}"/>
    <cellStyle name="40% - Accent3 5 4 6" xfId="5754" xr:uid="{00000000-0005-0000-0000-0000C61D0000}"/>
    <cellStyle name="40% - Accent3 5 4 7" xfId="4555" xr:uid="{00000000-0005-0000-0000-0000C71D0000}"/>
    <cellStyle name="40% - Accent3 5 5" xfId="10544" xr:uid="{00000000-0005-0000-0000-0000C81D0000}"/>
    <cellStyle name="40% - Accent3 5 6" xfId="9346" xr:uid="{00000000-0005-0000-0000-0000C91D0000}"/>
    <cellStyle name="40% - Accent3 5 7" xfId="8148" xr:uid="{00000000-0005-0000-0000-0000CA1D0000}"/>
    <cellStyle name="40% - Accent3 5 8" xfId="6950" xr:uid="{00000000-0005-0000-0000-0000CB1D0000}"/>
    <cellStyle name="40% - Accent3 5 9" xfId="5751" xr:uid="{00000000-0005-0000-0000-0000CC1D0000}"/>
    <cellStyle name="40% - Accent3 5_2" xfId="1516" xr:uid="{00000000-0005-0000-0000-0000CD1D0000}"/>
    <cellStyle name="40% - Accent3 6" xfId="1517" xr:uid="{00000000-0005-0000-0000-0000CE1D0000}"/>
    <cellStyle name="40% - Accent3 6 10" xfId="4556" xr:uid="{00000000-0005-0000-0000-0000CF1D0000}"/>
    <cellStyle name="40% - Accent3 6 2" xfId="1518" xr:uid="{00000000-0005-0000-0000-0000D01D0000}"/>
    <cellStyle name="40% - Accent3 6 2 2" xfId="10549" xr:uid="{00000000-0005-0000-0000-0000D11D0000}"/>
    <cellStyle name="40% - Accent3 6 2 3" xfId="9351" xr:uid="{00000000-0005-0000-0000-0000D21D0000}"/>
    <cellStyle name="40% - Accent3 6 2 4" xfId="8153" xr:uid="{00000000-0005-0000-0000-0000D31D0000}"/>
    <cellStyle name="40% - Accent3 6 2 5" xfId="6955" xr:uid="{00000000-0005-0000-0000-0000D41D0000}"/>
    <cellStyle name="40% - Accent3 6 2 6" xfId="5756" xr:uid="{00000000-0005-0000-0000-0000D51D0000}"/>
    <cellStyle name="40% - Accent3 6 2 7" xfId="4557" xr:uid="{00000000-0005-0000-0000-0000D61D0000}"/>
    <cellStyle name="40% - Accent3 6 3" xfId="1519" xr:uid="{00000000-0005-0000-0000-0000D71D0000}"/>
    <cellStyle name="40% - Accent3 6 3 2" xfId="10550" xr:uid="{00000000-0005-0000-0000-0000D81D0000}"/>
    <cellStyle name="40% - Accent3 6 3 3" xfId="9352" xr:uid="{00000000-0005-0000-0000-0000D91D0000}"/>
    <cellStyle name="40% - Accent3 6 3 4" xfId="8154" xr:uid="{00000000-0005-0000-0000-0000DA1D0000}"/>
    <cellStyle name="40% - Accent3 6 3 5" xfId="6956" xr:uid="{00000000-0005-0000-0000-0000DB1D0000}"/>
    <cellStyle name="40% - Accent3 6 3 6" xfId="5757" xr:uid="{00000000-0005-0000-0000-0000DC1D0000}"/>
    <cellStyle name="40% - Accent3 6 3 7" xfId="4558" xr:uid="{00000000-0005-0000-0000-0000DD1D0000}"/>
    <cellStyle name="40% - Accent3 6 4" xfId="1520" xr:uid="{00000000-0005-0000-0000-0000DE1D0000}"/>
    <cellStyle name="40% - Accent3 6 4 2" xfId="10551" xr:uid="{00000000-0005-0000-0000-0000DF1D0000}"/>
    <cellStyle name="40% - Accent3 6 4 3" xfId="9353" xr:uid="{00000000-0005-0000-0000-0000E01D0000}"/>
    <cellStyle name="40% - Accent3 6 4 4" xfId="8155" xr:uid="{00000000-0005-0000-0000-0000E11D0000}"/>
    <cellStyle name="40% - Accent3 6 4 5" xfId="6957" xr:uid="{00000000-0005-0000-0000-0000E21D0000}"/>
    <cellStyle name="40% - Accent3 6 4 6" xfId="5758" xr:uid="{00000000-0005-0000-0000-0000E31D0000}"/>
    <cellStyle name="40% - Accent3 6 4 7" xfId="4559" xr:uid="{00000000-0005-0000-0000-0000E41D0000}"/>
    <cellStyle name="40% - Accent3 6 5" xfId="10548" xr:uid="{00000000-0005-0000-0000-0000E51D0000}"/>
    <cellStyle name="40% - Accent3 6 6" xfId="9350" xr:uid="{00000000-0005-0000-0000-0000E61D0000}"/>
    <cellStyle name="40% - Accent3 6 7" xfId="8152" xr:uid="{00000000-0005-0000-0000-0000E71D0000}"/>
    <cellStyle name="40% - Accent3 6 8" xfId="6954" xr:uid="{00000000-0005-0000-0000-0000E81D0000}"/>
    <cellStyle name="40% - Accent3 6 9" xfId="5755" xr:uid="{00000000-0005-0000-0000-0000E91D0000}"/>
    <cellStyle name="40% - Accent3 6_2" xfId="1521" xr:uid="{00000000-0005-0000-0000-0000EA1D0000}"/>
    <cellStyle name="40% - Accent3 7" xfId="1522" xr:uid="{00000000-0005-0000-0000-0000EB1D0000}"/>
    <cellStyle name="40% - Accent3 7 10" xfId="4560" xr:uid="{00000000-0005-0000-0000-0000EC1D0000}"/>
    <cellStyle name="40% - Accent3 7 2" xfId="1523" xr:uid="{00000000-0005-0000-0000-0000ED1D0000}"/>
    <cellStyle name="40% - Accent3 7 2 2" xfId="10553" xr:uid="{00000000-0005-0000-0000-0000EE1D0000}"/>
    <cellStyle name="40% - Accent3 7 2 3" xfId="9355" xr:uid="{00000000-0005-0000-0000-0000EF1D0000}"/>
    <cellStyle name="40% - Accent3 7 2 4" xfId="8157" xr:uid="{00000000-0005-0000-0000-0000F01D0000}"/>
    <cellStyle name="40% - Accent3 7 2 5" xfId="6959" xr:uid="{00000000-0005-0000-0000-0000F11D0000}"/>
    <cellStyle name="40% - Accent3 7 2 6" xfId="5760" xr:uid="{00000000-0005-0000-0000-0000F21D0000}"/>
    <cellStyle name="40% - Accent3 7 2 7" xfId="4561" xr:uid="{00000000-0005-0000-0000-0000F31D0000}"/>
    <cellStyle name="40% - Accent3 7 3" xfId="1524" xr:uid="{00000000-0005-0000-0000-0000F41D0000}"/>
    <cellStyle name="40% - Accent3 7 3 2" xfId="10554" xr:uid="{00000000-0005-0000-0000-0000F51D0000}"/>
    <cellStyle name="40% - Accent3 7 3 3" xfId="9356" xr:uid="{00000000-0005-0000-0000-0000F61D0000}"/>
    <cellStyle name="40% - Accent3 7 3 4" xfId="8158" xr:uid="{00000000-0005-0000-0000-0000F71D0000}"/>
    <cellStyle name="40% - Accent3 7 3 5" xfId="6960" xr:uid="{00000000-0005-0000-0000-0000F81D0000}"/>
    <cellStyle name="40% - Accent3 7 3 6" xfId="5761" xr:uid="{00000000-0005-0000-0000-0000F91D0000}"/>
    <cellStyle name="40% - Accent3 7 3 7" xfId="4562" xr:uid="{00000000-0005-0000-0000-0000FA1D0000}"/>
    <cellStyle name="40% - Accent3 7 4" xfId="1525" xr:uid="{00000000-0005-0000-0000-0000FB1D0000}"/>
    <cellStyle name="40% - Accent3 7 4 2" xfId="10555" xr:uid="{00000000-0005-0000-0000-0000FC1D0000}"/>
    <cellStyle name="40% - Accent3 7 4 3" xfId="9357" xr:uid="{00000000-0005-0000-0000-0000FD1D0000}"/>
    <cellStyle name="40% - Accent3 7 4 4" xfId="8159" xr:uid="{00000000-0005-0000-0000-0000FE1D0000}"/>
    <cellStyle name="40% - Accent3 7 4 5" xfId="6961" xr:uid="{00000000-0005-0000-0000-0000FF1D0000}"/>
    <cellStyle name="40% - Accent3 7 4 6" xfId="5762" xr:uid="{00000000-0005-0000-0000-0000001E0000}"/>
    <cellStyle name="40% - Accent3 7 4 7" xfId="4563" xr:uid="{00000000-0005-0000-0000-0000011E0000}"/>
    <cellStyle name="40% - Accent3 7 5" xfId="10552" xr:uid="{00000000-0005-0000-0000-0000021E0000}"/>
    <cellStyle name="40% - Accent3 7 6" xfId="9354" xr:uid="{00000000-0005-0000-0000-0000031E0000}"/>
    <cellStyle name="40% - Accent3 7 7" xfId="8156" xr:uid="{00000000-0005-0000-0000-0000041E0000}"/>
    <cellStyle name="40% - Accent3 7 8" xfId="6958" xr:uid="{00000000-0005-0000-0000-0000051E0000}"/>
    <cellStyle name="40% - Accent3 7 9" xfId="5759" xr:uid="{00000000-0005-0000-0000-0000061E0000}"/>
    <cellStyle name="40% - Accent3 7_2" xfId="1526" xr:uid="{00000000-0005-0000-0000-0000071E0000}"/>
    <cellStyle name="40% - Accent3 8" xfId="1527" xr:uid="{00000000-0005-0000-0000-0000081E0000}"/>
    <cellStyle name="40% - Accent3 8 10" xfId="4564" xr:uid="{00000000-0005-0000-0000-0000091E0000}"/>
    <cellStyle name="40% - Accent3 8 2" xfId="1528" xr:uid="{00000000-0005-0000-0000-00000A1E0000}"/>
    <cellStyle name="40% - Accent3 8 2 2" xfId="10557" xr:uid="{00000000-0005-0000-0000-00000B1E0000}"/>
    <cellStyle name="40% - Accent3 8 2 3" xfId="9359" xr:uid="{00000000-0005-0000-0000-00000C1E0000}"/>
    <cellStyle name="40% - Accent3 8 2 4" xfId="8161" xr:uid="{00000000-0005-0000-0000-00000D1E0000}"/>
    <cellStyle name="40% - Accent3 8 2 5" xfId="6963" xr:uid="{00000000-0005-0000-0000-00000E1E0000}"/>
    <cellStyle name="40% - Accent3 8 2 6" xfId="5764" xr:uid="{00000000-0005-0000-0000-00000F1E0000}"/>
    <cellStyle name="40% - Accent3 8 2 7" xfId="4565" xr:uid="{00000000-0005-0000-0000-0000101E0000}"/>
    <cellStyle name="40% - Accent3 8 3" xfId="1529" xr:uid="{00000000-0005-0000-0000-0000111E0000}"/>
    <cellStyle name="40% - Accent3 8 3 2" xfId="10558" xr:uid="{00000000-0005-0000-0000-0000121E0000}"/>
    <cellStyle name="40% - Accent3 8 3 3" xfId="9360" xr:uid="{00000000-0005-0000-0000-0000131E0000}"/>
    <cellStyle name="40% - Accent3 8 3 4" xfId="8162" xr:uid="{00000000-0005-0000-0000-0000141E0000}"/>
    <cellStyle name="40% - Accent3 8 3 5" xfId="6964" xr:uid="{00000000-0005-0000-0000-0000151E0000}"/>
    <cellStyle name="40% - Accent3 8 3 6" xfId="5765" xr:uid="{00000000-0005-0000-0000-0000161E0000}"/>
    <cellStyle name="40% - Accent3 8 3 7" xfId="4566" xr:uid="{00000000-0005-0000-0000-0000171E0000}"/>
    <cellStyle name="40% - Accent3 8 4" xfId="1530" xr:uid="{00000000-0005-0000-0000-0000181E0000}"/>
    <cellStyle name="40% - Accent3 8 4 2" xfId="10559" xr:uid="{00000000-0005-0000-0000-0000191E0000}"/>
    <cellStyle name="40% - Accent3 8 4 3" xfId="9361" xr:uid="{00000000-0005-0000-0000-00001A1E0000}"/>
    <cellStyle name="40% - Accent3 8 4 4" xfId="8163" xr:uid="{00000000-0005-0000-0000-00001B1E0000}"/>
    <cellStyle name="40% - Accent3 8 4 5" xfId="6965" xr:uid="{00000000-0005-0000-0000-00001C1E0000}"/>
    <cellStyle name="40% - Accent3 8 4 6" xfId="5766" xr:uid="{00000000-0005-0000-0000-00001D1E0000}"/>
    <cellStyle name="40% - Accent3 8 4 7" xfId="4567" xr:uid="{00000000-0005-0000-0000-00001E1E0000}"/>
    <cellStyle name="40% - Accent3 8 5" xfId="10556" xr:uid="{00000000-0005-0000-0000-00001F1E0000}"/>
    <cellStyle name="40% - Accent3 8 6" xfId="9358" xr:uid="{00000000-0005-0000-0000-0000201E0000}"/>
    <cellStyle name="40% - Accent3 8 7" xfId="8160" xr:uid="{00000000-0005-0000-0000-0000211E0000}"/>
    <cellStyle name="40% - Accent3 8 8" xfId="6962" xr:uid="{00000000-0005-0000-0000-0000221E0000}"/>
    <cellStyle name="40% - Accent3 8 9" xfId="5763" xr:uid="{00000000-0005-0000-0000-0000231E0000}"/>
    <cellStyle name="40% - Accent3 8_2" xfId="1531" xr:uid="{00000000-0005-0000-0000-0000241E0000}"/>
    <cellStyle name="40% - Accent3 9" xfId="1532" xr:uid="{00000000-0005-0000-0000-0000251E0000}"/>
    <cellStyle name="40% - Accent3 9 2" xfId="10560" xr:uid="{00000000-0005-0000-0000-0000261E0000}"/>
    <cellStyle name="40% - Accent3 9 3" xfId="9362" xr:uid="{00000000-0005-0000-0000-0000271E0000}"/>
    <cellStyle name="40% - Accent3 9 4" xfId="8164" xr:uid="{00000000-0005-0000-0000-0000281E0000}"/>
    <cellStyle name="40% - Accent3 9 5" xfId="6966" xr:uid="{00000000-0005-0000-0000-0000291E0000}"/>
    <cellStyle name="40% - Accent3 9 6" xfId="5767" xr:uid="{00000000-0005-0000-0000-00002A1E0000}"/>
    <cellStyle name="40% - Accent3 9 7" xfId="4568" xr:uid="{00000000-0005-0000-0000-00002B1E0000}"/>
    <cellStyle name="40% - Accent4 10" xfId="1533" xr:uid="{00000000-0005-0000-0000-00002C1E0000}"/>
    <cellStyle name="40% - Accent4 10 2" xfId="10561" xr:uid="{00000000-0005-0000-0000-00002D1E0000}"/>
    <cellStyle name="40% - Accent4 10 3" xfId="9363" xr:uid="{00000000-0005-0000-0000-00002E1E0000}"/>
    <cellStyle name="40% - Accent4 10 4" xfId="8165" xr:uid="{00000000-0005-0000-0000-00002F1E0000}"/>
    <cellStyle name="40% - Accent4 10 5" xfId="6967" xr:uid="{00000000-0005-0000-0000-0000301E0000}"/>
    <cellStyle name="40% - Accent4 10 6" xfId="5768" xr:uid="{00000000-0005-0000-0000-0000311E0000}"/>
    <cellStyle name="40% - Accent4 10 7" xfId="4569" xr:uid="{00000000-0005-0000-0000-0000321E0000}"/>
    <cellStyle name="40% - Accent4 11" xfId="1534" xr:uid="{00000000-0005-0000-0000-0000331E0000}"/>
    <cellStyle name="40% - Accent4 11 2" xfId="10562" xr:uid="{00000000-0005-0000-0000-0000341E0000}"/>
    <cellStyle name="40% - Accent4 11 3" xfId="9364" xr:uid="{00000000-0005-0000-0000-0000351E0000}"/>
    <cellStyle name="40% - Accent4 11 4" xfId="8166" xr:uid="{00000000-0005-0000-0000-0000361E0000}"/>
    <cellStyle name="40% - Accent4 11 5" xfId="6968" xr:uid="{00000000-0005-0000-0000-0000371E0000}"/>
    <cellStyle name="40% - Accent4 11 6" xfId="5769" xr:uid="{00000000-0005-0000-0000-0000381E0000}"/>
    <cellStyle name="40% - Accent4 11 7" xfId="4570" xr:uid="{00000000-0005-0000-0000-0000391E0000}"/>
    <cellStyle name="40% - Accent4 12" xfId="1535" xr:uid="{00000000-0005-0000-0000-00003A1E0000}"/>
    <cellStyle name="40% - Accent4 12 2" xfId="1536" xr:uid="{00000000-0005-0000-0000-00003B1E0000}"/>
    <cellStyle name="40% - Accent4 12 2 2" xfId="10564" xr:uid="{00000000-0005-0000-0000-00003C1E0000}"/>
    <cellStyle name="40% - Accent4 12 2 3" xfId="9366" xr:uid="{00000000-0005-0000-0000-00003D1E0000}"/>
    <cellStyle name="40% - Accent4 12 2 4" xfId="8168" xr:uid="{00000000-0005-0000-0000-00003E1E0000}"/>
    <cellStyle name="40% - Accent4 12 2 5" xfId="6970" xr:uid="{00000000-0005-0000-0000-00003F1E0000}"/>
    <cellStyle name="40% - Accent4 12 2 6" xfId="5771" xr:uid="{00000000-0005-0000-0000-0000401E0000}"/>
    <cellStyle name="40% - Accent4 12 2 7" xfId="4572" xr:uid="{00000000-0005-0000-0000-0000411E0000}"/>
    <cellStyle name="40% - Accent4 12 3" xfId="10563" xr:uid="{00000000-0005-0000-0000-0000421E0000}"/>
    <cellStyle name="40% - Accent4 12 4" xfId="9365" xr:uid="{00000000-0005-0000-0000-0000431E0000}"/>
    <cellStyle name="40% - Accent4 12 5" xfId="8167" xr:uid="{00000000-0005-0000-0000-0000441E0000}"/>
    <cellStyle name="40% - Accent4 12 6" xfId="6969" xr:uid="{00000000-0005-0000-0000-0000451E0000}"/>
    <cellStyle name="40% - Accent4 12 7" xfId="5770" xr:uid="{00000000-0005-0000-0000-0000461E0000}"/>
    <cellStyle name="40% - Accent4 12 8" xfId="4571" xr:uid="{00000000-0005-0000-0000-0000471E0000}"/>
    <cellStyle name="40% - Accent4 12_2" xfId="1537" xr:uid="{00000000-0005-0000-0000-0000481E0000}"/>
    <cellStyle name="40% - Accent4 13" xfId="1538" xr:uid="{00000000-0005-0000-0000-0000491E0000}"/>
    <cellStyle name="40% - Accent4 13 2" xfId="1539" xr:uid="{00000000-0005-0000-0000-00004A1E0000}"/>
    <cellStyle name="40% - Accent4 13 2 2" xfId="10566" xr:uid="{00000000-0005-0000-0000-00004B1E0000}"/>
    <cellStyle name="40% - Accent4 13 2 3" xfId="9368" xr:uid="{00000000-0005-0000-0000-00004C1E0000}"/>
    <cellStyle name="40% - Accent4 13 2 4" xfId="8170" xr:uid="{00000000-0005-0000-0000-00004D1E0000}"/>
    <cellStyle name="40% - Accent4 13 2 5" xfId="6972" xr:uid="{00000000-0005-0000-0000-00004E1E0000}"/>
    <cellStyle name="40% - Accent4 13 2 6" xfId="5773" xr:uid="{00000000-0005-0000-0000-00004F1E0000}"/>
    <cellStyle name="40% - Accent4 13 2 7" xfId="4574" xr:uid="{00000000-0005-0000-0000-0000501E0000}"/>
    <cellStyle name="40% - Accent4 13 3" xfId="10565" xr:uid="{00000000-0005-0000-0000-0000511E0000}"/>
    <cellStyle name="40% - Accent4 13 4" xfId="9367" xr:uid="{00000000-0005-0000-0000-0000521E0000}"/>
    <cellStyle name="40% - Accent4 13 5" xfId="8169" xr:uid="{00000000-0005-0000-0000-0000531E0000}"/>
    <cellStyle name="40% - Accent4 13 6" xfId="6971" xr:uid="{00000000-0005-0000-0000-0000541E0000}"/>
    <cellStyle name="40% - Accent4 13 7" xfId="5772" xr:uid="{00000000-0005-0000-0000-0000551E0000}"/>
    <cellStyle name="40% - Accent4 13 8" xfId="4573" xr:uid="{00000000-0005-0000-0000-0000561E0000}"/>
    <cellStyle name="40% - Accent4 13_2" xfId="1540" xr:uid="{00000000-0005-0000-0000-0000571E0000}"/>
    <cellStyle name="40% - Accent4 14" xfId="1541" xr:uid="{00000000-0005-0000-0000-0000581E0000}"/>
    <cellStyle name="40% - Accent4 14 2" xfId="1542" xr:uid="{00000000-0005-0000-0000-0000591E0000}"/>
    <cellStyle name="40% - Accent4 14 2 2" xfId="10568" xr:uid="{00000000-0005-0000-0000-00005A1E0000}"/>
    <cellStyle name="40% - Accent4 14 2 3" xfId="9370" xr:uid="{00000000-0005-0000-0000-00005B1E0000}"/>
    <cellStyle name="40% - Accent4 14 2 4" xfId="8172" xr:uid="{00000000-0005-0000-0000-00005C1E0000}"/>
    <cellStyle name="40% - Accent4 14 2 5" xfId="6974" xr:uid="{00000000-0005-0000-0000-00005D1E0000}"/>
    <cellStyle name="40% - Accent4 14 2 6" xfId="5775" xr:uid="{00000000-0005-0000-0000-00005E1E0000}"/>
    <cellStyle name="40% - Accent4 14 2 7" xfId="4576" xr:uid="{00000000-0005-0000-0000-00005F1E0000}"/>
    <cellStyle name="40% - Accent4 14 3" xfId="10567" xr:uid="{00000000-0005-0000-0000-0000601E0000}"/>
    <cellStyle name="40% - Accent4 14 4" xfId="9369" xr:uid="{00000000-0005-0000-0000-0000611E0000}"/>
    <cellStyle name="40% - Accent4 14 5" xfId="8171" xr:uid="{00000000-0005-0000-0000-0000621E0000}"/>
    <cellStyle name="40% - Accent4 14 6" xfId="6973" xr:uid="{00000000-0005-0000-0000-0000631E0000}"/>
    <cellStyle name="40% - Accent4 14 7" xfId="5774" xr:uid="{00000000-0005-0000-0000-0000641E0000}"/>
    <cellStyle name="40% - Accent4 14 8" xfId="4575" xr:uid="{00000000-0005-0000-0000-0000651E0000}"/>
    <cellStyle name="40% - Accent4 14_2" xfId="1543" xr:uid="{00000000-0005-0000-0000-0000661E0000}"/>
    <cellStyle name="40% - Accent4 15" xfId="1544" xr:uid="{00000000-0005-0000-0000-0000671E0000}"/>
    <cellStyle name="40% - Accent4 15 2" xfId="10569" xr:uid="{00000000-0005-0000-0000-0000681E0000}"/>
    <cellStyle name="40% - Accent4 15 3" xfId="9371" xr:uid="{00000000-0005-0000-0000-0000691E0000}"/>
    <cellStyle name="40% - Accent4 15 4" xfId="8173" xr:uid="{00000000-0005-0000-0000-00006A1E0000}"/>
    <cellStyle name="40% - Accent4 15 5" xfId="6975" xr:uid="{00000000-0005-0000-0000-00006B1E0000}"/>
    <cellStyle name="40% - Accent4 15 6" xfId="5776" xr:uid="{00000000-0005-0000-0000-00006C1E0000}"/>
    <cellStyle name="40% - Accent4 15 7" xfId="4577" xr:uid="{00000000-0005-0000-0000-00006D1E0000}"/>
    <cellStyle name="40% - Accent4 16" xfId="1545" xr:uid="{00000000-0005-0000-0000-00006E1E0000}"/>
    <cellStyle name="40% - Accent4 16 2" xfId="10570" xr:uid="{00000000-0005-0000-0000-00006F1E0000}"/>
    <cellStyle name="40% - Accent4 16 3" xfId="9372" xr:uid="{00000000-0005-0000-0000-0000701E0000}"/>
    <cellStyle name="40% - Accent4 16 4" xfId="8174" xr:uid="{00000000-0005-0000-0000-0000711E0000}"/>
    <cellStyle name="40% - Accent4 16 5" xfId="6976" xr:uid="{00000000-0005-0000-0000-0000721E0000}"/>
    <cellStyle name="40% - Accent4 16 6" xfId="5777" xr:uid="{00000000-0005-0000-0000-0000731E0000}"/>
    <cellStyle name="40% - Accent4 16 7" xfId="4578" xr:uid="{00000000-0005-0000-0000-0000741E0000}"/>
    <cellStyle name="40% - Accent4 2" xfId="1546" xr:uid="{00000000-0005-0000-0000-0000751E0000}"/>
    <cellStyle name="40% - Accent4 2 10" xfId="10571" xr:uid="{00000000-0005-0000-0000-0000761E0000}"/>
    <cellStyle name="40% - Accent4 2 11" xfId="9373" xr:uid="{00000000-0005-0000-0000-0000771E0000}"/>
    <cellStyle name="40% - Accent4 2 12" xfId="8175" xr:uid="{00000000-0005-0000-0000-0000781E0000}"/>
    <cellStyle name="40% - Accent4 2 13" xfId="6977" xr:uid="{00000000-0005-0000-0000-0000791E0000}"/>
    <cellStyle name="40% - Accent4 2 14" xfId="5778" xr:uid="{00000000-0005-0000-0000-00007A1E0000}"/>
    <cellStyle name="40% - Accent4 2 15" xfId="4579" xr:uid="{00000000-0005-0000-0000-00007B1E0000}"/>
    <cellStyle name="40% - Accent4 2 2" xfId="1547" xr:uid="{00000000-0005-0000-0000-00007C1E0000}"/>
    <cellStyle name="40% - Accent4 2 2 2" xfId="10572" xr:uid="{00000000-0005-0000-0000-00007D1E0000}"/>
    <cellStyle name="40% - Accent4 2 2 3" xfId="9374" xr:uid="{00000000-0005-0000-0000-00007E1E0000}"/>
    <cellStyle name="40% - Accent4 2 2 4" xfId="8176" xr:uid="{00000000-0005-0000-0000-00007F1E0000}"/>
    <cellStyle name="40% - Accent4 2 2 5" xfId="6978" xr:uid="{00000000-0005-0000-0000-0000801E0000}"/>
    <cellStyle name="40% - Accent4 2 2 6" xfId="5779" xr:uid="{00000000-0005-0000-0000-0000811E0000}"/>
    <cellStyle name="40% - Accent4 2 2 7" xfId="4580" xr:uid="{00000000-0005-0000-0000-0000821E0000}"/>
    <cellStyle name="40% - Accent4 2 3" xfId="1548" xr:uid="{00000000-0005-0000-0000-0000831E0000}"/>
    <cellStyle name="40% - Accent4 2 3 2" xfId="10573" xr:uid="{00000000-0005-0000-0000-0000841E0000}"/>
    <cellStyle name="40% - Accent4 2 3 3" xfId="9375" xr:uid="{00000000-0005-0000-0000-0000851E0000}"/>
    <cellStyle name="40% - Accent4 2 3 4" xfId="8177" xr:uid="{00000000-0005-0000-0000-0000861E0000}"/>
    <cellStyle name="40% - Accent4 2 3 5" xfId="6979" xr:uid="{00000000-0005-0000-0000-0000871E0000}"/>
    <cellStyle name="40% - Accent4 2 3 6" xfId="5780" xr:uid="{00000000-0005-0000-0000-0000881E0000}"/>
    <cellStyle name="40% - Accent4 2 3 7" xfId="4581" xr:uid="{00000000-0005-0000-0000-0000891E0000}"/>
    <cellStyle name="40% - Accent4 2 4" xfId="1549" xr:uid="{00000000-0005-0000-0000-00008A1E0000}"/>
    <cellStyle name="40% - Accent4 2 4 2" xfId="10574" xr:uid="{00000000-0005-0000-0000-00008B1E0000}"/>
    <cellStyle name="40% - Accent4 2 4 3" xfId="9376" xr:uid="{00000000-0005-0000-0000-00008C1E0000}"/>
    <cellStyle name="40% - Accent4 2 4 4" xfId="8178" xr:uid="{00000000-0005-0000-0000-00008D1E0000}"/>
    <cellStyle name="40% - Accent4 2 4 5" xfId="6980" xr:uid="{00000000-0005-0000-0000-00008E1E0000}"/>
    <cellStyle name="40% - Accent4 2 4 6" xfId="5781" xr:uid="{00000000-0005-0000-0000-00008F1E0000}"/>
    <cellStyle name="40% - Accent4 2 4 7" xfId="4582" xr:uid="{00000000-0005-0000-0000-0000901E0000}"/>
    <cellStyle name="40% - Accent4 2 5" xfId="1550" xr:uid="{00000000-0005-0000-0000-0000911E0000}"/>
    <cellStyle name="40% - Accent4 2 5 2" xfId="10575" xr:uid="{00000000-0005-0000-0000-0000921E0000}"/>
    <cellStyle name="40% - Accent4 2 5 3" xfId="9377" xr:uid="{00000000-0005-0000-0000-0000931E0000}"/>
    <cellStyle name="40% - Accent4 2 5 4" xfId="8179" xr:uid="{00000000-0005-0000-0000-0000941E0000}"/>
    <cellStyle name="40% - Accent4 2 5 5" xfId="6981" xr:uid="{00000000-0005-0000-0000-0000951E0000}"/>
    <cellStyle name="40% - Accent4 2 5 6" xfId="5782" xr:uid="{00000000-0005-0000-0000-0000961E0000}"/>
    <cellStyle name="40% - Accent4 2 5 7" xfId="4583" xr:uid="{00000000-0005-0000-0000-0000971E0000}"/>
    <cellStyle name="40% - Accent4 2 6" xfId="1551" xr:uid="{00000000-0005-0000-0000-0000981E0000}"/>
    <cellStyle name="40% - Accent4 2 6 2" xfId="10576" xr:uid="{00000000-0005-0000-0000-0000991E0000}"/>
    <cellStyle name="40% - Accent4 2 6 3" xfId="9378" xr:uid="{00000000-0005-0000-0000-00009A1E0000}"/>
    <cellStyle name="40% - Accent4 2 6 4" xfId="8180" xr:uid="{00000000-0005-0000-0000-00009B1E0000}"/>
    <cellStyle name="40% - Accent4 2 6 5" xfId="6982" xr:uid="{00000000-0005-0000-0000-00009C1E0000}"/>
    <cellStyle name="40% - Accent4 2 6 6" xfId="5783" xr:uid="{00000000-0005-0000-0000-00009D1E0000}"/>
    <cellStyle name="40% - Accent4 2 6 7" xfId="4584" xr:uid="{00000000-0005-0000-0000-00009E1E0000}"/>
    <cellStyle name="40% - Accent4 2 7" xfId="1552" xr:uid="{00000000-0005-0000-0000-00009F1E0000}"/>
    <cellStyle name="40% - Accent4 2 7 2" xfId="10577" xr:uid="{00000000-0005-0000-0000-0000A01E0000}"/>
    <cellStyle name="40% - Accent4 2 7 3" xfId="9379" xr:uid="{00000000-0005-0000-0000-0000A11E0000}"/>
    <cellStyle name="40% - Accent4 2 7 4" xfId="8181" xr:uid="{00000000-0005-0000-0000-0000A21E0000}"/>
    <cellStyle name="40% - Accent4 2 7 5" xfId="6983" xr:uid="{00000000-0005-0000-0000-0000A31E0000}"/>
    <cellStyle name="40% - Accent4 2 7 6" xfId="5784" xr:uid="{00000000-0005-0000-0000-0000A41E0000}"/>
    <cellStyle name="40% - Accent4 2 7 7" xfId="4585" xr:uid="{00000000-0005-0000-0000-0000A51E0000}"/>
    <cellStyle name="40% - Accent4 2 8" xfId="1553" xr:uid="{00000000-0005-0000-0000-0000A61E0000}"/>
    <cellStyle name="40% - Accent4 2 8 2" xfId="10578" xr:uid="{00000000-0005-0000-0000-0000A71E0000}"/>
    <cellStyle name="40% - Accent4 2 8 3" xfId="9380" xr:uid="{00000000-0005-0000-0000-0000A81E0000}"/>
    <cellStyle name="40% - Accent4 2 8 4" xfId="8182" xr:uid="{00000000-0005-0000-0000-0000A91E0000}"/>
    <cellStyle name="40% - Accent4 2 8 5" xfId="6984" xr:uid="{00000000-0005-0000-0000-0000AA1E0000}"/>
    <cellStyle name="40% - Accent4 2 8 6" xfId="5785" xr:uid="{00000000-0005-0000-0000-0000AB1E0000}"/>
    <cellStyle name="40% - Accent4 2 8 7" xfId="4586" xr:uid="{00000000-0005-0000-0000-0000AC1E0000}"/>
    <cellStyle name="40% - Accent4 2 9" xfId="1554" xr:uid="{00000000-0005-0000-0000-0000AD1E0000}"/>
    <cellStyle name="40% - Accent4 2 9 2" xfId="10579" xr:uid="{00000000-0005-0000-0000-0000AE1E0000}"/>
    <cellStyle name="40% - Accent4 2 9 3" xfId="9381" xr:uid="{00000000-0005-0000-0000-0000AF1E0000}"/>
    <cellStyle name="40% - Accent4 2 9 4" xfId="8183" xr:uid="{00000000-0005-0000-0000-0000B01E0000}"/>
    <cellStyle name="40% - Accent4 2 9 5" xfId="6985" xr:uid="{00000000-0005-0000-0000-0000B11E0000}"/>
    <cellStyle name="40% - Accent4 2 9 6" xfId="5786" xr:uid="{00000000-0005-0000-0000-0000B21E0000}"/>
    <cellStyle name="40% - Accent4 2 9 7" xfId="4587" xr:uid="{00000000-0005-0000-0000-0000B31E0000}"/>
    <cellStyle name="40% - Accent4 2_2" xfId="1555" xr:uid="{00000000-0005-0000-0000-0000B41E0000}"/>
    <cellStyle name="40% - Accent4 3" xfId="1556" xr:uid="{00000000-0005-0000-0000-0000B51E0000}"/>
    <cellStyle name="40% - Accent4 3 10" xfId="4588" xr:uid="{00000000-0005-0000-0000-0000B61E0000}"/>
    <cellStyle name="40% - Accent4 3 2" xfId="1557" xr:uid="{00000000-0005-0000-0000-0000B71E0000}"/>
    <cellStyle name="40% - Accent4 3 2 2" xfId="10581" xr:uid="{00000000-0005-0000-0000-0000B81E0000}"/>
    <cellStyle name="40% - Accent4 3 2 3" xfId="9383" xr:uid="{00000000-0005-0000-0000-0000B91E0000}"/>
    <cellStyle name="40% - Accent4 3 2 4" xfId="8185" xr:uid="{00000000-0005-0000-0000-0000BA1E0000}"/>
    <cellStyle name="40% - Accent4 3 2 5" xfId="6987" xr:uid="{00000000-0005-0000-0000-0000BB1E0000}"/>
    <cellStyle name="40% - Accent4 3 2 6" xfId="5788" xr:uid="{00000000-0005-0000-0000-0000BC1E0000}"/>
    <cellStyle name="40% - Accent4 3 2 7" xfId="4589" xr:uid="{00000000-0005-0000-0000-0000BD1E0000}"/>
    <cellStyle name="40% - Accent4 3 3" xfId="1558" xr:uid="{00000000-0005-0000-0000-0000BE1E0000}"/>
    <cellStyle name="40% - Accent4 3 3 2" xfId="10582" xr:uid="{00000000-0005-0000-0000-0000BF1E0000}"/>
    <cellStyle name="40% - Accent4 3 3 3" xfId="9384" xr:uid="{00000000-0005-0000-0000-0000C01E0000}"/>
    <cellStyle name="40% - Accent4 3 3 4" xfId="8186" xr:uid="{00000000-0005-0000-0000-0000C11E0000}"/>
    <cellStyle name="40% - Accent4 3 3 5" xfId="6988" xr:uid="{00000000-0005-0000-0000-0000C21E0000}"/>
    <cellStyle name="40% - Accent4 3 3 6" xfId="5789" xr:uid="{00000000-0005-0000-0000-0000C31E0000}"/>
    <cellStyle name="40% - Accent4 3 3 7" xfId="4590" xr:uid="{00000000-0005-0000-0000-0000C41E0000}"/>
    <cellStyle name="40% - Accent4 3 4" xfId="1559" xr:uid="{00000000-0005-0000-0000-0000C51E0000}"/>
    <cellStyle name="40% - Accent4 3 4 2" xfId="10583" xr:uid="{00000000-0005-0000-0000-0000C61E0000}"/>
    <cellStyle name="40% - Accent4 3 4 3" xfId="9385" xr:uid="{00000000-0005-0000-0000-0000C71E0000}"/>
    <cellStyle name="40% - Accent4 3 4 4" xfId="8187" xr:uid="{00000000-0005-0000-0000-0000C81E0000}"/>
    <cellStyle name="40% - Accent4 3 4 5" xfId="6989" xr:uid="{00000000-0005-0000-0000-0000C91E0000}"/>
    <cellStyle name="40% - Accent4 3 4 6" xfId="5790" xr:uid="{00000000-0005-0000-0000-0000CA1E0000}"/>
    <cellStyle name="40% - Accent4 3 4 7" xfId="4591" xr:uid="{00000000-0005-0000-0000-0000CB1E0000}"/>
    <cellStyle name="40% - Accent4 3 5" xfId="10580" xr:uid="{00000000-0005-0000-0000-0000CC1E0000}"/>
    <cellStyle name="40% - Accent4 3 6" xfId="9382" xr:uid="{00000000-0005-0000-0000-0000CD1E0000}"/>
    <cellStyle name="40% - Accent4 3 7" xfId="8184" xr:uid="{00000000-0005-0000-0000-0000CE1E0000}"/>
    <cellStyle name="40% - Accent4 3 8" xfId="6986" xr:uid="{00000000-0005-0000-0000-0000CF1E0000}"/>
    <cellStyle name="40% - Accent4 3 9" xfId="5787" xr:uid="{00000000-0005-0000-0000-0000D01E0000}"/>
    <cellStyle name="40% - Accent4 3_2" xfId="1560" xr:uid="{00000000-0005-0000-0000-0000D11E0000}"/>
    <cellStyle name="40% - Accent4 4" xfId="1561" xr:uid="{00000000-0005-0000-0000-0000D21E0000}"/>
    <cellStyle name="40% - Accent4 4 10" xfId="4592" xr:uid="{00000000-0005-0000-0000-0000D31E0000}"/>
    <cellStyle name="40% - Accent4 4 2" xfId="1562" xr:uid="{00000000-0005-0000-0000-0000D41E0000}"/>
    <cellStyle name="40% - Accent4 4 2 2" xfId="10585" xr:uid="{00000000-0005-0000-0000-0000D51E0000}"/>
    <cellStyle name="40% - Accent4 4 2 3" xfId="9387" xr:uid="{00000000-0005-0000-0000-0000D61E0000}"/>
    <cellStyle name="40% - Accent4 4 2 4" xfId="8189" xr:uid="{00000000-0005-0000-0000-0000D71E0000}"/>
    <cellStyle name="40% - Accent4 4 2 5" xfId="6991" xr:uid="{00000000-0005-0000-0000-0000D81E0000}"/>
    <cellStyle name="40% - Accent4 4 2 6" xfId="5792" xr:uid="{00000000-0005-0000-0000-0000D91E0000}"/>
    <cellStyle name="40% - Accent4 4 2 7" xfId="4593" xr:uid="{00000000-0005-0000-0000-0000DA1E0000}"/>
    <cellStyle name="40% - Accent4 4 3" xfId="1563" xr:uid="{00000000-0005-0000-0000-0000DB1E0000}"/>
    <cellStyle name="40% - Accent4 4 3 2" xfId="10586" xr:uid="{00000000-0005-0000-0000-0000DC1E0000}"/>
    <cellStyle name="40% - Accent4 4 3 3" xfId="9388" xr:uid="{00000000-0005-0000-0000-0000DD1E0000}"/>
    <cellStyle name="40% - Accent4 4 3 4" xfId="8190" xr:uid="{00000000-0005-0000-0000-0000DE1E0000}"/>
    <cellStyle name="40% - Accent4 4 3 5" xfId="6992" xr:uid="{00000000-0005-0000-0000-0000DF1E0000}"/>
    <cellStyle name="40% - Accent4 4 3 6" xfId="5793" xr:uid="{00000000-0005-0000-0000-0000E01E0000}"/>
    <cellStyle name="40% - Accent4 4 3 7" xfId="4594" xr:uid="{00000000-0005-0000-0000-0000E11E0000}"/>
    <cellStyle name="40% - Accent4 4 4" xfId="1564" xr:uid="{00000000-0005-0000-0000-0000E21E0000}"/>
    <cellStyle name="40% - Accent4 4 4 2" xfId="10587" xr:uid="{00000000-0005-0000-0000-0000E31E0000}"/>
    <cellStyle name="40% - Accent4 4 4 3" xfId="9389" xr:uid="{00000000-0005-0000-0000-0000E41E0000}"/>
    <cellStyle name="40% - Accent4 4 4 4" xfId="8191" xr:uid="{00000000-0005-0000-0000-0000E51E0000}"/>
    <cellStyle name="40% - Accent4 4 4 5" xfId="6993" xr:uid="{00000000-0005-0000-0000-0000E61E0000}"/>
    <cellStyle name="40% - Accent4 4 4 6" xfId="5794" xr:uid="{00000000-0005-0000-0000-0000E71E0000}"/>
    <cellStyle name="40% - Accent4 4 4 7" xfId="4595" xr:uid="{00000000-0005-0000-0000-0000E81E0000}"/>
    <cellStyle name="40% - Accent4 4 5" xfId="10584" xr:uid="{00000000-0005-0000-0000-0000E91E0000}"/>
    <cellStyle name="40% - Accent4 4 6" xfId="9386" xr:uid="{00000000-0005-0000-0000-0000EA1E0000}"/>
    <cellStyle name="40% - Accent4 4 7" xfId="8188" xr:uid="{00000000-0005-0000-0000-0000EB1E0000}"/>
    <cellStyle name="40% - Accent4 4 8" xfId="6990" xr:uid="{00000000-0005-0000-0000-0000EC1E0000}"/>
    <cellStyle name="40% - Accent4 4 9" xfId="5791" xr:uid="{00000000-0005-0000-0000-0000ED1E0000}"/>
    <cellStyle name="40% - Accent4 4_2" xfId="1565" xr:uid="{00000000-0005-0000-0000-0000EE1E0000}"/>
    <cellStyle name="40% - Accent4 5" xfId="1566" xr:uid="{00000000-0005-0000-0000-0000EF1E0000}"/>
    <cellStyle name="40% - Accent4 5 10" xfId="4596" xr:uid="{00000000-0005-0000-0000-0000F01E0000}"/>
    <cellStyle name="40% - Accent4 5 2" xfId="1567" xr:uid="{00000000-0005-0000-0000-0000F11E0000}"/>
    <cellStyle name="40% - Accent4 5 2 2" xfId="10589" xr:uid="{00000000-0005-0000-0000-0000F21E0000}"/>
    <cellStyle name="40% - Accent4 5 2 3" xfId="9391" xr:uid="{00000000-0005-0000-0000-0000F31E0000}"/>
    <cellStyle name="40% - Accent4 5 2 4" xfId="8193" xr:uid="{00000000-0005-0000-0000-0000F41E0000}"/>
    <cellStyle name="40% - Accent4 5 2 5" xfId="6995" xr:uid="{00000000-0005-0000-0000-0000F51E0000}"/>
    <cellStyle name="40% - Accent4 5 2 6" xfId="5796" xr:uid="{00000000-0005-0000-0000-0000F61E0000}"/>
    <cellStyle name="40% - Accent4 5 2 7" xfId="4597" xr:uid="{00000000-0005-0000-0000-0000F71E0000}"/>
    <cellStyle name="40% - Accent4 5 3" xfId="1568" xr:uid="{00000000-0005-0000-0000-0000F81E0000}"/>
    <cellStyle name="40% - Accent4 5 3 2" xfId="10590" xr:uid="{00000000-0005-0000-0000-0000F91E0000}"/>
    <cellStyle name="40% - Accent4 5 3 3" xfId="9392" xr:uid="{00000000-0005-0000-0000-0000FA1E0000}"/>
    <cellStyle name="40% - Accent4 5 3 4" xfId="8194" xr:uid="{00000000-0005-0000-0000-0000FB1E0000}"/>
    <cellStyle name="40% - Accent4 5 3 5" xfId="6996" xr:uid="{00000000-0005-0000-0000-0000FC1E0000}"/>
    <cellStyle name="40% - Accent4 5 3 6" xfId="5797" xr:uid="{00000000-0005-0000-0000-0000FD1E0000}"/>
    <cellStyle name="40% - Accent4 5 3 7" xfId="4598" xr:uid="{00000000-0005-0000-0000-0000FE1E0000}"/>
    <cellStyle name="40% - Accent4 5 4" xfId="1569" xr:uid="{00000000-0005-0000-0000-0000FF1E0000}"/>
    <cellStyle name="40% - Accent4 5 4 2" xfId="10591" xr:uid="{00000000-0005-0000-0000-0000001F0000}"/>
    <cellStyle name="40% - Accent4 5 4 3" xfId="9393" xr:uid="{00000000-0005-0000-0000-0000011F0000}"/>
    <cellStyle name="40% - Accent4 5 4 4" xfId="8195" xr:uid="{00000000-0005-0000-0000-0000021F0000}"/>
    <cellStyle name="40% - Accent4 5 4 5" xfId="6997" xr:uid="{00000000-0005-0000-0000-0000031F0000}"/>
    <cellStyle name="40% - Accent4 5 4 6" xfId="5798" xr:uid="{00000000-0005-0000-0000-0000041F0000}"/>
    <cellStyle name="40% - Accent4 5 4 7" xfId="4599" xr:uid="{00000000-0005-0000-0000-0000051F0000}"/>
    <cellStyle name="40% - Accent4 5 5" xfId="10588" xr:uid="{00000000-0005-0000-0000-0000061F0000}"/>
    <cellStyle name="40% - Accent4 5 6" xfId="9390" xr:uid="{00000000-0005-0000-0000-0000071F0000}"/>
    <cellStyle name="40% - Accent4 5 7" xfId="8192" xr:uid="{00000000-0005-0000-0000-0000081F0000}"/>
    <cellStyle name="40% - Accent4 5 8" xfId="6994" xr:uid="{00000000-0005-0000-0000-0000091F0000}"/>
    <cellStyle name="40% - Accent4 5 9" xfId="5795" xr:uid="{00000000-0005-0000-0000-00000A1F0000}"/>
    <cellStyle name="40% - Accent4 5_2" xfId="1570" xr:uid="{00000000-0005-0000-0000-00000B1F0000}"/>
    <cellStyle name="40% - Accent4 6" xfId="1571" xr:uid="{00000000-0005-0000-0000-00000C1F0000}"/>
    <cellStyle name="40% - Accent4 6 10" xfId="4600" xr:uid="{00000000-0005-0000-0000-00000D1F0000}"/>
    <cellStyle name="40% - Accent4 6 2" xfId="1572" xr:uid="{00000000-0005-0000-0000-00000E1F0000}"/>
    <cellStyle name="40% - Accent4 6 2 2" xfId="10593" xr:uid="{00000000-0005-0000-0000-00000F1F0000}"/>
    <cellStyle name="40% - Accent4 6 2 3" xfId="9395" xr:uid="{00000000-0005-0000-0000-0000101F0000}"/>
    <cellStyle name="40% - Accent4 6 2 4" xfId="8197" xr:uid="{00000000-0005-0000-0000-0000111F0000}"/>
    <cellStyle name="40% - Accent4 6 2 5" xfId="6999" xr:uid="{00000000-0005-0000-0000-0000121F0000}"/>
    <cellStyle name="40% - Accent4 6 2 6" xfId="5800" xr:uid="{00000000-0005-0000-0000-0000131F0000}"/>
    <cellStyle name="40% - Accent4 6 2 7" xfId="4601" xr:uid="{00000000-0005-0000-0000-0000141F0000}"/>
    <cellStyle name="40% - Accent4 6 3" xfId="1573" xr:uid="{00000000-0005-0000-0000-0000151F0000}"/>
    <cellStyle name="40% - Accent4 6 3 2" xfId="10594" xr:uid="{00000000-0005-0000-0000-0000161F0000}"/>
    <cellStyle name="40% - Accent4 6 3 3" xfId="9396" xr:uid="{00000000-0005-0000-0000-0000171F0000}"/>
    <cellStyle name="40% - Accent4 6 3 4" xfId="8198" xr:uid="{00000000-0005-0000-0000-0000181F0000}"/>
    <cellStyle name="40% - Accent4 6 3 5" xfId="7000" xr:uid="{00000000-0005-0000-0000-0000191F0000}"/>
    <cellStyle name="40% - Accent4 6 3 6" xfId="5801" xr:uid="{00000000-0005-0000-0000-00001A1F0000}"/>
    <cellStyle name="40% - Accent4 6 3 7" xfId="4602" xr:uid="{00000000-0005-0000-0000-00001B1F0000}"/>
    <cellStyle name="40% - Accent4 6 4" xfId="1574" xr:uid="{00000000-0005-0000-0000-00001C1F0000}"/>
    <cellStyle name="40% - Accent4 6 4 2" xfId="10595" xr:uid="{00000000-0005-0000-0000-00001D1F0000}"/>
    <cellStyle name="40% - Accent4 6 4 3" xfId="9397" xr:uid="{00000000-0005-0000-0000-00001E1F0000}"/>
    <cellStyle name="40% - Accent4 6 4 4" xfId="8199" xr:uid="{00000000-0005-0000-0000-00001F1F0000}"/>
    <cellStyle name="40% - Accent4 6 4 5" xfId="7001" xr:uid="{00000000-0005-0000-0000-0000201F0000}"/>
    <cellStyle name="40% - Accent4 6 4 6" xfId="5802" xr:uid="{00000000-0005-0000-0000-0000211F0000}"/>
    <cellStyle name="40% - Accent4 6 4 7" xfId="4603" xr:uid="{00000000-0005-0000-0000-0000221F0000}"/>
    <cellStyle name="40% - Accent4 6 5" xfId="10592" xr:uid="{00000000-0005-0000-0000-0000231F0000}"/>
    <cellStyle name="40% - Accent4 6 6" xfId="9394" xr:uid="{00000000-0005-0000-0000-0000241F0000}"/>
    <cellStyle name="40% - Accent4 6 7" xfId="8196" xr:uid="{00000000-0005-0000-0000-0000251F0000}"/>
    <cellStyle name="40% - Accent4 6 8" xfId="6998" xr:uid="{00000000-0005-0000-0000-0000261F0000}"/>
    <cellStyle name="40% - Accent4 6 9" xfId="5799" xr:uid="{00000000-0005-0000-0000-0000271F0000}"/>
    <cellStyle name="40% - Accent4 6_2" xfId="1575" xr:uid="{00000000-0005-0000-0000-0000281F0000}"/>
    <cellStyle name="40% - Accent4 7" xfId="1576" xr:uid="{00000000-0005-0000-0000-0000291F0000}"/>
    <cellStyle name="40% - Accent4 7 10" xfId="4604" xr:uid="{00000000-0005-0000-0000-00002A1F0000}"/>
    <cellStyle name="40% - Accent4 7 2" xfId="1577" xr:uid="{00000000-0005-0000-0000-00002B1F0000}"/>
    <cellStyle name="40% - Accent4 7 2 2" xfId="10597" xr:uid="{00000000-0005-0000-0000-00002C1F0000}"/>
    <cellStyle name="40% - Accent4 7 2 3" xfId="9399" xr:uid="{00000000-0005-0000-0000-00002D1F0000}"/>
    <cellStyle name="40% - Accent4 7 2 4" xfId="8201" xr:uid="{00000000-0005-0000-0000-00002E1F0000}"/>
    <cellStyle name="40% - Accent4 7 2 5" xfId="7003" xr:uid="{00000000-0005-0000-0000-00002F1F0000}"/>
    <cellStyle name="40% - Accent4 7 2 6" xfId="5804" xr:uid="{00000000-0005-0000-0000-0000301F0000}"/>
    <cellStyle name="40% - Accent4 7 2 7" xfId="4605" xr:uid="{00000000-0005-0000-0000-0000311F0000}"/>
    <cellStyle name="40% - Accent4 7 3" xfId="1578" xr:uid="{00000000-0005-0000-0000-0000321F0000}"/>
    <cellStyle name="40% - Accent4 7 3 2" xfId="10598" xr:uid="{00000000-0005-0000-0000-0000331F0000}"/>
    <cellStyle name="40% - Accent4 7 3 3" xfId="9400" xr:uid="{00000000-0005-0000-0000-0000341F0000}"/>
    <cellStyle name="40% - Accent4 7 3 4" xfId="8202" xr:uid="{00000000-0005-0000-0000-0000351F0000}"/>
    <cellStyle name="40% - Accent4 7 3 5" xfId="7004" xr:uid="{00000000-0005-0000-0000-0000361F0000}"/>
    <cellStyle name="40% - Accent4 7 3 6" xfId="5805" xr:uid="{00000000-0005-0000-0000-0000371F0000}"/>
    <cellStyle name="40% - Accent4 7 3 7" xfId="4606" xr:uid="{00000000-0005-0000-0000-0000381F0000}"/>
    <cellStyle name="40% - Accent4 7 4" xfId="1579" xr:uid="{00000000-0005-0000-0000-0000391F0000}"/>
    <cellStyle name="40% - Accent4 7 4 2" xfId="10599" xr:uid="{00000000-0005-0000-0000-00003A1F0000}"/>
    <cellStyle name="40% - Accent4 7 4 3" xfId="9401" xr:uid="{00000000-0005-0000-0000-00003B1F0000}"/>
    <cellStyle name="40% - Accent4 7 4 4" xfId="8203" xr:uid="{00000000-0005-0000-0000-00003C1F0000}"/>
    <cellStyle name="40% - Accent4 7 4 5" xfId="7005" xr:uid="{00000000-0005-0000-0000-00003D1F0000}"/>
    <cellStyle name="40% - Accent4 7 4 6" xfId="5806" xr:uid="{00000000-0005-0000-0000-00003E1F0000}"/>
    <cellStyle name="40% - Accent4 7 4 7" xfId="4607" xr:uid="{00000000-0005-0000-0000-00003F1F0000}"/>
    <cellStyle name="40% - Accent4 7 5" xfId="10596" xr:uid="{00000000-0005-0000-0000-0000401F0000}"/>
    <cellStyle name="40% - Accent4 7 6" xfId="9398" xr:uid="{00000000-0005-0000-0000-0000411F0000}"/>
    <cellStyle name="40% - Accent4 7 7" xfId="8200" xr:uid="{00000000-0005-0000-0000-0000421F0000}"/>
    <cellStyle name="40% - Accent4 7 8" xfId="7002" xr:uid="{00000000-0005-0000-0000-0000431F0000}"/>
    <cellStyle name="40% - Accent4 7 9" xfId="5803" xr:uid="{00000000-0005-0000-0000-0000441F0000}"/>
    <cellStyle name="40% - Accent4 7_2" xfId="1580" xr:uid="{00000000-0005-0000-0000-0000451F0000}"/>
    <cellStyle name="40% - Accent4 8" xfId="1581" xr:uid="{00000000-0005-0000-0000-0000461F0000}"/>
    <cellStyle name="40% - Accent4 8 10" xfId="4608" xr:uid="{00000000-0005-0000-0000-0000471F0000}"/>
    <cellStyle name="40% - Accent4 8 2" xfId="1582" xr:uid="{00000000-0005-0000-0000-0000481F0000}"/>
    <cellStyle name="40% - Accent4 8 2 2" xfId="10601" xr:uid="{00000000-0005-0000-0000-0000491F0000}"/>
    <cellStyle name="40% - Accent4 8 2 3" xfId="9403" xr:uid="{00000000-0005-0000-0000-00004A1F0000}"/>
    <cellStyle name="40% - Accent4 8 2 4" xfId="8205" xr:uid="{00000000-0005-0000-0000-00004B1F0000}"/>
    <cellStyle name="40% - Accent4 8 2 5" xfId="7007" xr:uid="{00000000-0005-0000-0000-00004C1F0000}"/>
    <cellStyle name="40% - Accent4 8 2 6" xfId="5808" xr:uid="{00000000-0005-0000-0000-00004D1F0000}"/>
    <cellStyle name="40% - Accent4 8 2 7" xfId="4609" xr:uid="{00000000-0005-0000-0000-00004E1F0000}"/>
    <cellStyle name="40% - Accent4 8 3" xfId="1583" xr:uid="{00000000-0005-0000-0000-00004F1F0000}"/>
    <cellStyle name="40% - Accent4 8 3 2" xfId="10602" xr:uid="{00000000-0005-0000-0000-0000501F0000}"/>
    <cellStyle name="40% - Accent4 8 3 3" xfId="9404" xr:uid="{00000000-0005-0000-0000-0000511F0000}"/>
    <cellStyle name="40% - Accent4 8 3 4" xfId="8206" xr:uid="{00000000-0005-0000-0000-0000521F0000}"/>
    <cellStyle name="40% - Accent4 8 3 5" xfId="7008" xr:uid="{00000000-0005-0000-0000-0000531F0000}"/>
    <cellStyle name="40% - Accent4 8 3 6" xfId="5809" xr:uid="{00000000-0005-0000-0000-0000541F0000}"/>
    <cellStyle name="40% - Accent4 8 3 7" xfId="4610" xr:uid="{00000000-0005-0000-0000-0000551F0000}"/>
    <cellStyle name="40% - Accent4 8 4" xfId="1584" xr:uid="{00000000-0005-0000-0000-0000561F0000}"/>
    <cellStyle name="40% - Accent4 8 4 2" xfId="10603" xr:uid="{00000000-0005-0000-0000-0000571F0000}"/>
    <cellStyle name="40% - Accent4 8 4 3" xfId="9405" xr:uid="{00000000-0005-0000-0000-0000581F0000}"/>
    <cellStyle name="40% - Accent4 8 4 4" xfId="8207" xr:uid="{00000000-0005-0000-0000-0000591F0000}"/>
    <cellStyle name="40% - Accent4 8 4 5" xfId="7009" xr:uid="{00000000-0005-0000-0000-00005A1F0000}"/>
    <cellStyle name="40% - Accent4 8 4 6" xfId="5810" xr:uid="{00000000-0005-0000-0000-00005B1F0000}"/>
    <cellStyle name="40% - Accent4 8 4 7" xfId="4611" xr:uid="{00000000-0005-0000-0000-00005C1F0000}"/>
    <cellStyle name="40% - Accent4 8 5" xfId="10600" xr:uid="{00000000-0005-0000-0000-00005D1F0000}"/>
    <cellStyle name="40% - Accent4 8 6" xfId="9402" xr:uid="{00000000-0005-0000-0000-00005E1F0000}"/>
    <cellStyle name="40% - Accent4 8 7" xfId="8204" xr:uid="{00000000-0005-0000-0000-00005F1F0000}"/>
    <cellStyle name="40% - Accent4 8 8" xfId="7006" xr:uid="{00000000-0005-0000-0000-0000601F0000}"/>
    <cellStyle name="40% - Accent4 8 9" xfId="5807" xr:uid="{00000000-0005-0000-0000-0000611F0000}"/>
    <cellStyle name="40% - Accent4 8_2" xfId="1585" xr:uid="{00000000-0005-0000-0000-0000621F0000}"/>
    <cellStyle name="40% - Accent4 9" xfId="1586" xr:uid="{00000000-0005-0000-0000-0000631F0000}"/>
    <cellStyle name="40% - Accent4 9 2" xfId="10604" xr:uid="{00000000-0005-0000-0000-0000641F0000}"/>
    <cellStyle name="40% - Accent4 9 3" xfId="9406" xr:uid="{00000000-0005-0000-0000-0000651F0000}"/>
    <cellStyle name="40% - Accent4 9 4" xfId="8208" xr:uid="{00000000-0005-0000-0000-0000661F0000}"/>
    <cellStyle name="40% - Accent4 9 5" xfId="7010" xr:uid="{00000000-0005-0000-0000-0000671F0000}"/>
    <cellStyle name="40% - Accent4 9 6" xfId="5811" xr:uid="{00000000-0005-0000-0000-0000681F0000}"/>
    <cellStyle name="40% - Accent4 9 7" xfId="4612" xr:uid="{00000000-0005-0000-0000-0000691F0000}"/>
    <cellStyle name="40% - Accent5 10" xfId="1587" xr:uid="{00000000-0005-0000-0000-00006A1F0000}"/>
    <cellStyle name="40% - Accent5 10 2" xfId="10605" xr:uid="{00000000-0005-0000-0000-00006B1F0000}"/>
    <cellStyle name="40% - Accent5 10 3" xfId="9407" xr:uid="{00000000-0005-0000-0000-00006C1F0000}"/>
    <cellStyle name="40% - Accent5 10 4" xfId="8209" xr:uid="{00000000-0005-0000-0000-00006D1F0000}"/>
    <cellStyle name="40% - Accent5 10 5" xfId="7011" xr:uid="{00000000-0005-0000-0000-00006E1F0000}"/>
    <cellStyle name="40% - Accent5 10 6" xfId="5812" xr:uid="{00000000-0005-0000-0000-00006F1F0000}"/>
    <cellStyle name="40% - Accent5 10 7" xfId="4613" xr:uid="{00000000-0005-0000-0000-0000701F0000}"/>
    <cellStyle name="40% - Accent5 11" xfId="1588" xr:uid="{00000000-0005-0000-0000-0000711F0000}"/>
    <cellStyle name="40% - Accent5 11 2" xfId="10606" xr:uid="{00000000-0005-0000-0000-0000721F0000}"/>
    <cellStyle name="40% - Accent5 11 3" xfId="9408" xr:uid="{00000000-0005-0000-0000-0000731F0000}"/>
    <cellStyle name="40% - Accent5 11 4" xfId="8210" xr:uid="{00000000-0005-0000-0000-0000741F0000}"/>
    <cellStyle name="40% - Accent5 11 5" xfId="7012" xr:uid="{00000000-0005-0000-0000-0000751F0000}"/>
    <cellStyle name="40% - Accent5 11 6" xfId="5813" xr:uid="{00000000-0005-0000-0000-0000761F0000}"/>
    <cellStyle name="40% - Accent5 11 7" xfId="4614" xr:uid="{00000000-0005-0000-0000-0000771F0000}"/>
    <cellStyle name="40% - Accent5 12" xfId="1589" xr:uid="{00000000-0005-0000-0000-0000781F0000}"/>
    <cellStyle name="40% - Accent5 12 2" xfId="1590" xr:uid="{00000000-0005-0000-0000-0000791F0000}"/>
    <cellStyle name="40% - Accent5 12 2 2" xfId="10608" xr:uid="{00000000-0005-0000-0000-00007A1F0000}"/>
    <cellStyle name="40% - Accent5 12 2 3" xfId="9410" xr:uid="{00000000-0005-0000-0000-00007B1F0000}"/>
    <cellStyle name="40% - Accent5 12 2 4" xfId="8212" xr:uid="{00000000-0005-0000-0000-00007C1F0000}"/>
    <cellStyle name="40% - Accent5 12 2 5" xfId="7014" xr:uid="{00000000-0005-0000-0000-00007D1F0000}"/>
    <cellStyle name="40% - Accent5 12 2 6" xfId="5815" xr:uid="{00000000-0005-0000-0000-00007E1F0000}"/>
    <cellStyle name="40% - Accent5 12 2 7" xfId="4616" xr:uid="{00000000-0005-0000-0000-00007F1F0000}"/>
    <cellStyle name="40% - Accent5 12 3" xfId="10607" xr:uid="{00000000-0005-0000-0000-0000801F0000}"/>
    <cellStyle name="40% - Accent5 12 4" xfId="9409" xr:uid="{00000000-0005-0000-0000-0000811F0000}"/>
    <cellStyle name="40% - Accent5 12 5" xfId="8211" xr:uid="{00000000-0005-0000-0000-0000821F0000}"/>
    <cellStyle name="40% - Accent5 12 6" xfId="7013" xr:uid="{00000000-0005-0000-0000-0000831F0000}"/>
    <cellStyle name="40% - Accent5 12 7" xfId="5814" xr:uid="{00000000-0005-0000-0000-0000841F0000}"/>
    <cellStyle name="40% - Accent5 12 8" xfId="4615" xr:uid="{00000000-0005-0000-0000-0000851F0000}"/>
    <cellStyle name="40% - Accent5 12_2" xfId="1591" xr:uid="{00000000-0005-0000-0000-0000861F0000}"/>
    <cellStyle name="40% - Accent5 13" xfId="1592" xr:uid="{00000000-0005-0000-0000-0000871F0000}"/>
    <cellStyle name="40% - Accent5 13 2" xfId="1593" xr:uid="{00000000-0005-0000-0000-0000881F0000}"/>
    <cellStyle name="40% - Accent5 13 2 2" xfId="10610" xr:uid="{00000000-0005-0000-0000-0000891F0000}"/>
    <cellStyle name="40% - Accent5 13 2 3" xfId="9412" xr:uid="{00000000-0005-0000-0000-00008A1F0000}"/>
    <cellStyle name="40% - Accent5 13 2 4" xfId="8214" xr:uid="{00000000-0005-0000-0000-00008B1F0000}"/>
    <cellStyle name="40% - Accent5 13 2 5" xfId="7016" xr:uid="{00000000-0005-0000-0000-00008C1F0000}"/>
    <cellStyle name="40% - Accent5 13 2 6" xfId="5817" xr:uid="{00000000-0005-0000-0000-00008D1F0000}"/>
    <cellStyle name="40% - Accent5 13 2 7" xfId="4618" xr:uid="{00000000-0005-0000-0000-00008E1F0000}"/>
    <cellStyle name="40% - Accent5 13 3" xfId="10609" xr:uid="{00000000-0005-0000-0000-00008F1F0000}"/>
    <cellStyle name="40% - Accent5 13 4" xfId="9411" xr:uid="{00000000-0005-0000-0000-0000901F0000}"/>
    <cellStyle name="40% - Accent5 13 5" xfId="8213" xr:uid="{00000000-0005-0000-0000-0000911F0000}"/>
    <cellStyle name="40% - Accent5 13 6" xfId="7015" xr:uid="{00000000-0005-0000-0000-0000921F0000}"/>
    <cellStyle name="40% - Accent5 13 7" xfId="5816" xr:uid="{00000000-0005-0000-0000-0000931F0000}"/>
    <cellStyle name="40% - Accent5 13 8" xfId="4617" xr:uid="{00000000-0005-0000-0000-0000941F0000}"/>
    <cellStyle name="40% - Accent5 13_2" xfId="1594" xr:uid="{00000000-0005-0000-0000-0000951F0000}"/>
    <cellStyle name="40% - Accent5 14" xfId="1595" xr:uid="{00000000-0005-0000-0000-0000961F0000}"/>
    <cellStyle name="40% - Accent5 14 2" xfId="1596" xr:uid="{00000000-0005-0000-0000-0000971F0000}"/>
    <cellStyle name="40% - Accent5 14 2 2" xfId="10612" xr:uid="{00000000-0005-0000-0000-0000981F0000}"/>
    <cellStyle name="40% - Accent5 14 2 3" xfId="9414" xr:uid="{00000000-0005-0000-0000-0000991F0000}"/>
    <cellStyle name="40% - Accent5 14 2 4" xfId="8216" xr:uid="{00000000-0005-0000-0000-00009A1F0000}"/>
    <cellStyle name="40% - Accent5 14 2 5" xfId="7018" xr:uid="{00000000-0005-0000-0000-00009B1F0000}"/>
    <cellStyle name="40% - Accent5 14 2 6" xfId="5819" xr:uid="{00000000-0005-0000-0000-00009C1F0000}"/>
    <cellStyle name="40% - Accent5 14 2 7" xfId="4620" xr:uid="{00000000-0005-0000-0000-00009D1F0000}"/>
    <cellStyle name="40% - Accent5 14 3" xfId="10611" xr:uid="{00000000-0005-0000-0000-00009E1F0000}"/>
    <cellStyle name="40% - Accent5 14 4" xfId="9413" xr:uid="{00000000-0005-0000-0000-00009F1F0000}"/>
    <cellStyle name="40% - Accent5 14 5" xfId="8215" xr:uid="{00000000-0005-0000-0000-0000A01F0000}"/>
    <cellStyle name="40% - Accent5 14 6" xfId="7017" xr:uid="{00000000-0005-0000-0000-0000A11F0000}"/>
    <cellStyle name="40% - Accent5 14 7" xfId="5818" xr:uid="{00000000-0005-0000-0000-0000A21F0000}"/>
    <cellStyle name="40% - Accent5 14 8" xfId="4619" xr:uid="{00000000-0005-0000-0000-0000A31F0000}"/>
    <cellStyle name="40% - Accent5 14_2" xfId="1597" xr:uid="{00000000-0005-0000-0000-0000A41F0000}"/>
    <cellStyle name="40% - Accent5 15" xfId="1598" xr:uid="{00000000-0005-0000-0000-0000A51F0000}"/>
    <cellStyle name="40% - Accent5 15 2" xfId="10613" xr:uid="{00000000-0005-0000-0000-0000A61F0000}"/>
    <cellStyle name="40% - Accent5 15 3" xfId="9415" xr:uid="{00000000-0005-0000-0000-0000A71F0000}"/>
    <cellStyle name="40% - Accent5 15 4" xfId="8217" xr:uid="{00000000-0005-0000-0000-0000A81F0000}"/>
    <cellStyle name="40% - Accent5 15 5" xfId="7019" xr:uid="{00000000-0005-0000-0000-0000A91F0000}"/>
    <cellStyle name="40% - Accent5 15 6" xfId="5820" xr:uid="{00000000-0005-0000-0000-0000AA1F0000}"/>
    <cellStyle name="40% - Accent5 15 7" xfId="4621" xr:uid="{00000000-0005-0000-0000-0000AB1F0000}"/>
    <cellStyle name="40% - Accent5 16" xfId="1599" xr:uid="{00000000-0005-0000-0000-0000AC1F0000}"/>
    <cellStyle name="40% - Accent5 16 2" xfId="10614" xr:uid="{00000000-0005-0000-0000-0000AD1F0000}"/>
    <cellStyle name="40% - Accent5 16 3" xfId="9416" xr:uid="{00000000-0005-0000-0000-0000AE1F0000}"/>
    <cellStyle name="40% - Accent5 16 4" xfId="8218" xr:uid="{00000000-0005-0000-0000-0000AF1F0000}"/>
    <cellStyle name="40% - Accent5 16 5" xfId="7020" xr:uid="{00000000-0005-0000-0000-0000B01F0000}"/>
    <cellStyle name="40% - Accent5 16 6" xfId="5821" xr:uid="{00000000-0005-0000-0000-0000B11F0000}"/>
    <cellStyle name="40% - Accent5 16 7" xfId="4622" xr:uid="{00000000-0005-0000-0000-0000B21F0000}"/>
    <cellStyle name="40% - Accent5 2" xfId="1600" xr:uid="{00000000-0005-0000-0000-0000B31F0000}"/>
    <cellStyle name="40% - Accent5 2 10" xfId="10615" xr:uid="{00000000-0005-0000-0000-0000B41F0000}"/>
    <cellStyle name="40% - Accent5 2 11" xfId="9417" xr:uid="{00000000-0005-0000-0000-0000B51F0000}"/>
    <cellStyle name="40% - Accent5 2 12" xfId="8219" xr:uid="{00000000-0005-0000-0000-0000B61F0000}"/>
    <cellStyle name="40% - Accent5 2 13" xfId="7021" xr:uid="{00000000-0005-0000-0000-0000B71F0000}"/>
    <cellStyle name="40% - Accent5 2 14" xfId="5822" xr:uid="{00000000-0005-0000-0000-0000B81F0000}"/>
    <cellStyle name="40% - Accent5 2 15" xfId="4623" xr:uid="{00000000-0005-0000-0000-0000B91F0000}"/>
    <cellStyle name="40% - Accent5 2 2" xfId="1601" xr:uid="{00000000-0005-0000-0000-0000BA1F0000}"/>
    <cellStyle name="40% - Accent5 2 2 2" xfId="10616" xr:uid="{00000000-0005-0000-0000-0000BB1F0000}"/>
    <cellStyle name="40% - Accent5 2 2 3" xfId="9418" xr:uid="{00000000-0005-0000-0000-0000BC1F0000}"/>
    <cellStyle name="40% - Accent5 2 2 4" xfId="8220" xr:uid="{00000000-0005-0000-0000-0000BD1F0000}"/>
    <cellStyle name="40% - Accent5 2 2 5" xfId="7022" xr:uid="{00000000-0005-0000-0000-0000BE1F0000}"/>
    <cellStyle name="40% - Accent5 2 2 6" xfId="5823" xr:uid="{00000000-0005-0000-0000-0000BF1F0000}"/>
    <cellStyle name="40% - Accent5 2 2 7" xfId="4624" xr:uid="{00000000-0005-0000-0000-0000C01F0000}"/>
    <cellStyle name="40% - Accent5 2 3" xfId="1602" xr:uid="{00000000-0005-0000-0000-0000C11F0000}"/>
    <cellStyle name="40% - Accent5 2 3 2" xfId="10617" xr:uid="{00000000-0005-0000-0000-0000C21F0000}"/>
    <cellStyle name="40% - Accent5 2 3 3" xfId="9419" xr:uid="{00000000-0005-0000-0000-0000C31F0000}"/>
    <cellStyle name="40% - Accent5 2 3 4" xfId="8221" xr:uid="{00000000-0005-0000-0000-0000C41F0000}"/>
    <cellStyle name="40% - Accent5 2 3 5" xfId="7023" xr:uid="{00000000-0005-0000-0000-0000C51F0000}"/>
    <cellStyle name="40% - Accent5 2 3 6" xfId="5824" xr:uid="{00000000-0005-0000-0000-0000C61F0000}"/>
    <cellStyle name="40% - Accent5 2 3 7" xfId="4625" xr:uid="{00000000-0005-0000-0000-0000C71F0000}"/>
    <cellStyle name="40% - Accent5 2 4" xfId="1603" xr:uid="{00000000-0005-0000-0000-0000C81F0000}"/>
    <cellStyle name="40% - Accent5 2 4 2" xfId="10618" xr:uid="{00000000-0005-0000-0000-0000C91F0000}"/>
    <cellStyle name="40% - Accent5 2 4 3" xfId="9420" xr:uid="{00000000-0005-0000-0000-0000CA1F0000}"/>
    <cellStyle name="40% - Accent5 2 4 4" xfId="8222" xr:uid="{00000000-0005-0000-0000-0000CB1F0000}"/>
    <cellStyle name="40% - Accent5 2 4 5" xfId="7024" xr:uid="{00000000-0005-0000-0000-0000CC1F0000}"/>
    <cellStyle name="40% - Accent5 2 4 6" xfId="5825" xr:uid="{00000000-0005-0000-0000-0000CD1F0000}"/>
    <cellStyle name="40% - Accent5 2 4 7" xfId="4626" xr:uid="{00000000-0005-0000-0000-0000CE1F0000}"/>
    <cellStyle name="40% - Accent5 2 5" xfId="1604" xr:uid="{00000000-0005-0000-0000-0000CF1F0000}"/>
    <cellStyle name="40% - Accent5 2 5 2" xfId="10619" xr:uid="{00000000-0005-0000-0000-0000D01F0000}"/>
    <cellStyle name="40% - Accent5 2 5 3" xfId="9421" xr:uid="{00000000-0005-0000-0000-0000D11F0000}"/>
    <cellStyle name="40% - Accent5 2 5 4" xfId="8223" xr:uid="{00000000-0005-0000-0000-0000D21F0000}"/>
    <cellStyle name="40% - Accent5 2 5 5" xfId="7025" xr:uid="{00000000-0005-0000-0000-0000D31F0000}"/>
    <cellStyle name="40% - Accent5 2 5 6" xfId="5826" xr:uid="{00000000-0005-0000-0000-0000D41F0000}"/>
    <cellStyle name="40% - Accent5 2 5 7" xfId="4627" xr:uid="{00000000-0005-0000-0000-0000D51F0000}"/>
    <cellStyle name="40% - Accent5 2 6" xfId="1605" xr:uid="{00000000-0005-0000-0000-0000D61F0000}"/>
    <cellStyle name="40% - Accent5 2 6 2" xfId="10620" xr:uid="{00000000-0005-0000-0000-0000D71F0000}"/>
    <cellStyle name="40% - Accent5 2 6 3" xfId="9422" xr:uid="{00000000-0005-0000-0000-0000D81F0000}"/>
    <cellStyle name="40% - Accent5 2 6 4" xfId="8224" xr:uid="{00000000-0005-0000-0000-0000D91F0000}"/>
    <cellStyle name="40% - Accent5 2 6 5" xfId="7026" xr:uid="{00000000-0005-0000-0000-0000DA1F0000}"/>
    <cellStyle name="40% - Accent5 2 6 6" xfId="5827" xr:uid="{00000000-0005-0000-0000-0000DB1F0000}"/>
    <cellStyle name="40% - Accent5 2 6 7" xfId="4628" xr:uid="{00000000-0005-0000-0000-0000DC1F0000}"/>
    <cellStyle name="40% - Accent5 2 7" xfId="1606" xr:uid="{00000000-0005-0000-0000-0000DD1F0000}"/>
    <cellStyle name="40% - Accent5 2 7 2" xfId="10621" xr:uid="{00000000-0005-0000-0000-0000DE1F0000}"/>
    <cellStyle name="40% - Accent5 2 7 3" xfId="9423" xr:uid="{00000000-0005-0000-0000-0000DF1F0000}"/>
    <cellStyle name="40% - Accent5 2 7 4" xfId="8225" xr:uid="{00000000-0005-0000-0000-0000E01F0000}"/>
    <cellStyle name="40% - Accent5 2 7 5" xfId="7027" xr:uid="{00000000-0005-0000-0000-0000E11F0000}"/>
    <cellStyle name="40% - Accent5 2 7 6" xfId="5828" xr:uid="{00000000-0005-0000-0000-0000E21F0000}"/>
    <cellStyle name="40% - Accent5 2 7 7" xfId="4629" xr:uid="{00000000-0005-0000-0000-0000E31F0000}"/>
    <cellStyle name="40% - Accent5 2 8" xfId="1607" xr:uid="{00000000-0005-0000-0000-0000E41F0000}"/>
    <cellStyle name="40% - Accent5 2 8 2" xfId="10622" xr:uid="{00000000-0005-0000-0000-0000E51F0000}"/>
    <cellStyle name="40% - Accent5 2 8 3" xfId="9424" xr:uid="{00000000-0005-0000-0000-0000E61F0000}"/>
    <cellStyle name="40% - Accent5 2 8 4" xfId="8226" xr:uid="{00000000-0005-0000-0000-0000E71F0000}"/>
    <cellStyle name="40% - Accent5 2 8 5" xfId="7028" xr:uid="{00000000-0005-0000-0000-0000E81F0000}"/>
    <cellStyle name="40% - Accent5 2 8 6" xfId="5829" xr:uid="{00000000-0005-0000-0000-0000E91F0000}"/>
    <cellStyle name="40% - Accent5 2 8 7" xfId="4630" xr:uid="{00000000-0005-0000-0000-0000EA1F0000}"/>
    <cellStyle name="40% - Accent5 2 9" xfId="1608" xr:uid="{00000000-0005-0000-0000-0000EB1F0000}"/>
    <cellStyle name="40% - Accent5 2 9 2" xfId="10623" xr:uid="{00000000-0005-0000-0000-0000EC1F0000}"/>
    <cellStyle name="40% - Accent5 2 9 3" xfId="9425" xr:uid="{00000000-0005-0000-0000-0000ED1F0000}"/>
    <cellStyle name="40% - Accent5 2 9 4" xfId="8227" xr:uid="{00000000-0005-0000-0000-0000EE1F0000}"/>
    <cellStyle name="40% - Accent5 2 9 5" xfId="7029" xr:uid="{00000000-0005-0000-0000-0000EF1F0000}"/>
    <cellStyle name="40% - Accent5 2 9 6" xfId="5830" xr:uid="{00000000-0005-0000-0000-0000F01F0000}"/>
    <cellStyle name="40% - Accent5 2 9 7" xfId="4631" xr:uid="{00000000-0005-0000-0000-0000F11F0000}"/>
    <cellStyle name="40% - Accent5 2_2" xfId="1609" xr:uid="{00000000-0005-0000-0000-0000F21F0000}"/>
    <cellStyle name="40% - Accent5 3" xfId="1610" xr:uid="{00000000-0005-0000-0000-0000F31F0000}"/>
    <cellStyle name="40% - Accent5 3 10" xfId="4632" xr:uid="{00000000-0005-0000-0000-0000F41F0000}"/>
    <cellStyle name="40% - Accent5 3 2" xfId="1611" xr:uid="{00000000-0005-0000-0000-0000F51F0000}"/>
    <cellStyle name="40% - Accent5 3 2 2" xfId="10625" xr:uid="{00000000-0005-0000-0000-0000F61F0000}"/>
    <cellStyle name="40% - Accent5 3 2 3" xfId="9427" xr:uid="{00000000-0005-0000-0000-0000F71F0000}"/>
    <cellStyle name="40% - Accent5 3 2 4" xfId="8229" xr:uid="{00000000-0005-0000-0000-0000F81F0000}"/>
    <cellStyle name="40% - Accent5 3 2 5" xfId="7031" xr:uid="{00000000-0005-0000-0000-0000F91F0000}"/>
    <cellStyle name="40% - Accent5 3 2 6" xfId="5832" xr:uid="{00000000-0005-0000-0000-0000FA1F0000}"/>
    <cellStyle name="40% - Accent5 3 2 7" xfId="4633" xr:uid="{00000000-0005-0000-0000-0000FB1F0000}"/>
    <cellStyle name="40% - Accent5 3 3" xfId="1612" xr:uid="{00000000-0005-0000-0000-0000FC1F0000}"/>
    <cellStyle name="40% - Accent5 3 3 2" xfId="10626" xr:uid="{00000000-0005-0000-0000-0000FD1F0000}"/>
    <cellStyle name="40% - Accent5 3 3 3" xfId="9428" xr:uid="{00000000-0005-0000-0000-0000FE1F0000}"/>
    <cellStyle name="40% - Accent5 3 3 4" xfId="8230" xr:uid="{00000000-0005-0000-0000-0000FF1F0000}"/>
    <cellStyle name="40% - Accent5 3 3 5" xfId="7032" xr:uid="{00000000-0005-0000-0000-000000200000}"/>
    <cellStyle name="40% - Accent5 3 3 6" xfId="5833" xr:uid="{00000000-0005-0000-0000-000001200000}"/>
    <cellStyle name="40% - Accent5 3 3 7" xfId="4634" xr:uid="{00000000-0005-0000-0000-000002200000}"/>
    <cellStyle name="40% - Accent5 3 4" xfId="1613" xr:uid="{00000000-0005-0000-0000-000003200000}"/>
    <cellStyle name="40% - Accent5 3 4 2" xfId="10627" xr:uid="{00000000-0005-0000-0000-000004200000}"/>
    <cellStyle name="40% - Accent5 3 4 3" xfId="9429" xr:uid="{00000000-0005-0000-0000-000005200000}"/>
    <cellStyle name="40% - Accent5 3 4 4" xfId="8231" xr:uid="{00000000-0005-0000-0000-000006200000}"/>
    <cellStyle name="40% - Accent5 3 4 5" xfId="7033" xr:uid="{00000000-0005-0000-0000-000007200000}"/>
    <cellStyle name="40% - Accent5 3 4 6" xfId="5834" xr:uid="{00000000-0005-0000-0000-000008200000}"/>
    <cellStyle name="40% - Accent5 3 4 7" xfId="4635" xr:uid="{00000000-0005-0000-0000-000009200000}"/>
    <cellStyle name="40% - Accent5 3 5" xfId="10624" xr:uid="{00000000-0005-0000-0000-00000A200000}"/>
    <cellStyle name="40% - Accent5 3 6" xfId="9426" xr:uid="{00000000-0005-0000-0000-00000B200000}"/>
    <cellStyle name="40% - Accent5 3 7" xfId="8228" xr:uid="{00000000-0005-0000-0000-00000C200000}"/>
    <cellStyle name="40% - Accent5 3 8" xfId="7030" xr:uid="{00000000-0005-0000-0000-00000D200000}"/>
    <cellStyle name="40% - Accent5 3 9" xfId="5831" xr:uid="{00000000-0005-0000-0000-00000E200000}"/>
    <cellStyle name="40% - Accent5 3_2" xfId="1614" xr:uid="{00000000-0005-0000-0000-00000F200000}"/>
    <cellStyle name="40% - Accent5 4" xfId="1615" xr:uid="{00000000-0005-0000-0000-000010200000}"/>
    <cellStyle name="40% - Accent5 4 10" xfId="4636" xr:uid="{00000000-0005-0000-0000-000011200000}"/>
    <cellStyle name="40% - Accent5 4 2" xfId="1616" xr:uid="{00000000-0005-0000-0000-000012200000}"/>
    <cellStyle name="40% - Accent5 4 2 2" xfId="10629" xr:uid="{00000000-0005-0000-0000-000013200000}"/>
    <cellStyle name="40% - Accent5 4 2 3" xfId="9431" xr:uid="{00000000-0005-0000-0000-000014200000}"/>
    <cellStyle name="40% - Accent5 4 2 4" xfId="8233" xr:uid="{00000000-0005-0000-0000-000015200000}"/>
    <cellStyle name="40% - Accent5 4 2 5" xfId="7035" xr:uid="{00000000-0005-0000-0000-000016200000}"/>
    <cellStyle name="40% - Accent5 4 2 6" xfId="5836" xr:uid="{00000000-0005-0000-0000-000017200000}"/>
    <cellStyle name="40% - Accent5 4 2 7" xfId="4637" xr:uid="{00000000-0005-0000-0000-000018200000}"/>
    <cellStyle name="40% - Accent5 4 3" xfId="1617" xr:uid="{00000000-0005-0000-0000-000019200000}"/>
    <cellStyle name="40% - Accent5 4 3 2" xfId="10630" xr:uid="{00000000-0005-0000-0000-00001A200000}"/>
    <cellStyle name="40% - Accent5 4 3 3" xfId="9432" xr:uid="{00000000-0005-0000-0000-00001B200000}"/>
    <cellStyle name="40% - Accent5 4 3 4" xfId="8234" xr:uid="{00000000-0005-0000-0000-00001C200000}"/>
    <cellStyle name="40% - Accent5 4 3 5" xfId="7036" xr:uid="{00000000-0005-0000-0000-00001D200000}"/>
    <cellStyle name="40% - Accent5 4 3 6" xfId="5837" xr:uid="{00000000-0005-0000-0000-00001E200000}"/>
    <cellStyle name="40% - Accent5 4 3 7" xfId="4638" xr:uid="{00000000-0005-0000-0000-00001F200000}"/>
    <cellStyle name="40% - Accent5 4 4" xfId="1618" xr:uid="{00000000-0005-0000-0000-000020200000}"/>
    <cellStyle name="40% - Accent5 4 4 2" xfId="10631" xr:uid="{00000000-0005-0000-0000-000021200000}"/>
    <cellStyle name="40% - Accent5 4 4 3" xfId="9433" xr:uid="{00000000-0005-0000-0000-000022200000}"/>
    <cellStyle name="40% - Accent5 4 4 4" xfId="8235" xr:uid="{00000000-0005-0000-0000-000023200000}"/>
    <cellStyle name="40% - Accent5 4 4 5" xfId="7037" xr:uid="{00000000-0005-0000-0000-000024200000}"/>
    <cellStyle name="40% - Accent5 4 4 6" xfId="5838" xr:uid="{00000000-0005-0000-0000-000025200000}"/>
    <cellStyle name="40% - Accent5 4 4 7" xfId="4639" xr:uid="{00000000-0005-0000-0000-000026200000}"/>
    <cellStyle name="40% - Accent5 4 5" xfId="10628" xr:uid="{00000000-0005-0000-0000-000027200000}"/>
    <cellStyle name="40% - Accent5 4 6" xfId="9430" xr:uid="{00000000-0005-0000-0000-000028200000}"/>
    <cellStyle name="40% - Accent5 4 7" xfId="8232" xr:uid="{00000000-0005-0000-0000-000029200000}"/>
    <cellStyle name="40% - Accent5 4 8" xfId="7034" xr:uid="{00000000-0005-0000-0000-00002A200000}"/>
    <cellStyle name="40% - Accent5 4 9" xfId="5835" xr:uid="{00000000-0005-0000-0000-00002B200000}"/>
    <cellStyle name="40% - Accent5 4_2" xfId="1619" xr:uid="{00000000-0005-0000-0000-00002C200000}"/>
    <cellStyle name="40% - Accent5 5" xfId="1620" xr:uid="{00000000-0005-0000-0000-00002D200000}"/>
    <cellStyle name="40% - Accent5 5 10" xfId="4640" xr:uid="{00000000-0005-0000-0000-00002E200000}"/>
    <cellStyle name="40% - Accent5 5 2" xfId="1621" xr:uid="{00000000-0005-0000-0000-00002F200000}"/>
    <cellStyle name="40% - Accent5 5 2 2" xfId="10633" xr:uid="{00000000-0005-0000-0000-000030200000}"/>
    <cellStyle name="40% - Accent5 5 2 3" xfId="9435" xr:uid="{00000000-0005-0000-0000-000031200000}"/>
    <cellStyle name="40% - Accent5 5 2 4" xfId="8237" xr:uid="{00000000-0005-0000-0000-000032200000}"/>
    <cellStyle name="40% - Accent5 5 2 5" xfId="7039" xr:uid="{00000000-0005-0000-0000-000033200000}"/>
    <cellStyle name="40% - Accent5 5 2 6" xfId="5840" xr:uid="{00000000-0005-0000-0000-000034200000}"/>
    <cellStyle name="40% - Accent5 5 2 7" xfId="4641" xr:uid="{00000000-0005-0000-0000-000035200000}"/>
    <cellStyle name="40% - Accent5 5 3" xfId="1622" xr:uid="{00000000-0005-0000-0000-000036200000}"/>
    <cellStyle name="40% - Accent5 5 3 2" xfId="10634" xr:uid="{00000000-0005-0000-0000-000037200000}"/>
    <cellStyle name="40% - Accent5 5 3 3" xfId="9436" xr:uid="{00000000-0005-0000-0000-000038200000}"/>
    <cellStyle name="40% - Accent5 5 3 4" xfId="8238" xr:uid="{00000000-0005-0000-0000-000039200000}"/>
    <cellStyle name="40% - Accent5 5 3 5" xfId="7040" xr:uid="{00000000-0005-0000-0000-00003A200000}"/>
    <cellStyle name="40% - Accent5 5 3 6" xfId="5841" xr:uid="{00000000-0005-0000-0000-00003B200000}"/>
    <cellStyle name="40% - Accent5 5 3 7" xfId="4642" xr:uid="{00000000-0005-0000-0000-00003C200000}"/>
    <cellStyle name="40% - Accent5 5 4" xfId="1623" xr:uid="{00000000-0005-0000-0000-00003D200000}"/>
    <cellStyle name="40% - Accent5 5 4 2" xfId="10635" xr:uid="{00000000-0005-0000-0000-00003E200000}"/>
    <cellStyle name="40% - Accent5 5 4 3" xfId="9437" xr:uid="{00000000-0005-0000-0000-00003F200000}"/>
    <cellStyle name="40% - Accent5 5 4 4" xfId="8239" xr:uid="{00000000-0005-0000-0000-000040200000}"/>
    <cellStyle name="40% - Accent5 5 4 5" xfId="7041" xr:uid="{00000000-0005-0000-0000-000041200000}"/>
    <cellStyle name="40% - Accent5 5 4 6" xfId="5842" xr:uid="{00000000-0005-0000-0000-000042200000}"/>
    <cellStyle name="40% - Accent5 5 4 7" xfId="4643" xr:uid="{00000000-0005-0000-0000-000043200000}"/>
    <cellStyle name="40% - Accent5 5 5" xfId="10632" xr:uid="{00000000-0005-0000-0000-000044200000}"/>
    <cellStyle name="40% - Accent5 5 6" xfId="9434" xr:uid="{00000000-0005-0000-0000-000045200000}"/>
    <cellStyle name="40% - Accent5 5 7" xfId="8236" xr:uid="{00000000-0005-0000-0000-000046200000}"/>
    <cellStyle name="40% - Accent5 5 8" xfId="7038" xr:uid="{00000000-0005-0000-0000-000047200000}"/>
    <cellStyle name="40% - Accent5 5 9" xfId="5839" xr:uid="{00000000-0005-0000-0000-000048200000}"/>
    <cellStyle name="40% - Accent5 5_2" xfId="1624" xr:uid="{00000000-0005-0000-0000-000049200000}"/>
    <cellStyle name="40% - Accent5 6" xfId="1625" xr:uid="{00000000-0005-0000-0000-00004A200000}"/>
    <cellStyle name="40% - Accent5 6 10" xfId="4644" xr:uid="{00000000-0005-0000-0000-00004B200000}"/>
    <cellStyle name="40% - Accent5 6 2" xfId="1626" xr:uid="{00000000-0005-0000-0000-00004C200000}"/>
    <cellStyle name="40% - Accent5 6 2 2" xfId="10637" xr:uid="{00000000-0005-0000-0000-00004D200000}"/>
    <cellStyle name="40% - Accent5 6 2 3" xfId="9439" xr:uid="{00000000-0005-0000-0000-00004E200000}"/>
    <cellStyle name="40% - Accent5 6 2 4" xfId="8241" xr:uid="{00000000-0005-0000-0000-00004F200000}"/>
    <cellStyle name="40% - Accent5 6 2 5" xfId="7043" xr:uid="{00000000-0005-0000-0000-000050200000}"/>
    <cellStyle name="40% - Accent5 6 2 6" xfId="5844" xr:uid="{00000000-0005-0000-0000-000051200000}"/>
    <cellStyle name="40% - Accent5 6 2 7" xfId="4645" xr:uid="{00000000-0005-0000-0000-000052200000}"/>
    <cellStyle name="40% - Accent5 6 3" xfId="1627" xr:uid="{00000000-0005-0000-0000-000053200000}"/>
    <cellStyle name="40% - Accent5 6 3 2" xfId="10638" xr:uid="{00000000-0005-0000-0000-000054200000}"/>
    <cellStyle name="40% - Accent5 6 3 3" xfId="9440" xr:uid="{00000000-0005-0000-0000-000055200000}"/>
    <cellStyle name="40% - Accent5 6 3 4" xfId="8242" xr:uid="{00000000-0005-0000-0000-000056200000}"/>
    <cellStyle name="40% - Accent5 6 3 5" xfId="7044" xr:uid="{00000000-0005-0000-0000-000057200000}"/>
    <cellStyle name="40% - Accent5 6 3 6" xfId="5845" xr:uid="{00000000-0005-0000-0000-000058200000}"/>
    <cellStyle name="40% - Accent5 6 3 7" xfId="4646" xr:uid="{00000000-0005-0000-0000-000059200000}"/>
    <cellStyle name="40% - Accent5 6 4" xfId="1628" xr:uid="{00000000-0005-0000-0000-00005A200000}"/>
    <cellStyle name="40% - Accent5 6 4 2" xfId="10639" xr:uid="{00000000-0005-0000-0000-00005B200000}"/>
    <cellStyle name="40% - Accent5 6 4 3" xfId="9441" xr:uid="{00000000-0005-0000-0000-00005C200000}"/>
    <cellStyle name="40% - Accent5 6 4 4" xfId="8243" xr:uid="{00000000-0005-0000-0000-00005D200000}"/>
    <cellStyle name="40% - Accent5 6 4 5" xfId="7045" xr:uid="{00000000-0005-0000-0000-00005E200000}"/>
    <cellStyle name="40% - Accent5 6 4 6" xfId="5846" xr:uid="{00000000-0005-0000-0000-00005F200000}"/>
    <cellStyle name="40% - Accent5 6 4 7" xfId="4647" xr:uid="{00000000-0005-0000-0000-000060200000}"/>
    <cellStyle name="40% - Accent5 6 5" xfId="10636" xr:uid="{00000000-0005-0000-0000-000061200000}"/>
    <cellStyle name="40% - Accent5 6 6" xfId="9438" xr:uid="{00000000-0005-0000-0000-000062200000}"/>
    <cellStyle name="40% - Accent5 6 7" xfId="8240" xr:uid="{00000000-0005-0000-0000-000063200000}"/>
    <cellStyle name="40% - Accent5 6 8" xfId="7042" xr:uid="{00000000-0005-0000-0000-000064200000}"/>
    <cellStyle name="40% - Accent5 6 9" xfId="5843" xr:uid="{00000000-0005-0000-0000-000065200000}"/>
    <cellStyle name="40% - Accent5 6_2" xfId="1629" xr:uid="{00000000-0005-0000-0000-000066200000}"/>
    <cellStyle name="40% - Accent5 7" xfId="1630" xr:uid="{00000000-0005-0000-0000-000067200000}"/>
    <cellStyle name="40% - Accent5 7 10" xfId="4648" xr:uid="{00000000-0005-0000-0000-000068200000}"/>
    <cellStyle name="40% - Accent5 7 2" xfId="1631" xr:uid="{00000000-0005-0000-0000-000069200000}"/>
    <cellStyle name="40% - Accent5 7 2 2" xfId="10641" xr:uid="{00000000-0005-0000-0000-00006A200000}"/>
    <cellStyle name="40% - Accent5 7 2 3" xfId="9443" xr:uid="{00000000-0005-0000-0000-00006B200000}"/>
    <cellStyle name="40% - Accent5 7 2 4" xfId="8245" xr:uid="{00000000-0005-0000-0000-00006C200000}"/>
    <cellStyle name="40% - Accent5 7 2 5" xfId="7047" xr:uid="{00000000-0005-0000-0000-00006D200000}"/>
    <cellStyle name="40% - Accent5 7 2 6" xfId="5848" xr:uid="{00000000-0005-0000-0000-00006E200000}"/>
    <cellStyle name="40% - Accent5 7 2 7" xfId="4649" xr:uid="{00000000-0005-0000-0000-00006F200000}"/>
    <cellStyle name="40% - Accent5 7 3" xfId="1632" xr:uid="{00000000-0005-0000-0000-000070200000}"/>
    <cellStyle name="40% - Accent5 7 3 2" xfId="10642" xr:uid="{00000000-0005-0000-0000-000071200000}"/>
    <cellStyle name="40% - Accent5 7 3 3" xfId="9444" xr:uid="{00000000-0005-0000-0000-000072200000}"/>
    <cellStyle name="40% - Accent5 7 3 4" xfId="8246" xr:uid="{00000000-0005-0000-0000-000073200000}"/>
    <cellStyle name="40% - Accent5 7 3 5" xfId="7048" xr:uid="{00000000-0005-0000-0000-000074200000}"/>
    <cellStyle name="40% - Accent5 7 3 6" xfId="5849" xr:uid="{00000000-0005-0000-0000-000075200000}"/>
    <cellStyle name="40% - Accent5 7 3 7" xfId="4650" xr:uid="{00000000-0005-0000-0000-000076200000}"/>
    <cellStyle name="40% - Accent5 7 4" xfId="1633" xr:uid="{00000000-0005-0000-0000-000077200000}"/>
    <cellStyle name="40% - Accent5 7 4 2" xfId="10643" xr:uid="{00000000-0005-0000-0000-000078200000}"/>
    <cellStyle name="40% - Accent5 7 4 3" xfId="9445" xr:uid="{00000000-0005-0000-0000-000079200000}"/>
    <cellStyle name="40% - Accent5 7 4 4" xfId="8247" xr:uid="{00000000-0005-0000-0000-00007A200000}"/>
    <cellStyle name="40% - Accent5 7 4 5" xfId="7049" xr:uid="{00000000-0005-0000-0000-00007B200000}"/>
    <cellStyle name="40% - Accent5 7 4 6" xfId="5850" xr:uid="{00000000-0005-0000-0000-00007C200000}"/>
    <cellStyle name="40% - Accent5 7 4 7" xfId="4651" xr:uid="{00000000-0005-0000-0000-00007D200000}"/>
    <cellStyle name="40% - Accent5 7 5" xfId="10640" xr:uid="{00000000-0005-0000-0000-00007E200000}"/>
    <cellStyle name="40% - Accent5 7 6" xfId="9442" xr:uid="{00000000-0005-0000-0000-00007F200000}"/>
    <cellStyle name="40% - Accent5 7 7" xfId="8244" xr:uid="{00000000-0005-0000-0000-000080200000}"/>
    <cellStyle name="40% - Accent5 7 8" xfId="7046" xr:uid="{00000000-0005-0000-0000-000081200000}"/>
    <cellStyle name="40% - Accent5 7 9" xfId="5847" xr:uid="{00000000-0005-0000-0000-000082200000}"/>
    <cellStyle name="40% - Accent5 7_2" xfId="1634" xr:uid="{00000000-0005-0000-0000-000083200000}"/>
    <cellStyle name="40% - Accent5 8" xfId="1635" xr:uid="{00000000-0005-0000-0000-000084200000}"/>
    <cellStyle name="40% - Accent5 8 10" xfId="4652" xr:uid="{00000000-0005-0000-0000-000085200000}"/>
    <cellStyle name="40% - Accent5 8 2" xfId="1636" xr:uid="{00000000-0005-0000-0000-000086200000}"/>
    <cellStyle name="40% - Accent5 8 2 2" xfId="10645" xr:uid="{00000000-0005-0000-0000-000087200000}"/>
    <cellStyle name="40% - Accent5 8 2 3" xfId="9447" xr:uid="{00000000-0005-0000-0000-000088200000}"/>
    <cellStyle name="40% - Accent5 8 2 4" xfId="8249" xr:uid="{00000000-0005-0000-0000-000089200000}"/>
    <cellStyle name="40% - Accent5 8 2 5" xfId="7051" xr:uid="{00000000-0005-0000-0000-00008A200000}"/>
    <cellStyle name="40% - Accent5 8 2 6" xfId="5852" xr:uid="{00000000-0005-0000-0000-00008B200000}"/>
    <cellStyle name="40% - Accent5 8 2 7" xfId="4653" xr:uid="{00000000-0005-0000-0000-00008C200000}"/>
    <cellStyle name="40% - Accent5 8 3" xfId="1637" xr:uid="{00000000-0005-0000-0000-00008D200000}"/>
    <cellStyle name="40% - Accent5 8 3 2" xfId="10646" xr:uid="{00000000-0005-0000-0000-00008E200000}"/>
    <cellStyle name="40% - Accent5 8 3 3" xfId="9448" xr:uid="{00000000-0005-0000-0000-00008F200000}"/>
    <cellStyle name="40% - Accent5 8 3 4" xfId="8250" xr:uid="{00000000-0005-0000-0000-000090200000}"/>
    <cellStyle name="40% - Accent5 8 3 5" xfId="7052" xr:uid="{00000000-0005-0000-0000-000091200000}"/>
    <cellStyle name="40% - Accent5 8 3 6" xfId="5853" xr:uid="{00000000-0005-0000-0000-000092200000}"/>
    <cellStyle name="40% - Accent5 8 3 7" xfId="4654" xr:uid="{00000000-0005-0000-0000-000093200000}"/>
    <cellStyle name="40% - Accent5 8 4" xfId="1638" xr:uid="{00000000-0005-0000-0000-000094200000}"/>
    <cellStyle name="40% - Accent5 8 4 2" xfId="10647" xr:uid="{00000000-0005-0000-0000-000095200000}"/>
    <cellStyle name="40% - Accent5 8 4 3" xfId="9449" xr:uid="{00000000-0005-0000-0000-000096200000}"/>
    <cellStyle name="40% - Accent5 8 4 4" xfId="8251" xr:uid="{00000000-0005-0000-0000-000097200000}"/>
    <cellStyle name="40% - Accent5 8 4 5" xfId="7053" xr:uid="{00000000-0005-0000-0000-000098200000}"/>
    <cellStyle name="40% - Accent5 8 4 6" xfId="5854" xr:uid="{00000000-0005-0000-0000-000099200000}"/>
    <cellStyle name="40% - Accent5 8 4 7" xfId="4655" xr:uid="{00000000-0005-0000-0000-00009A200000}"/>
    <cellStyle name="40% - Accent5 8 5" xfId="10644" xr:uid="{00000000-0005-0000-0000-00009B200000}"/>
    <cellStyle name="40% - Accent5 8 6" xfId="9446" xr:uid="{00000000-0005-0000-0000-00009C200000}"/>
    <cellStyle name="40% - Accent5 8 7" xfId="8248" xr:uid="{00000000-0005-0000-0000-00009D200000}"/>
    <cellStyle name="40% - Accent5 8 8" xfId="7050" xr:uid="{00000000-0005-0000-0000-00009E200000}"/>
    <cellStyle name="40% - Accent5 8 9" xfId="5851" xr:uid="{00000000-0005-0000-0000-00009F200000}"/>
    <cellStyle name="40% - Accent5 8_2" xfId="1639" xr:uid="{00000000-0005-0000-0000-0000A0200000}"/>
    <cellStyle name="40% - Accent5 9" xfId="1640" xr:uid="{00000000-0005-0000-0000-0000A1200000}"/>
    <cellStyle name="40% - Accent5 9 2" xfId="10648" xr:uid="{00000000-0005-0000-0000-0000A2200000}"/>
    <cellStyle name="40% - Accent5 9 3" xfId="9450" xr:uid="{00000000-0005-0000-0000-0000A3200000}"/>
    <cellStyle name="40% - Accent5 9 4" xfId="8252" xr:uid="{00000000-0005-0000-0000-0000A4200000}"/>
    <cellStyle name="40% - Accent5 9 5" xfId="7054" xr:uid="{00000000-0005-0000-0000-0000A5200000}"/>
    <cellStyle name="40% - Accent5 9 6" xfId="5855" xr:uid="{00000000-0005-0000-0000-0000A6200000}"/>
    <cellStyle name="40% - Accent5 9 7" xfId="4656" xr:uid="{00000000-0005-0000-0000-0000A7200000}"/>
    <cellStyle name="40% - Accent6 10" xfId="1641" xr:uid="{00000000-0005-0000-0000-0000A8200000}"/>
    <cellStyle name="40% - Accent6 10 2" xfId="10649" xr:uid="{00000000-0005-0000-0000-0000A9200000}"/>
    <cellStyle name="40% - Accent6 10 3" xfId="9451" xr:uid="{00000000-0005-0000-0000-0000AA200000}"/>
    <cellStyle name="40% - Accent6 10 4" xfId="8253" xr:uid="{00000000-0005-0000-0000-0000AB200000}"/>
    <cellStyle name="40% - Accent6 10 5" xfId="7055" xr:uid="{00000000-0005-0000-0000-0000AC200000}"/>
    <cellStyle name="40% - Accent6 10 6" xfId="5856" xr:uid="{00000000-0005-0000-0000-0000AD200000}"/>
    <cellStyle name="40% - Accent6 10 7" xfId="4657" xr:uid="{00000000-0005-0000-0000-0000AE200000}"/>
    <cellStyle name="40% - Accent6 11" xfId="1642" xr:uid="{00000000-0005-0000-0000-0000AF200000}"/>
    <cellStyle name="40% - Accent6 11 2" xfId="10650" xr:uid="{00000000-0005-0000-0000-0000B0200000}"/>
    <cellStyle name="40% - Accent6 11 3" xfId="9452" xr:uid="{00000000-0005-0000-0000-0000B1200000}"/>
    <cellStyle name="40% - Accent6 11 4" xfId="8254" xr:uid="{00000000-0005-0000-0000-0000B2200000}"/>
    <cellStyle name="40% - Accent6 11 5" xfId="7056" xr:uid="{00000000-0005-0000-0000-0000B3200000}"/>
    <cellStyle name="40% - Accent6 11 6" xfId="5857" xr:uid="{00000000-0005-0000-0000-0000B4200000}"/>
    <cellStyle name="40% - Accent6 11 7" xfId="4658" xr:uid="{00000000-0005-0000-0000-0000B5200000}"/>
    <cellStyle name="40% - Accent6 12" xfId="1643" xr:uid="{00000000-0005-0000-0000-0000B6200000}"/>
    <cellStyle name="40% - Accent6 12 2" xfId="1644" xr:uid="{00000000-0005-0000-0000-0000B7200000}"/>
    <cellStyle name="40% - Accent6 12 2 2" xfId="10652" xr:uid="{00000000-0005-0000-0000-0000B8200000}"/>
    <cellStyle name="40% - Accent6 12 2 3" xfId="9454" xr:uid="{00000000-0005-0000-0000-0000B9200000}"/>
    <cellStyle name="40% - Accent6 12 2 4" xfId="8256" xr:uid="{00000000-0005-0000-0000-0000BA200000}"/>
    <cellStyle name="40% - Accent6 12 2 5" xfId="7058" xr:uid="{00000000-0005-0000-0000-0000BB200000}"/>
    <cellStyle name="40% - Accent6 12 2 6" xfId="5859" xr:uid="{00000000-0005-0000-0000-0000BC200000}"/>
    <cellStyle name="40% - Accent6 12 2 7" xfId="4660" xr:uid="{00000000-0005-0000-0000-0000BD200000}"/>
    <cellStyle name="40% - Accent6 12 3" xfId="10651" xr:uid="{00000000-0005-0000-0000-0000BE200000}"/>
    <cellStyle name="40% - Accent6 12 4" xfId="9453" xr:uid="{00000000-0005-0000-0000-0000BF200000}"/>
    <cellStyle name="40% - Accent6 12 5" xfId="8255" xr:uid="{00000000-0005-0000-0000-0000C0200000}"/>
    <cellStyle name="40% - Accent6 12 6" xfId="7057" xr:uid="{00000000-0005-0000-0000-0000C1200000}"/>
    <cellStyle name="40% - Accent6 12 7" xfId="5858" xr:uid="{00000000-0005-0000-0000-0000C2200000}"/>
    <cellStyle name="40% - Accent6 12 8" xfId="4659" xr:uid="{00000000-0005-0000-0000-0000C3200000}"/>
    <cellStyle name="40% - Accent6 12_2" xfId="1645" xr:uid="{00000000-0005-0000-0000-0000C4200000}"/>
    <cellStyle name="40% - Accent6 13" xfId="1646" xr:uid="{00000000-0005-0000-0000-0000C5200000}"/>
    <cellStyle name="40% - Accent6 13 2" xfId="1647" xr:uid="{00000000-0005-0000-0000-0000C6200000}"/>
    <cellStyle name="40% - Accent6 13 2 2" xfId="10654" xr:uid="{00000000-0005-0000-0000-0000C7200000}"/>
    <cellStyle name="40% - Accent6 13 2 3" xfId="9456" xr:uid="{00000000-0005-0000-0000-0000C8200000}"/>
    <cellStyle name="40% - Accent6 13 2 4" xfId="8258" xr:uid="{00000000-0005-0000-0000-0000C9200000}"/>
    <cellStyle name="40% - Accent6 13 2 5" xfId="7060" xr:uid="{00000000-0005-0000-0000-0000CA200000}"/>
    <cellStyle name="40% - Accent6 13 2 6" xfId="5861" xr:uid="{00000000-0005-0000-0000-0000CB200000}"/>
    <cellStyle name="40% - Accent6 13 2 7" xfId="4662" xr:uid="{00000000-0005-0000-0000-0000CC200000}"/>
    <cellStyle name="40% - Accent6 13 3" xfId="10653" xr:uid="{00000000-0005-0000-0000-0000CD200000}"/>
    <cellStyle name="40% - Accent6 13 4" xfId="9455" xr:uid="{00000000-0005-0000-0000-0000CE200000}"/>
    <cellStyle name="40% - Accent6 13 5" xfId="8257" xr:uid="{00000000-0005-0000-0000-0000CF200000}"/>
    <cellStyle name="40% - Accent6 13 6" xfId="7059" xr:uid="{00000000-0005-0000-0000-0000D0200000}"/>
    <cellStyle name="40% - Accent6 13 7" xfId="5860" xr:uid="{00000000-0005-0000-0000-0000D1200000}"/>
    <cellStyle name="40% - Accent6 13 8" xfId="4661" xr:uid="{00000000-0005-0000-0000-0000D2200000}"/>
    <cellStyle name="40% - Accent6 13_2" xfId="1648" xr:uid="{00000000-0005-0000-0000-0000D3200000}"/>
    <cellStyle name="40% - Accent6 14" xfId="1649" xr:uid="{00000000-0005-0000-0000-0000D4200000}"/>
    <cellStyle name="40% - Accent6 14 2" xfId="1650" xr:uid="{00000000-0005-0000-0000-0000D5200000}"/>
    <cellStyle name="40% - Accent6 14 2 2" xfId="10656" xr:uid="{00000000-0005-0000-0000-0000D6200000}"/>
    <cellStyle name="40% - Accent6 14 2 3" xfId="9458" xr:uid="{00000000-0005-0000-0000-0000D7200000}"/>
    <cellStyle name="40% - Accent6 14 2 4" xfId="8260" xr:uid="{00000000-0005-0000-0000-0000D8200000}"/>
    <cellStyle name="40% - Accent6 14 2 5" xfId="7062" xr:uid="{00000000-0005-0000-0000-0000D9200000}"/>
    <cellStyle name="40% - Accent6 14 2 6" xfId="5863" xr:uid="{00000000-0005-0000-0000-0000DA200000}"/>
    <cellStyle name="40% - Accent6 14 2 7" xfId="4664" xr:uid="{00000000-0005-0000-0000-0000DB200000}"/>
    <cellStyle name="40% - Accent6 14 3" xfId="10655" xr:uid="{00000000-0005-0000-0000-0000DC200000}"/>
    <cellStyle name="40% - Accent6 14 4" xfId="9457" xr:uid="{00000000-0005-0000-0000-0000DD200000}"/>
    <cellStyle name="40% - Accent6 14 5" xfId="8259" xr:uid="{00000000-0005-0000-0000-0000DE200000}"/>
    <cellStyle name="40% - Accent6 14 6" xfId="7061" xr:uid="{00000000-0005-0000-0000-0000DF200000}"/>
    <cellStyle name="40% - Accent6 14 7" xfId="5862" xr:uid="{00000000-0005-0000-0000-0000E0200000}"/>
    <cellStyle name="40% - Accent6 14 8" xfId="4663" xr:uid="{00000000-0005-0000-0000-0000E1200000}"/>
    <cellStyle name="40% - Accent6 14_2" xfId="1651" xr:uid="{00000000-0005-0000-0000-0000E2200000}"/>
    <cellStyle name="40% - Accent6 15" xfId="1652" xr:uid="{00000000-0005-0000-0000-0000E3200000}"/>
    <cellStyle name="40% - Accent6 15 2" xfId="10657" xr:uid="{00000000-0005-0000-0000-0000E4200000}"/>
    <cellStyle name="40% - Accent6 15 3" xfId="9459" xr:uid="{00000000-0005-0000-0000-0000E5200000}"/>
    <cellStyle name="40% - Accent6 15 4" xfId="8261" xr:uid="{00000000-0005-0000-0000-0000E6200000}"/>
    <cellStyle name="40% - Accent6 15 5" xfId="7063" xr:uid="{00000000-0005-0000-0000-0000E7200000}"/>
    <cellStyle name="40% - Accent6 15 6" xfId="5864" xr:uid="{00000000-0005-0000-0000-0000E8200000}"/>
    <cellStyle name="40% - Accent6 15 7" xfId="4665" xr:uid="{00000000-0005-0000-0000-0000E9200000}"/>
    <cellStyle name="40% - Accent6 16" xfId="1653" xr:uid="{00000000-0005-0000-0000-0000EA200000}"/>
    <cellStyle name="40% - Accent6 16 2" xfId="10658" xr:uid="{00000000-0005-0000-0000-0000EB200000}"/>
    <cellStyle name="40% - Accent6 16 3" xfId="9460" xr:uid="{00000000-0005-0000-0000-0000EC200000}"/>
    <cellStyle name="40% - Accent6 16 4" xfId="8262" xr:uid="{00000000-0005-0000-0000-0000ED200000}"/>
    <cellStyle name="40% - Accent6 16 5" xfId="7064" xr:uid="{00000000-0005-0000-0000-0000EE200000}"/>
    <cellStyle name="40% - Accent6 16 6" xfId="5865" xr:uid="{00000000-0005-0000-0000-0000EF200000}"/>
    <cellStyle name="40% - Accent6 16 7" xfId="4666" xr:uid="{00000000-0005-0000-0000-0000F0200000}"/>
    <cellStyle name="40% - Accent6 2" xfId="1654" xr:uid="{00000000-0005-0000-0000-0000F1200000}"/>
    <cellStyle name="40% - Accent6 2 10" xfId="10659" xr:uid="{00000000-0005-0000-0000-0000F2200000}"/>
    <cellStyle name="40% - Accent6 2 11" xfId="9461" xr:uid="{00000000-0005-0000-0000-0000F3200000}"/>
    <cellStyle name="40% - Accent6 2 12" xfId="8263" xr:uid="{00000000-0005-0000-0000-0000F4200000}"/>
    <cellStyle name="40% - Accent6 2 13" xfId="7065" xr:uid="{00000000-0005-0000-0000-0000F5200000}"/>
    <cellStyle name="40% - Accent6 2 14" xfId="5866" xr:uid="{00000000-0005-0000-0000-0000F6200000}"/>
    <cellStyle name="40% - Accent6 2 15" xfId="4667" xr:uid="{00000000-0005-0000-0000-0000F7200000}"/>
    <cellStyle name="40% - Accent6 2 2" xfId="1655" xr:uid="{00000000-0005-0000-0000-0000F8200000}"/>
    <cellStyle name="40% - Accent6 2 2 2" xfId="10660" xr:uid="{00000000-0005-0000-0000-0000F9200000}"/>
    <cellStyle name="40% - Accent6 2 2 3" xfId="9462" xr:uid="{00000000-0005-0000-0000-0000FA200000}"/>
    <cellStyle name="40% - Accent6 2 2 4" xfId="8264" xr:uid="{00000000-0005-0000-0000-0000FB200000}"/>
    <cellStyle name="40% - Accent6 2 2 5" xfId="7066" xr:uid="{00000000-0005-0000-0000-0000FC200000}"/>
    <cellStyle name="40% - Accent6 2 2 6" xfId="5867" xr:uid="{00000000-0005-0000-0000-0000FD200000}"/>
    <cellStyle name="40% - Accent6 2 2 7" xfId="4668" xr:uid="{00000000-0005-0000-0000-0000FE200000}"/>
    <cellStyle name="40% - Accent6 2 3" xfId="1656" xr:uid="{00000000-0005-0000-0000-0000FF200000}"/>
    <cellStyle name="40% - Accent6 2 3 2" xfId="10661" xr:uid="{00000000-0005-0000-0000-000000210000}"/>
    <cellStyle name="40% - Accent6 2 3 3" xfId="9463" xr:uid="{00000000-0005-0000-0000-000001210000}"/>
    <cellStyle name="40% - Accent6 2 3 4" xfId="8265" xr:uid="{00000000-0005-0000-0000-000002210000}"/>
    <cellStyle name="40% - Accent6 2 3 5" xfId="7067" xr:uid="{00000000-0005-0000-0000-000003210000}"/>
    <cellStyle name="40% - Accent6 2 3 6" xfId="5868" xr:uid="{00000000-0005-0000-0000-000004210000}"/>
    <cellStyle name="40% - Accent6 2 3 7" xfId="4669" xr:uid="{00000000-0005-0000-0000-000005210000}"/>
    <cellStyle name="40% - Accent6 2 4" xfId="1657" xr:uid="{00000000-0005-0000-0000-000006210000}"/>
    <cellStyle name="40% - Accent6 2 4 2" xfId="10662" xr:uid="{00000000-0005-0000-0000-000007210000}"/>
    <cellStyle name="40% - Accent6 2 4 3" xfId="9464" xr:uid="{00000000-0005-0000-0000-000008210000}"/>
    <cellStyle name="40% - Accent6 2 4 4" xfId="8266" xr:uid="{00000000-0005-0000-0000-000009210000}"/>
    <cellStyle name="40% - Accent6 2 4 5" xfId="7068" xr:uid="{00000000-0005-0000-0000-00000A210000}"/>
    <cellStyle name="40% - Accent6 2 4 6" xfId="5869" xr:uid="{00000000-0005-0000-0000-00000B210000}"/>
    <cellStyle name="40% - Accent6 2 4 7" xfId="4670" xr:uid="{00000000-0005-0000-0000-00000C210000}"/>
    <cellStyle name="40% - Accent6 2 5" xfId="1658" xr:uid="{00000000-0005-0000-0000-00000D210000}"/>
    <cellStyle name="40% - Accent6 2 5 2" xfId="10663" xr:uid="{00000000-0005-0000-0000-00000E210000}"/>
    <cellStyle name="40% - Accent6 2 5 3" xfId="9465" xr:uid="{00000000-0005-0000-0000-00000F210000}"/>
    <cellStyle name="40% - Accent6 2 5 4" xfId="8267" xr:uid="{00000000-0005-0000-0000-000010210000}"/>
    <cellStyle name="40% - Accent6 2 5 5" xfId="7069" xr:uid="{00000000-0005-0000-0000-000011210000}"/>
    <cellStyle name="40% - Accent6 2 5 6" xfId="5870" xr:uid="{00000000-0005-0000-0000-000012210000}"/>
    <cellStyle name="40% - Accent6 2 5 7" xfId="4671" xr:uid="{00000000-0005-0000-0000-000013210000}"/>
    <cellStyle name="40% - Accent6 2 6" xfId="1659" xr:uid="{00000000-0005-0000-0000-000014210000}"/>
    <cellStyle name="40% - Accent6 2 6 2" xfId="10664" xr:uid="{00000000-0005-0000-0000-000015210000}"/>
    <cellStyle name="40% - Accent6 2 6 3" xfId="9466" xr:uid="{00000000-0005-0000-0000-000016210000}"/>
    <cellStyle name="40% - Accent6 2 6 4" xfId="8268" xr:uid="{00000000-0005-0000-0000-000017210000}"/>
    <cellStyle name="40% - Accent6 2 6 5" xfId="7070" xr:uid="{00000000-0005-0000-0000-000018210000}"/>
    <cellStyle name="40% - Accent6 2 6 6" xfId="5871" xr:uid="{00000000-0005-0000-0000-000019210000}"/>
    <cellStyle name="40% - Accent6 2 6 7" xfId="4672" xr:uid="{00000000-0005-0000-0000-00001A210000}"/>
    <cellStyle name="40% - Accent6 2 7" xfId="1660" xr:uid="{00000000-0005-0000-0000-00001B210000}"/>
    <cellStyle name="40% - Accent6 2 7 2" xfId="10665" xr:uid="{00000000-0005-0000-0000-00001C210000}"/>
    <cellStyle name="40% - Accent6 2 7 3" xfId="9467" xr:uid="{00000000-0005-0000-0000-00001D210000}"/>
    <cellStyle name="40% - Accent6 2 7 4" xfId="8269" xr:uid="{00000000-0005-0000-0000-00001E210000}"/>
    <cellStyle name="40% - Accent6 2 7 5" xfId="7071" xr:uid="{00000000-0005-0000-0000-00001F210000}"/>
    <cellStyle name="40% - Accent6 2 7 6" xfId="5872" xr:uid="{00000000-0005-0000-0000-000020210000}"/>
    <cellStyle name="40% - Accent6 2 7 7" xfId="4673" xr:uid="{00000000-0005-0000-0000-000021210000}"/>
    <cellStyle name="40% - Accent6 2 8" xfId="1661" xr:uid="{00000000-0005-0000-0000-000022210000}"/>
    <cellStyle name="40% - Accent6 2 8 2" xfId="10666" xr:uid="{00000000-0005-0000-0000-000023210000}"/>
    <cellStyle name="40% - Accent6 2 8 3" xfId="9468" xr:uid="{00000000-0005-0000-0000-000024210000}"/>
    <cellStyle name="40% - Accent6 2 8 4" xfId="8270" xr:uid="{00000000-0005-0000-0000-000025210000}"/>
    <cellStyle name="40% - Accent6 2 8 5" xfId="7072" xr:uid="{00000000-0005-0000-0000-000026210000}"/>
    <cellStyle name="40% - Accent6 2 8 6" xfId="5873" xr:uid="{00000000-0005-0000-0000-000027210000}"/>
    <cellStyle name="40% - Accent6 2 8 7" xfId="4674" xr:uid="{00000000-0005-0000-0000-000028210000}"/>
    <cellStyle name="40% - Accent6 2 9" xfId="1662" xr:uid="{00000000-0005-0000-0000-000029210000}"/>
    <cellStyle name="40% - Accent6 2 9 2" xfId="10667" xr:uid="{00000000-0005-0000-0000-00002A210000}"/>
    <cellStyle name="40% - Accent6 2 9 3" xfId="9469" xr:uid="{00000000-0005-0000-0000-00002B210000}"/>
    <cellStyle name="40% - Accent6 2 9 4" xfId="8271" xr:uid="{00000000-0005-0000-0000-00002C210000}"/>
    <cellStyle name="40% - Accent6 2 9 5" xfId="7073" xr:uid="{00000000-0005-0000-0000-00002D210000}"/>
    <cellStyle name="40% - Accent6 2 9 6" xfId="5874" xr:uid="{00000000-0005-0000-0000-00002E210000}"/>
    <cellStyle name="40% - Accent6 2 9 7" xfId="4675" xr:uid="{00000000-0005-0000-0000-00002F210000}"/>
    <cellStyle name="40% - Accent6 2_2" xfId="1663" xr:uid="{00000000-0005-0000-0000-000030210000}"/>
    <cellStyle name="40% - Accent6 3" xfId="1664" xr:uid="{00000000-0005-0000-0000-000031210000}"/>
    <cellStyle name="40% - Accent6 3 10" xfId="4676" xr:uid="{00000000-0005-0000-0000-000032210000}"/>
    <cellStyle name="40% - Accent6 3 2" xfId="1665" xr:uid="{00000000-0005-0000-0000-000033210000}"/>
    <cellStyle name="40% - Accent6 3 2 2" xfId="10669" xr:uid="{00000000-0005-0000-0000-000034210000}"/>
    <cellStyle name="40% - Accent6 3 2 3" xfId="9471" xr:uid="{00000000-0005-0000-0000-000035210000}"/>
    <cellStyle name="40% - Accent6 3 2 4" xfId="8273" xr:uid="{00000000-0005-0000-0000-000036210000}"/>
    <cellStyle name="40% - Accent6 3 2 5" xfId="7075" xr:uid="{00000000-0005-0000-0000-000037210000}"/>
    <cellStyle name="40% - Accent6 3 2 6" xfId="5876" xr:uid="{00000000-0005-0000-0000-000038210000}"/>
    <cellStyle name="40% - Accent6 3 2 7" xfId="4677" xr:uid="{00000000-0005-0000-0000-000039210000}"/>
    <cellStyle name="40% - Accent6 3 3" xfId="1666" xr:uid="{00000000-0005-0000-0000-00003A210000}"/>
    <cellStyle name="40% - Accent6 3 3 2" xfId="10670" xr:uid="{00000000-0005-0000-0000-00003B210000}"/>
    <cellStyle name="40% - Accent6 3 3 3" xfId="9472" xr:uid="{00000000-0005-0000-0000-00003C210000}"/>
    <cellStyle name="40% - Accent6 3 3 4" xfId="8274" xr:uid="{00000000-0005-0000-0000-00003D210000}"/>
    <cellStyle name="40% - Accent6 3 3 5" xfId="7076" xr:uid="{00000000-0005-0000-0000-00003E210000}"/>
    <cellStyle name="40% - Accent6 3 3 6" xfId="5877" xr:uid="{00000000-0005-0000-0000-00003F210000}"/>
    <cellStyle name="40% - Accent6 3 3 7" xfId="4678" xr:uid="{00000000-0005-0000-0000-000040210000}"/>
    <cellStyle name="40% - Accent6 3 4" xfId="1667" xr:uid="{00000000-0005-0000-0000-000041210000}"/>
    <cellStyle name="40% - Accent6 3 4 2" xfId="10671" xr:uid="{00000000-0005-0000-0000-000042210000}"/>
    <cellStyle name="40% - Accent6 3 4 3" xfId="9473" xr:uid="{00000000-0005-0000-0000-000043210000}"/>
    <cellStyle name="40% - Accent6 3 4 4" xfId="8275" xr:uid="{00000000-0005-0000-0000-000044210000}"/>
    <cellStyle name="40% - Accent6 3 4 5" xfId="7077" xr:uid="{00000000-0005-0000-0000-000045210000}"/>
    <cellStyle name="40% - Accent6 3 4 6" xfId="5878" xr:uid="{00000000-0005-0000-0000-000046210000}"/>
    <cellStyle name="40% - Accent6 3 4 7" xfId="4679" xr:uid="{00000000-0005-0000-0000-000047210000}"/>
    <cellStyle name="40% - Accent6 3 5" xfId="10668" xr:uid="{00000000-0005-0000-0000-000048210000}"/>
    <cellStyle name="40% - Accent6 3 6" xfId="9470" xr:uid="{00000000-0005-0000-0000-000049210000}"/>
    <cellStyle name="40% - Accent6 3 7" xfId="8272" xr:uid="{00000000-0005-0000-0000-00004A210000}"/>
    <cellStyle name="40% - Accent6 3 8" xfId="7074" xr:uid="{00000000-0005-0000-0000-00004B210000}"/>
    <cellStyle name="40% - Accent6 3 9" xfId="5875" xr:uid="{00000000-0005-0000-0000-00004C210000}"/>
    <cellStyle name="40% - Accent6 3_2" xfId="1668" xr:uid="{00000000-0005-0000-0000-00004D210000}"/>
    <cellStyle name="40% - Accent6 4" xfId="1669" xr:uid="{00000000-0005-0000-0000-00004E210000}"/>
    <cellStyle name="40% - Accent6 4 10" xfId="4680" xr:uid="{00000000-0005-0000-0000-00004F210000}"/>
    <cellStyle name="40% - Accent6 4 2" xfId="1670" xr:uid="{00000000-0005-0000-0000-000050210000}"/>
    <cellStyle name="40% - Accent6 4 2 2" xfId="10673" xr:uid="{00000000-0005-0000-0000-000051210000}"/>
    <cellStyle name="40% - Accent6 4 2 3" xfId="9475" xr:uid="{00000000-0005-0000-0000-000052210000}"/>
    <cellStyle name="40% - Accent6 4 2 4" xfId="8277" xr:uid="{00000000-0005-0000-0000-000053210000}"/>
    <cellStyle name="40% - Accent6 4 2 5" xfId="7079" xr:uid="{00000000-0005-0000-0000-000054210000}"/>
    <cellStyle name="40% - Accent6 4 2 6" xfId="5880" xr:uid="{00000000-0005-0000-0000-000055210000}"/>
    <cellStyle name="40% - Accent6 4 2 7" xfId="4681" xr:uid="{00000000-0005-0000-0000-000056210000}"/>
    <cellStyle name="40% - Accent6 4 3" xfId="1671" xr:uid="{00000000-0005-0000-0000-000057210000}"/>
    <cellStyle name="40% - Accent6 4 3 2" xfId="10674" xr:uid="{00000000-0005-0000-0000-000058210000}"/>
    <cellStyle name="40% - Accent6 4 3 3" xfId="9476" xr:uid="{00000000-0005-0000-0000-000059210000}"/>
    <cellStyle name="40% - Accent6 4 3 4" xfId="8278" xr:uid="{00000000-0005-0000-0000-00005A210000}"/>
    <cellStyle name="40% - Accent6 4 3 5" xfId="7080" xr:uid="{00000000-0005-0000-0000-00005B210000}"/>
    <cellStyle name="40% - Accent6 4 3 6" xfId="5881" xr:uid="{00000000-0005-0000-0000-00005C210000}"/>
    <cellStyle name="40% - Accent6 4 3 7" xfId="4682" xr:uid="{00000000-0005-0000-0000-00005D210000}"/>
    <cellStyle name="40% - Accent6 4 4" xfId="1672" xr:uid="{00000000-0005-0000-0000-00005E210000}"/>
    <cellStyle name="40% - Accent6 4 4 2" xfId="10675" xr:uid="{00000000-0005-0000-0000-00005F210000}"/>
    <cellStyle name="40% - Accent6 4 4 3" xfId="9477" xr:uid="{00000000-0005-0000-0000-000060210000}"/>
    <cellStyle name="40% - Accent6 4 4 4" xfId="8279" xr:uid="{00000000-0005-0000-0000-000061210000}"/>
    <cellStyle name="40% - Accent6 4 4 5" xfId="7081" xr:uid="{00000000-0005-0000-0000-000062210000}"/>
    <cellStyle name="40% - Accent6 4 4 6" xfId="5882" xr:uid="{00000000-0005-0000-0000-000063210000}"/>
    <cellStyle name="40% - Accent6 4 4 7" xfId="4683" xr:uid="{00000000-0005-0000-0000-000064210000}"/>
    <cellStyle name="40% - Accent6 4 5" xfId="10672" xr:uid="{00000000-0005-0000-0000-000065210000}"/>
    <cellStyle name="40% - Accent6 4 6" xfId="9474" xr:uid="{00000000-0005-0000-0000-000066210000}"/>
    <cellStyle name="40% - Accent6 4 7" xfId="8276" xr:uid="{00000000-0005-0000-0000-000067210000}"/>
    <cellStyle name="40% - Accent6 4 8" xfId="7078" xr:uid="{00000000-0005-0000-0000-000068210000}"/>
    <cellStyle name="40% - Accent6 4 9" xfId="5879" xr:uid="{00000000-0005-0000-0000-000069210000}"/>
    <cellStyle name="40% - Accent6 4_2" xfId="1673" xr:uid="{00000000-0005-0000-0000-00006A210000}"/>
    <cellStyle name="40% - Accent6 5" xfId="1674" xr:uid="{00000000-0005-0000-0000-00006B210000}"/>
    <cellStyle name="40% - Accent6 5 10" xfId="4684" xr:uid="{00000000-0005-0000-0000-00006C210000}"/>
    <cellStyle name="40% - Accent6 5 2" xfId="1675" xr:uid="{00000000-0005-0000-0000-00006D210000}"/>
    <cellStyle name="40% - Accent6 5 2 2" xfId="10677" xr:uid="{00000000-0005-0000-0000-00006E210000}"/>
    <cellStyle name="40% - Accent6 5 2 3" xfId="9479" xr:uid="{00000000-0005-0000-0000-00006F210000}"/>
    <cellStyle name="40% - Accent6 5 2 4" xfId="8281" xr:uid="{00000000-0005-0000-0000-000070210000}"/>
    <cellStyle name="40% - Accent6 5 2 5" xfId="7083" xr:uid="{00000000-0005-0000-0000-000071210000}"/>
    <cellStyle name="40% - Accent6 5 2 6" xfId="5884" xr:uid="{00000000-0005-0000-0000-000072210000}"/>
    <cellStyle name="40% - Accent6 5 2 7" xfId="4685" xr:uid="{00000000-0005-0000-0000-000073210000}"/>
    <cellStyle name="40% - Accent6 5 3" xfId="1676" xr:uid="{00000000-0005-0000-0000-000074210000}"/>
    <cellStyle name="40% - Accent6 5 3 2" xfId="10678" xr:uid="{00000000-0005-0000-0000-000075210000}"/>
    <cellStyle name="40% - Accent6 5 3 3" xfId="9480" xr:uid="{00000000-0005-0000-0000-000076210000}"/>
    <cellStyle name="40% - Accent6 5 3 4" xfId="8282" xr:uid="{00000000-0005-0000-0000-000077210000}"/>
    <cellStyle name="40% - Accent6 5 3 5" xfId="7084" xr:uid="{00000000-0005-0000-0000-000078210000}"/>
    <cellStyle name="40% - Accent6 5 3 6" xfId="5885" xr:uid="{00000000-0005-0000-0000-000079210000}"/>
    <cellStyle name="40% - Accent6 5 3 7" xfId="4686" xr:uid="{00000000-0005-0000-0000-00007A210000}"/>
    <cellStyle name="40% - Accent6 5 4" xfId="1677" xr:uid="{00000000-0005-0000-0000-00007B210000}"/>
    <cellStyle name="40% - Accent6 5 4 2" xfId="10679" xr:uid="{00000000-0005-0000-0000-00007C210000}"/>
    <cellStyle name="40% - Accent6 5 4 3" xfId="9481" xr:uid="{00000000-0005-0000-0000-00007D210000}"/>
    <cellStyle name="40% - Accent6 5 4 4" xfId="8283" xr:uid="{00000000-0005-0000-0000-00007E210000}"/>
    <cellStyle name="40% - Accent6 5 4 5" xfId="7085" xr:uid="{00000000-0005-0000-0000-00007F210000}"/>
    <cellStyle name="40% - Accent6 5 4 6" xfId="5886" xr:uid="{00000000-0005-0000-0000-000080210000}"/>
    <cellStyle name="40% - Accent6 5 4 7" xfId="4687" xr:uid="{00000000-0005-0000-0000-000081210000}"/>
    <cellStyle name="40% - Accent6 5 5" xfId="10676" xr:uid="{00000000-0005-0000-0000-000082210000}"/>
    <cellStyle name="40% - Accent6 5 6" xfId="9478" xr:uid="{00000000-0005-0000-0000-000083210000}"/>
    <cellStyle name="40% - Accent6 5 7" xfId="8280" xr:uid="{00000000-0005-0000-0000-000084210000}"/>
    <cellStyle name="40% - Accent6 5 8" xfId="7082" xr:uid="{00000000-0005-0000-0000-000085210000}"/>
    <cellStyle name="40% - Accent6 5 9" xfId="5883" xr:uid="{00000000-0005-0000-0000-000086210000}"/>
    <cellStyle name="40% - Accent6 5_2" xfId="1678" xr:uid="{00000000-0005-0000-0000-000087210000}"/>
    <cellStyle name="40% - Accent6 6" xfId="1679" xr:uid="{00000000-0005-0000-0000-000088210000}"/>
    <cellStyle name="40% - Accent6 6 10" xfId="4688" xr:uid="{00000000-0005-0000-0000-000089210000}"/>
    <cellStyle name="40% - Accent6 6 2" xfId="1680" xr:uid="{00000000-0005-0000-0000-00008A210000}"/>
    <cellStyle name="40% - Accent6 6 2 2" xfId="10681" xr:uid="{00000000-0005-0000-0000-00008B210000}"/>
    <cellStyle name="40% - Accent6 6 2 3" xfId="9483" xr:uid="{00000000-0005-0000-0000-00008C210000}"/>
    <cellStyle name="40% - Accent6 6 2 4" xfId="8285" xr:uid="{00000000-0005-0000-0000-00008D210000}"/>
    <cellStyle name="40% - Accent6 6 2 5" xfId="7087" xr:uid="{00000000-0005-0000-0000-00008E210000}"/>
    <cellStyle name="40% - Accent6 6 2 6" xfId="5888" xr:uid="{00000000-0005-0000-0000-00008F210000}"/>
    <cellStyle name="40% - Accent6 6 2 7" xfId="4689" xr:uid="{00000000-0005-0000-0000-000090210000}"/>
    <cellStyle name="40% - Accent6 6 3" xfId="1681" xr:uid="{00000000-0005-0000-0000-000091210000}"/>
    <cellStyle name="40% - Accent6 6 3 2" xfId="10682" xr:uid="{00000000-0005-0000-0000-000092210000}"/>
    <cellStyle name="40% - Accent6 6 3 3" xfId="9484" xr:uid="{00000000-0005-0000-0000-000093210000}"/>
    <cellStyle name="40% - Accent6 6 3 4" xfId="8286" xr:uid="{00000000-0005-0000-0000-000094210000}"/>
    <cellStyle name="40% - Accent6 6 3 5" xfId="7088" xr:uid="{00000000-0005-0000-0000-000095210000}"/>
    <cellStyle name="40% - Accent6 6 3 6" xfId="5889" xr:uid="{00000000-0005-0000-0000-000096210000}"/>
    <cellStyle name="40% - Accent6 6 3 7" xfId="4690" xr:uid="{00000000-0005-0000-0000-000097210000}"/>
    <cellStyle name="40% - Accent6 6 4" xfId="1682" xr:uid="{00000000-0005-0000-0000-000098210000}"/>
    <cellStyle name="40% - Accent6 6 4 2" xfId="10683" xr:uid="{00000000-0005-0000-0000-000099210000}"/>
    <cellStyle name="40% - Accent6 6 4 3" xfId="9485" xr:uid="{00000000-0005-0000-0000-00009A210000}"/>
    <cellStyle name="40% - Accent6 6 4 4" xfId="8287" xr:uid="{00000000-0005-0000-0000-00009B210000}"/>
    <cellStyle name="40% - Accent6 6 4 5" xfId="7089" xr:uid="{00000000-0005-0000-0000-00009C210000}"/>
    <cellStyle name="40% - Accent6 6 4 6" xfId="5890" xr:uid="{00000000-0005-0000-0000-00009D210000}"/>
    <cellStyle name="40% - Accent6 6 4 7" xfId="4691" xr:uid="{00000000-0005-0000-0000-00009E210000}"/>
    <cellStyle name="40% - Accent6 6 5" xfId="10680" xr:uid="{00000000-0005-0000-0000-00009F210000}"/>
    <cellStyle name="40% - Accent6 6 6" xfId="9482" xr:uid="{00000000-0005-0000-0000-0000A0210000}"/>
    <cellStyle name="40% - Accent6 6 7" xfId="8284" xr:uid="{00000000-0005-0000-0000-0000A1210000}"/>
    <cellStyle name="40% - Accent6 6 8" xfId="7086" xr:uid="{00000000-0005-0000-0000-0000A2210000}"/>
    <cellStyle name="40% - Accent6 6 9" xfId="5887" xr:uid="{00000000-0005-0000-0000-0000A3210000}"/>
    <cellStyle name="40% - Accent6 6_2" xfId="1683" xr:uid="{00000000-0005-0000-0000-0000A4210000}"/>
    <cellStyle name="40% - Accent6 7" xfId="1684" xr:uid="{00000000-0005-0000-0000-0000A5210000}"/>
    <cellStyle name="40% - Accent6 7 10" xfId="4692" xr:uid="{00000000-0005-0000-0000-0000A6210000}"/>
    <cellStyle name="40% - Accent6 7 2" xfId="1685" xr:uid="{00000000-0005-0000-0000-0000A7210000}"/>
    <cellStyle name="40% - Accent6 7 2 2" xfId="10685" xr:uid="{00000000-0005-0000-0000-0000A8210000}"/>
    <cellStyle name="40% - Accent6 7 2 3" xfId="9487" xr:uid="{00000000-0005-0000-0000-0000A9210000}"/>
    <cellStyle name="40% - Accent6 7 2 4" xfId="8289" xr:uid="{00000000-0005-0000-0000-0000AA210000}"/>
    <cellStyle name="40% - Accent6 7 2 5" xfId="7091" xr:uid="{00000000-0005-0000-0000-0000AB210000}"/>
    <cellStyle name="40% - Accent6 7 2 6" xfId="5892" xr:uid="{00000000-0005-0000-0000-0000AC210000}"/>
    <cellStyle name="40% - Accent6 7 2 7" xfId="4693" xr:uid="{00000000-0005-0000-0000-0000AD210000}"/>
    <cellStyle name="40% - Accent6 7 3" xfId="1686" xr:uid="{00000000-0005-0000-0000-0000AE210000}"/>
    <cellStyle name="40% - Accent6 7 3 2" xfId="10686" xr:uid="{00000000-0005-0000-0000-0000AF210000}"/>
    <cellStyle name="40% - Accent6 7 3 3" xfId="9488" xr:uid="{00000000-0005-0000-0000-0000B0210000}"/>
    <cellStyle name="40% - Accent6 7 3 4" xfId="8290" xr:uid="{00000000-0005-0000-0000-0000B1210000}"/>
    <cellStyle name="40% - Accent6 7 3 5" xfId="7092" xr:uid="{00000000-0005-0000-0000-0000B2210000}"/>
    <cellStyle name="40% - Accent6 7 3 6" xfId="5893" xr:uid="{00000000-0005-0000-0000-0000B3210000}"/>
    <cellStyle name="40% - Accent6 7 3 7" xfId="4694" xr:uid="{00000000-0005-0000-0000-0000B4210000}"/>
    <cellStyle name="40% - Accent6 7 4" xfId="1687" xr:uid="{00000000-0005-0000-0000-0000B5210000}"/>
    <cellStyle name="40% - Accent6 7 4 2" xfId="10687" xr:uid="{00000000-0005-0000-0000-0000B6210000}"/>
    <cellStyle name="40% - Accent6 7 4 3" xfId="9489" xr:uid="{00000000-0005-0000-0000-0000B7210000}"/>
    <cellStyle name="40% - Accent6 7 4 4" xfId="8291" xr:uid="{00000000-0005-0000-0000-0000B8210000}"/>
    <cellStyle name="40% - Accent6 7 4 5" xfId="7093" xr:uid="{00000000-0005-0000-0000-0000B9210000}"/>
    <cellStyle name="40% - Accent6 7 4 6" xfId="5894" xr:uid="{00000000-0005-0000-0000-0000BA210000}"/>
    <cellStyle name="40% - Accent6 7 4 7" xfId="4695" xr:uid="{00000000-0005-0000-0000-0000BB210000}"/>
    <cellStyle name="40% - Accent6 7 5" xfId="10684" xr:uid="{00000000-0005-0000-0000-0000BC210000}"/>
    <cellStyle name="40% - Accent6 7 6" xfId="9486" xr:uid="{00000000-0005-0000-0000-0000BD210000}"/>
    <cellStyle name="40% - Accent6 7 7" xfId="8288" xr:uid="{00000000-0005-0000-0000-0000BE210000}"/>
    <cellStyle name="40% - Accent6 7 8" xfId="7090" xr:uid="{00000000-0005-0000-0000-0000BF210000}"/>
    <cellStyle name="40% - Accent6 7 9" xfId="5891" xr:uid="{00000000-0005-0000-0000-0000C0210000}"/>
    <cellStyle name="40% - Accent6 7_2" xfId="1688" xr:uid="{00000000-0005-0000-0000-0000C1210000}"/>
    <cellStyle name="40% - Accent6 8" xfId="1689" xr:uid="{00000000-0005-0000-0000-0000C2210000}"/>
    <cellStyle name="40% - Accent6 8 10" xfId="4696" xr:uid="{00000000-0005-0000-0000-0000C3210000}"/>
    <cellStyle name="40% - Accent6 8 2" xfId="1690" xr:uid="{00000000-0005-0000-0000-0000C4210000}"/>
    <cellStyle name="40% - Accent6 8 2 2" xfId="10689" xr:uid="{00000000-0005-0000-0000-0000C5210000}"/>
    <cellStyle name="40% - Accent6 8 2 3" xfId="9491" xr:uid="{00000000-0005-0000-0000-0000C6210000}"/>
    <cellStyle name="40% - Accent6 8 2 4" xfId="8293" xr:uid="{00000000-0005-0000-0000-0000C7210000}"/>
    <cellStyle name="40% - Accent6 8 2 5" xfId="7095" xr:uid="{00000000-0005-0000-0000-0000C8210000}"/>
    <cellStyle name="40% - Accent6 8 2 6" xfId="5896" xr:uid="{00000000-0005-0000-0000-0000C9210000}"/>
    <cellStyle name="40% - Accent6 8 2 7" xfId="4697" xr:uid="{00000000-0005-0000-0000-0000CA210000}"/>
    <cellStyle name="40% - Accent6 8 3" xfId="1691" xr:uid="{00000000-0005-0000-0000-0000CB210000}"/>
    <cellStyle name="40% - Accent6 8 3 2" xfId="10690" xr:uid="{00000000-0005-0000-0000-0000CC210000}"/>
    <cellStyle name="40% - Accent6 8 3 3" xfId="9492" xr:uid="{00000000-0005-0000-0000-0000CD210000}"/>
    <cellStyle name="40% - Accent6 8 3 4" xfId="8294" xr:uid="{00000000-0005-0000-0000-0000CE210000}"/>
    <cellStyle name="40% - Accent6 8 3 5" xfId="7096" xr:uid="{00000000-0005-0000-0000-0000CF210000}"/>
    <cellStyle name="40% - Accent6 8 3 6" xfId="5897" xr:uid="{00000000-0005-0000-0000-0000D0210000}"/>
    <cellStyle name="40% - Accent6 8 3 7" xfId="4698" xr:uid="{00000000-0005-0000-0000-0000D1210000}"/>
    <cellStyle name="40% - Accent6 8 4" xfId="1692" xr:uid="{00000000-0005-0000-0000-0000D2210000}"/>
    <cellStyle name="40% - Accent6 8 4 2" xfId="10691" xr:uid="{00000000-0005-0000-0000-0000D3210000}"/>
    <cellStyle name="40% - Accent6 8 4 3" xfId="9493" xr:uid="{00000000-0005-0000-0000-0000D4210000}"/>
    <cellStyle name="40% - Accent6 8 4 4" xfId="8295" xr:uid="{00000000-0005-0000-0000-0000D5210000}"/>
    <cellStyle name="40% - Accent6 8 4 5" xfId="7097" xr:uid="{00000000-0005-0000-0000-0000D6210000}"/>
    <cellStyle name="40% - Accent6 8 4 6" xfId="5898" xr:uid="{00000000-0005-0000-0000-0000D7210000}"/>
    <cellStyle name="40% - Accent6 8 4 7" xfId="4699" xr:uid="{00000000-0005-0000-0000-0000D8210000}"/>
    <cellStyle name="40% - Accent6 8 5" xfId="10688" xr:uid="{00000000-0005-0000-0000-0000D9210000}"/>
    <cellStyle name="40% - Accent6 8 6" xfId="9490" xr:uid="{00000000-0005-0000-0000-0000DA210000}"/>
    <cellStyle name="40% - Accent6 8 7" xfId="8292" xr:uid="{00000000-0005-0000-0000-0000DB210000}"/>
    <cellStyle name="40% - Accent6 8 8" xfId="7094" xr:uid="{00000000-0005-0000-0000-0000DC210000}"/>
    <cellStyle name="40% - Accent6 8 9" xfId="5895" xr:uid="{00000000-0005-0000-0000-0000DD210000}"/>
    <cellStyle name="40% - Accent6 8_2" xfId="1693" xr:uid="{00000000-0005-0000-0000-0000DE210000}"/>
    <cellStyle name="40% - Accent6 9" xfId="1694" xr:uid="{00000000-0005-0000-0000-0000DF210000}"/>
    <cellStyle name="40% - Accent6 9 2" xfId="10692" xr:uid="{00000000-0005-0000-0000-0000E0210000}"/>
    <cellStyle name="40% - Accent6 9 3" xfId="9494" xr:uid="{00000000-0005-0000-0000-0000E1210000}"/>
    <cellStyle name="40% - Accent6 9 4" xfId="8296" xr:uid="{00000000-0005-0000-0000-0000E2210000}"/>
    <cellStyle name="40% - Accent6 9 5" xfId="7098" xr:uid="{00000000-0005-0000-0000-0000E3210000}"/>
    <cellStyle name="40% - Accent6 9 6" xfId="5899" xr:uid="{00000000-0005-0000-0000-0000E4210000}"/>
    <cellStyle name="40% - Accent6 9 7" xfId="4700" xr:uid="{00000000-0005-0000-0000-0000E5210000}"/>
    <cellStyle name="60% - Accent1 10" xfId="1695" xr:uid="{00000000-0005-0000-0000-0000E6210000}"/>
    <cellStyle name="60% - Accent1 11" xfId="1696" xr:uid="{00000000-0005-0000-0000-0000E7210000}"/>
    <cellStyle name="60% - Accent1 12" xfId="1697" xr:uid="{00000000-0005-0000-0000-0000E8210000}"/>
    <cellStyle name="60% - Accent1 12 2" xfId="1698" xr:uid="{00000000-0005-0000-0000-0000E9210000}"/>
    <cellStyle name="60% - Accent1 13" xfId="1699" xr:uid="{00000000-0005-0000-0000-0000EA210000}"/>
    <cellStyle name="60% - Accent1 13 2" xfId="1700" xr:uid="{00000000-0005-0000-0000-0000EB210000}"/>
    <cellStyle name="60% - Accent1 14" xfId="1701" xr:uid="{00000000-0005-0000-0000-0000EC210000}"/>
    <cellStyle name="60% - Accent1 14 2" xfId="1702" xr:uid="{00000000-0005-0000-0000-0000ED210000}"/>
    <cellStyle name="60% - Accent1 15" xfId="1703" xr:uid="{00000000-0005-0000-0000-0000EE210000}"/>
    <cellStyle name="60% - Accent1 16" xfId="1704" xr:uid="{00000000-0005-0000-0000-0000EF210000}"/>
    <cellStyle name="60% - Accent1 2" xfId="1705" xr:uid="{00000000-0005-0000-0000-0000F0210000}"/>
    <cellStyle name="60% - Accent1 2 2" xfId="1706" xr:uid="{00000000-0005-0000-0000-0000F1210000}"/>
    <cellStyle name="60% - Accent1 2 3" xfId="1707" xr:uid="{00000000-0005-0000-0000-0000F2210000}"/>
    <cellStyle name="60% - Accent1 2 4" xfId="1708" xr:uid="{00000000-0005-0000-0000-0000F3210000}"/>
    <cellStyle name="60% - Accent1 2 5" xfId="1709" xr:uid="{00000000-0005-0000-0000-0000F4210000}"/>
    <cellStyle name="60% - Accent1 2 6" xfId="1710" xr:uid="{00000000-0005-0000-0000-0000F5210000}"/>
    <cellStyle name="60% - Accent1 2 7" xfId="1711" xr:uid="{00000000-0005-0000-0000-0000F6210000}"/>
    <cellStyle name="60% - Accent1 2 8" xfId="1712" xr:uid="{00000000-0005-0000-0000-0000F7210000}"/>
    <cellStyle name="60% - Accent1 2 9" xfId="1713" xr:uid="{00000000-0005-0000-0000-0000F8210000}"/>
    <cellStyle name="60% - Accent1 3" xfId="1714" xr:uid="{00000000-0005-0000-0000-0000F9210000}"/>
    <cellStyle name="60% - Accent1 3 2" xfId="1715" xr:uid="{00000000-0005-0000-0000-0000FA210000}"/>
    <cellStyle name="60% - Accent1 3 3" xfId="1716" xr:uid="{00000000-0005-0000-0000-0000FB210000}"/>
    <cellStyle name="60% - Accent1 3 4" xfId="1717" xr:uid="{00000000-0005-0000-0000-0000FC210000}"/>
    <cellStyle name="60% - Accent1 4" xfId="1718" xr:uid="{00000000-0005-0000-0000-0000FD210000}"/>
    <cellStyle name="60% - Accent1 4 2" xfId="1719" xr:uid="{00000000-0005-0000-0000-0000FE210000}"/>
    <cellStyle name="60% - Accent1 4 3" xfId="1720" xr:uid="{00000000-0005-0000-0000-0000FF210000}"/>
    <cellStyle name="60% - Accent1 4 4" xfId="1721" xr:uid="{00000000-0005-0000-0000-000000220000}"/>
    <cellStyle name="60% - Accent1 5" xfId="1722" xr:uid="{00000000-0005-0000-0000-000001220000}"/>
    <cellStyle name="60% - Accent1 5 2" xfId="1723" xr:uid="{00000000-0005-0000-0000-000002220000}"/>
    <cellStyle name="60% - Accent1 5 3" xfId="1724" xr:uid="{00000000-0005-0000-0000-000003220000}"/>
    <cellStyle name="60% - Accent1 5 4" xfId="1725" xr:uid="{00000000-0005-0000-0000-000004220000}"/>
    <cellStyle name="60% - Accent1 6" xfId="1726" xr:uid="{00000000-0005-0000-0000-000005220000}"/>
    <cellStyle name="60% - Accent1 6 2" xfId="1727" xr:uid="{00000000-0005-0000-0000-000006220000}"/>
    <cellStyle name="60% - Accent1 6 3" xfId="1728" xr:uid="{00000000-0005-0000-0000-000007220000}"/>
    <cellStyle name="60% - Accent1 6 4" xfId="1729" xr:uid="{00000000-0005-0000-0000-000008220000}"/>
    <cellStyle name="60% - Accent1 7" xfId="1730" xr:uid="{00000000-0005-0000-0000-000009220000}"/>
    <cellStyle name="60% - Accent1 7 2" xfId="1731" xr:uid="{00000000-0005-0000-0000-00000A220000}"/>
    <cellStyle name="60% - Accent1 7 3" xfId="1732" xr:uid="{00000000-0005-0000-0000-00000B220000}"/>
    <cellStyle name="60% - Accent1 7 4" xfId="1733" xr:uid="{00000000-0005-0000-0000-00000C220000}"/>
    <cellStyle name="60% - Accent1 8" xfId="1734" xr:uid="{00000000-0005-0000-0000-00000D220000}"/>
    <cellStyle name="60% - Accent1 8 2" xfId="1735" xr:uid="{00000000-0005-0000-0000-00000E220000}"/>
    <cellStyle name="60% - Accent1 8 3" xfId="1736" xr:uid="{00000000-0005-0000-0000-00000F220000}"/>
    <cellStyle name="60% - Accent1 8 4" xfId="1737" xr:uid="{00000000-0005-0000-0000-000010220000}"/>
    <cellStyle name="60% - Accent1 9" xfId="1738" xr:uid="{00000000-0005-0000-0000-000011220000}"/>
    <cellStyle name="60% - Accent2 10" xfId="1739" xr:uid="{00000000-0005-0000-0000-000012220000}"/>
    <cellStyle name="60% - Accent2 11" xfId="1740" xr:uid="{00000000-0005-0000-0000-000013220000}"/>
    <cellStyle name="60% - Accent2 12" xfId="1741" xr:uid="{00000000-0005-0000-0000-000014220000}"/>
    <cellStyle name="60% - Accent2 12 2" xfId="1742" xr:uid="{00000000-0005-0000-0000-000015220000}"/>
    <cellStyle name="60% - Accent2 13" xfId="1743" xr:uid="{00000000-0005-0000-0000-000016220000}"/>
    <cellStyle name="60% - Accent2 13 2" xfId="1744" xr:uid="{00000000-0005-0000-0000-000017220000}"/>
    <cellStyle name="60% - Accent2 14" xfId="1745" xr:uid="{00000000-0005-0000-0000-000018220000}"/>
    <cellStyle name="60% - Accent2 14 2" xfId="1746" xr:uid="{00000000-0005-0000-0000-000019220000}"/>
    <cellStyle name="60% - Accent2 15" xfId="1747" xr:uid="{00000000-0005-0000-0000-00001A220000}"/>
    <cellStyle name="60% - Accent2 16" xfId="1748" xr:uid="{00000000-0005-0000-0000-00001B220000}"/>
    <cellStyle name="60% - Accent2 2" xfId="1749" xr:uid="{00000000-0005-0000-0000-00001C220000}"/>
    <cellStyle name="60% - Accent2 2 2" xfId="1750" xr:uid="{00000000-0005-0000-0000-00001D220000}"/>
    <cellStyle name="60% - Accent2 2 3" xfId="1751" xr:uid="{00000000-0005-0000-0000-00001E220000}"/>
    <cellStyle name="60% - Accent2 2 4" xfId="1752" xr:uid="{00000000-0005-0000-0000-00001F220000}"/>
    <cellStyle name="60% - Accent2 2 5" xfId="1753" xr:uid="{00000000-0005-0000-0000-000020220000}"/>
    <cellStyle name="60% - Accent2 2 6" xfId="1754" xr:uid="{00000000-0005-0000-0000-000021220000}"/>
    <cellStyle name="60% - Accent2 2 7" xfId="1755" xr:uid="{00000000-0005-0000-0000-000022220000}"/>
    <cellStyle name="60% - Accent2 2 8" xfId="1756" xr:uid="{00000000-0005-0000-0000-000023220000}"/>
    <cellStyle name="60% - Accent2 2 9" xfId="1757" xr:uid="{00000000-0005-0000-0000-000024220000}"/>
    <cellStyle name="60% - Accent2 3" xfId="1758" xr:uid="{00000000-0005-0000-0000-000025220000}"/>
    <cellStyle name="60% - Accent2 3 2" xfId="1759" xr:uid="{00000000-0005-0000-0000-000026220000}"/>
    <cellStyle name="60% - Accent2 3 3" xfId="1760" xr:uid="{00000000-0005-0000-0000-000027220000}"/>
    <cellStyle name="60% - Accent2 3 4" xfId="1761" xr:uid="{00000000-0005-0000-0000-000028220000}"/>
    <cellStyle name="60% - Accent2 4" xfId="1762" xr:uid="{00000000-0005-0000-0000-000029220000}"/>
    <cellStyle name="60% - Accent2 4 2" xfId="1763" xr:uid="{00000000-0005-0000-0000-00002A220000}"/>
    <cellStyle name="60% - Accent2 4 3" xfId="1764" xr:uid="{00000000-0005-0000-0000-00002B220000}"/>
    <cellStyle name="60% - Accent2 4 4" xfId="1765" xr:uid="{00000000-0005-0000-0000-00002C220000}"/>
    <cellStyle name="60% - Accent2 5" xfId="1766" xr:uid="{00000000-0005-0000-0000-00002D220000}"/>
    <cellStyle name="60% - Accent2 5 2" xfId="1767" xr:uid="{00000000-0005-0000-0000-00002E220000}"/>
    <cellStyle name="60% - Accent2 5 3" xfId="1768" xr:uid="{00000000-0005-0000-0000-00002F220000}"/>
    <cellStyle name="60% - Accent2 5 4" xfId="1769" xr:uid="{00000000-0005-0000-0000-000030220000}"/>
    <cellStyle name="60% - Accent2 6" xfId="1770" xr:uid="{00000000-0005-0000-0000-000031220000}"/>
    <cellStyle name="60% - Accent2 6 2" xfId="1771" xr:uid="{00000000-0005-0000-0000-000032220000}"/>
    <cellStyle name="60% - Accent2 6 3" xfId="1772" xr:uid="{00000000-0005-0000-0000-000033220000}"/>
    <cellStyle name="60% - Accent2 6 4" xfId="1773" xr:uid="{00000000-0005-0000-0000-000034220000}"/>
    <cellStyle name="60% - Accent2 7" xfId="1774" xr:uid="{00000000-0005-0000-0000-000035220000}"/>
    <cellStyle name="60% - Accent2 7 2" xfId="1775" xr:uid="{00000000-0005-0000-0000-000036220000}"/>
    <cellStyle name="60% - Accent2 7 3" xfId="1776" xr:uid="{00000000-0005-0000-0000-000037220000}"/>
    <cellStyle name="60% - Accent2 7 4" xfId="1777" xr:uid="{00000000-0005-0000-0000-000038220000}"/>
    <cellStyle name="60% - Accent2 8" xfId="1778" xr:uid="{00000000-0005-0000-0000-000039220000}"/>
    <cellStyle name="60% - Accent2 8 2" xfId="1779" xr:uid="{00000000-0005-0000-0000-00003A220000}"/>
    <cellStyle name="60% - Accent2 8 3" xfId="1780" xr:uid="{00000000-0005-0000-0000-00003B220000}"/>
    <cellStyle name="60% - Accent2 8 4" xfId="1781" xr:uid="{00000000-0005-0000-0000-00003C220000}"/>
    <cellStyle name="60% - Accent2 9" xfId="1782" xr:uid="{00000000-0005-0000-0000-00003D220000}"/>
    <cellStyle name="60% - Accent3 10" xfId="1783" xr:uid="{00000000-0005-0000-0000-00003E220000}"/>
    <cellStyle name="60% - Accent3 11" xfId="1784" xr:uid="{00000000-0005-0000-0000-00003F220000}"/>
    <cellStyle name="60% - Accent3 12" xfId="1785" xr:uid="{00000000-0005-0000-0000-000040220000}"/>
    <cellStyle name="60% - Accent3 12 2" xfId="1786" xr:uid="{00000000-0005-0000-0000-000041220000}"/>
    <cellStyle name="60% - Accent3 13" xfId="1787" xr:uid="{00000000-0005-0000-0000-000042220000}"/>
    <cellStyle name="60% - Accent3 13 2" xfId="1788" xr:uid="{00000000-0005-0000-0000-000043220000}"/>
    <cellStyle name="60% - Accent3 14" xfId="1789" xr:uid="{00000000-0005-0000-0000-000044220000}"/>
    <cellStyle name="60% - Accent3 14 2" xfId="1790" xr:uid="{00000000-0005-0000-0000-000045220000}"/>
    <cellStyle name="60% - Accent3 15" xfId="1791" xr:uid="{00000000-0005-0000-0000-000046220000}"/>
    <cellStyle name="60% - Accent3 16" xfId="1792" xr:uid="{00000000-0005-0000-0000-000047220000}"/>
    <cellStyle name="60% - Accent3 2" xfId="1793" xr:uid="{00000000-0005-0000-0000-000048220000}"/>
    <cellStyle name="60% - Accent3 2 2" xfId="1794" xr:uid="{00000000-0005-0000-0000-000049220000}"/>
    <cellStyle name="60% - Accent3 2 3" xfId="1795" xr:uid="{00000000-0005-0000-0000-00004A220000}"/>
    <cellStyle name="60% - Accent3 2 4" xfId="1796" xr:uid="{00000000-0005-0000-0000-00004B220000}"/>
    <cellStyle name="60% - Accent3 2 5" xfId="1797" xr:uid="{00000000-0005-0000-0000-00004C220000}"/>
    <cellStyle name="60% - Accent3 2 6" xfId="1798" xr:uid="{00000000-0005-0000-0000-00004D220000}"/>
    <cellStyle name="60% - Accent3 2 7" xfId="1799" xr:uid="{00000000-0005-0000-0000-00004E220000}"/>
    <cellStyle name="60% - Accent3 2 8" xfId="1800" xr:uid="{00000000-0005-0000-0000-00004F220000}"/>
    <cellStyle name="60% - Accent3 2 9" xfId="1801" xr:uid="{00000000-0005-0000-0000-000050220000}"/>
    <cellStyle name="60% - Accent3 3" xfId="1802" xr:uid="{00000000-0005-0000-0000-000051220000}"/>
    <cellStyle name="60% - Accent3 3 2" xfId="1803" xr:uid="{00000000-0005-0000-0000-000052220000}"/>
    <cellStyle name="60% - Accent3 3 3" xfId="1804" xr:uid="{00000000-0005-0000-0000-000053220000}"/>
    <cellStyle name="60% - Accent3 3 4" xfId="1805" xr:uid="{00000000-0005-0000-0000-000054220000}"/>
    <cellStyle name="60% - Accent3 4" xfId="1806" xr:uid="{00000000-0005-0000-0000-000055220000}"/>
    <cellStyle name="60% - Accent3 4 2" xfId="1807" xr:uid="{00000000-0005-0000-0000-000056220000}"/>
    <cellStyle name="60% - Accent3 4 3" xfId="1808" xr:uid="{00000000-0005-0000-0000-000057220000}"/>
    <cellStyle name="60% - Accent3 4 4" xfId="1809" xr:uid="{00000000-0005-0000-0000-000058220000}"/>
    <cellStyle name="60% - Accent3 5" xfId="1810" xr:uid="{00000000-0005-0000-0000-000059220000}"/>
    <cellStyle name="60% - Accent3 5 2" xfId="1811" xr:uid="{00000000-0005-0000-0000-00005A220000}"/>
    <cellStyle name="60% - Accent3 5 3" xfId="1812" xr:uid="{00000000-0005-0000-0000-00005B220000}"/>
    <cellStyle name="60% - Accent3 5 4" xfId="1813" xr:uid="{00000000-0005-0000-0000-00005C220000}"/>
    <cellStyle name="60% - Accent3 6" xfId="1814" xr:uid="{00000000-0005-0000-0000-00005D220000}"/>
    <cellStyle name="60% - Accent3 6 2" xfId="1815" xr:uid="{00000000-0005-0000-0000-00005E220000}"/>
    <cellStyle name="60% - Accent3 6 3" xfId="1816" xr:uid="{00000000-0005-0000-0000-00005F220000}"/>
    <cellStyle name="60% - Accent3 6 4" xfId="1817" xr:uid="{00000000-0005-0000-0000-000060220000}"/>
    <cellStyle name="60% - Accent3 7" xfId="1818" xr:uid="{00000000-0005-0000-0000-000061220000}"/>
    <cellStyle name="60% - Accent3 7 2" xfId="1819" xr:uid="{00000000-0005-0000-0000-000062220000}"/>
    <cellStyle name="60% - Accent3 7 3" xfId="1820" xr:uid="{00000000-0005-0000-0000-000063220000}"/>
    <cellStyle name="60% - Accent3 7 4" xfId="1821" xr:uid="{00000000-0005-0000-0000-000064220000}"/>
    <cellStyle name="60% - Accent3 8" xfId="1822" xr:uid="{00000000-0005-0000-0000-000065220000}"/>
    <cellStyle name="60% - Accent3 8 2" xfId="1823" xr:uid="{00000000-0005-0000-0000-000066220000}"/>
    <cellStyle name="60% - Accent3 8 3" xfId="1824" xr:uid="{00000000-0005-0000-0000-000067220000}"/>
    <cellStyle name="60% - Accent3 8 4" xfId="1825" xr:uid="{00000000-0005-0000-0000-000068220000}"/>
    <cellStyle name="60% - Accent3 9" xfId="1826" xr:uid="{00000000-0005-0000-0000-000069220000}"/>
    <cellStyle name="60% - Accent4 10" xfId="1827" xr:uid="{00000000-0005-0000-0000-00006A220000}"/>
    <cellStyle name="60% - Accent4 11" xfId="1828" xr:uid="{00000000-0005-0000-0000-00006B220000}"/>
    <cellStyle name="60% - Accent4 12" xfId="1829" xr:uid="{00000000-0005-0000-0000-00006C220000}"/>
    <cellStyle name="60% - Accent4 12 2" xfId="1830" xr:uid="{00000000-0005-0000-0000-00006D220000}"/>
    <cellStyle name="60% - Accent4 13" xfId="1831" xr:uid="{00000000-0005-0000-0000-00006E220000}"/>
    <cellStyle name="60% - Accent4 13 2" xfId="1832" xr:uid="{00000000-0005-0000-0000-00006F220000}"/>
    <cellStyle name="60% - Accent4 14" xfId="1833" xr:uid="{00000000-0005-0000-0000-000070220000}"/>
    <cellStyle name="60% - Accent4 14 2" xfId="1834" xr:uid="{00000000-0005-0000-0000-000071220000}"/>
    <cellStyle name="60% - Accent4 15" xfId="1835" xr:uid="{00000000-0005-0000-0000-000072220000}"/>
    <cellStyle name="60% - Accent4 16" xfId="1836" xr:uid="{00000000-0005-0000-0000-000073220000}"/>
    <cellStyle name="60% - Accent4 2" xfId="1837" xr:uid="{00000000-0005-0000-0000-000074220000}"/>
    <cellStyle name="60% - Accent4 2 2" xfId="1838" xr:uid="{00000000-0005-0000-0000-000075220000}"/>
    <cellStyle name="60% - Accent4 2 3" xfId="1839" xr:uid="{00000000-0005-0000-0000-000076220000}"/>
    <cellStyle name="60% - Accent4 2 4" xfId="1840" xr:uid="{00000000-0005-0000-0000-000077220000}"/>
    <cellStyle name="60% - Accent4 2 5" xfId="1841" xr:uid="{00000000-0005-0000-0000-000078220000}"/>
    <cellStyle name="60% - Accent4 2 6" xfId="1842" xr:uid="{00000000-0005-0000-0000-000079220000}"/>
    <cellStyle name="60% - Accent4 2 7" xfId="1843" xr:uid="{00000000-0005-0000-0000-00007A220000}"/>
    <cellStyle name="60% - Accent4 2 8" xfId="1844" xr:uid="{00000000-0005-0000-0000-00007B220000}"/>
    <cellStyle name="60% - Accent4 2 9" xfId="1845" xr:uid="{00000000-0005-0000-0000-00007C220000}"/>
    <cellStyle name="60% - Accent4 3" xfId="1846" xr:uid="{00000000-0005-0000-0000-00007D220000}"/>
    <cellStyle name="60% - Accent4 3 2" xfId="1847" xr:uid="{00000000-0005-0000-0000-00007E220000}"/>
    <cellStyle name="60% - Accent4 3 3" xfId="1848" xr:uid="{00000000-0005-0000-0000-00007F220000}"/>
    <cellStyle name="60% - Accent4 3 4" xfId="1849" xr:uid="{00000000-0005-0000-0000-000080220000}"/>
    <cellStyle name="60% - Accent4 4" xfId="1850" xr:uid="{00000000-0005-0000-0000-000081220000}"/>
    <cellStyle name="60% - Accent4 4 2" xfId="1851" xr:uid="{00000000-0005-0000-0000-000082220000}"/>
    <cellStyle name="60% - Accent4 4 3" xfId="1852" xr:uid="{00000000-0005-0000-0000-000083220000}"/>
    <cellStyle name="60% - Accent4 4 4" xfId="1853" xr:uid="{00000000-0005-0000-0000-000084220000}"/>
    <cellStyle name="60% - Accent4 5" xfId="1854" xr:uid="{00000000-0005-0000-0000-000085220000}"/>
    <cellStyle name="60% - Accent4 5 2" xfId="1855" xr:uid="{00000000-0005-0000-0000-000086220000}"/>
    <cellStyle name="60% - Accent4 5 3" xfId="1856" xr:uid="{00000000-0005-0000-0000-000087220000}"/>
    <cellStyle name="60% - Accent4 5 4" xfId="1857" xr:uid="{00000000-0005-0000-0000-000088220000}"/>
    <cellStyle name="60% - Accent4 6" xfId="1858" xr:uid="{00000000-0005-0000-0000-000089220000}"/>
    <cellStyle name="60% - Accent4 6 2" xfId="1859" xr:uid="{00000000-0005-0000-0000-00008A220000}"/>
    <cellStyle name="60% - Accent4 6 3" xfId="1860" xr:uid="{00000000-0005-0000-0000-00008B220000}"/>
    <cellStyle name="60% - Accent4 6 4" xfId="1861" xr:uid="{00000000-0005-0000-0000-00008C220000}"/>
    <cellStyle name="60% - Accent4 7" xfId="1862" xr:uid="{00000000-0005-0000-0000-00008D220000}"/>
    <cellStyle name="60% - Accent4 7 2" xfId="1863" xr:uid="{00000000-0005-0000-0000-00008E220000}"/>
    <cellStyle name="60% - Accent4 7 3" xfId="1864" xr:uid="{00000000-0005-0000-0000-00008F220000}"/>
    <cellStyle name="60% - Accent4 7 4" xfId="1865" xr:uid="{00000000-0005-0000-0000-000090220000}"/>
    <cellStyle name="60% - Accent4 8" xfId="1866" xr:uid="{00000000-0005-0000-0000-000091220000}"/>
    <cellStyle name="60% - Accent4 8 2" xfId="1867" xr:uid="{00000000-0005-0000-0000-000092220000}"/>
    <cellStyle name="60% - Accent4 8 3" xfId="1868" xr:uid="{00000000-0005-0000-0000-000093220000}"/>
    <cellStyle name="60% - Accent4 8 4" xfId="1869" xr:uid="{00000000-0005-0000-0000-000094220000}"/>
    <cellStyle name="60% - Accent4 9" xfId="1870" xr:uid="{00000000-0005-0000-0000-000095220000}"/>
    <cellStyle name="60% - Accent5 10" xfId="1871" xr:uid="{00000000-0005-0000-0000-000096220000}"/>
    <cellStyle name="60% - Accent5 11" xfId="1872" xr:uid="{00000000-0005-0000-0000-000097220000}"/>
    <cellStyle name="60% - Accent5 12" xfId="1873" xr:uid="{00000000-0005-0000-0000-000098220000}"/>
    <cellStyle name="60% - Accent5 12 2" xfId="1874" xr:uid="{00000000-0005-0000-0000-000099220000}"/>
    <cellStyle name="60% - Accent5 13" xfId="1875" xr:uid="{00000000-0005-0000-0000-00009A220000}"/>
    <cellStyle name="60% - Accent5 13 2" xfId="1876" xr:uid="{00000000-0005-0000-0000-00009B220000}"/>
    <cellStyle name="60% - Accent5 14" xfId="1877" xr:uid="{00000000-0005-0000-0000-00009C220000}"/>
    <cellStyle name="60% - Accent5 14 2" xfId="1878" xr:uid="{00000000-0005-0000-0000-00009D220000}"/>
    <cellStyle name="60% - Accent5 15" xfId="1879" xr:uid="{00000000-0005-0000-0000-00009E220000}"/>
    <cellStyle name="60% - Accent5 16" xfId="1880" xr:uid="{00000000-0005-0000-0000-00009F220000}"/>
    <cellStyle name="60% - Accent5 2" xfId="1881" xr:uid="{00000000-0005-0000-0000-0000A0220000}"/>
    <cellStyle name="60% - Accent5 2 2" xfId="1882" xr:uid="{00000000-0005-0000-0000-0000A1220000}"/>
    <cellStyle name="60% - Accent5 2 3" xfId="1883" xr:uid="{00000000-0005-0000-0000-0000A2220000}"/>
    <cellStyle name="60% - Accent5 2 4" xfId="1884" xr:uid="{00000000-0005-0000-0000-0000A3220000}"/>
    <cellStyle name="60% - Accent5 2 5" xfId="1885" xr:uid="{00000000-0005-0000-0000-0000A4220000}"/>
    <cellStyle name="60% - Accent5 2 6" xfId="1886" xr:uid="{00000000-0005-0000-0000-0000A5220000}"/>
    <cellStyle name="60% - Accent5 2 7" xfId="1887" xr:uid="{00000000-0005-0000-0000-0000A6220000}"/>
    <cellStyle name="60% - Accent5 2 8" xfId="1888" xr:uid="{00000000-0005-0000-0000-0000A7220000}"/>
    <cellStyle name="60% - Accent5 2 9" xfId="1889" xr:uid="{00000000-0005-0000-0000-0000A8220000}"/>
    <cellStyle name="60% - Accent5 3" xfId="1890" xr:uid="{00000000-0005-0000-0000-0000A9220000}"/>
    <cellStyle name="60% - Accent5 3 2" xfId="1891" xr:uid="{00000000-0005-0000-0000-0000AA220000}"/>
    <cellStyle name="60% - Accent5 3 3" xfId="1892" xr:uid="{00000000-0005-0000-0000-0000AB220000}"/>
    <cellStyle name="60% - Accent5 3 4" xfId="1893" xr:uid="{00000000-0005-0000-0000-0000AC220000}"/>
    <cellStyle name="60% - Accent5 4" xfId="1894" xr:uid="{00000000-0005-0000-0000-0000AD220000}"/>
    <cellStyle name="60% - Accent5 4 2" xfId="1895" xr:uid="{00000000-0005-0000-0000-0000AE220000}"/>
    <cellStyle name="60% - Accent5 4 3" xfId="1896" xr:uid="{00000000-0005-0000-0000-0000AF220000}"/>
    <cellStyle name="60% - Accent5 4 4" xfId="1897" xr:uid="{00000000-0005-0000-0000-0000B0220000}"/>
    <cellStyle name="60% - Accent5 5" xfId="1898" xr:uid="{00000000-0005-0000-0000-0000B1220000}"/>
    <cellStyle name="60% - Accent5 5 2" xfId="1899" xr:uid="{00000000-0005-0000-0000-0000B2220000}"/>
    <cellStyle name="60% - Accent5 5 3" xfId="1900" xr:uid="{00000000-0005-0000-0000-0000B3220000}"/>
    <cellStyle name="60% - Accent5 5 4" xfId="1901" xr:uid="{00000000-0005-0000-0000-0000B4220000}"/>
    <cellStyle name="60% - Accent5 6" xfId="1902" xr:uid="{00000000-0005-0000-0000-0000B5220000}"/>
    <cellStyle name="60% - Accent5 6 2" xfId="1903" xr:uid="{00000000-0005-0000-0000-0000B6220000}"/>
    <cellStyle name="60% - Accent5 6 3" xfId="1904" xr:uid="{00000000-0005-0000-0000-0000B7220000}"/>
    <cellStyle name="60% - Accent5 6 4" xfId="1905" xr:uid="{00000000-0005-0000-0000-0000B8220000}"/>
    <cellStyle name="60% - Accent5 7" xfId="1906" xr:uid="{00000000-0005-0000-0000-0000B9220000}"/>
    <cellStyle name="60% - Accent5 7 2" xfId="1907" xr:uid="{00000000-0005-0000-0000-0000BA220000}"/>
    <cellStyle name="60% - Accent5 7 3" xfId="1908" xr:uid="{00000000-0005-0000-0000-0000BB220000}"/>
    <cellStyle name="60% - Accent5 7 4" xfId="1909" xr:uid="{00000000-0005-0000-0000-0000BC220000}"/>
    <cellStyle name="60% - Accent5 8" xfId="1910" xr:uid="{00000000-0005-0000-0000-0000BD220000}"/>
    <cellStyle name="60% - Accent5 8 2" xfId="1911" xr:uid="{00000000-0005-0000-0000-0000BE220000}"/>
    <cellStyle name="60% - Accent5 8 3" xfId="1912" xr:uid="{00000000-0005-0000-0000-0000BF220000}"/>
    <cellStyle name="60% - Accent5 8 4" xfId="1913" xr:uid="{00000000-0005-0000-0000-0000C0220000}"/>
    <cellStyle name="60% - Accent5 9" xfId="1914" xr:uid="{00000000-0005-0000-0000-0000C1220000}"/>
    <cellStyle name="60% - Accent6 10" xfId="1915" xr:uid="{00000000-0005-0000-0000-0000C2220000}"/>
    <cellStyle name="60% - Accent6 11" xfId="1916" xr:uid="{00000000-0005-0000-0000-0000C3220000}"/>
    <cellStyle name="60% - Accent6 12" xfId="1917" xr:uid="{00000000-0005-0000-0000-0000C4220000}"/>
    <cellStyle name="60% - Accent6 12 2" xfId="1918" xr:uid="{00000000-0005-0000-0000-0000C5220000}"/>
    <cellStyle name="60% - Accent6 13" xfId="1919" xr:uid="{00000000-0005-0000-0000-0000C6220000}"/>
    <cellStyle name="60% - Accent6 13 2" xfId="1920" xr:uid="{00000000-0005-0000-0000-0000C7220000}"/>
    <cellStyle name="60% - Accent6 14" xfId="1921" xr:uid="{00000000-0005-0000-0000-0000C8220000}"/>
    <cellStyle name="60% - Accent6 14 2" xfId="1922" xr:uid="{00000000-0005-0000-0000-0000C9220000}"/>
    <cellStyle name="60% - Accent6 15" xfId="1923" xr:uid="{00000000-0005-0000-0000-0000CA220000}"/>
    <cellStyle name="60% - Accent6 16" xfId="1924" xr:uid="{00000000-0005-0000-0000-0000CB220000}"/>
    <cellStyle name="60% - Accent6 2" xfId="1925" xr:uid="{00000000-0005-0000-0000-0000CC220000}"/>
    <cellStyle name="60% - Accent6 2 2" xfId="1926" xr:uid="{00000000-0005-0000-0000-0000CD220000}"/>
    <cellStyle name="60% - Accent6 2 3" xfId="1927" xr:uid="{00000000-0005-0000-0000-0000CE220000}"/>
    <cellStyle name="60% - Accent6 2 4" xfId="1928" xr:uid="{00000000-0005-0000-0000-0000CF220000}"/>
    <cellStyle name="60% - Accent6 2 5" xfId="1929" xr:uid="{00000000-0005-0000-0000-0000D0220000}"/>
    <cellStyle name="60% - Accent6 2 6" xfId="1930" xr:uid="{00000000-0005-0000-0000-0000D1220000}"/>
    <cellStyle name="60% - Accent6 2 7" xfId="1931" xr:uid="{00000000-0005-0000-0000-0000D2220000}"/>
    <cellStyle name="60% - Accent6 2 8" xfId="1932" xr:uid="{00000000-0005-0000-0000-0000D3220000}"/>
    <cellStyle name="60% - Accent6 2 9" xfId="1933" xr:uid="{00000000-0005-0000-0000-0000D4220000}"/>
    <cellStyle name="60% - Accent6 3" xfId="1934" xr:uid="{00000000-0005-0000-0000-0000D5220000}"/>
    <cellStyle name="60% - Accent6 3 2" xfId="1935" xr:uid="{00000000-0005-0000-0000-0000D6220000}"/>
    <cellStyle name="60% - Accent6 3 3" xfId="1936" xr:uid="{00000000-0005-0000-0000-0000D7220000}"/>
    <cellStyle name="60% - Accent6 3 4" xfId="1937" xr:uid="{00000000-0005-0000-0000-0000D8220000}"/>
    <cellStyle name="60% - Accent6 4" xfId="1938" xr:uid="{00000000-0005-0000-0000-0000D9220000}"/>
    <cellStyle name="60% - Accent6 4 2" xfId="1939" xr:uid="{00000000-0005-0000-0000-0000DA220000}"/>
    <cellStyle name="60% - Accent6 4 3" xfId="1940" xr:uid="{00000000-0005-0000-0000-0000DB220000}"/>
    <cellStyle name="60% - Accent6 4 4" xfId="1941" xr:uid="{00000000-0005-0000-0000-0000DC220000}"/>
    <cellStyle name="60% - Accent6 5" xfId="1942" xr:uid="{00000000-0005-0000-0000-0000DD220000}"/>
    <cellStyle name="60% - Accent6 5 2" xfId="1943" xr:uid="{00000000-0005-0000-0000-0000DE220000}"/>
    <cellStyle name="60% - Accent6 5 3" xfId="1944" xr:uid="{00000000-0005-0000-0000-0000DF220000}"/>
    <cellStyle name="60% - Accent6 5 4" xfId="1945" xr:uid="{00000000-0005-0000-0000-0000E0220000}"/>
    <cellStyle name="60% - Accent6 6" xfId="1946" xr:uid="{00000000-0005-0000-0000-0000E1220000}"/>
    <cellStyle name="60% - Accent6 6 2" xfId="1947" xr:uid="{00000000-0005-0000-0000-0000E2220000}"/>
    <cellStyle name="60% - Accent6 6 3" xfId="1948" xr:uid="{00000000-0005-0000-0000-0000E3220000}"/>
    <cellStyle name="60% - Accent6 6 4" xfId="1949" xr:uid="{00000000-0005-0000-0000-0000E4220000}"/>
    <cellStyle name="60% - Accent6 7" xfId="1950" xr:uid="{00000000-0005-0000-0000-0000E5220000}"/>
    <cellStyle name="60% - Accent6 7 2" xfId="1951" xr:uid="{00000000-0005-0000-0000-0000E6220000}"/>
    <cellStyle name="60% - Accent6 7 3" xfId="1952" xr:uid="{00000000-0005-0000-0000-0000E7220000}"/>
    <cellStyle name="60% - Accent6 7 4" xfId="1953" xr:uid="{00000000-0005-0000-0000-0000E8220000}"/>
    <cellStyle name="60% - Accent6 8" xfId="1954" xr:uid="{00000000-0005-0000-0000-0000E9220000}"/>
    <cellStyle name="60% - Accent6 8 2" xfId="1955" xr:uid="{00000000-0005-0000-0000-0000EA220000}"/>
    <cellStyle name="60% - Accent6 8 3" xfId="1956" xr:uid="{00000000-0005-0000-0000-0000EB220000}"/>
    <cellStyle name="60% - Accent6 8 4" xfId="1957" xr:uid="{00000000-0005-0000-0000-0000EC220000}"/>
    <cellStyle name="60% - Accent6 9" xfId="1958" xr:uid="{00000000-0005-0000-0000-0000ED220000}"/>
    <cellStyle name="Accent1 - 20%" xfId="1959" xr:uid="{00000000-0005-0000-0000-0000EE220000}"/>
    <cellStyle name="Accent1 - 20% 2" xfId="10693" xr:uid="{00000000-0005-0000-0000-0000EF220000}"/>
    <cellStyle name="Accent1 - 20% 3" xfId="9495" xr:uid="{00000000-0005-0000-0000-0000F0220000}"/>
    <cellStyle name="Accent1 - 20% 4" xfId="8297" xr:uid="{00000000-0005-0000-0000-0000F1220000}"/>
    <cellStyle name="Accent1 - 20% 5" xfId="7099" xr:uid="{00000000-0005-0000-0000-0000F2220000}"/>
    <cellStyle name="Accent1 - 20% 6" xfId="5900" xr:uid="{00000000-0005-0000-0000-0000F3220000}"/>
    <cellStyle name="Accent1 - 20% 7" xfId="4701" xr:uid="{00000000-0005-0000-0000-0000F4220000}"/>
    <cellStyle name="Accent1 - 40%" xfId="1960" xr:uid="{00000000-0005-0000-0000-0000F5220000}"/>
    <cellStyle name="Accent1 - 40% 2" xfId="10694" xr:uid="{00000000-0005-0000-0000-0000F6220000}"/>
    <cellStyle name="Accent1 - 40% 3" xfId="9496" xr:uid="{00000000-0005-0000-0000-0000F7220000}"/>
    <cellStyle name="Accent1 - 40% 4" xfId="8298" xr:uid="{00000000-0005-0000-0000-0000F8220000}"/>
    <cellStyle name="Accent1 - 40% 5" xfId="7100" xr:uid="{00000000-0005-0000-0000-0000F9220000}"/>
    <cellStyle name="Accent1 - 40% 6" xfId="5901" xr:uid="{00000000-0005-0000-0000-0000FA220000}"/>
    <cellStyle name="Accent1 - 40% 7" xfId="4702" xr:uid="{00000000-0005-0000-0000-0000FB220000}"/>
    <cellStyle name="Accent1 - 60%" xfId="1961" xr:uid="{00000000-0005-0000-0000-0000FC220000}"/>
    <cellStyle name="Accent1 10" xfId="1962" xr:uid="{00000000-0005-0000-0000-0000FD220000}"/>
    <cellStyle name="Accent1 11" xfId="1963" xr:uid="{00000000-0005-0000-0000-0000FE220000}"/>
    <cellStyle name="Accent1 12" xfId="1964" xr:uid="{00000000-0005-0000-0000-0000FF220000}"/>
    <cellStyle name="Accent1 12 2" xfId="1965" xr:uid="{00000000-0005-0000-0000-000000230000}"/>
    <cellStyle name="Accent1 13" xfId="1966" xr:uid="{00000000-0005-0000-0000-000001230000}"/>
    <cellStyle name="Accent1 13 2" xfId="1967" xr:uid="{00000000-0005-0000-0000-000002230000}"/>
    <cellStyle name="Accent1 14" xfId="1968" xr:uid="{00000000-0005-0000-0000-000003230000}"/>
    <cellStyle name="Accent1 14 2" xfId="1969" xr:uid="{00000000-0005-0000-0000-000004230000}"/>
    <cellStyle name="Accent1 15" xfId="1970" xr:uid="{00000000-0005-0000-0000-000005230000}"/>
    <cellStyle name="Accent1 16" xfId="1971" xr:uid="{00000000-0005-0000-0000-000006230000}"/>
    <cellStyle name="Accent1 2" xfId="1972" xr:uid="{00000000-0005-0000-0000-000007230000}"/>
    <cellStyle name="Accent1 2 2" xfId="1973" xr:uid="{00000000-0005-0000-0000-000008230000}"/>
    <cellStyle name="Accent1 2 3" xfId="1974" xr:uid="{00000000-0005-0000-0000-000009230000}"/>
    <cellStyle name="Accent1 2 4" xfId="1975" xr:uid="{00000000-0005-0000-0000-00000A230000}"/>
    <cellStyle name="Accent1 2 5" xfId="1976" xr:uid="{00000000-0005-0000-0000-00000B230000}"/>
    <cellStyle name="Accent1 2 6" xfId="1977" xr:uid="{00000000-0005-0000-0000-00000C230000}"/>
    <cellStyle name="Accent1 2 7" xfId="1978" xr:uid="{00000000-0005-0000-0000-00000D230000}"/>
    <cellStyle name="Accent1 2 8" xfId="1979" xr:uid="{00000000-0005-0000-0000-00000E230000}"/>
    <cellStyle name="Accent1 2 9" xfId="1980" xr:uid="{00000000-0005-0000-0000-00000F230000}"/>
    <cellStyle name="Accent1 3" xfId="1981" xr:uid="{00000000-0005-0000-0000-000010230000}"/>
    <cellStyle name="Accent1 3 2" xfId="1982" xr:uid="{00000000-0005-0000-0000-000011230000}"/>
    <cellStyle name="Accent1 3 3" xfId="1983" xr:uid="{00000000-0005-0000-0000-000012230000}"/>
    <cellStyle name="Accent1 3 4" xfId="1984" xr:uid="{00000000-0005-0000-0000-000013230000}"/>
    <cellStyle name="Accent1 4" xfId="1985" xr:uid="{00000000-0005-0000-0000-000014230000}"/>
    <cellStyle name="Accent1 4 2" xfId="1986" xr:uid="{00000000-0005-0000-0000-000015230000}"/>
    <cellStyle name="Accent1 4 3" xfId="1987" xr:uid="{00000000-0005-0000-0000-000016230000}"/>
    <cellStyle name="Accent1 4 4" xfId="1988" xr:uid="{00000000-0005-0000-0000-000017230000}"/>
    <cellStyle name="Accent1 5" xfId="1989" xr:uid="{00000000-0005-0000-0000-000018230000}"/>
    <cellStyle name="Accent1 5 2" xfId="1990" xr:uid="{00000000-0005-0000-0000-000019230000}"/>
    <cellStyle name="Accent1 5 3" xfId="1991" xr:uid="{00000000-0005-0000-0000-00001A230000}"/>
    <cellStyle name="Accent1 5 4" xfId="1992" xr:uid="{00000000-0005-0000-0000-00001B230000}"/>
    <cellStyle name="Accent1 6" xfId="1993" xr:uid="{00000000-0005-0000-0000-00001C230000}"/>
    <cellStyle name="Accent1 6 2" xfId="1994" xr:uid="{00000000-0005-0000-0000-00001D230000}"/>
    <cellStyle name="Accent1 6 3" xfId="1995" xr:uid="{00000000-0005-0000-0000-00001E230000}"/>
    <cellStyle name="Accent1 6 4" xfId="1996" xr:uid="{00000000-0005-0000-0000-00001F230000}"/>
    <cellStyle name="Accent1 7" xfId="1997" xr:uid="{00000000-0005-0000-0000-000020230000}"/>
    <cellStyle name="Accent1 7 2" xfId="1998" xr:uid="{00000000-0005-0000-0000-000021230000}"/>
    <cellStyle name="Accent1 7 3" xfId="1999" xr:uid="{00000000-0005-0000-0000-000022230000}"/>
    <cellStyle name="Accent1 7 4" xfId="2000" xr:uid="{00000000-0005-0000-0000-000023230000}"/>
    <cellStyle name="Accent1 8" xfId="2001" xr:uid="{00000000-0005-0000-0000-000024230000}"/>
    <cellStyle name="Accent1 8 2" xfId="2002" xr:uid="{00000000-0005-0000-0000-000025230000}"/>
    <cellStyle name="Accent1 8 3" xfId="2003" xr:uid="{00000000-0005-0000-0000-000026230000}"/>
    <cellStyle name="Accent1 8 4" xfId="2004" xr:uid="{00000000-0005-0000-0000-000027230000}"/>
    <cellStyle name="Accent1 9" xfId="2005" xr:uid="{00000000-0005-0000-0000-000028230000}"/>
    <cellStyle name="Accent2 - 20%" xfId="2006" xr:uid="{00000000-0005-0000-0000-000029230000}"/>
    <cellStyle name="Accent2 - 20% 2" xfId="10695" xr:uid="{00000000-0005-0000-0000-00002A230000}"/>
    <cellStyle name="Accent2 - 20% 3" xfId="9497" xr:uid="{00000000-0005-0000-0000-00002B230000}"/>
    <cellStyle name="Accent2 - 20% 4" xfId="8299" xr:uid="{00000000-0005-0000-0000-00002C230000}"/>
    <cellStyle name="Accent2 - 20% 5" xfId="7101" xr:uid="{00000000-0005-0000-0000-00002D230000}"/>
    <cellStyle name="Accent2 - 20% 6" xfId="5902" xr:uid="{00000000-0005-0000-0000-00002E230000}"/>
    <cellStyle name="Accent2 - 20% 7" xfId="4703" xr:uid="{00000000-0005-0000-0000-00002F230000}"/>
    <cellStyle name="Accent2 - 40%" xfId="2007" xr:uid="{00000000-0005-0000-0000-000030230000}"/>
    <cellStyle name="Accent2 - 40% 2" xfId="10696" xr:uid="{00000000-0005-0000-0000-000031230000}"/>
    <cellStyle name="Accent2 - 40% 3" xfId="9498" xr:uid="{00000000-0005-0000-0000-000032230000}"/>
    <cellStyle name="Accent2 - 40% 4" xfId="8300" xr:uid="{00000000-0005-0000-0000-000033230000}"/>
    <cellStyle name="Accent2 - 40% 5" xfId="7102" xr:uid="{00000000-0005-0000-0000-000034230000}"/>
    <cellStyle name="Accent2 - 40% 6" xfId="5903" xr:uid="{00000000-0005-0000-0000-000035230000}"/>
    <cellStyle name="Accent2 - 40% 7" xfId="4704" xr:uid="{00000000-0005-0000-0000-000036230000}"/>
    <cellStyle name="Accent2 - 60%" xfId="2008" xr:uid="{00000000-0005-0000-0000-000037230000}"/>
    <cellStyle name="Accent2 10" xfId="2009" xr:uid="{00000000-0005-0000-0000-000038230000}"/>
    <cellStyle name="Accent2 11" xfId="2010" xr:uid="{00000000-0005-0000-0000-000039230000}"/>
    <cellStyle name="Accent2 12" xfId="2011" xr:uid="{00000000-0005-0000-0000-00003A230000}"/>
    <cellStyle name="Accent2 12 2" xfId="2012" xr:uid="{00000000-0005-0000-0000-00003B230000}"/>
    <cellStyle name="Accent2 13" xfId="2013" xr:uid="{00000000-0005-0000-0000-00003C230000}"/>
    <cellStyle name="Accent2 13 2" xfId="2014" xr:uid="{00000000-0005-0000-0000-00003D230000}"/>
    <cellStyle name="Accent2 14" xfId="2015" xr:uid="{00000000-0005-0000-0000-00003E230000}"/>
    <cellStyle name="Accent2 14 2" xfId="2016" xr:uid="{00000000-0005-0000-0000-00003F230000}"/>
    <cellStyle name="Accent2 15" xfId="2017" xr:uid="{00000000-0005-0000-0000-000040230000}"/>
    <cellStyle name="Accent2 16" xfId="2018" xr:uid="{00000000-0005-0000-0000-000041230000}"/>
    <cellStyle name="Accent2 2" xfId="2019" xr:uid="{00000000-0005-0000-0000-000042230000}"/>
    <cellStyle name="Accent2 2 2" xfId="2020" xr:uid="{00000000-0005-0000-0000-000043230000}"/>
    <cellStyle name="Accent2 2 3" xfId="2021" xr:uid="{00000000-0005-0000-0000-000044230000}"/>
    <cellStyle name="Accent2 2 4" xfId="2022" xr:uid="{00000000-0005-0000-0000-000045230000}"/>
    <cellStyle name="Accent2 2 5" xfId="2023" xr:uid="{00000000-0005-0000-0000-000046230000}"/>
    <cellStyle name="Accent2 2 6" xfId="2024" xr:uid="{00000000-0005-0000-0000-000047230000}"/>
    <cellStyle name="Accent2 2 7" xfId="2025" xr:uid="{00000000-0005-0000-0000-000048230000}"/>
    <cellStyle name="Accent2 2 8" xfId="2026" xr:uid="{00000000-0005-0000-0000-000049230000}"/>
    <cellStyle name="Accent2 2 9" xfId="2027" xr:uid="{00000000-0005-0000-0000-00004A230000}"/>
    <cellStyle name="Accent2 3" xfId="2028" xr:uid="{00000000-0005-0000-0000-00004B230000}"/>
    <cellStyle name="Accent2 3 2" xfId="2029" xr:uid="{00000000-0005-0000-0000-00004C230000}"/>
    <cellStyle name="Accent2 3 3" xfId="2030" xr:uid="{00000000-0005-0000-0000-00004D230000}"/>
    <cellStyle name="Accent2 3 4" xfId="2031" xr:uid="{00000000-0005-0000-0000-00004E230000}"/>
    <cellStyle name="Accent2 4" xfId="2032" xr:uid="{00000000-0005-0000-0000-00004F230000}"/>
    <cellStyle name="Accent2 4 2" xfId="2033" xr:uid="{00000000-0005-0000-0000-000050230000}"/>
    <cellStyle name="Accent2 4 3" xfId="2034" xr:uid="{00000000-0005-0000-0000-000051230000}"/>
    <cellStyle name="Accent2 4 4" xfId="2035" xr:uid="{00000000-0005-0000-0000-000052230000}"/>
    <cellStyle name="Accent2 5" xfId="2036" xr:uid="{00000000-0005-0000-0000-000053230000}"/>
    <cellStyle name="Accent2 5 2" xfId="2037" xr:uid="{00000000-0005-0000-0000-000054230000}"/>
    <cellStyle name="Accent2 5 3" xfId="2038" xr:uid="{00000000-0005-0000-0000-000055230000}"/>
    <cellStyle name="Accent2 5 4" xfId="2039" xr:uid="{00000000-0005-0000-0000-000056230000}"/>
    <cellStyle name="Accent2 6" xfId="2040" xr:uid="{00000000-0005-0000-0000-000057230000}"/>
    <cellStyle name="Accent2 6 2" xfId="2041" xr:uid="{00000000-0005-0000-0000-000058230000}"/>
    <cellStyle name="Accent2 6 3" xfId="2042" xr:uid="{00000000-0005-0000-0000-000059230000}"/>
    <cellStyle name="Accent2 6 4" xfId="2043" xr:uid="{00000000-0005-0000-0000-00005A230000}"/>
    <cellStyle name="Accent2 7" xfId="2044" xr:uid="{00000000-0005-0000-0000-00005B230000}"/>
    <cellStyle name="Accent2 7 2" xfId="2045" xr:uid="{00000000-0005-0000-0000-00005C230000}"/>
    <cellStyle name="Accent2 7 3" xfId="2046" xr:uid="{00000000-0005-0000-0000-00005D230000}"/>
    <cellStyle name="Accent2 7 4" xfId="2047" xr:uid="{00000000-0005-0000-0000-00005E230000}"/>
    <cellStyle name="Accent2 8" xfId="2048" xr:uid="{00000000-0005-0000-0000-00005F230000}"/>
    <cellStyle name="Accent2 8 2" xfId="2049" xr:uid="{00000000-0005-0000-0000-000060230000}"/>
    <cellStyle name="Accent2 8 3" xfId="2050" xr:uid="{00000000-0005-0000-0000-000061230000}"/>
    <cellStyle name="Accent2 8 4" xfId="2051" xr:uid="{00000000-0005-0000-0000-000062230000}"/>
    <cellStyle name="Accent2 9" xfId="2052" xr:uid="{00000000-0005-0000-0000-000063230000}"/>
    <cellStyle name="Accent3 - 20%" xfId="2053" xr:uid="{00000000-0005-0000-0000-000064230000}"/>
    <cellStyle name="Accent3 - 20% 2" xfId="10697" xr:uid="{00000000-0005-0000-0000-000065230000}"/>
    <cellStyle name="Accent3 - 20% 3" xfId="9499" xr:uid="{00000000-0005-0000-0000-000066230000}"/>
    <cellStyle name="Accent3 - 20% 4" xfId="8301" xr:uid="{00000000-0005-0000-0000-000067230000}"/>
    <cellStyle name="Accent3 - 20% 5" xfId="7103" xr:uid="{00000000-0005-0000-0000-000068230000}"/>
    <cellStyle name="Accent3 - 20% 6" xfId="5904" xr:uid="{00000000-0005-0000-0000-000069230000}"/>
    <cellStyle name="Accent3 - 20% 7" xfId="4705" xr:uid="{00000000-0005-0000-0000-00006A230000}"/>
    <cellStyle name="Accent3 - 40%" xfId="2054" xr:uid="{00000000-0005-0000-0000-00006B230000}"/>
    <cellStyle name="Accent3 - 40% 2" xfId="10698" xr:uid="{00000000-0005-0000-0000-00006C230000}"/>
    <cellStyle name="Accent3 - 40% 3" xfId="9500" xr:uid="{00000000-0005-0000-0000-00006D230000}"/>
    <cellStyle name="Accent3 - 40% 4" xfId="8302" xr:uid="{00000000-0005-0000-0000-00006E230000}"/>
    <cellStyle name="Accent3 - 40% 5" xfId="7104" xr:uid="{00000000-0005-0000-0000-00006F230000}"/>
    <cellStyle name="Accent3 - 40% 6" xfId="5905" xr:uid="{00000000-0005-0000-0000-000070230000}"/>
    <cellStyle name="Accent3 - 40% 7" xfId="4706" xr:uid="{00000000-0005-0000-0000-000071230000}"/>
    <cellStyle name="Accent3 - 60%" xfId="2055" xr:uid="{00000000-0005-0000-0000-000072230000}"/>
    <cellStyle name="Accent3 10" xfId="2056" xr:uid="{00000000-0005-0000-0000-000073230000}"/>
    <cellStyle name="Accent3 11" xfId="2057" xr:uid="{00000000-0005-0000-0000-000074230000}"/>
    <cellStyle name="Accent3 12" xfId="2058" xr:uid="{00000000-0005-0000-0000-000075230000}"/>
    <cellStyle name="Accent3 12 2" xfId="2059" xr:uid="{00000000-0005-0000-0000-000076230000}"/>
    <cellStyle name="Accent3 13" xfId="2060" xr:uid="{00000000-0005-0000-0000-000077230000}"/>
    <cellStyle name="Accent3 13 2" xfId="2061" xr:uid="{00000000-0005-0000-0000-000078230000}"/>
    <cellStyle name="Accent3 14" xfId="2062" xr:uid="{00000000-0005-0000-0000-000079230000}"/>
    <cellStyle name="Accent3 14 2" xfId="2063" xr:uid="{00000000-0005-0000-0000-00007A230000}"/>
    <cellStyle name="Accent3 15" xfId="2064" xr:uid="{00000000-0005-0000-0000-00007B230000}"/>
    <cellStyle name="Accent3 16" xfId="2065" xr:uid="{00000000-0005-0000-0000-00007C230000}"/>
    <cellStyle name="Accent3 2" xfId="2066" xr:uid="{00000000-0005-0000-0000-00007D230000}"/>
    <cellStyle name="Accent3 2 2" xfId="2067" xr:uid="{00000000-0005-0000-0000-00007E230000}"/>
    <cellStyle name="Accent3 2 3" xfId="2068" xr:uid="{00000000-0005-0000-0000-00007F230000}"/>
    <cellStyle name="Accent3 2 4" xfId="2069" xr:uid="{00000000-0005-0000-0000-000080230000}"/>
    <cellStyle name="Accent3 2 5" xfId="2070" xr:uid="{00000000-0005-0000-0000-000081230000}"/>
    <cellStyle name="Accent3 2 6" xfId="2071" xr:uid="{00000000-0005-0000-0000-000082230000}"/>
    <cellStyle name="Accent3 2 7" xfId="2072" xr:uid="{00000000-0005-0000-0000-000083230000}"/>
    <cellStyle name="Accent3 2 8" xfId="2073" xr:uid="{00000000-0005-0000-0000-000084230000}"/>
    <cellStyle name="Accent3 2 9" xfId="2074" xr:uid="{00000000-0005-0000-0000-000085230000}"/>
    <cellStyle name="Accent3 3" xfId="2075" xr:uid="{00000000-0005-0000-0000-000086230000}"/>
    <cellStyle name="Accent3 3 2" xfId="2076" xr:uid="{00000000-0005-0000-0000-000087230000}"/>
    <cellStyle name="Accent3 3 3" xfId="2077" xr:uid="{00000000-0005-0000-0000-000088230000}"/>
    <cellStyle name="Accent3 3 4" xfId="2078" xr:uid="{00000000-0005-0000-0000-000089230000}"/>
    <cellStyle name="Accent3 4" xfId="2079" xr:uid="{00000000-0005-0000-0000-00008A230000}"/>
    <cellStyle name="Accent3 4 2" xfId="2080" xr:uid="{00000000-0005-0000-0000-00008B230000}"/>
    <cellStyle name="Accent3 4 3" xfId="2081" xr:uid="{00000000-0005-0000-0000-00008C230000}"/>
    <cellStyle name="Accent3 4 4" xfId="2082" xr:uid="{00000000-0005-0000-0000-00008D230000}"/>
    <cellStyle name="Accent3 5" xfId="2083" xr:uid="{00000000-0005-0000-0000-00008E230000}"/>
    <cellStyle name="Accent3 5 2" xfId="2084" xr:uid="{00000000-0005-0000-0000-00008F230000}"/>
    <cellStyle name="Accent3 5 3" xfId="2085" xr:uid="{00000000-0005-0000-0000-000090230000}"/>
    <cellStyle name="Accent3 5 4" xfId="2086" xr:uid="{00000000-0005-0000-0000-000091230000}"/>
    <cellStyle name="Accent3 6" xfId="2087" xr:uid="{00000000-0005-0000-0000-000092230000}"/>
    <cellStyle name="Accent3 6 2" xfId="2088" xr:uid="{00000000-0005-0000-0000-000093230000}"/>
    <cellStyle name="Accent3 6 3" xfId="2089" xr:uid="{00000000-0005-0000-0000-000094230000}"/>
    <cellStyle name="Accent3 6 4" xfId="2090" xr:uid="{00000000-0005-0000-0000-000095230000}"/>
    <cellStyle name="Accent3 7" xfId="2091" xr:uid="{00000000-0005-0000-0000-000096230000}"/>
    <cellStyle name="Accent3 7 2" xfId="2092" xr:uid="{00000000-0005-0000-0000-000097230000}"/>
    <cellStyle name="Accent3 7 3" xfId="2093" xr:uid="{00000000-0005-0000-0000-000098230000}"/>
    <cellStyle name="Accent3 7 4" xfId="2094" xr:uid="{00000000-0005-0000-0000-000099230000}"/>
    <cellStyle name="Accent3 8" xfId="2095" xr:uid="{00000000-0005-0000-0000-00009A230000}"/>
    <cellStyle name="Accent3 8 2" xfId="2096" xr:uid="{00000000-0005-0000-0000-00009B230000}"/>
    <cellStyle name="Accent3 8 3" xfId="2097" xr:uid="{00000000-0005-0000-0000-00009C230000}"/>
    <cellStyle name="Accent3 8 4" xfId="2098" xr:uid="{00000000-0005-0000-0000-00009D230000}"/>
    <cellStyle name="Accent3 9" xfId="2099" xr:uid="{00000000-0005-0000-0000-00009E230000}"/>
    <cellStyle name="Accent4 - 20%" xfId="2100" xr:uid="{00000000-0005-0000-0000-00009F230000}"/>
    <cellStyle name="Accent4 - 20% 2" xfId="10699" xr:uid="{00000000-0005-0000-0000-0000A0230000}"/>
    <cellStyle name="Accent4 - 20% 3" xfId="9501" xr:uid="{00000000-0005-0000-0000-0000A1230000}"/>
    <cellStyle name="Accent4 - 20% 4" xfId="8303" xr:uid="{00000000-0005-0000-0000-0000A2230000}"/>
    <cellStyle name="Accent4 - 20% 5" xfId="7105" xr:uid="{00000000-0005-0000-0000-0000A3230000}"/>
    <cellStyle name="Accent4 - 20% 6" xfId="5906" xr:uid="{00000000-0005-0000-0000-0000A4230000}"/>
    <cellStyle name="Accent4 - 20% 7" xfId="4707" xr:uid="{00000000-0005-0000-0000-0000A5230000}"/>
    <cellStyle name="Accent4 - 40%" xfId="2101" xr:uid="{00000000-0005-0000-0000-0000A6230000}"/>
    <cellStyle name="Accent4 - 40% 2" xfId="10700" xr:uid="{00000000-0005-0000-0000-0000A7230000}"/>
    <cellStyle name="Accent4 - 40% 3" xfId="9502" xr:uid="{00000000-0005-0000-0000-0000A8230000}"/>
    <cellStyle name="Accent4 - 40% 4" xfId="8304" xr:uid="{00000000-0005-0000-0000-0000A9230000}"/>
    <cellStyle name="Accent4 - 40% 5" xfId="7106" xr:uid="{00000000-0005-0000-0000-0000AA230000}"/>
    <cellStyle name="Accent4 - 40% 6" xfId="5907" xr:uid="{00000000-0005-0000-0000-0000AB230000}"/>
    <cellStyle name="Accent4 - 40% 7" xfId="4708" xr:uid="{00000000-0005-0000-0000-0000AC230000}"/>
    <cellStyle name="Accent4 - 60%" xfId="2102" xr:uid="{00000000-0005-0000-0000-0000AD230000}"/>
    <cellStyle name="Accent4 10" xfId="2103" xr:uid="{00000000-0005-0000-0000-0000AE230000}"/>
    <cellStyle name="Accent4 11" xfId="2104" xr:uid="{00000000-0005-0000-0000-0000AF230000}"/>
    <cellStyle name="Accent4 12" xfId="2105" xr:uid="{00000000-0005-0000-0000-0000B0230000}"/>
    <cellStyle name="Accent4 12 2" xfId="2106" xr:uid="{00000000-0005-0000-0000-0000B1230000}"/>
    <cellStyle name="Accent4 13" xfId="2107" xr:uid="{00000000-0005-0000-0000-0000B2230000}"/>
    <cellStyle name="Accent4 13 2" xfId="2108" xr:uid="{00000000-0005-0000-0000-0000B3230000}"/>
    <cellStyle name="Accent4 14" xfId="2109" xr:uid="{00000000-0005-0000-0000-0000B4230000}"/>
    <cellStyle name="Accent4 14 2" xfId="2110" xr:uid="{00000000-0005-0000-0000-0000B5230000}"/>
    <cellStyle name="Accent4 15" xfId="2111" xr:uid="{00000000-0005-0000-0000-0000B6230000}"/>
    <cellStyle name="Accent4 16" xfId="2112" xr:uid="{00000000-0005-0000-0000-0000B7230000}"/>
    <cellStyle name="Accent4 2" xfId="2113" xr:uid="{00000000-0005-0000-0000-0000B8230000}"/>
    <cellStyle name="Accent4 2 2" xfId="2114" xr:uid="{00000000-0005-0000-0000-0000B9230000}"/>
    <cellStyle name="Accent4 2 3" xfId="2115" xr:uid="{00000000-0005-0000-0000-0000BA230000}"/>
    <cellStyle name="Accent4 2 4" xfId="2116" xr:uid="{00000000-0005-0000-0000-0000BB230000}"/>
    <cellStyle name="Accent4 2 5" xfId="2117" xr:uid="{00000000-0005-0000-0000-0000BC230000}"/>
    <cellStyle name="Accent4 2 6" xfId="2118" xr:uid="{00000000-0005-0000-0000-0000BD230000}"/>
    <cellStyle name="Accent4 2 7" xfId="2119" xr:uid="{00000000-0005-0000-0000-0000BE230000}"/>
    <cellStyle name="Accent4 2 8" xfId="2120" xr:uid="{00000000-0005-0000-0000-0000BF230000}"/>
    <cellStyle name="Accent4 2 9" xfId="2121" xr:uid="{00000000-0005-0000-0000-0000C0230000}"/>
    <cellStyle name="Accent4 3" xfId="2122" xr:uid="{00000000-0005-0000-0000-0000C1230000}"/>
    <cellStyle name="Accent4 3 2" xfId="2123" xr:uid="{00000000-0005-0000-0000-0000C2230000}"/>
    <cellStyle name="Accent4 3 3" xfId="2124" xr:uid="{00000000-0005-0000-0000-0000C3230000}"/>
    <cellStyle name="Accent4 3 4" xfId="2125" xr:uid="{00000000-0005-0000-0000-0000C4230000}"/>
    <cellStyle name="Accent4 4" xfId="2126" xr:uid="{00000000-0005-0000-0000-0000C5230000}"/>
    <cellStyle name="Accent4 4 2" xfId="2127" xr:uid="{00000000-0005-0000-0000-0000C6230000}"/>
    <cellStyle name="Accent4 4 3" xfId="2128" xr:uid="{00000000-0005-0000-0000-0000C7230000}"/>
    <cellStyle name="Accent4 4 4" xfId="2129" xr:uid="{00000000-0005-0000-0000-0000C8230000}"/>
    <cellStyle name="Accent4 5" xfId="2130" xr:uid="{00000000-0005-0000-0000-0000C9230000}"/>
    <cellStyle name="Accent4 5 2" xfId="2131" xr:uid="{00000000-0005-0000-0000-0000CA230000}"/>
    <cellStyle name="Accent4 5 3" xfId="2132" xr:uid="{00000000-0005-0000-0000-0000CB230000}"/>
    <cellStyle name="Accent4 5 4" xfId="2133" xr:uid="{00000000-0005-0000-0000-0000CC230000}"/>
    <cellStyle name="Accent4 6" xfId="2134" xr:uid="{00000000-0005-0000-0000-0000CD230000}"/>
    <cellStyle name="Accent4 6 2" xfId="2135" xr:uid="{00000000-0005-0000-0000-0000CE230000}"/>
    <cellStyle name="Accent4 6 3" xfId="2136" xr:uid="{00000000-0005-0000-0000-0000CF230000}"/>
    <cellStyle name="Accent4 6 4" xfId="2137" xr:uid="{00000000-0005-0000-0000-0000D0230000}"/>
    <cellStyle name="Accent4 7" xfId="2138" xr:uid="{00000000-0005-0000-0000-0000D1230000}"/>
    <cellStyle name="Accent4 7 2" xfId="2139" xr:uid="{00000000-0005-0000-0000-0000D2230000}"/>
    <cellStyle name="Accent4 7 3" xfId="2140" xr:uid="{00000000-0005-0000-0000-0000D3230000}"/>
    <cellStyle name="Accent4 7 4" xfId="2141" xr:uid="{00000000-0005-0000-0000-0000D4230000}"/>
    <cellStyle name="Accent4 8" xfId="2142" xr:uid="{00000000-0005-0000-0000-0000D5230000}"/>
    <cellStyle name="Accent4 8 2" xfId="2143" xr:uid="{00000000-0005-0000-0000-0000D6230000}"/>
    <cellStyle name="Accent4 8 3" xfId="2144" xr:uid="{00000000-0005-0000-0000-0000D7230000}"/>
    <cellStyle name="Accent4 8 4" xfId="2145" xr:uid="{00000000-0005-0000-0000-0000D8230000}"/>
    <cellStyle name="Accent4 9" xfId="2146" xr:uid="{00000000-0005-0000-0000-0000D9230000}"/>
    <cellStyle name="Accent5 - 20%" xfId="2147" xr:uid="{00000000-0005-0000-0000-0000DA230000}"/>
    <cellStyle name="Accent5 - 20% 2" xfId="10701" xr:uid="{00000000-0005-0000-0000-0000DB230000}"/>
    <cellStyle name="Accent5 - 20% 3" xfId="9503" xr:uid="{00000000-0005-0000-0000-0000DC230000}"/>
    <cellStyle name="Accent5 - 20% 4" xfId="8305" xr:uid="{00000000-0005-0000-0000-0000DD230000}"/>
    <cellStyle name="Accent5 - 20% 5" xfId="7107" xr:uid="{00000000-0005-0000-0000-0000DE230000}"/>
    <cellStyle name="Accent5 - 20% 6" xfId="5908" xr:uid="{00000000-0005-0000-0000-0000DF230000}"/>
    <cellStyle name="Accent5 - 20% 7" xfId="4709" xr:uid="{00000000-0005-0000-0000-0000E0230000}"/>
    <cellStyle name="Accent5 - 40%" xfId="2148" xr:uid="{00000000-0005-0000-0000-0000E1230000}"/>
    <cellStyle name="Accent5 - 40% 2" xfId="10702" xr:uid="{00000000-0005-0000-0000-0000E2230000}"/>
    <cellStyle name="Accent5 - 40% 3" xfId="9504" xr:uid="{00000000-0005-0000-0000-0000E3230000}"/>
    <cellStyle name="Accent5 - 40% 4" xfId="8306" xr:uid="{00000000-0005-0000-0000-0000E4230000}"/>
    <cellStyle name="Accent5 - 40% 5" xfId="7108" xr:uid="{00000000-0005-0000-0000-0000E5230000}"/>
    <cellStyle name="Accent5 - 40% 6" xfId="5909" xr:uid="{00000000-0005-0000-0000-0000E6230000}"/>
    <cellStyle name="Accent5 - 40% 7" xfId="4710" xr:uid="{00000000-0005-0000-0000-0000E7230000}"/>
    <cellStyle name="Accent5 - 60%" xfId="2149" xr:uid="{00000000-0005-0000-0000-0000E8230000}"/>
    <cellStyle name="Accent5 10" xfId="2150" xr:uid="{00000000-0005-0000-0000-0000E9230000}"/>
    <cellStyle name="Accent5 11" xfId="2151" xr:uid="{00000000-0005-0000-0000-0000EA230000}"/>
    <cellStyle name="Accent5 12" xfId="2152" xr:uid="{00000000-0005-0000-0000-0000EB230000}"/>
    <cellStyle name="Accent5 12 2" xfId="2153" xr:uid="{00000000-0005-0000-0000-0000EC230000}"/>
    <cellStyle name="Accent5 13" xfId="2154" xr:uid="{00000000-0005-0000-0000-0000ED230000}"/>
    <cellStyle name="Accent5 13 2" xfId="2155" xr:uid="{00000000-0005-0000-0000-0000EE230000}"/>
    <cellStyle name="Accent5 14" xfId="2156" xr:uid="{00000000-0005-0000-0000-0000EF230000}"/>
    <cellStyle name="Accent5 14 2" xfId="2157" xr:uid="{00000000-0005-0000-0000-0000F0230000}"/>
    <cellStyle name="Accent5 15" xfId="2158" xr:uid="{00000000-0005-0000-0000-0000F1230000}"/>
    <cellStyle name="Accent5 16" xfId="2159" xr:uid="{00000000-0005-0000-0000-0000F2230000}"/>
    <cellStyle name="Accent5 2" xfId="2160" xr:uid="{00000000-0005-0000-0000-0000F3230000}"/>
    <cellStyle name="Accent5 2 2" xfId="2161" xr:uid="{00000000-0005-0000-0000-0000F4230000}"/>
    <cellStyle name="Accent5 2 3" xfId="2162" xr:uid="{00000000-0005-0000-0000-0000F5230000}"/>
    <cellStyle name="Accent5 2 4" xfId="2163" xr:uid="{00000000-0005-0000-0000-0000F6230000}"/>
    <cellStyle name="Accent5 2 5" xfId="2164" xr:uid="{00000000-0005-0000-0000-0000F7230000}"/>
    <cellStyle name="Accent5 2 6" xfId="2165" xr:uid="{00000000-0005-0000-0000-0000F8230000}"/>
    <cellStyle name="Accent5 2 7" xfId="2166" xr:uid="{00000000-0005-0000-0000-0000F9230000}"/>
    <cellStyle name="Accent5 2 8" xfId="2167" xr:uid="{00000000-0005-0000-0000-0000FA230000}"/>
    <cellStyle name="Accent5 2 9" xfId="2168" xr:uid="{00000000-0005-0000-0000-0000FB230000}"/>
    <cellStyle name="Accent5 3" xfId="2169" xr:uid="{00000000-0005-0000-0000-0000FC230000}"/>
    <cellStyle name="Accent5 3 2" xfId="2170" xr:uid="{00000000-0005-0000-0000-0000FD230000}"/>
    <cellStyle name="Accent5 3 3" xfId="2171" xr:uid="{00000000-0005-0000-0000-0000FE230000}"/>
    <cellStyle name="Accent5 3 4" xfId="2172" xr:uid="{00000000-0005-0000-0000-0000FF230000}"/>
    <cellStyle name="Accent5 4" xfId="2173" xr:uid="{00000000-0005-0000-0000-000000240000}"/>
    <cellStyle name="Accent5 4 2" xfId="2174" xr:uid="{00000000-0005-0000-0000-000001240000}"/>
    <cellStyle name="Accent5 4 3" xfId="2175" xr:uid="{00000000-0005-0000-0000-000002240000}"/>
    <cellStyle name="Accent5 4 4" xfId="2176" xr:uid="{00000000-0005-0000-0000-000003240000}"/>
    <cellStyle name="Accent5 5" xfId="2177" xr:uid="{00000000-0005-0000-0000-000004240000}"/>
    <cellStyle name="Accent5 5 2" xfId="2178" xr:uid="{00000000-0005-0000-0000-000005240000}"/>
    <cellStyle name="Accent5 5 3" xfId="2179" xr:uid="{00000000-0005-0000-0000-000006240000}"/>
    <cellStyle name="Accent5 5 4" xfId="2180" xr:uid="{00000000-0005-0000-0000-000007240000}"/>
    <cellStyle name="Accent5 6" xfId="2181" xr:uid="{00000000-0005-0000-0000-000008240000}"/>
    <cellStyle name="Accent5 6 2" xfId="2182" xr:uid="{00000000-0005-0000-0000-000009240000}"/>
    <cellStyle name="Accent5 6 3" xfId="2183" xr:uid="{00000000-0005-0000-0000-00000A240000}"/>
    <cellStyle name="Accent5 6 4" xfId="2184" xr:uid="{00000000-0005-0000-0000-00000B240000}"/>
    <cellStyle name="Accent5 7" xfId="2185" xr:uid="{00000000-0005-0000-0000-00000C240000}"/>
    <cellStyle name="Accent5 7 2" xfId="2186" xr:uid="{00000000-0005-0000-0000-00000D240000}"/>
    <cellStyle name="Accent5 7 3" xfId="2187" xr:uid="{00000000-0005-0000-0000-00000E240000}"/>
    <cellStyle name="Accent5 7 4" xfId="2188" xr:uid="{00000000-0005-0000-0000-00000F240000}"/>
    <cellStyle name="Accent5 8" xfId="2189" xr:uid="{00000000-0005-0000-0000-000010240000}"/>
    <cellStyle name="Accent5 8 2" xfId="2190" xr:uid="{00000000-0005-0000-0000-000011240000}"/>
    <cellStyle name="Accent5 8 3" xfId="2191" xr:uid="{00000000-0005-0000-0000-000012240000}"/>
    <cellStyle name="Accent5 8 4" xfId="2192" xr:uid="{00000000-0005-0000-0000-000013240000}"/>
    <cellStyle name="Accent5 9" xfId="2193" xr:uid="{00000000-0005-0000-0000-000014240000}"/>
    <cellStyle name="Accent6 - 20%" xfId="2194" xr:uid="{00000000-0005-0000-0000-000015240000}"/>
    <cellStyle name="Accent6 - 20% 2" xfId="10703" xr:uid="{00000000-0005-0000-0000-000016240000}"/>
    <cellStyle name="Accent6 - 20% 3" xfId="9505" xr:uid="{00000000-0005-0000-0000-000017240000}"/>
    <cellStyle name="Accent6 - 20% 4" xfId="8307" xr:uid="{00000000-0005-0000-0000-000018240000}"/>
    <cellStyle name="Accent6 - 20% 5" xfId="7109" xr:uid="{00000000-0005-0000-0000-000019240000}"/>
    <cellStyle name="Accent6 - 20% 6" xfId="5910" xr:uid="{00000000-0005-0000-0000-00001A240000}"/>
    <cellStyle name="Accent6 - 20% 7" xfId="4711" xr:uid="{00000000-0005-0000-0000-00001B240000}"/>
    <cellStyle name="Accent6 - 40%" xfId="2195" xr:uid="{00000000-0005-0000-0000-00001C240000}"/>
    <cellStyle name="Accent6 - 40% 2" xfId="10704" xr:uid="{00000000-0005-0000-0000-00001D240000}"/>
    <cellStyle name="Accent6 - 40% 3" xfId="9506" xr:uid="{00000000-0005-0000-0000-00001E240000}"/>
    <cellStyle name="Accent6 - 40% 4" xfId="8308" xr:uid="{00000000-0005-0000-0000-00001F240000}"/>
    <cellStyle name="Accent6 - 40% 5" xfId="7110" xr:uid="{00000000-0005-0000-0000-000020240000}"/>
    <cellStyle name="Accent6 - 40% 6" xfId="5911" xr:uid="{00000000-0005-0000-0000-000021240000}"/>
    <cellStyle name="Accent6 - 40% 7" xfId="4712" xr:uid="{00000000-0005-0000-0000-000022240000}"/>
    <cellStyle name="Accent6 - 60%" xfId="2196" xr:uid="{00000000-0005-0000-0000-000023240000}"/>
    <cellStyle name="Accent6 10" xfId="2197" xr:uid="{00000000-0005-0000-0000-000024240000}"/>
    <cellStyle name="Accent6 11" xfId="2198" xr:uid="{00000000-0005-0000-0000-000025240000}"/>
    <cellStyle name="Accent6 12" xfId="2199" xr:uid="{00000000-0005-0000-0000-000026240000}"/>
    <cellStyle name="Accent6 12 2" xfId="2200" xr:uid="{00000000-0005-0000-0000-000027240000}"/>
    <cellStyle name="Accent6 13" xfId="2201" xr:uid="{00000000-0005-0000-0000-000028240000}"/>
    <cellStyle name="Accent6 13 2" xfId="2202" xr:uid="{00000000-0005-0000-0000-000029240000}"/>
    <cellStyle name="Accent6 14" xfId="2203" xr:uid="{00000000-0005-0000-0000-00002A240000}"/>
    <cellStyle name="Accent6 14 2" xfId="2204" xr:uid="{00000000-0005-0000-0000-00002B240000}"/>
    <cellStyle name="Accent6 15" xfId="2205" xr:uid="{00000000-0005-0000-0000-00002C240000}"/>
    <cellStyle name="Accent6 16" xfId="2206" xr:uid="{00000000-0005-0000-0000-00002D240000}"/>
    <cellStyle name="Accent6 2" xfId="2207" xr:uid="{00000000-0005-0000-0000-00002E240000}"/>
    <cellStyle name="Accent6 2 2" xfId="2208" xr:uid="{00000000-0005-0000-0000-00002F240000}"/>
    <cellStyle name="Accent6 2 3" xfId="2209" xr:uid="{00000000-0005-0000-0000-000030240000}"/>
    <cellStyle name="Accent6 2 4" xfId="2210" xr:uid="{00000000-0005-0000-0000-000031240000}"/>
    <cellStyle name="Accent6 2 5" xfId="2211" xr:uid="{00000000-0005-0000-0000-000032240000}"/>
    <cellStyle name="Accent6 2 6" xfId="2212" xr:uid="{00000000-0005-0000-0000-000033240000}"/>
    <cellStyle name="Accent6 2 7" xfId="2213" xr:uid="{00000000-0005-0000-0000-000034240000}"/>
    <cellStyle name="Accent6 2 8" xfId="2214" xr:uid="{00000000-0005-0000-0000-000035240000}"/>
    <cellStyle name="Accent6 2 9" xfId="2215" xr:uid="{00000000-0005-0000-0000-000036240000}"/>
    <cellStyle name="Accent6 3" xfId="2216" xr:uid="{00000000-0005-0000-0000-000037240000}"/>
    <cellStyle name="Accent6 3 2" xfId="2217" xr:uid="{00000000-0005-0000-0000-000038240000}"/>
    <cellStyle name="Accent6 3 3" xfId="2218" xr:uid="{00000000-0005-0000-0000-000039240000}"/>
    <cellStyle name="Accent6 3 4" xfId="2219" xr:uid="{00000000-0005-0000-0000-00003A240000}"/>
    <cellStyle name="Accent6 4" xfId="2220" xr:uid="{00000000-0005-0000-0000-00003B240000}"/>
    <cellStyle name="Accent6 4 2" xfId="2221" xr:uid="{00000000-0005-0000-0000-00003C240000}"/>
    <cellStyle name="Accent6 4 3" xfId="2222" xr:uid="{00000000-0005-0000-0000-00003D240000}"/>
    <cellStyle name="Accent6 4 4" xfId="2223" xr:uid="{00000000-0005-0000-0000-00003E240000}"/>
    <cellStyle name="Accent6 5" xfId="2224" xr:uid="{00000000-0005-0000-0000-00003F240000}"/>
    <cellStyle name="Accent6 5 2" xfId="2225" xr:uid="{00000000-0005-0000-0000-000040240000}"/>
    <cellStyle name="Accent6 5 3" xfId="2226" xr:uid="{00000000-0005-0000-0000-000041240000}"/>
    <cellStyle name="Accent6 5 4" xfId="2227" xr:uid="{00000000-0005-0000-0000-000042240000}"/>
    <cellStyle name="Accent6 6" xfId="2228" xr:uid="{00000000-0005-0000-0000-000043240000}"/>
    <cellStyle name="Accent6 6 2" xfId="2229" xr:uid="{00000000-0005-0000-0000-000044240000}"/>
    <cellStyle name="Accent6 6 3" xfId="2230" xr:uid="{00000000-0005-0000-0000-000045240000}"/>
    <cellStyle name="Accent6 6 4" xfId="2231" xr:uid="{00000000-0005-0000-0000-000046240000}"/>
    <cellStyle name="Accent6 7" xfId="2232" xr:uid="{00000000-0005-0000-0000-000047240000}"/>
    <cellStyle name="Accent6 7 2" xfId="2233" xr:uid="{00000000-0005-0000-0000-000048240000}"/>
    <cellStyle name="Accent6 7 3" xfId="2234" xr:uid="{00000000-0005-0000-0000-000049240000}"/>
    <cellStyle name="Accent6 7 4" xfId="2235" xr:uid="{00000000-0005-0000-0000-00004A240000}"/>
    <cellStyle name="Accent6 8" xfId="2236" xr:uid="{00000000-0005-0000-0000-00004B240000}"/>
    <cellStyle name="Accent6 8 2" xfId="2237" xr:uid="{00000000-0005-0000-0000-00004C240000}"/>
    <cellStyle name="Accent6 8 3" xfId="2238" xr:uid="{00000000-0005-0000-0000-00004D240000}"/>
    <cellStyle name="Accent6 8 4" xfId="2239" xr:uid="{00000000-0005-0000-0000-00004E240000}"/>
    <cellStyle name="Accent6 9" xfId="2240" xr:uid="{00000000-0005-0000-0000-00004F240000}"/>
    <cellStyle name="active" xfId="2241" xr:uid="{00000000-0005-0000-0000-000050240000}"/>
    <cellStyle name="Bad 10" xfId="2242" xr:uid="{00000000-0005-0000-0000-000051240000}"/>
    <cellStyle name="Bad 11" xfId="2243" xr:uid="{00000000-0005-0000-0000-000052240000}"/>
    <cellStyle name="Bad 12" xfId="2244" xr:uid="{00000000-0005-0000-0000-000053240000}"/>
    <cellStyle name="Bad 12 2" xfId="2245" xr:uid="{00000000-0005-0000-0000-000054240000}"/>
    <cellStyle name="Bad 13" xfId="2246" xr:uid="{00000000-0005-0000-0000-000055240000}"/>
    <cellStyle name="Bad 13 2" xfId="2247" xr:uid="{00000000-0005-0000-0000-000056240000}"/>
    <cellStyle name="Bad 14" xfId="2248" xr:uid="{00000000-0005-0000-0000-000057240000}"/>
    <cellStyle name="Bad 14 2" xfId="2249" xr:uid="{00000000-0005-0000-0000-000058240000}"/>
    <cellStyle name="Bad 15" xfId="2250" xr:uid="{00000000-0005-0000-0000-000059240000}"/>
    <cellStyle name="Bad 16" xfId="2251" xr:uid="{00000000-0005-0000-0000-00005A240000}"/>
    <cellStyle name="Bad 2" xfId="2252" xr:uid="{00000000-0005-0000-0000-00005B240000}"/>
    <cellStyle name="Bad 2 2" xfId="2253" xr:uid="{00000000-0005-0000-0000-00005C240000}"/>
    <cellStyle name="Bad 2 3" xfId="2254" xr:uid="{00000000-0005-0000-0000-00005D240000}"/>
    <cellStyle name="Bad 2 4" xfId="2255" xr:uid="{00000000-0005-0000-0000-00005E240000}"/>
    <cellStyle name="Bad 2 5" xfId="2256" xr:uid="{00000000-0005-0000-0000-00005F240000}"/>
    <cellStyle name="Bad 2 6" xfId="2257" xr:uid="{00000000-0005-0000-0000-000060240000}"/>
    <cellStyle name="Bad 2 7" xfId="2258" xr:uid="{00000000-0005-0000-0000-000061240000}"/>
    <cellStyle name="Bad 2 8" xfId="2259" xr:uid="{00000000-0005-0000-0000-000062240000}"/>
    <cellStyle name="Bad 2 9" xfId="2260" xr:uid="{00000000-0005-0000-0000-000063240000}"/>
    <cellStyle name="Bad 3" xfId="2261" xr:uid="{00000000-0005-0000-0000-000064240000}"/>
    <cellStyle name="Bad 3 2" xfId="2262" xr:uid="{00000000-0005-0000-0000-000065240000}"/>
    <cellStyle name="Bad 3 3" xfId="2263" xr:uid="{00000000-0005-0000-0000-000066240000}"/>
    <cellStyle name="Bad 3 4" xfId="2264" xr:uid="{00000000-0005-0000-0000-000067240000}"/>
    <cellStyle name="Bad 4" xfId="2265" xr:uid="{00000000-0005-0000-0000-000068240000}"/>
    <cellStyle name="Bad 4 2" xfId="2266" xr:uid="{00000000-0005-0000-0000-000069240000}"/>
    <cellStyle name="Bad 4 3" xfId="2267" xr:uid="{00000000-0005-0000-0000-00006A240000}"/>
    <cellStyle name="Bad 4 4" xfId="2268" xr:uid="{00000000-0005-0000-0000-00006B240000}"/>
    <cellStyle name="Bad 5" xfId="2269" xr:uid="{00000000-0005-0000-0000-00006C240000}"/>
    <cellStyle name="Bad 5 2" xfId="2270" xr:uid="{00000000-0005-0000-0000-00006D240000}"/>
    <cellStyle name="Bad 5 3" xfId="2271" xr:uid="{00000000-0005-0000-0000-00006E240000}"/>
    <cellStyle name="Bad 5 4" xfId="2272" xr:uid="{00000000-0005-0000-0000-00006F240000}"/>
    <cellStyle name="Bad 6" xfId="2273" xr:uid="{00000000-0005-0000-0000-000070240000}"/>
    <cellStyle name="Bad 6 2" xfId="2274" xr:uid="{00000000-0005-0000-0000-000071240000}"/>
    <cellStyle name="Bad 6 3" xfId="2275" xr:uid="{00000000-0005-0000-0000-000072240000}"/>
    <cellStyle name="Bad 6 4" xfId="2276" xr:uid="{00000000-0005-0000-0000-000073240000}"/>
    <cellStyle name="Bad 7" xfId="2277" xr:uid="{00000000-0005-0000-0000-000074240000}"/>
    <cellStyle name="Bad 7 2" xfId="2278" xr:uid="{00000000-0005-0000-0000-000075240000}"/>
    <cellStyle name="Bad 7 3" xfId="2279" xr:uid="{00000000-0005-0000-0000-000076240000}"/>
    <cellStyle name="Bad 7 4" xfId="2280" xr:uid="{00000000-0005-0000-0000-000077240000}"/>
    <cellStyle name="Bad 8" xfId="2281" xr:uid="{00000000-0005-0000-0000-000078240000}"/>
    <cellStyle name="Bad 8 2" xfId="2282" xr:uid="{00000000-0005-0000-0000-000079240000}"/>
    <cellStyle name="Bad 8 3" xfId="2283" xr:uid="{00000000-0005-0000-0000-00007A240000}"/>
    <cellStyle name="Bad 8 4" xfId="2284" xr:uid="{00000000-0005-0000-0000-00007B240000}"/>
    <cellStyle name="Bad 9" xfId="2285" xr:uid="{00000000-0005-0000-0000-00007C240000}"/>
    <cellStyle name="Calculation 10" xfId="2286" xr:uid="{00000000-0005-0000-0000-00007D240000}"/>
    <cellStyle name="Calculation 11" xfId="2287" xr:uid="{00000000-0005-0000-0000-00007E240000}"/>
    <cellStyle name="Calculation 12" xfId="2288" xr:uid="{00000000-0005-0000-0000-00007F240000}"/>
    <cellStyle name="Calculation 12 2" xfId="2289" xr:uid="{00000000-0005-0000-0000-000080240000}"/>
    <cellStyle name="Calculation 12_Book1" xfId="2290" xr:uid="{00000000-0005-0000-0000-000081240000}"/>
    <cellStyle name="Calculation 13" xfId="2291" xr:uid="{00000000-0005-0000-0000-000082240000}"/>
    <cellStyle name="Calculation 13 2" xfId="2292" xr:uid="{00000000-0005-0000-0000-000083240000}"/>
    <cellStyle name="Calculation 13_Book1" xfId="2293" xr:uid="{00000000-0005-0000-0000-000084240000}"/>
    <cellStyle name="Calculation 14" xfId="2294" xr:uid="{00000000-0005-0000-0000-000085240000}"/>
    <cellStyle name="Calculation 14 2" xfId="2295" xr:uid="{00000000-0005-0000-0000-000086240000}"/>
    <cellStyle name="Calculation 14_Book1" xfId="2296" xr:uid="{00000000-0005-0000-0000-000087240000}"/>
    <cellStyle name="Calculation 15" xfId="2297" xr:uid="{00000000-0005-0000-0000-000088240000}"/>
    <cellStyle name="Calculation 16" xfId="2298" xr:uid="{00000000-0005-0000-0000-000089240000}"/>
    <cellStyle name="Calculation 2" xfId="2299" xr:uid="{00000000-0005-0000-0000-00008A240000}"/>
    <cellStyle name="Calculation 2 2" xfId="2300" xr:uid="{00000000-0005-0000-0000-00008B240000}"/>
    <cellStyle name="Calculation 2 3" xfId="2301" xr:uid="{00000000-0005-0000-0000-00008C240000}"/>
    <cellStyle name="Calculation 2 4" xfId="2302" xr:uid="{00000000-0005-0000-0000-00008D240000}"/>
    <cellStyle name="Calculation 2 5" xfId="2303" xr:uid="{00000000-0005-0000-0000-00008E240000}"/>
    <cellStyle name="Calculation 2 6" xfId="2304" xr:uid="{00000000-0005-0000-0000-00008F240000}"/>
    <cellStyle name="Calculation 2 7" xfId="2305" xr:uid="{00000000-0005-0000-0000-000090240000}"/>
    <cellStyle name="Calculation 2 8" xfId="2306" xr:uid="{00000000-0005-0000-0000-000091240000}"/>
    <cellStyle name="Calculation 2 9" xfId="2307" xr:uid="{00000000-0005-0000-0000-000092240000}"/>
    <cellStyle name="Calculation 2_Book1" xfId="2308" xr:uid="{00000000-0005-0000-0000-000093240000}"/>
    <cellStyle name="Calculation 3" xfId="2309" xr:uid="{00000000-0005-0000-0000-000094240000}"/>
    <cellStyle name="Calculation 3 2" xfId="2310" xr:uid="{00000000-0005-0000-0000-000095240000}"/>
    <cellStyle name="Calculation 3 3" xfId="2311" xr:uid="{00000000-0005-0000-0000-000096240000}"/>
    <cellStyle name="Calculation 3 4" xfId="2312" xr:uid="{00000000-0005-0000-0000-000097240000}"/>
    <cellStyle name="Calculation 3_Book1" xfId="2313" xr:uid="{00000000-0005-0000-0000-000098240000}"/>
    <cellStyle name="Calculation 4" xfId="2314" xr:uid="{00000000-0005-0000-0000-000099240000}"/>
    <cellStyle name="Calculation 4 2" xfId="2315" xr:uid="{00000000-0005-0000-0000-00009A240000}"/>
    <cellStyle name="Calculation 4 3" xfId="2316" xr:uid="{00000000-0005-0000-0000-00009B240000}"/>
    <cellStyle name="Calculation 4 4" xfId="2317" xr:uid="{00000000-0005-0000-0000-00009C240000}"/>
    <cellStyle name="Calculation 4_Book1" xfId="2318" xr:uid="{00000000-0005-0000-0000-00009D240000}"/>
    <cellStyle name="Calculation 5" xfId="2319" xr:uid="{00000000-0005-0000-0000-00009E240000}"/>
    <cellStyle name="Calculation 5 2" xfId="2320" xr:uid="{00000000-0005-0000-0000-00009F240000}"/>
    <cellStyle name="Calculation 5 3" xfId="2321" xr:uid="{00000000-0005-0000-0000-0000A0240000}"/>
    <cellStyle name="Calculation 5 4" xfId="2322" xr:uid="{00000000-0005-0000-0000-0000A1240000}"/>
    <cellStyle name="Calculation 5_Book1" xfId="2323" xr:uid="{00000000-0005-0000-0000-0000A2240000}"/>
    <cellStyle name="Calculation 6" xfId="2324" xr:uid="{00000000-0005-0000-0000-0000A3240000}"/>
    <cellStyle name="Calculation 6 2" xfId="2325" xr:uid="{00000000-0005-0000-0000-0000A4240000}"/>
    <cellStyle name="Calculation 6 3" xfId="2326" xr:uid="{00000000-0005-0000-0000-0000A5240000}"/>
    <cellStyle name="Calculation 6 4" xfId="2327" xr:uid="{00000000-0005-0000-0000-0000A6240000}"/>
    <cellStyle name="Calculation 6_Book1" xfId="2328" xr:uid="{00000000-0005-0000-0000-0000A7240000}"/>
    <cellStyle name="Calculation 7" xfId="2329" xr:uid="{00000000-0005-0000-0000-0000A8240000}"/>
    <cellStyle name="Calculation 7 2" xfId="2330" xr:uid="{00000000-0005-0000-0000-0000A9240000}"/>
    <cellStyle name="Calculation 7 3" xfId="2331" xr:uid="{00000000-0005-0000-0000-0000AA240000}"/>
    <cellStyle name="Calculation 7 4" xfId="2332" xr:uid="{00000000-0005-0000-0000-0000AB240000}"/>
    <cellStyle name="Calculation 7_Book1" xfId="2333" xr:uid="{00000000-0005-0000-0000-0000AC240000}"/>
    <cellStyle name="Calculation 8" xfId="2334" xr:uid="{00000000-0005-0000-0000-0000AD240000}"/>
    <cellStyle name="Calculation 8 2" xfId="2335" xr:uid="{00000000-0005-0000-0000-0000AE240000}"/>
    <cellStyle name="Calculation 8 3" xfId="2336" xr:uid="{00000000-0005-0000-0000-0000AF240000}"/>
    <cellStyle name="Calculation 8 4" xfId="2337" xr:uid="{00000000-0005-0000-0000-0000B0240000}"/>
    <cellStyle name="Calculation 8_Book1" xfId="2338" xr:uid="{00000000-0005-0000-0000-0000B1240000}"/>
    <cellStyle name="Calculation 9" xfId="2339" xr:uid="{00000000-0005-0000-0000-0000B2240000}"/>
    <cellStyle name="Check Cell 10" xfId="2340" xr:uid="{00000000-0005-0000-0000-0000B3240000}"/>
    <cellStyle name="Check Cell 11" xfId="2341" xr:uid="{00000000-0005-0000-0000-0000B4240000}"/>
    <cellStyle name="Check Cell 12" xfId="2342" xr:uid="{00000000-0005-0000-0000-0000B5240000}"/>
    <cellStyle name="Check Cell 12 2" xfId="2343" xr:uid="{00000000-0005-0000-0000-0000B6240000}"/>
    <cellStyle name="Check Cell 12_Book1" xfId="2344" xr:uid="{00000000-0005-0000-0000-0000B7240000}"/>
    <cellStyle name="Check Cell 13" xfId="2345" xr:uid="{00000000-0005-0000-0000-0000B8240000}"/>
    <cellStyle name="Check Cell 13 2" xfId="2346" xr:uid="{00000000-0005-0000-0000-0000B9240000}"/>
    <cellStyle name="Check Cell 13_Book1" xfId="2347" xr:uid="{00000000-0005-0000-0000-0000BA240000}"/>
    <cellStyle name="Check Cell 14" xfId="2348" xr:uid="{00000000-0005-0000-0000-0000BB240000}"/>
    <cellStyle name="Check Cell 14 2" xfId="2349" xr:uid="{00000000-0005-0000-0000-0000BC240000}"/>
    <cellStyle name="Check Cell 14_Book1" xfId="2350" xr:uid="{00000000-0005-0000-0000-0000BD240000}"/>
    <cellStyle name="Check Cell 15" xfId="2351" xr:uid="{00000000-0005-0000-0000-0000BE240000}"/>
    <cellStyle name="Check Cell 16" xfId="2352" xr:uid="{00000000-0005-0000-0000-0000BF240000}"/>
    <cellStyle name="Check Cell 2" xfId="2353" xr:uid="{00000000-0005-0000-0000-0000C0240000}"/>
    <cellStyle name="Check Cell 2 2" xfId="2354" xr:uid="{00000000-0005-0000-0000-0000C1240000}"/>
    <cellStyle name="Check Cell 2 3" xfId="2355" xr:uid="{00000000-0005-0000-0000-0000C2240000}"/>
    <cellStyle name="Check Cell 2 4" xfId="2356" xr:uid="{00000000-0005-0000-0000-0000C3240000}"/>
    <cellStyle name="Check Cell 2 5" xfId="2357" xr:uid="{00000000-0005-0000-0000-0000C4240000}"/>
    <cellStyle name="Check Cell 2 6" xfId="2358" xr:uid="{00000000-0005-0000-0000-0000C5240000}"/>
    <cellStyle name="Check Cell 2 7" xfId="2359" xr:uid="{00000000-0005-0000-0000-0000C6240000}"/>
    <cellStyle name="Check Cell 2 8" xfId="2360" xr:uid="{00000000-0005-0000-0000-0000C7240000}"/>
    <cellStyle name="Check Cell 2 9" xfId="2361" xr:uid="{00000000-0005-0000-0000-0000C8240000}"/>
    <cellStyle name="Check Cell 2_Book1" xfId="2362" xr:uid="{00000000-0005-0000-0000-0000C9240000}"/>
    <cellStyle name="Check Cell 3" xfId="2363" xr:uid="{00000000-0005-0000-0000-0000CA240000}"/>
    <cellStyle name="Check Cell 3 2" xfId="2364" xr:uid="{00000000-0005-0000-0000-0000CB240000}"/>
    <cellStyle name="Check Cell 3 3" xfId="2365" xr:uid="{00000000-0005-0000-0000-0000CC240000}"/>
    <cellStyle name="Check Cell 3 4" xfId="2366" xr:uid="{00000000-0005-0000-0000-0000CD240000}"/>
    <cellStyle name="Check Cell 3_Book1" xfId="2367" xr:uid="{00000000-0005-0000-0000-0000CE240000}"/>
    <cellStyle name="Check Cell 4" xfId="2368" xr:uid="{00000000-0005-0000-0000-0000CF240000}"/>
    <cellStyle name="Check Cell 4 2" xfId="2369" xr:uid="{00000000-0005-0000-0000-0000D0240000}"/>
    <cellStyle name="Check Cell 4 3" xfId="2370" xr:uid="{00000000-0005-0000-0000-0000D1240000}"/>
    <cellStyle name="Check Cell 4 4" xfId="2371" xr:uid="{00000000-0005-0000-0000-0000D2240000}"/>
    <cellStyle name="Check Cell 4_Book1" xfId="2372" xr:uid="{00000000-0005-0000-0000-0000D3240000}"/>
    <cellStyle name="Check Cell 5" xfId="2373" xr:uid="{00000000-0005-0000-0000-0000D4240000}"/>
    <cellStyle name="Check Cell 5 2" xfId="2374" xr:uid="{00000000-0005-0000-0000-0000D5240000}"/>
    <cellStyle name="Check Cell 5 3" xfId="2375" xr:uid="{00000000-0005-0000-0000-0000D6240000}"/>
    <cellStyle name="Check Cell 5 4" xfId="2376" xr:uid="{00000000-0005-0000-0000-0000D7240000}"/>
    <cellStyle name="Check Cell 5_Book1" xfId="2377" xr:uid="{00000000-0005-0000-0000-0000D8240000}"/>
    <cellStyle name="Check Cell 6" xfId="2378" xr:uid="{00000000-0005-0000-0000-0000D9240000}"/>
    <cellStyle name="Check Cell 6 2" xfId="2379" xr:uid="{00000000-0005-0000-0000-0000DA240000}"/>
    <cellStyle name="Check Cell 6 3" xfId="2380" xr:uid="{00000000-0005-0000-0000-0000DB240000}"/>
    <cellStyle name="Check Cell 6 4" xfId="2381" xr:uid="{00000000-0005-0000-0000-0000DC240000}"/>
    <cellStyle name="Check Cell 6_Book1" xfId="2382" xr:uid="{00000000-0005-0000-0000-0000DD240000}"/>
    <cellStyle name="Check Cell 7" xfId="2383" xr:uid="{00000000-0005-0000-0000-0000DE240000}"/>
    <cellStyle name="Check Cell 7 2" xfId="2384" xr:uid="{00000000-0005-0000-0000-0000DF240000}"/>
    <cellStyle name="Check Cell 7 3" xfId="2385" xr:uid="{00000000-0005-0000-0000-0000E0240000}"/>
    <cellStyle name="Check Cell 7 4" xfId="2386" xr:uid="{00000000-0005-0000-0000-0000E1240000}"/>
    <cellStyle name="Check Cell 7_Book1" xfId="2387" xr:uid="{00000000-0005-0000-0000-0000E2240000}"/>
    <cellStyle name="Check Cell 8" xfId="2388" xr:uid="{00000000-0005-0000-0000-0000E3240000}"/>
    <cellStyle name="Check Cell 8 2" xfId="2389" xr:uid="{00000000-0005-0000-0000-0000E4240000}"/>
    <cellStyle name="Check Cell 8 3" xfId="2390" xr:uid="{00000000-0005-0000-0000-0000E5240000}"/>
    <cellStyle name="Check Cell 8 4" xfId="2391" xr:uid="{00000000-0005-0000-0000-0000E6240000}"/>
    <cellStyle name="Check Cell 8_Book1" xfId="2392" xr:uid="{00000000-0005-0000-0000-0000E7240000}"/>
    <cellStyle name="Check Cell 9" xfId="2393" xr:uid="{00000000-0005-0000-0000-0000E8240000}"/>
    <cellStyle name="Comma 10" xfId="2394" xr:uid="{00000000-0005-0000-0000-0000E9240000}"/>
    <cellStyle name="Comma 2" xfId="2395" xr:uid="{00000000-0005-0000-0000-0000EA240000}"/>
    <cellStyle name="Comma 3" xfId="2396" xr:uid="{00000000-0005-0000-0000-0000EB240000}"/>
    <cellStyle name="Comma 4" xfId="2397" xr:uid="{00000000-0005-0000-0000-0000EC240000}"/>
    <cellStyle name="Comma 5" xfId="2398" xr:uid="{00000000-0005-0000-0000-0000ED240000}"/>
    <cellStyle name="Comma 6" xfId="2399" xr:uid="{00000000-0005-0000-0000-0000EE240000}"/>
    <cellStyle name="Comma 7" xfId="2400" xr:uid="{00000000-0005-0000-0000-0000EF240000}"/>
    <cellStyle name="Comma 8" xfId="2401" xr:uid="{00000000-0005-0000-0000-0000F0240000}"/>
    <cellStyle name="Comma 9" xfId="2402" xr:uid="{00000000-0005-0000-0000-0000F1240000}"/>
    <cellStyle name="Comma_UM HPC Pricing Summary" xfId="10736" xr:uid="{E4E326C1-3B27-4F67-9F4D-2CDF41B2DC49}"/>
    <cellStyle name="Emphasis 1" xfId="2403" xr:uid="{00000000-0005-0000-0000-0000F2240000}"/>
    <cellStyle name="Emphasis 2" xfId="2404" xr:uid="{00000000-0005-0000-0000-0000F3240000}"/>
    <cellStyle name="Emphasis 3" xfId="2405" xr:uid="{00000000-0005-0000-0000-0000F4240000}"/>
    <cellStyle name="Explanatory Text 10" xfId="2406" xr:uid="{00000000-0005-0000-0000-0000F5240000}"/>
    <cellStyle name="Explanatory Text 11" xfId="2407" xr:uid="{00000000-0005-0000-0000-0000F6240000}"/>
    <cellStyle name="Explanatory Text 12" xfId="2408" xr:uid="{00000000-0005-0000-0000-0000F7240000}"/>
    <cellStyle name="Explanatory Text 12 2" xfId="2409" xr:uid="{00000000-0005-0000-0000-0000F8240000}"/>
    <cellStyle name="Explanatory Text 13" xfId="2410" xr:uid="{00000000-0005-0000-0000-0000F9240000}"/>
    <cellStyle name="Explanatory Text 13 2" xfId="2411" xr:uid="{00000000-0005-0000-0000-0000FA240000}"/>
    <cellStyle name="Explanatory Text 14" xfId="2412" xr:uid="{00000000-0005-0000-0000-0000FB240000}"/>
    <cellStyle name="Explanatory Text 14 2" xfId="2413" xr:uid="{00000000-0005-0000-0000-0000FC240000}"/>
    <cellStyle name="Explanatory Text 15" xfId="2414" xr:uid="{00000000-0005-0000-0000-0000FD240000}"/>
    <cellStyle name="Explanatory Text 16" xfId="2415" xr:uid="{00000000-0005-0000-0000-0000FE240000}"/>
    <cellStyle name="Explanatory Text 2" xfId="2416" xr:uid="{00000000-0005-0000-0000-0000FF240000}"/>
    <cellStyle name="Explanatory Text 2 2" xfId="2417" xr:uid="{00000000-0005-0000-0000-000000250000}"/>
    <cellStyle name="Explanatory Text 2 3" xfId="2418" xr:uid="{00000000-0005-0000-0000-000001250000}"/>
    <cellStyle name="Explanatory Text 2 4" xfId="2419" xr:uid="{00000000-0005-0000-0000-000002250000}"/>
    <cellStyle name="Explanatory Text 2 5" xfId="2420" xr:uid="{00000000-0005-0000-0000-000003250000}"/>
    <cellStyle name="Explanatory Text 2 6" xfId="2421" xr:uid="{00000000-0005-0000-0000-000004250000}"/>
    <cellStyle name="Explanatory Text 2 7" xfId="2422" xr:uid="{00000000-0005-0000-0000-000005250000}"/>
    <cellStyle name="Explanatory Text 2 8" xfId="2423" xr:uid="{00000000-0005-0000-0000-000006250000}"/>
    <cellStyle name="Explanatory Text 2 9" xfId="2424" xr:uid="{00000000-0005-0000-0000-000007250000}"/>
    <cellStyle name="Explanatory Text 3" xfId="2425" xr:uid="{00000000-0005-0000-0000-000008250000}"/>
    <cellStyle name="Explanatory Text 3 2" xfId="2426" xr:uid="{00000000-0005-0000-0000-000009250000}"/>
    <cellStyle name="Explanatory Text 3 3" xfId="2427" xr:uid="{00000000-0005-0000-0000-00000A250000}"/>
    <cellStyle name="Explanatory Text 3 4" xfId="2428" xr:uid="{00000000-0005-0000-0000-00000B250000}"/>
    <cellStyle name="Explanatory Text 4" xfId="2429" xr:uid="{00000000-0005-0000-0000-00000C250000}"/>
    <cellStyle name="Explanatory Text 4 2" xfId="2430" xr:uid="{00000000-0005-0000-0000-00000D250000}"/>
    <cellStyle name="Explanatory Text 4 3" xfId="2431" xr:uid="{00000000-0005-0000-0000-00000E250000}"/>
    <cellStyle name="Explanatory Text 4 4" xfId="2432" xr:uid="{00000000-0005-0000-0000-00000F250000}"/>
    <cellStyle name="Explanatory Text 5" xfId="2433" xr:uid="{00000000-0005-0000-0000-000010250000}"/>
    <cellStyle name="Explanatory Text 5 2" xfId="2434" xr:uid="{00000000-0005-0000-0000-000011250000}"/>
    <cellStyle name="Explanatory Text 5 3" xfId="2435" xr:uid="{00000000-0005-0000-0000-000012250000}"/>
    <cellStyle name="Explanatory Text 5 4" xfId="2436" xr:uid="{00000000-0005-0000-0000-000013250000}"/>
    <cellStyle name="Explanatory Text 6" xfId="2437" xr:uid="{00000000-0005-0000-0000-000014250000}"/>
    <cellStyle name="Explanatory Text 6 2" xfId="2438" xr:uid="{00000000-0005-0000-0000-000015250000}"/>
    <cellStyle name="Explanatory Text 6 3" xfId="2439" xr:uid="{00000000-0005-0000-0000-000016250000}"/>
    <cellStyle name="Explanatory Text 6 4" xfId="2440" xr:uid="{00000000-0005-0000-0000-000017250000}"/>
    <cellStyle name="Explanatory Text 7" xfId="2441" xr:uid="{00000000-0005-0000-0000-000018250000}"/>
    <cellStyle name="Explanatory Text 7 2" xfId="2442" xr:uid="{00000000-0005-0000-0000-000019250000}"/>
    <cellStyle name="Explanatory Text 7 3" xfId="2443" xr:uid="{00000000-0005-0000-0000-00001A250000}"/>
    <cellStyle name="Explanatory Text 7 4" xfId="2444" xr:uid="{00000000-0005-0000-0000-00001B250000}"/>
    <cellStyle name="Explanatory Text 8" xfId="2445" xr:uid="{00000000-0005-0000-0000-00001C250000}"/>
    <cellStyle name="Explanatory Text 8 2" xfId="2446" xr:uid="{00000000-0005-0000-0000-00001D250000}"/>
    <cellStyle name="Explanatory Text 8 3" xfId="2447" xr:uid="{00000000-0005-0000-0000-00001E250000}"/>
    <cellStyle name="Explanatory Text 8 4" xfId="2448" xr:uid="{00000000-0005-0000-0000-00001F250000}"/>
    <cellStyle name="Explanatory Text 9" xfId="2449" xr:uid="{00000000-0005-0000-0000-000020250000}"/>
    <cellStyle name="Good 10" xfId="2450" xr:uid="{00000000-0005-0000-0000-000021250000}"/>
    <cellStyle name="Good 11" xfId="2451" xr:uid="{00000000-0005-0000-0000-000022250000}"/>
    <cellStyle name="Good 12" xfId="2452" xr:uid="{00000000-0005-0000-0000-000023250000}"/>
    <cellStyle name="Good 12 2" xfId="2453" xr:uid="{00000000-0005-0000-0000-000024250000}"/>
    <cellStyle name="Good 13" xfId="2454" xr:uid="{00000000-0005-0000-0000-000025250000}"/>
    <cellStyle name="Good 13 2" xfId="2455" xr:uid="{00000000-0005-0000-0000-000026250000}"/>
    <cellStyle name="Good 14" xfId="2456" xr:uid="{00000000-0005-0000-0000-000027250000}"/>
    <cellStyle name="Good 14 2" xfId="2457" xr:uid="{00000000-0005-0000-0000-000028250000}"/>
    <cellStyle name="Good 15" xfId="2458" xr:uid="{00000000-0005-0000-0000-000029250000}"/>
    <cellStyle name="Good 16" xfId="2459" xr:uid="{00000000-0005-0000-0000-00002A250000}"/>
    <cellStyle name="Good 2" xfId="2460" xr:uid="{00000000-0005-0000-0000-00002B250000}"/>
    <cellStyle name="Good 2 2" xfId="2461" xr:uid="{00000000-0005-0000-0000-00002C250000}"/>
    <cellStyle name="Good 2 3" xfId="2462" xr:uid="{00000000-0005-0000-0000-00002D250000}"/>
    <cellStyle name="Good 2 4" xfId="2463" xr:uid="{00000000-0005-0000-0000-00002E250000}"/>
    <cellStyle name="Good 2 5" xfId="2464" xr:uid="{00000000-0005-0000-0000-00002F250000}"/>
    <cellStyle name="Good 2 6" xfId="2465" xr:uid="{00000000-0005-0000-0000-000030250000}"/>
    <cellStyle name="Good 2 7" xfId="2466" xr:uid="{00000000-0005-0000-0000-000031250000}"/>
    <cellStyle name="Good 2 8" xfId="2467" xr:uid="{00000000-0005-0000-0000-000032250000}"/>
    <cellStyle name="Good 2 9" xfId="2468" xr:uid="{00000000-0005-0000-0000-000033250000}"/>
    <cellStyle name="Good 3" xfId="2469" xr:uid="{00000000-0005-0000-0000-000034250000}"/>
    <cellStyle name="Good 3 2" xfId="2470" xr:uid="{00000000-0005-0000-0000-000035250000}"/>
    <cellStyle name="Good 3 3" xfId="2471" xr:uid="{00000000-0005-0000-0000-000036250000}"/>
    <cellStyle name="Good 3 4" xfId="2472" xr:uid="{00000000-0005-0000-0000-000037250000}"/>
    <cellStyle name="Good 4" xfId="2473" xr:uid="{00000000-0005-0000-0000-000038250000}"/>
    <cellStyle name="Good 4 2" xfId="2474" xr:uid="{00000000-0005-0000-0000-000039250000}"/>
    <cellStyle name="Good 4 3" xfId="2475" xr:uid="{00000000-0005-0000-0000-00003A250000}"/>
    <cellStyle name="Good 4 4" xfId="2476" xr:uid="{00000000-0005-0000-0000-00003B250000}"/>
    <cellStyle name="Good 5" xfId="2477" xr:uid="{00000000-0005-0000-0000-00003C250000}"/>
    <cellStyle name="Good 5 2" xfId="2478" xr:uid="{00000000-0005-0000-0000-00003D250000}"/>
    <cellStyle name="Good 5 3" xfId="2479" xr:uid="{00000000-0005-0000-0000-00003E250000}"/>
    <cellStyle name="Good 5 4" xfId="2480" xr:uid="{00000000-0005-0000-0000-00003F250000}"/>
    <cellStyle name="Good 6" xfId="2481" xr:uid="{00000000-0005-0000-0000-000040250000}"/>
    <cellStyle name="Good 6 2" xfId="2482" xr:uid="{00000000-0005-0000-0000-000041250000}"/>
    <cellStyle name="Good 6 3" xfId="2483" xr:uid="{00000000-0005-0000-0000-000042250000}"/>
    <cellStyle name="Good 6 4" xfId="2484" xr:uid="{00000000-0005-0000-0000-000043250000}"/>
    <cellStyle name="Good 7" xfId="2485" xr:uid="{00000000-0005-0000-0000-000044250000}"/>
    <cellStyle name="Good 7 2" xfId="2486" xr:uid="{00000000-0005-0000-0000-000045250000}"/>
    <cellStyle name="Good 7 3" xfId="2487" xr:uid="{00000000-0005-0000-0000-000046250000}"/>
    <cellStyle name="Good 7 4" xfId="2488" xr:uid="{00000000-0005-0000-0000-000047250000}"/>
    <cellStyle name="Good 8" xfId="2489" xr:uid="{00000000-0005-0000-0000-000048250000}"/>
    <cellStyle name="Good 8 2" xfId="2490" xr:uid="{00000000-0005-0000-0000-000049250000}"/>
    <cellStyle name="Good 8 3" xfId="2491" xr:uid="{00000000-0005-0000-0000-00004A250000}"/>
    <cellStyle name="Good 8 4" xfId="2492" xr:uid="{00000000-0005-0000-0000-00004B250000}"/>
    <cellStyle name="Good 9" xfId="2493" xr:uid="{00000000-0005-0000-0000-00004C250000}"/>
    <cellStyle name="Grey" xfId="2494" xr:uid="{00000000-0005-0000-0000-00004D250000}"/>
    <cellStyle name="Header 1" xfId="2495" xr:uid="{00000000-0005-0000-0000-00004E250000}"/>
    <cellStyle name="Header 2" xfId="2496" xr:uid="{00000000-0005-0000-0000-00004F250000}"/>
    <cellStyle name="Header Center" xfId="2497" xr:uid="{00000000-0005-0000-0000-000050250000}"/>
    <cellStyle name="Header1" xfId="2498" xr:uid="{00000000-0005-0000-0000-000051250000}"/>
    <cellStyle name="Header2" xfId="2499" xr:uid="{00000000-0005-0000-0000-000052250000}"/>
    <cellStyle name="Heading 1 10" xfId="2500" xr:uid="{00000000-0005-0000-0000-000053250000}"/>
    <cellStyle name="Heading 1 11" xfId="2501" xr:uid="{00000000-0005-0000-0000-000054250000}"/>
    <cellStyle name="Heading 1 12" xfId="2502" xr:uid="{00000000-0005-0000-0000-000055250000}"/>
    <cellStyle name="Heading 1 12 2" xfId="2503" xr:uid="{00000000-0005-0000-0000-000056250000}"/>
    <cellStyle name="Heading 1 12_Book1" xfId="2504" xr:uid="{00000000-0005-0000-0000-000057250000}"/>
    <cellStyle name="Heading 1 13" xfId="2505" xr:uid="{00000000-0005-0000-0000-000058250000}"/>
    <cellStyle name="Heading 1 13 2" xfId="2506" xr:uid="{00000000-0005-0000-0000-000059250000}"/>
    <cellStyle name="Heading 1 13_Book1" xfId="2507" xr:uid="{00000000-0005-0000-0000-00005A250000}"/>
    <cellStyle name="Heading 1 14" xfId="2508" xr:uid="{00000000-0005-0000-0000-00005B250000}"/>
    <cellStyle name="Heading 1 14 2" xfId="2509" xr:uid="{00000000-0005-0000-0000-00005C250000}"/>
    <cellStyle name="Heading 1 14_Book1" xfId="2510" xr:uid="{00000000-0005-0000-0000-00005D250000}"/>
    <cellStyle name="Heading 1 15" xfId="2511" xr:uid="{00000000-0005-0000-0000-00005E250000}"/>
    <cellStyle name="Heading 1 16" xfId="2512" xr:uid="{00000000-0005-0000-0000-00005F250000}"/>
    <cellStyle name="Heading 1 2" xfId="2513" xr:uid="{00000000-0005-0000-0000-000060250000}"/>
    <cellStyle name="Heading 1 2 2" xfId="2514" xr:uid="{00000000-0005-0000-0000-000061250000}"/>
    <cellStyle name="Heading 1 2 3" xfId="2515" xr:uid="{00000000-0005-0000-0000-000062250000}"/>
    <cellStyle name="Heading 1 2 4" xfId="2516" xr:uid="{00000000-0005-0000-0000-000063250000}"/>
    <cellStyle name="Heading 1 2 5" xfId="2517" xr:uid="{00000000-0005-0000-0000-000064250000}"/>
    <cellStyle name="Heading 1 2 6" xfId="2518" xr:uid="{00000000-0005-0000-0000-000065250000}"/>
    <cellStyle name="Heading 1 2 7" xfId="2519" xr:uid="{00000000-0005-0000-0000-000066250000}"/>
    <cellStyle name="Heading 1 2 8" xfId="2520" xr:uid="{00000000-0005-0000-0000-000067250000}"/>
    <cellStyle name="Heading 1 2 9" xfId="2521" xr:uid="{00000000-0005-0000-0000-000068250000}"/>
    <cellStyle name="Heading 1 2_Book1" xfId="2522" xr:uid="{00000000-0005-0000-0000-000069250000}"/>
    <cellStyle name="Heading 1 3" xfId="2523" xr:uid="{00000000-0005-0000-0000-00006A250000}"/>
    <cellStyle name="Heading 1 3 2" xfId="2524" xr:uid="{00000000-0005-0000-0000-00006B250000}"/>
    <cellStyle name="Heading 1 3 3" xfId="2525" xr:uid="{00000000-0005-0000-0000-00006C250000}"/>
    <cellStyle name="Heading 1 3 4" xfId="2526" xr:uid="{00000000-0005-0000-0000-00006D250000}"/>
    <cellStyle name="Heading 1 3_Book1" xfId="2527" xr:uid="{00000000-0005-0000-0000-00006E250000}"/>
    <cellStyle name="Heading 1 4" xfId="2528" xr:uid="{00000000-0005-0000-0000-00006F250000}"/>
    <cellStyle name="Heading 1 4 2" xfId="2529" xr:uid="{00000000-0005-0000-0000-000070250000}"/>
    <cellStyle name="Heading 1 4 3" xfId="2530" xr:uid="{00000000-0005-0000-0000-000071250000}"/>
    <cellStyle name="Heading 1 4 4" xfId="2531" xr:uid="{00000000-0005-0000-0000-000072250000}"/>
    <cellStyle name="Heading 1 4_Book1" xfId="2532" xr:uid="{00000000-0005-0000-0000-000073250000}"/>
    <cellStyle name="Heading 1 5" xfId="2533" xr:uid="{00000000-0005-0000-0000-000074250000}"/>
    <cellStyle name="Heading 1 5 2" xfId="2534" xr:uid="{00000000-0005-0000-0000-000075250000}"/>
    <cellStyle name="Heading 1 5 3" xfId="2535" xr:uid="{00000000-0005-0000-0000-000076250000}"/>
    <cellStyle name="Heading 1 5 4" xfId="2536" xr:uid="{00000000-0005-0000-0000-000077250000}"/>
    <cellStyle name="Heading 1 5_Book1" xfId="2537" xr:uid="{00000000-0005-0000-0000-000078250000}"/>
    <cellStyle name="Heading 1 6" xfId="2538" xr:uid="{00000000-0005-0000-0000-000079250000}"/>
    <cellStyle name="Heading 1 6 2" xfId="2539" xr:uid="{00000000-0005-0000-0000-00007A250000}"/>
    <cellStyle name="Heading 1 6 3" xfId="2540" xr:uid="{00000000-0005-0000-0000-00007B250000}"/>
    <cellStyle name="Heading 1 6 4" xfId="2541" xr:uid="{00000000-0005-0000-0000-00007C250000}"/>
    <cellStyle name="Heading 1 6_Book1" xfId="2542" xr:uid="{00000000-0005-0000-0000-00007D250000}"/>
    <cellStyle name="Heading 1 7" xfId="2543" xr:uid="{00000000-0005-0000-0000-00007E250000}"/>
    <cellStyle name="Heading 1 7 2" xfId="2544" xr:uid="{00000000-0005-0000-0000-00007F250000}"/>
    <cellStyle name="Heading 1 7 3" xfId="2545" xr:uid="{00000000-0005-0000-0000-000080250000}"/>
    <cellStyle name="Heading 1 7 4" xfId="2546" xr:uid="{00000000-0005-0000-0000-000081250000}"/>
    <cellStyle name="Heading 1 7_Book1" xfId="2547" xr:uid="{00000000-0005-0000-0000-000082250000}"/>
    <cellStyle name="Heading 1 8" xfId="2548" xr:uid="{00000000-0005-0000-0000-000083250000}"/>
    <cellStyle name="Heading 1 8 2" xfId="2549" xr:uid="{00000000-0005-0000-0000-000084250000}"/>
    <cellStyle name="Heading 1 8 3" xfId="2550" xr:uid="{00000000-0005-0000-0000-000085250000}"/>
    <cellStyle name="Heading 1 8 4" xfId="2551" xr:uid="{00000000-0005-0000-0000-000086250000}"/>
    <cellStyle name="Heading 1 8_Book1" xfId="2552" xr:uid="{00000000-0005-0000-0000-000087250000}"/>
    <cellStyle name="Heading 1 9" xfId="2553" xr:uid="{00000000-0005-0000-0000-000088250000}"/>
    <cellStyle name="Heading 2 10" xfId="2554" xr:uid="{00000000-0005-0000-0000-000089250000}"/>
    <cellStyle name="Heading 2 11" xfId="2555" xr:uid="{00000000-0005-0000-0000-00008A250000}"/>
    <cellStyle name="Heading 2 12" xfId="2556" xr:uid="{00000000-0005-0000-0000-00008B250000}"/>
    <cellStyle name="Heading 2 12 2" xfId="2557" xr:uid="{00000000-0005-0000-0000-00008C250000}"/>
    <cellStyle name="Heading 2 12_Book1" xfId="2558" xr:uid="{00000000-0005-0000-0000-00008D250000}"/>
    <cellStyle name="Heading 2 13" xfId="2559" xr:uid="{00000000-0005-0000-0000-00008E250000}"/>
    <cellStyle name="Heading 2 13 2" xfId="2560" xr:uid="{00000000-0005-0000-0000-00008F250000}"/>
    <cellStyle name="Heading 2 13_Book1" xfId="2561" xr:uid="{00000000-0005-0000-0000-000090250000}"/>
    <cellStyle name="Heading 2 14" xfId="2562" xr:uid="{00000000-0005-0000-0000-000091250000}"/>
    <cellStyle name="Heading 2 14 2" xfId="2563" xr:uid="{00000000-0005-0000-0000-000092250000}"/>
    <cellStyle name="Heading 2 14_Book1" xfId="2564" xr:uid="{00000000-0005-0000-0000-000093250000}"/>
    <cellStyle name="Heading 2 15" xfId="2565" xr:uid="{00000000-0005-0000-0000-000094250000}"/>
    <cellStyle name="Heading 2 16" xfId="2566" xr:uid="{00000000-0005-0000-0000-000095250000}"/>
    <cellStyle name="Heading 2 2" xfId="2567" xr:uid="{00000000-0005-0000-0000-000096250000}"/>
    <cellStyle name="Heading 2 2 2" xfId="2568" xr:uid="{00000000-0005-0000-0000-000097250000}"/>
    <cellStyle name="Heading 2 2 3" xfId="2569" xr:uid="{00000000-0005-0000-0000-000098250000}"/>
    <cellStyle name="Heading 2 2 4" xfId="2570" xr:uid="{00000000-0005-0000-0000-000099250000}"/>
    <cellStyle name="Heading 2 2 5" xfId="2571" xr:uid="{00000000-0005-0000-0000-00009A250000}"/>
    <cellStyle name="Heading 2 2 6" xfId="2572" xr:uid="{00000000-0005-0000-0000-00009B250000}"/>
    <cellStyle name="Heading 2 2 7" xfId="2573" xr:uid="{00000000-0005-0000-0000-00009C250000}"/>
    <cellStyle name="Heading 2 2 8" xfId="2574" xr:uid="{00000000-0005-0000-0000-00009D250000}"/>
    <cellStyle name="Heading 2 2 9" xfId="2575" xr:uid="{00000000-0005-0000-0000-00009E250000}"/>
    <cellStyle name="Heading 2 2_Book1" xfId="2576" xr:uid="{00000000-0005-0000-0000-00009F250000}"/>
    <cellStyle name="Heading 2 3" xfId="2577" xr:uid="{00000000-0005-0000-0000-0000A0250000}"/>
    <cellStyle name="Heading 2 3 2" xfId="2578" xr:uid="{00000000-0005-0000-0000-0000A1250000}"/>
    <cellStyle name="Heading 2 3 3" xfId="2579" xr:uid="{00000000-0005-0000-0000-0000A2250000}"/>
    <cellStyle name="Heading 2 3 4" xfId="2580" xr:uid="{00000000-0005-0000-0000-0000A3250000}"/>
    <cellStyle name="Heading 2 3_Book1" xfId="2581" xr:uid="{00000000-0005-0000-0000-0000A4250000}"/>
    <cellStyle name="Heading 2 4" xfId="2582" xr:uid="{00000000-0005-0000-0000-0000A5250000}"/>
    <cellStyle name="Heading 2 4 2" xfId="2583" xr:uid="{00000000-0005-0000-0000-0000A6250000}"/>
    <cellStyle name="Heading 2 4 3" xfId="2584" xr:uid="{00000000-0005-0000-0000-0000A7250000}"/>
    <cellStyle name="Heading 2 4 4" xfId="2585" xr:uid="{00000000-0005-0000-0000-0000A8250000}"/>
    <cellStyle name="Heading 2 4_Book1" xfId="2586" xr:uid="{00000000-0005-0000-0000-0000A9250000}"/>
    <cellStyle name="Heading 2 5" xfId="2587" xr:uid="{00000000-0005-0000-0000-0000AA250000}"/>
    <cellStyle name="Heading 2 5 2" xfId="2588" xr:uid="{00000000-0005-0000-0000-0000AB250000}"/>
    <cellStyle name="Heading 2 5 3" xfId="2589" xr:uid="{00000000-0005-0000-0000-0000AC250000}"/>
    <cellStyle name="Heading 2 5 4" xfId="2590" xr:uid="{00000000-0005-0000-0000-0000AD250000}"/>
    <cellStyle name="Heading 2 5_Book1" xfId="2591" xr:uid="{00000000-0005-0000-0000-0000AE250000}"/>
    <cellStyle name="Heading 2 6" xfId="2592" xr:uid="{00000000-0005-0000-0000-0000AF250000}"/>
    <cellStyle name="Heading 2 6 2" xfId="2593" xr:uid="{00000000-0005-0000-0000-0000B0250000}"/>
    <cellStyle name="Heading 2 6 3" xfId="2594" xr:uid="{00000000-0005-0000-0000-0000B1250000}"/>
    <cellStyle name="Heading 2 6 4" xfId="2595" xr:uid="{00000000-0005-0000-0000-0000B2250000}"/>
    <cellStyle name="Heading 2 6_Book1" xfId="2596" xr:uid="{00000000-0005-0000-0000-0000B3250000}"/>
    <cellStyle name="Heading 2 7" xfId="2597" xr:uid="{00000000-0005-0000-0000-0000B4250000}"/>
    <cellStyle name="Heading 2 7 2" xfId="2598" xr:uid="{00000000-0005-0000-0000-0000B5250000}"/>
    <cellStyle name="Heading 2 7 3" xfId="2599" xr:uid="{00000000-0005-0000-0000-0000B6250000}"/>
    <cellStyle name="Heading 2 7 4" xfId="2600" xr:uid="{00000000-0005-0000-0000-0000B7250000}"/>
    <cellStyle name="Heading 2 7_MSHU_BusinessExcellenceDashboardV2.2-May2012-3" xfId="2601" xr:uid="{00000000-0005-0000-0000-0000B8250000}"/>
    <cellStyle name="Heading 2 8" xfId="2602" xr:uid="{00000000-0005-0000-0000-0000B9250000}"/>
    <cellStyle name="Heading 2 8 2" xfId="2603" xr:uid="{00000000-0005-0000-0000-0000BA250000}"/>
    <cellStyle name="Heading 2 8 3" xfId="2604" xr:uid="{00000000-0005-0000-0000-0000BB250000}"/>
    <cellStyle name="Heading 2 8 4" xfId="2605" xr:uid="{00000000-0005-0000-0000-0000BC250000}"/>
    <cellStyle name="Heading 2 9" xfId="2606" xr:uid="{00000000-0005-0000-0000-0000BD250000}"/>
    <cellStyle name="Heading 3 10" xfId="2607" xr:uid="{00000000-0005-0000-0000-0000BE250000}"/>
    <cellStyle name="Heading 3 11" xfId="2608" xr:uid="{00000000-0005-0000-0000-0000BF250000}"/>
    <cellStyle name="Heading 3 12" xfId="2609" xr:uid="{00000000-0005-0000-0000-0000C0250000}"/>
    <cellStyle name="Heading 3 12 2" xfId="2610" xr:uid="{00000000-0005-0000-0000-0000C1250000}"/>
    <cellStyle name="Heading 3 13" xfId="2611" xr:uid="{00000000-0005-0000-0000-0000C2250000}"/>
    <cellStyle name="Heading 3 13 2" xfId="2612" xr:uid="{00000000-0005-0000-0000-0000C3250000}"/>
    <cellStyle name="Heading 3 14" xfId="2613" xr:uid="{00000000-0005-0000-0000-0000C4250000}"/>
    <cellStyle name="Heading 3 14 2" xfId="2614" xr:uid="{00000000-0005-0000-0000-0000C5250000}"/>
    <cellStyle name="Heading 3 15" xfId="2615" xr:uid="{00000000-0005-0000-0000-0000C6250000}"/>
    <cellStyle name="Heading 3 16" xfId="2616" xr:uid="{00000000-0005-0000-0000-0000C7250000}"/>
    <cellStyle name="Heading 3 2" xfId="2617" xr:uid="{00000000-0005-0000-0000-0000C8250000}"/>
    <cellStyle name="Heading 3 2 2" xfId="2618" xr:uid="{00000000-0005-0000-0000-0000C9250000}"/>
    <cellStyle name="Heading 3 2 3" xfId="2619" xr:uid="{00000000-0005-0000-0000-0000CA250000}"/>
    <cellStyle name="Heading 3 2 4" xfId="2620" xr:uid="{00000000-0005-0000-0000-0000CB250000}"/>
    <cellStyle name="Heading 3 2 5" xfId="2621" xr:uid="{00000000-0005-0000-0000-0000CC250000}"/>
    <cellStyle name="Heading 3 2 6" xfId="2622" xr:uid="{00000000-0005-0000-0000-0000CD250000}"/>
    <cellStyle name="Heading 3 2 7" xfId="2623" xr:uid="{00000000-0005-0000-0000-0000CE250000}"/>
    <cellStyle name="Heading 3 2 8" xfId="2624" xr:uid="{00000000-0005-0000-0000-0000CF250000}"/>
    <cellStyle name="Heading 3 2 9" xfId="2625" xr:uid="{00000000-0005-0000-0000-0000D0250000}"/>
    <cellStyle name="Heading 3 3" xfId="2626" xr:uid="{00000000-0005-0000-0000-0000D1250000}"/>
    <cellStyle name="Heading 3 3 2" xfId="2627" xr:uid="{00000000-0005-0000-0000-0000D2250000}"/>
    <cellStyle name="Heading 3 3 3" xfId="2628" xr:uid="{00000000-0005-0000-0000-0000D3250000}"/>
    <cellStyle name="Heading 3 3 4" xfId="2629" xr:uid="{00000000-0005-0000-0000-0000D4250000}"/>
    <cellStyle name="Heading 3 4" xfId="2630" xr:uid="{00000000-0005-0000-0000-0000D5250000}"/>
    <cellStyle name="Heading 3 4 2" xfId="2631" xr:uid="{00000000-0005-0000-0000-0000D6250000}"/>
    <cellStyle name="Heading 3 4 3" xfId="2632" xr:uid="{00000000-0005-0000-0000-0000D7250000}"/>
    <cellStyle name="Heading 3 4 4" xfId="2633" xr:uid="{00000000-0005-0000-0000-0000D8250000}"/>
    <cellStyle name="Heading 3 5" xfId="2634" xr:uid="{00000000-0005-0000-0000-0000D9250000}"/>
    <cellStyle name="Heading 3 5 2" xfId="2635" xr:uid="{00000000-0005-0000-0000-0000DA250000}"/>
    <cellStyle name="Heading 3 5 3" xfId="2636" xr:uid="{00000000-0005-0000-0000-0000DB250000}"/>
    <cellStyle name="Heading 3 5 4" xfId="2637" xr:uid="{00000000-0005-0000-0000-0000DC250000}"/>
    <cellStyle name="Heading 3 6" xfId="2638" xr:uid="{00000000-0005-0000-0000-0000DD250000}"/>
    <cellStyle name="Heading 3 6 2" xfId="2639" xr:uid="{00000000-0005-0000-0000-0000DE250000}"/>
    <cellStyle name="Heading 3 6 3" xfId="2640" xr:uid="{00000000-0005-0000-0000-0000DF250000}"/>
    <cellStyle name="Heading 3 6 4" xfId="2641" xr:uid="{00000000-0005-0000-0000-0000E0250000}"/>
    <cellStyle name="Heading 3 7" xfId="2642" xr:uid="{00000000-0005-0000-0000-0000E1250000}"/>
    <cellStyle name="Heading 3 7 2" xfId="2643" xr:uid="{00000000-0005-0000-0000-0000E2250000}"/>
    <cellStyle name="Heading 3 7 3" xfId="2644" xr:uid="{00000000-0005-0000-0000-0000E3250000}"/>
    <cellStyle name="Heading 3 7 4" xfId="2645" xr:uid="{00000000-0005-0000-0000-0000E4250000}"/>
    <cellStyle name="Heading 3 8" xfId="2646" xr:uid="{00000000-0005-0000-0000-0000E5250000}"/>
    <cellStyle name="Heading 3 8 2" xfId="2647" xr:uid="{00000000-0005-0000-0000-0000E6250000}"/>
    <cellStyle name="Heading 3 8 3" xfId="2648" xr:uid="{00000000-0005-0000-0000-0000E7250000}"/>
    <cellStyle name="Heading 3 8 4" xfId="2649" xr:uid="{00000000-0005-0000-0000-0000E8250000}"/>
    <cellStyle name="Heading 3 9" xfId="2650" xr:uid="{00000000-0005-0000-0000-0000E9250000}"/>
    <cellStyle name="Heading 4 10" xfId="2651" xr:uid="{00000000-0005-0000-0000-0000EA250000}"/>
    <cellStyle name="Heading 4 11" xfId="2652" xr:uid="{00000000-0005-0000-0000-0000EB250000}"/>
    <cellStyle name="Heading 4 12" xfId="2653" xr:uid="{00000000-0005-0000-0000-0000EC250000}"/>
    <cellStyle name="Heading 4 12 2" xfId="2654" xr:uid="{00000000-0005-0000-0000-0000ED250000}"/>
    <cellStyle name="Heading 4 13" xfId="2655" xr:uid="{00000000-0005-0000-0000-0000EE250000}"/>
    <cellStyle name="Heading 4 13 2" xfId="2656" xr:uid="{00000000-0005-0000-0000-0000EF250000}"/>
    <cellStyle name="Heading 4 14" xfId="2657" xr:uid="{00000000-0005-0000-0000-0000F0250000}"/>
    <cellStyle name="Heading 4 14 2" xfId="2658" xr:uid="{00000000-0005-0000-0000-0000F1250000}"/>
    <cellStyle name="Heading 4 15" xfId="2659" xr:uid="{00000000-0005-0000-0000-0000F2250000}"/>
    <cellStyle name="Heading 4 16" xfId="2660" xr:uid="{00000000-0005-0000-0000-0000F3250000}"/>
    <cellStyle name="Heading 4 2" xfId="2661" xr:uid="{00000000-0005-0000-0000-0000F4250000}"/>
    <cellStyle name="Heading 4 2 2" xfId="2662" xr:uid="{00000000-0005-0000-0000-0000F5250000}"/>
    <cellStyle name="Heading 4 2 3" xfId="2663" xr:uid="{00000000-0005-0000-0000-0000F6250000}"/>
    <cellStyle name="Heading 4 2 4" xfId="2664" xr:uid="{00000000-0005-0000-0000-0000F7250000}"/>
    <cellStyle name="Heading 4 2 5" xfId="2665" xr:uid="{00000000-0005-0000-0000-0000F8250000}"/>
    <cellStyle name="Heading 4 2 6" xfId="2666" xr:uid="{00000000-0005-0000-0000-0000F9250000}"/>
    <cellStyle name="Heading 4 2 7" xfId="2667" xr:uid="{00000000-0005-0000-0000-0000FA250000}"/>
    <cellStyle name="Heading 4 2 8" xfId="2668" xr:uid="{00000000-0005-0000-0000-0000FB250000}"/>
    <cellStyle name="Heading 4 2 9" xfId="2669" xr:uid="{00000000-0005-0000-0000-0000FC250000}"/>
    <cellStyle name="Heading 4 3" xfId="2670" xr:uid="{00000000-0005-0000-0000-0000FD250000}"/>
    <cellStyle name="Heading 4 3 2" xfId="2671" xr:uid="{00000000-0005-0000-0000-0000FE250000}"/>
    <cellStyle name="Heading 4 3 3" xfId="2672" xr:uid="{00000000-0005-0000-0000-0000FF250000}"/>
    <cellStyle name="Heading 4 3 4" xfId="2673" xr:uid="{00000000-0005-0000-0000-000000260000}"/>
    <cellStyle name="Heading 4 4" xfId="2674" xr:uid="{00000000-0005-0000-0000-000001260000}"/>
    <cellStyle name="Heading 4 4 2" xfId="2675" xr:uid="{00000000-0005-0000-0000-000002260000}"/>
    <cellStyle name="Heading 4 4 3" xfId="2676" xr:uid="{00000000-0005-0000-0000-000003260000}"/>
    <cellStyle name="Heading 4 4 4" xfId="2677" xr:uid="{00000000-0005-0000-0000-000004260000}"/>
    <cellStyle name="Heading 4 5" xfId="2678" xr:uid="{00000000-0005-0000-0000-000005260000}"/>
    <cellStyle name="Heading 4 5 2" xfId="2679" xr:uid="{00000000-0005-0000-0000-000006260000}"/>
    <cellStyle name="Heading 4 5 3" xfId="2680" xr:uid="{00000000-0005-0000-0000-000007260000}"/>
    <cellStyle name="Heading 4 5 4" xfId="2681" xr:uid="{00000000-0005-0000-0000-000008260000}"/>
    <cellStyle name="Heading 4 6" xfId="2682" xr:uid="{00000000-0005-0000-0000-000009260000}"/>
    <cellStyle name="Heading 4 6 2" xfId="2683" xr:uid="{00000000-0005-0000-0000-00000A260000}"/>
    <cellStyle name="Heading 4 6 3" xfId="2684" xr:uid="{00000000-0005-0000-0000-00000B260000}"/>
    <cellStyle name="Heading 4 6 4" xfId="2685" xr:uid="{00000000-0005-0000-0000-00000C260000}"/>
    <cellStyle name="Heading 4 7" xfId="2686" xr:uid="{00000000-0005-0000-0000-00000D260000}"/>
    <cellStyle name="Heading 4 7 2" xfId="2687" xr:uid="{00000000-0005-0000-0000-00000E260000}"/>
    <cellStyle name="Heading 4 7 3" xfId="2688" xr:uid="{00000000-0005-0000-0000-00000F260000}"/>
    <cellStyle name="Heading 4 7 4" xfId="2689" xr:uid="{00000000-0005-0000-0000-000010260000}"/>
    <cellStyle name="Heading 4 8" xfId="2690" xr:uid="{00000000-0005-0000-0000-000011260000}"/>
    <cellStyle name="Heading 4 8 2" xfId="2691" xr:uid="{00000000-0005-0000-0000-000012260000}"/>
    <cellStyle name="Heading 4 8 3" xfId="2692" xr:uid="{00000000-0005-0000-0000-000013260000}"/>
    <cellStyle name="Heading 4 8 4" xfId="2693" xr:uid="{00000000-0005-0000-0000-000014260000}"/>
    <cellStyle name="Heading 4 9" xfId="2694" xr:uid="{00000000-0005-0000-0000-000015260000}"/>
    <cellStyle name="HP Logo" xfId="2695" xr:uid="{00000000-0005-0000-0000-000016260000}"/>
    <cellStyle name="Hyperlink 2" xfId="2696" xr:uid="{00000000-0005-0000-0000-000018260000}"/>
    <cellStyle name="Hyperlink 3" xfId="10739" xr:uid="{E4954B6A-3BB3-4852-8D83-8832058FB6DF}"/>
    <cellStyle name="Input [yellow]" xfId="2697" xr:uid="{00000000-0005-0000-0000-000019260000}"/>
    <cellStyle name="Input [yellow] 2" xfId="10733" xr:uid="{B2DD0A8E-A9B8-462D-BEF3-7A4D89214AC9}"/>
    <cellStyle name="Input 10" xfId="2698" xr:uid="{00000000-0005-0000-0000-00001A260000}"/>
    <cellStyle name="Input 11" xfId="2699" xr:uid="{00000000-0005-0000-0000-00001B260000}"/>
    <cellStyle name="Input 12" xfId="2700" xr:uid="{00000000-0005-0000-0000-00001C260000}"/>
    <cellStyle name="Input 12 2" xfId="2701" xr:uid="{00000000-0005-0000-0000-00001D260000}"/>
    <cellStyle name="Input 13" xfId="2702" xr:uid="{00000000-0005-0000-0000-00001E260000}"/>
    <cellStyle name="Input 13 2" xfId="2703" xr:uid="{00000000-0005-0000-0000-00001F260000}"/>
    <cellStyle name="Input 14" xfId="2704" xr:uid="{00000000-0005-0000-0000-000020260000}"/>
    <cellStyle name="Input 14 2" xfId="2705" xr:uid="{00000000-0005-0000-0000-000021260000}"/>
    <cellStyle name="Input 15" xfId="2706" xr:uid="{00000000-0005-0000-0000-000022260000}"/>
    <cellStyle name="Input 16" xfId="2707" xr:uid="{00000000-0005-0000-0000-000023260000}"/>
    <cellStyle name="Input 2" xfId="2708" xr:uid="{00000000-0005-0000-0000-000024260000}"/>
    <cellStyle name="Input 2 2" xfId="2709" xr:uid="{00000000-0005-0000-0000-000025260000}"/>
    <cellStyle name="Input 2 3" xfId="2710" xr:uid="{00000000-0005-0000-0000-000026260000}"/>
    <cellStyle name="Input 2 4" xfId="2711" xr:uid="{00000000-0005-0000-0000-000027260000}"/>
    <cellStyle name="Input 2 5" xfId="2712" xr:uid="{00000000-0005-0000-0000-000028260000}"/>
    <cellStyle name="Input 2 6" xfId="2713" xr:uid="{00000000-0005-0000-0000-000029260000}"/>
    <cellStyle name="Input 2 7" xfId="2714" xr:uid="{00000000-0005-0000-0000-00002A260000}"/>
    <cellStyle name="Input 2 8" xfId="2715" xr:uid="{00000000-0005-0000-0000-00002B260000}"/>
    <cellStyle name="Input 2 9" xfId="2716" xr:uid="{00000000-0005-0000-0000-00002C260000}"/>
    <cellStyle name="Input 3" xfId="2717" xr:uid="{00000000-0005-0000-0000-00002D260000}"/>
    <cellStyle name="Input 3 2" xfId="2718" xr:uid="{00000000-0005-0000-0000-00002E260000}"/>
    <cellStyle name="Input 3 3" xfId="2719" xr:uid="{00000000-0005-0000-0000-00002F260000}"/>
    <cellStyle name="Input 3 4" xfId="2720" xr:uid="{00000000-0005-0000-0000-000030260000}"/>
    <cellStyle name="Input 4" xfId="2721" xr:uid="{00000000-0005-0000-0000-000031260000}"/>
    <cellStyle name="Input 4 2" xfId="2722" xr:uid="{00000000-0005-0000-0000-000032260000}"/>
    <cellStyle name="Input 4 3" xfId="2723" xr:uid="{00000000-0005-0000-0000-000033260000}"/>
    <cellStyle name="Input 4 4" xfId="2724" xr:uid="{00000000-0005-0000-0000-000034260000}"/>
    <cellStyle name="Input 5" xfId="2725" xr:uid="{00000000-0005-0000-0000-000035260000}"/>
    <cellStyle name="Input 5 2" xfId="2726" xr:uid="{00000000-0005-0000-0000-000036260000}"/>
    <cellStyle name="Input 5 3" xfId="2727" xr:uid="{00000000-0005-0000-0000-000037260000}"/>
    <cellStyle name="Input 5 4" xfId="2728" xr:uid="{00000000-0005-0000-0000-000038260000}"/>
    <cellStyle name="Input 6" xfId="2729" xr:uid="{00000000-0005-0000-0000-000039260000}"/>
    <cellStyle name="Input 6 2" xfId="2730" xr:uid="{00000000-0005-0000-0000-00003A260000}"/>
    <cellStyle name="Input 6 3" xfId="2731" xr:uid="{00000000-0005-0000-0000-00003B260000}"/>
    <cellStyle name="Input 6 4" xfId="2732" xr:uid="{00000000-0005-0000-0000-00003C260000}"/>
    <cellStyle name="Input 7" xfId="2733" xr:uid="{00000000-0005-0000-0000-00003D260000}"/>
    <cellStyle name="Input 7 2" xfId="2734" xr:uid="{00000000-0005-0000-0000-00003E260000}"/>
    <cellStyle name="Input 7 3" xfId="2735" xr:uid="{00000000-0005-0000-0000-00003F260000}"/>
    <cellStyle name="Input 7 4" xfId="2736" xr:uid="{00000000-0005-0000-0000-000040260000}"/>
    <cellStyle name="Input 8" xfId="2737" xr:uid="{00000000-0005-0000-0000-000041260000}"/>
    <cellStyle name="Input 8 2" xfId="2738" xr:uid="{00000000-0005-0000-0000-000042260000}"/>
    <cellStyle name="Input 8 3" xfId="2739" xr:uid="{00000000-0005-0000-0000-000043260000}"/>
    <cellStyle name="Input 8 4" xfId="2740" xr:uid="{00000000-0005-0000-0000-000044260000}"/>
    <cellStyle name="Input 9" xfId="2741" xr:uid="{00000000-0005-0000-0000-000045260000}"/>
    <cellStyle name="Instructions" xfId="2742" xr:uid="{00000000-0005-0000-0000-000046260000}"/>
    <cellStyle name="Linked Cell 10" xfId="2743" xr:uid="{00000000-0005-0000-0000-000047260000}"/>
    <cellStyle name="Linked Cell 11" xfId="2744" xr:uid="{00000000-0005-0000-0000-000048260000}"/>
    <cellStyle name="Linked Cell 12" xfId="2745" xr:uid="{00000000-0005-0000-0000-000049260000}"/>
    <cellStyle name="Linked Cell 12 2" xfId="2746" xr:uid="{00000000-0005-0000-0000-00004A260000}"/>
    <cellStyle name="Linked Cell 13" xfId="2747" xr:uid="{00000000-0005-0000-0000-00004B260000}"/>
    <cellStyle name="Linked Cell 13 2" xfId="2748" xr:uid="{00000000-0005-0000-0000-00004C260000}"/>
    <cellStyle name="Linked Cell 14" xfId="2749" xr:uid="{00000000-0005-0000-0000-00004D260000}"/>
    <cellStyle name="Linked Cell 14 2" xfId="2750" xr:uid="{00000000-0005-0000-0000-00004E260000}"/>
    <cellStyle name="Linked Cell 15" xfId="2751" xr:uid="{00000000-0005-0000-0000-00004F260000}"/>
    <cellStyle name="Linked Cell 16" xfId="2752" xr:uid="{00000000-0005-0000-0000-000050260000}"/>
    <cellStyle name="Linked Cell 2" xfId="2753" xr:uid="{00000000-0005-0000-0000-000051260000}"/>
    <cellStyle name="Linked Cell 2 2" xfId="2754" xr:uid="{00000000-0005-0000-0000-000052260000}"/>
    <cellStyle name="Linked Cell 2 3" xfId="2755" xr:uid="{00000000-0005-0000-0000-000053260000}"/>
    <cellStyle name="Linked Cell 2 4" xfId="2756" xr:uid="{00000000-0005-0000-0000-000054260000}"/>
    <cellStyle name="Linked Cell 2 5" xfId="2757" xr:uid="{00000000-0005-0000-0000-000055260000}"/>
    <cellStyle name="Linked Cell 2 6" xfId="2758" xr:uid="{00000000-0005-0000-0000-000056260000}"/>
    <cellStyle name="Linked Cell 2 7" xfId="2759" xr:uid="{00000000-0005-0000-0000-000057260000}"/>
    <cellStyle name="Linked Cell 2 8" xfId="2760" xr:uid="{00000000-0005-0000-0000-000058260000}"/>
    <cellStyle name="Linked Cell 2 9" xfId="2761" xr:uid="{00000000-0005-0000-0000-000059260000}"/>
    <cellStyle name="Linked Cell 3" xfId="2762" xr:uid="{00000000-0005-0000-0000-00005A260000}"/>
    <cellStyle name="Linked Cell 3 2" xfId="2763" xr:uid="{00000000-0005-0000-0000-00005B260000}"/>
    <cellStyle name="Linked Cell 3 3" xfId="2764" xr:uid="{00000000-0005-0000-0000-00005C260000}"/>
    <cellStyle name="Linked Cell 3 4" xfId="2765" xr:uid="{00000000-0005-0000-0000-00005D260000}"/>
    <cellStyle name="Linked Cell 4" xfId="2766" xr:uid="{00000000-0005-0000-0000-00005E260000}"/>
    <cellStyle name="Linked Cell 4 2" xfId="2767" xr:uid="{00000000-0005-0000-0000-00005F260000}"/>
    <cellStyle name="Linked Cell 4 3" xfId="2768" xr:uid="{00000000-0005-0000-0000-000060260000}"/>
    <cellStyle name="Linked Cell 4 4" xfId="2769" xr:uid="{00000000-0005-0000-0000-000061260000}"/>
    <cellStyle name="Linked Cell 5" xfId="2770" xr:uid="{00000000-0005-0000-0000-000062260000}"/>
    <cellStyle name="Linked Cell 5 2" xfId="2771" xr:uid="{00000000-0005-0000-0000-000063260000}"/>
    <cellStyle name="Linked Cell 5 3" xfId="2772" xr:uid="{00000000-0005-0000-0000-000064260000}"/>
    <cellStyle name="Linked Cell 5 4" xfId="2773" xr:uid="{00000000-0005-0000-0000-000065260000}"/>
    <cellStyle name="Linked Cell 6" xfId="2774" xr:uid="{00000000-0005-0000-0000-000066260000}"/>
    <cellStyle name="Linked Cell 6 2" xfId="2775" xr:uid="{00000000-0005-0000-0000-000067260000}"/>
    <cellStyle name="Linked Cell 6 3" xfId="2776" xr:uid="{00000000-0005-0000-0000-000068260000}"/>
    <cellStyle name="Linked Cell 6 4" xfId="2777" xr:uid="{00000000-0005-0000-0000-000069260000}"/>
    <cellStyle name="Linked Cell 7" xfId="2778" xr:uid="{00000000-0005-0000-0000-00006A260000}"/>
    <cellStyle name="Linked Cell 7 2" xfId="2779" xr:uid="{00000000-0005-0000-0000-00006B260000}"/>
    <cellStyle name="Linked Cell 7 3" xfId="2780" xr:uid="{00000000-0005-0000-0000-00006C260000}"/>
    <cellStyle name="Linked Cell 7 4" xfId="2781" xr:uid="{00000000-0005-0000-0000-00006D260000}"/>
    <cellStyle name="Linked Cell 8" xfId="2782" xr:uid="{00000000-0005-0000-0000-00006E260000}"/>
    <cellStyle name="Linked Cell 8 2" xfId="2783" xr:uid="{00000000-0005-0000-0000-00006F260000}"/>
    <cellStyle name="Linked Cell 8 3" xfId="2784" xr:uid="{00000000-0005-0000-0000-000070260000}"/>
    <cellStyle name="Linked Cell 8 4" xfId="2785" xr:uid="{00000000-0005-0000-0000-000071260000}"/>
    <cellStyle name="Linked Cell 9" xfId="2786" xr:uid="{00000000-0005-0000-0000-000072260000}"/>
    <cellStyle name="Neutral 10" xfId="2787" xr:uid="{00000000-0005-0000-0000-000073260000}"/>
    <cellStyle name="Neutral 11" xfId="2788" xr:uid="{00000000-0005-0000-0000-000074260000}"/>
    <cellStyle name="Neutral 12" xfId="2789" xr:uid="{00000000-0005-0000-0000-000075260000}"/>
    <cellStyle name="Neutral 12 2" xfId="2790" xr:uid="{00000000-0005-0000-0000-000076260000}"/>
    <cellStyle name="Neutral 13" xfId="2791" xr:uid="{00000000-0005-0000-0000-000077260000}"/>
    <cellStyle name="Neutral 13 2" xfId="2792" xr:uid="{00000000-0005-0000-0000-000078260000}"/>
    <cellStyle name="Neutral 14" xfId="2793" xr:uid="{00000000-0005-0000-0000-000079260000}"/>
    <cellStyle name="Neutral 14 2" xfId="2794" xr:uid="{00000000-0005-0000-0000-00007A260000}"/>
    <cellStyle name="Neutral 15" xfId="2795" xr:uid="{00000000-0005-0000-0000-00007B260000}"/>
    <cellStyle name="Neutral 16" xfId="2796" xr:uid="{00000000-0005-0000-0000-00007C260000}"/>
    <cellStyle name="Neutral 2" xfId="2797" xr:uid="{00000000-0005-0000-0000-00007D260000}"/>
    <cellStyle name="Neutral 2 2" xfId="2798" xr:uid="{00000000-0005-0000-0000-00007E260000}"/>
    <cellStyle name="Neutral 2 3" xfId="2799" xr:uid="{00000000-0005-0000-0000-00007F260000}"/>
    <cellStyle name="Neutral 2 4" xfId="2800" xr:uid="{00000000-0005-0000-0000-000080260000}"/>
    <cellStyle name="Neutral 2 5" xfId="2801" xr:uid="{00000000-0005-0000-0000-000081260000}"/>
    <cellStyle name="Neutral 2 6" xfId="2802" xr:uid="{00000000-0005-0000-0000-000082260000}"/>
    <cellStyle name="Neutral 2 7" xfId="2803" xr:uid="{00000000-0005-0000-0000-000083260000}"/>
    <cellStyle name="Neutral 2 8" xfId="2804" xr:uid="{00000000-0005-0000-0000-000084260000}"/>
    <cellStyle name="Neutral 2 9" xfId="2805" xr:uid="{00000000-0005-0000-0000-000085260000}"/>
    <cellStyle name="Neutral 3" xfId="2806" xr:uid="{00000000-0005-0000-0000-000086260000}"/>
    <cellStyle name="Neutral 3 2" xfId="2807" xr:uid="{00000000-0005-0000-0000-000087260000}"/>
    <cellStyle name="Neutral 3 3" xfId="2808" xr:uid="{00000000-0005-0000-0000-000088260000}"/>
    <cellStyle name="Neutral 3 4" xfId="2809" xr:uid="{00000000-0005-0000-0000-000089260000}"/>
    <cellStyle name="Neutral 4" xfId="2810" xr:uid="{00000000-0005-0000-0000-00008A260000}"/>
    <cellStyle name="Neutral 4 2" xfId="2811" xr:uid="{00000000-0005-0000-0000-00008B260000}"/>
    <cellStyle name="Neutral 4 3" xfId="2812" xr:uid="{00000000-0005-0000-0000-00008C260000}"/>
    <cellStyle name="Neutral 4 4" xfId="2813" xr:uid="{00000000-0005-0000-0000-00008D260000}"/>
    <cellStyle name="Neutral 5" xfId="2814" xr:uid="{00000000-0005-0000-0000-00008E260000}"/>
    <cellStyle name="Neutral 5 2" xfId="2815" xr:uid="{00000000-0005-0000-0000-00008F260000}"/>
    <cellStyle name="Neutral 5 3" xfId="2816" xr:uid="{00000000-0005-0000-0000-000090260000}"/>
    <cellStyle name="Neutral 5 4" xfId="2817" xr:uid="{00000000-0005-0000-0000-000091260000}"/>
    <cellStyle name="Neutral 6" xfId="2818" xr:uid="{00000000-0005-0000-0000-000092260000}"/>
    <cellStyle name="Neutral 6 2" xfId="2819" xr:uid="{00000000-0005-0000-0000-000093260000}"/>
    <cellStyle name="Neutral 6 3" xfId="2820" xr:uid="{00000000-0005-0000-0000-000094260000}"/>
    <cellStyle name="Neutral 6 4" xfId="2821" xr:uid="{00000000-0005-0000-0000-000095260000}"/>
    <cellStyle name="Neutral 7" xfId="2822" xr:uid="{00000000-0005-0000-0000-000096260000}"/>
    <cellStyle name="Neutral 7 2" xfId="2823" xr:uid="{00000000-0005-0000-0000-000097260000}"/>
    <cellStyle name="Neutral 7 3" xfId="2824" xr:uid="{00000000-0005-0000-0000-000098260000}"/>
    <cellStyle name="Neutral 7 4" xfId="2825" xr:uid="{00000000-0005-0000-0000-000099260000}"/>
    <cellStyle name="Neutral 8" xfId="2826" xr:uid="{00000000-0005-0000-0000-00009A260000}"/>
    <cellStyle name="Neutral 8 2" xfId="2827" xr:uid="{00000000-0005-0000-0000-00009B260000}"/>
    <cellStyle name="Neutral 8 3" xfId="2828" xr:uid="{00000000-0005-0000-0000-00009C260000}"/>
    <cellStyle name="Neutral 8 4" xfId="2829" xr:uid="{00000000-0005-0000-0000-00009D260000}"/>
    <cellStyle name="Neutral 9" xfId="2830" xr:uid="{00000000-0005-0000-0000-00009E260000}"/>
    <cellStyle name="Nor}al" xfId="2831" xr:uid="{00000000-0005-0000-0000-00009F260000}"/>
    <cellStyle name="Normal" xfId="0" builtinId="0"/>
    <cellStyle name="Normal - Style1" xfId="2832" xr:uid="{00000000-0005-0000-0000-0000A1260000}"/>
    <cellStyle name="Normal 10" xfId="2833" xr:uid="{00000000-0005-0000-0000-0000A2260000}"/>
    <cellStyle name="Normal 10 10" xfId="2834" xr:uid="{00000000-0005-0000-0000-0000A3260000}"/>
    <cellStyle name="Normal 10 11" xfId="2835" xr:uid="{00000000-0005-0000-0000-0000A4260000}"/>
    <cellStyle name="Normal 10 12" xfId="2836" xr:uid="{00000000-0005-0000-0000-0000A5260000}"/>
    <cellStyle name="Normal 10 13" xfId="2837" xr:uid="{00000000-0005-0000-0000-0000A6260000}"/>
    <cellStyle name="Normal 10 14" xfId="2838" xr:uid="{00000000-0005-0000-0000-0000A7260000}"/>
    <cellStyle name="Normal 10 15" xfId="2839" xr:uid="{00000000-0005-0000-0000-0000A8260000}"/>
    <cellStyle name="Normal 10 16" xfId="10705" xr:uid="{00000000-0005-0000-0000-0000A9260000}"/>
    <cellStyle name="Normal 10 17" xfId="9507" xr:uid="{00000000-0005-0000-0000-0000AA260000}"/>
    <cellStyle name="Normal 10 18" xfId="8309" xr:uid="{00000000-0005-0000-0000-0000AB260000}"/>
    <cellStyle name="Normal 10 19" xfId="7111" xr:uid="{00000000-0005-0000-0000-0000AC260000}"/>
    <cellStyle name="Normal 10 2" xfId="2840" xr:uid="{00000000-0005-0000-0000-0000AD260000}"/>
    <cellStyle name="Normal 10 20" xfId="5912" xr:uid="{00000000-0005-0000-0000-0000AE260000}"/>
    <cellStyle name="Normal 10 21" xfId="4713" xr:uid="{00000000-0005-0000-0000-0000AF260000}"/>
    <cellStyle name="Normal 10 3" xfId="2841" xr:uid="{00000000-0005-0000-0000-0000B0260000}"/>
    <cellStyle name="Normal 10 4" xfId="2842" xr:uid="{00000000-0005-0000-0000-0000B1260000}"/>
    <cellStyle name="Normal 10 5" xfId="2843" xr:uid="{00000000-0005-0000-0000-0000B2260000}"/>
    <cellStyle name="Normal 10 6" xfId="2844" xr:uid="{00000000-0005-0000-0000-0000B3260000}"/>
    <cellStyle name="Normal 10 7" xfId="2845" xr:uid="{00000000-0005-0000-0000-0000B4260000}"/>
    <cellStyle name="Normal 10 8" xfId="2846" xr:uid="{00000000-0005-0000-0000-0000B5260000}"/>
    <cellStyle name="Normal 10 9" xfId="2847" xr:uid="{00000000-0005-0000-0000-0000B6260000}"/>
    <cellStyle name="Normal 10_2" xfId="2848" xr:uid="{00000000-0005-0000-0000-0000B7260000}"/>
    <cellStyle name="Normal 11" xfId="2849" xr:uid="{00000000-0005-0000-0000-0000B8260000}"/>
    <cellStyle name="Normal 11 10" xfId="2850" xr:uid="{00000000-0005-0000-0000-0000B9260000}"/>
    <cellStyle name="Normal 11 11" xfId="2851" xr:uid="{00000000-0005-0000-0000-0000BA260000}"/>
    <cellStyle name="Normal 11 12" xfId="10706" xr:uid="{00000000-0005-0000-0000-0000BB260000}"/>
    <cellStyle name="Normal 11 13" xfId="9508" xr:uid="{00000000-0005-0000-0000-0000BC260000}"/>
    <cellStyle name="Normal 11 14" xfId="8310" xr:uid="{00000000-0005-0000-0000-0000BD260000}"/>
    <cellStyle name="Normal 11 15" xfId="7112" xr:uid="{00000000-0005-0000-0000-0000BE260000}"/>
    <cellStyle name="Normal 11 16" xfId="5913" xr:uid="{00000000-0005-0000-0000-0000BF260000}"/>
    <cellStyle name="Normal 11 17" xfId="4714" xr:uid="{00000000-0005-0000-0000-0000C0260000}"/>
    <cellStyle name="Normal 11 2" xfId="2852" xr:uid="{00000000-0005-0000-0000-0000C1260000}"/>
    <cellStyle name="Normal 11 3" xfId="2853" xr:uid="{00000000-0005-0000-0000-0000C2260000}"/>
    <cellStyle name="Normal 11 4" xfId="2854" xr:uid="{00000000-0005-0000-0000-0000C3260000}"/>
    <cellStyle name="Normal 11 5" xfId="2855" xr:uid="{00000000-0005-0000-0000-0000C4260000}"/>
    <cellStyle name="Normal 11 6" xfId="2856" xr:uid="{00000000-0005-0000-0000-0000C5260000}"/>
    <cellStyle name="Normal 11 7" xfId="2857" xr:uid="{00000000-0005-0000-0000-0000C6260000}"/>
    <cellStyle name="Normal 11 8" xfId="2858" xr:uid="{00000000-0005-0000-0000-0000C7260000}"/>
    <cellStyle name="Normal 11 9" xfId="2859" xr:uid="{00000000-0005-0000-0000-0000C8260000}"/>
    <cellStyle name="Normal 11_2" xfId="2860" xr:uid="{00000000-0005-0000-0000-0000C9260000}"/>
    <cellStyle name="Normal 12" xfId="2861" xr:uid="{00000000-0005-0000-0000-0000CA260000}"/>
    <cellStyle name="Normal 12 2" xfId="2862" xr:uid="{00000000-0005-0000-0000-0000CB260000}"/>
    <cellStyle name="Normal 12 3" xfId="2863" xr:uid="{00000000-0005-0000-0000-0000CC260000}"/>
    <cellStyle name="Normal 12 4" xfId="2864" xr:uid="{00000000-0005-0000-0000-0000CD260000}"/>
    <cellStyle name="Normal 13" xfId="2865" xr:uid="{00000000-0005-0000-0000-0000CE260000}"/>
    <cellStyle name="Normal 13 2" xfId="2866" xr:uid="{00000000-0005-0000-0000-0000CF260000}"/>
    <cellStyle name="Normal 13 3" xfId="2867" xr:uid="{00000000-0005-0000-0000-0000D0260000}"/>
    <cellStyle name="Normal 13 4" xfId="2868" xr:uid="{00000000-0005-0000-0000-0000D1260000}"/>
    <cellStyle name="Normal 14" xfId="2869" xr:uid="{00000000-0005-0000-0000-0000D2260000}"/>
    <cellStyle name="Normal 14 2" xfId="2870" xr:uid="{00000000-0005-0000-0000-0000D3260000}"/>
    <cellStyle name="Normal 14 3" xfId="2871" xr:uid="{00000000-0005-0000-0000-0000D4260000}"/>
    <cellStyle name="Normal 14 4" xfId="2872" xr:uid="{00000000-0005-0000-0000-0000D5260000}"/>
    <cellStyle name="Normal 15" xfId="2873" xr:uid="{00000000-0005-0000-0000-0000D6260000}"/>
    <cellStyle name="Normal 15 2" xfId="2874" xr:uid="{00000000-0005-0000-0000-0000D7260000}"/>
    <cellStyle name="Normal 15 3" xfId="2875" xr:uid="{00000000-0005-0000-0000-0000D8260000}"/>
    <cellStyle name="Normal 15 4" xfId="2876" xr:uid="{00000000-0005-0000-0000-0000D9260000}"/>
    <cellStyle name="Normal 16" xfId="2877" xr:uid="{00000000-0005-0000-0000-0000DA260000}"/>
    <cellStyle name="Normal 16 2" xfId="2878" xr:uid="{00000000-0005-0000-0000-0000DB260000}"/>
    <cellStyle name="Normal 16 3" xfId="2879" xr:uid="{00000000-0005-0000-0000-0000DC260000}"/>
    <cellStyle name="Normal 16 4" xfId="2880" xr:uid="{00000000-0005-0000-0000-0000DD260000}"/>
    <cellStyle name="Normal 17" xfId="2881" xr:uid="{00000000-0005-0000-0000-0000DE260000}"/>
    <cellStyle name="Normal 17 2" xfId="2882" xr:uid="{00000000-0005-0000-0000-0000DF260000}"/>
    <cellStyle name="Normal 17 3" xfId="2883" xr:uid="{00000000-0005-0000-0000-0000E0260000}"/>
    <cellStyle name="Normal 17 4" xfId="2884" xr:uid="{00000000-0005-0000-0000-0000E1260000}"/>
    <cellStyle name="Normal 18" xfId="2885" xr:uid="{00000000-0005-0000-0000-0000E2260000}"/>
    <cellStyle name="Normal 18 2" xfId="2886" xr:uid="{00000000-0005-0000-0000-0000E3260000}"/>
    <cellStyle name="Normal 18 3" xfId="2887" xr:uid="{00000000-0005-0000-0000-0000E4260000}"/>
    <cellStyle name="Normal 18 4" xfId="2888" xr:uid="{00000000-0005-0000-0000-0000E5260000}"/>
    <cellStyle name="Normal 19" xfId="2889" xr:uid="{00000000-0005-0000-0000-0000E6260000}"/>
    <cellStyle name="Normal 19 10" xfId="2890" xr:uid="{00000000-0005-0000-0000-0000E7260000}"/>
    <cellStyle name="Normal 19 11" xfId="10707" xr:uid="{00000000-0005-0000-0000-0000E8260000}"/>
    <cellStyle name="Normal 19 12" xfId="9509" xr:uid="{00000000-0005-0000-0000-0000E9260000}"/>
    <cellStyle name="Normal 19 13" xfId="8311" xr:uid="{00000000-0005-0000-0000-0000EA260000}"/>
    <cellStyle name="Normal 19 14" xfId="7113" xr:uid="{00000000-0005-0000-0000-0000EB260000}"/>
    <cellStyle name="Normal 19 15" xfId="5914" xr:uid="{00000000-0005-0000-0000-0000EC260000}"/>
    <cellStyle name="Normal 19 16" xfId="4715" xr:uid="{00000000-0005-0000-0000-0000ED260000}"/>
    <cellStyle name="Normal 19 2" xfId="2891" xr:uid="{00000000-0005-0000-0000-0000EE260000}"/>
    <cellStyle name="Normal 19 3" xfId="2892" xr:uid="{00000000-0005-0000-0000-0000EF260000}"/>
    <cellStyle name="Normal 19 4" xfId="2893" xr:uid="{00000000-0005-0000-0000-0000F0260000}"/>
    <cellStyle name="Normal 19 5" xfId="2894" xr:uid="{00000000-0005-0000-0000-0000F1260000}"/>
    <cellStyle name="Normal 19 6" xfId="2895" xr:uid="{00000000-0005-0000-0000-0000F2260000}"/>
    <cellStyle name="Normal 19 7" xfId="2896" xr:uid="{00000000-0005-0000-0000-0000F3260000}"/>
    <cellStyle name="Normal 19 8" xfId="2897" xr:uid="{00000000-0005-0000-0000-0000F4260000}"/>
    <cellStyle name="Normal 19 9" xfId="2898" xr:uid="{00000000-0005-0000-0000-0000F5260000}"/>
    <cellStyle name="Normal 19_2" xfId="2899" xr:uid="{00000000-0005-0000-0000-0000F6260000}"/>
    <cellStyle name="Normal 2" xfId="2900" xr:uid="{00000000-0005-0000-0000-0000F7260000}"/>
    <cellStyle name="Normal 2 10" xfId="2901" xr:uid="{00000000-0005-0000-0000-0000F8260000}"/>
    <cellStyle name="Normal 2 11" xfId="2902" xr:uid="{00000000-0005-0000-0000-0000F9260000}"/>
    <cellStyle name="Normal 2 12" xfId="2903" xr:uid="{00000000-0005-0000-0000-0000FA260000}"/>
    <cellStyle name="Normal 2 13" xfId="2904" xr:uid="{00000000-0005-0000-0000-0000FB260000}"/>
    <cellStyle name="Normal 2 14" xfId="2905" xr:uid="{00000000-0005-0000-0000-0000FC260000}"/>
    <cellStyle name="Normal 2 15" xfId="2906" xr:uid="{00000000-0005-0000-0000-0000FD260000}"/>
    <cellStyle name="Normal 2 15 10" xfId="2907" xr:uid="{00000000-0005-0000-0000-0000FE260000}"/>
    <cellStyle name="Normal 2 15 2" xfId="2908" xr:uid="{00000000-0005-0000-0000-0000FF260000}"/>
    <cellStyle name="Normal 2 15 3" xfId="2909" xr:uid="{00000000-0005-0000-0000-000000270000}"/>
    <cellStyle name="Normal 2 15 4" xfId="2910" xr:uid="{00000000-0005-0000-0000-000001270000}"/>
    <cellStyle name="Normal 2 15 5" xfId="2911" xr:uid="{00000000-0005-0000-0000-000002270000}"/>
    <cellStyle name="Normal 2 15 6" xfId="2912" xr:uid="{00000000-0005-0000-0000-000003270000}"/>
    <cellStyle name="Normal 2 15 7" xfId="2913" xr:uid="{00000000-0005-0000-0000-000004270000}"/>
    <cellStyle name="Normal 2 15 8" xfId="2914" xr:uid="{00000000-0005-0000-0000-000005270000}"/>
    <cellStyle name="Normal 2 15 9" xfId="2915" xr:uid="{00000000-0005-0000-0000-000006270000}"/>
    <cellStyle name="Normal 2 16" xfId="2916" xr:uid="{00000000-0005-0000-0000-000007270000}"/>
    <cellStyle name="Normal 2 16 10" xfId="2917" xr:uid="{00000000-0005-0000-0000-000008270000}"/>
    <cellStyle name="Normal 2 16 2" xfId="2918" xr:uid="{00000000-0005-0000-0000-000009270000}"/>
    <cellStyle name="Normal 2 16 3" xfId="2919" xr:uid="{00000000-0005-0000-0000-00000A270000}"/>
    <cellStyle name="Normal 2 16 4" xfId="2920" xr:uid="{00000000-0005-0000-0000-00000B270000}"/>
    <cellStyle name="Normal 2 16 5" xfId="2921" xr:uid="{00000000-0005-0000-0000-00000C270000}"/>
    <cellStyle name="Normal 2 16 6" xfId="2922" xr:uid="{00000000-0005-0000-0000-00000D270000}"/>
    <cellStyle name="Normal 2 16 7" xfId="2923" xr:uid="{00000000-0005-0000-0000-00000E270000}"/>
    <cellStyle name="Normal 2 16 8" xfId="2924" xr:uid="{00000000-0005-0000-0000-00000F270000}"/>
    <cellStyle name="Normal 2 16 9" xfId="2925" xr:uid="{00000000-0005-0000-0000-000010270000}"/>
    <cellStyle name="Normal 2 17" xfId="2926" xr:uid="{00000000-0005-0000-0000-000011270000}"/>
    <cellStyle name="Normal 2 18" xfId="2927" xr:uid="{00000000-0005-0000-0000-000012270000}"/>
    <cellStyle name="Normal 2 18 2" xfId="2928" xr:uid="{00000000-0005-0000-0000-000013270000}"/>
    <cellStyle name="Normal 2 18 3" xfId="2929" xr:uid="{00000000-0005-0000-0000-000014270000}"/>
    <cellStyle name="Normal 2 18 4" xfId="2930" xr:uid="{00000000-0005-0000-0000-000015270000}"/>
    <cellStyle name="Normal 2 18 5" xfId="2931" xr:uid="{00000000-0005-0000-0000-000016270000}"/>
    <cellStyle name="Normal 2 18 6" xfId="2932" xr:uid="{00000000-0005-0000-0000-000017270000}"/>
    <cellStyle name="Normal 2 18 7" xfId="2933" xr:uid="{00000000-0005-0000-0000-000018270000}"/>
    <cellStyle name="Normal 2 18 8" xfId="2934" xr:uid="{00000000-0005-0000-0000-000019270000}"/>
    <cellStyle name="Normal 2 18 9" xfId="2935" xr:uid="{00000000-0005-0000-0000-00001A270000}"/>
    <cellStyle name="Normal 2 19" xfId="2936" xr:uid="{00000000-0005-0000-0000-00001B270000}"/>
    <cellStyle name="Normal 2 2" xfId="2937" xr:uid="{00000000-0005-0000-0000-00001C270000}"/>
    <cellStyle name="Normal 2 2 10" xfId="2938" xr:uid="{00000000-0005-0000-0000-00001D270000}"/>
    <cellStyle name="Normal 2 2 11" xfId="2939" xr:uid="{00000000-0005-0000-0000-00001E270000}"/>
    <cellStyle name="Normal 2 2 12" xfId="2940" xr:uid="{00000000-0005-0000-0000-00001F270000}"/>
    <cellStyle name="Normal 2 2 12 10" xfId="2941" xr:uid="{00000000-0005-0000-0000-000020270000}"/>
    <cellStyle name="Normal 2 2 12 11" xfId="2942" xr:uid="{00000000-0005-0000-0000-000021270000}"/>
    <cellStyle name="Normal 2 2 12 2" xfId="2943" xr:uid="{00000000-0005-0000-0000-000022270000}"/>
    <cellStyle name="Normal 2 2 12 3" xfId="2944" xr:uid="{00000000-0005-0000-0000-000023270000}"/>
    <cellStyle name="Normal 2 2 12 4" xfId="2945" xr:uid="{00000000-0005-0000-0000-000024270000}"/>
    <cellStyle name="Normal 2 2 12 5" xfId="2946" xr:uid="{00000000-0005-0000-0000-000025270000}"/>
    <cellStyle name="Normal 2 2 12 6" xfId="2947" xr:uid="{00000000-0005-0000-0000-000026270000}"/>
    <cellStyle name="Normal 2 2 12 7" xfId="2948" xr:uid="{00000000-0005-0000-0000-000027270000}"/>
    <cellStyle name="Normal 2 2 12 8" xfId="2949" xr:uid="{00000000-0005-0000-0000-000028270000}"/>
    <cellStyle name="Normal 2 2 12 9" xfId="2950" xr:uid="{00000000-0005-0000-0000-000029270000}"/>
    <cellStyle name="Normal 2 2 13" xfId="2951" xr:uid="{00000000-0005-0000-0000-00002A270000}"/>
    <cellStyle name="Normal 2 2 14" xfId="2952" xr:uid="{00000000-0005-0000-0000-00002B270000}"/>
    <cellStyle name="Normal 2 2 15" xfId="2953" xr:uid="{00000000-0005-0000-0000-00002C270000}"/>
    <cellStyle name="Normal 2 2 16" xfId="2954" xr:uid="{00000000-0005-0000-0000-00002D270000}"/>
    <cellStyle name="Normal 2 2 17" xfId="2955" xr:uid="{00000000-0005-0000-0000-00002E270000}"/>
    <cellStyle name="Normal 2 2 18" xfId="2956" xr:uid="{00000000-0005-0000-0000-00002F270000}"/>
    <cellStyle name="Normal 2 2 19" xfId="2957" xr:uid="{00000000-0005-0000-0000-000030270000}"/>
    <cellStyle name="Normal 2 2 2" xfId="2958" xr:uid="{00000000-0005-0000-0000-000031270000}"/>
    <cellStyle name="Normal 2 2 20" xfId="2959" xr:uid="{00000000-0005-0000-0000-000032270000}"/>
    <cellStyle name="Normal 2 2 21" xfId="2960" xr:uid="{00000000-0005-0000-0000-000033270000}"/>
    <cellStyle name="Normal 2 2 22" xfId="2961" xr:uid="{00000000-0005-0000-0000-000034270000}"/>
    <cellStyle name="Normal 2 2 3" xfId="2962" xr:uid="{00000000-0005-0000-0000-000035270000}"/>
    <cellStyle name="Normal 2 2 4" xfId="2963" xr:uid="{00000000-0005-0000-0000-000036270000}"/>
    <cellStyle name="Normal 2 2 5" xfId="2964" xr:uid="{00000000-0005-0000-0000-000037270000}"/>
    <cellStyle name="Normal 2 2 6" xfId="2965" xr:uid="{00000000-0005-0000-0000-000038270000}"/>
    <cellStyle name="Normal 2 2 7" xfId="2966" xr:uid="{00000000-0005-0000-0000-000039270000}"/>
    <cellStyle name="Normal 2 2 8" xfId="2967" xr:uid="{00000000-0005-0000-0000-00003A270000}"/>
    <cellStyle name="Normal 2 2 9" xfId="2968" xr:uid="{00000000-0005-0000-0000-00003B270000}"/>
    <cellStyle name="Normal 2 2_Book1" xfId="2969" xr:uid="{00000000-0005-0000-0000-00003C270000}"/>
    <cellStyle name="Normal 2 20" xfId="2970" xr:uid="{00000000-0005-0000-0000-00003D270000}"/>
    <cellStyle name="Normal 2 21" xfId="2971" xr:uid="{00000000-0005-0000-0000-00003E270000}"/>
    <cellStyle name="Normal 2 22" xfId="2972" xr:uid="{00000000-0005-0000-0000-00003F270000}"/>
    <cellStyle name="Normal 2 23" xfId="2973" xr:uid="{00000000-0005-0000-0000-000040270000}"/>
    <cellStyle name="Normal 2 24" xfId="2974" xr:uid="{00000000-0005-0000-0000-000041270000}"/>
    <cellStyle name="Normal 2 25" xfId="2975" xr:uid="{00000000-0005-0000-0000-000042270000}"/>
    <cellStyle name="Normal 2 26" xfId="2976" xr:uid="{00000000-0005-0000-0000-000043270000}"/>
    <cellStyle name="Normal 2 3" xfId="2977" xr:uid="{00000000-0005-0000-0000-000044270000}"/>
    <cellStyle name="Normal 2 3 2" xfId="2978" xr:uid="{00000000-0005-0000-0000-000045270000}"/>
    <cellStyle name="Normal 2 3 3" xfId="2979" xr:uid="{00000000-0005-0000-0000-000046270000}"/>
    <cellStyle name="Normal 2 3 4" xfId="2980" xr:uid="{00000000-0005-0000-0000-000047270000}"/>
    <cellStyle name="Normal 2 3 5" xfId="2981" xr:uid="{00000000-0005-0000-0000-000048270000}"/>
    <cellStyle name="Normal 2 3 6" xfId="2982" xr:uid="{00000000-0005-0000-0000-000049270000}"/>
    <cellStyle name="Normal 2 3 7" xfId="2983" xr:uid="{00000000-0005-0000-0000-00004A270000}"/>
    <cellStyle name="Normal 2 3 7 10" xfId="2984" xr:uid="{00000000-0005-0000-0000-00004B270000}"/>
    <cellStyle name="Normal 2 3 7 11" xfId="2985" xr:uid="{00000000-0005-0000-0000-00004C270000}"/>
    <cellStyle name="Normal 2 3 7 2" xfId="2986" xr:uid="{00000000-0005-0000-0000-00004D270000}"/>
    <cellStyle name="Normal 2 3 7 3" xfId="2987" xr:uid="{00000000-0005-0000-0000-00004E270000}"/>
    <cellStyle name="Normal 2 3 7 4" xfId="2988" xr:uid="{00000000-0005-0000-0000-00004F270000}"/>
    <cellStyle name="Normal 2 3 7 5" xfId="2989" xr:uid="{00000000-0005-0000-0000-000050270000}"/>
    <cellStyle name="Normal 2 3 7 6" xfId="2990" xr:uid="{00000000-0005-0000-0000-000051270000}"/>
    <cellStyle name="Normal 2 3 7 7" xfId="2991" xr:uid="{00000000-0005-0000-0000-000052270000}"/>
    <cellStyle name="Normal 2 3 7 8" xfId="2992" xr:uid="{00000000-0005-0000-0000-000053270000}"/>
    <cellStyle name="Normal 2 3 7 9" xfId="2993" xr:uid="{00000000-0005-0000-0000-000054270000}"/>
    <cellStyle name="Normal 2 4" xfId="2994" xr:uid="{00000000-0005-0000-0000-000055270000}"/>
    <cellStyle name="Normal 2 4 2" xfId="2995" xr:uid="{00000000-0005-0000-0000-000056270000}"/>
    <cellStyle name="Normal 2 4 3" xfId="2996" xr:uid="{00000000-0005-0000-0000-000057270000}"/>
    <cellStyle name="Normal 2 4 4" xfId="2997" xr:uid="{00000000-0005-0000-0000-000058270000}"/>
    <cellStyle name="Normal 2 4 5" xfId="2998" xr:uid="{00000000-0005-0000-0000-000059270000}"/>
    <cellStyle name="Normal 2 4 6" xfId="2999" xr:uid="{00000000-0005-0000-0000-00005A270000}"/>
    <cellStyle name="Normal 2 4 7" xfId="3000" xr:uid="{00000000-0005-0000-0000-00005B270000}"/>
    <cellStyle name="Normal 2 4 7 10" xfId="3001" xr:uid="{00000000-0005-0000-0000-00005C270000}"/>
    <cellStyle name="Normal 2 4 7 11" xfId="3002" xr:uid="{00000000-0005-0000-0000-00005D270000}"/>
    <cellStyle name="Normal 2 4 7 2" xfId="3003" xr:uid="{00000000-0005-0000-0000-00005E270000}"/>
    <cellStyle name="Normal 2 4 7 3" xfId="3004" xr:uid="{00000000-0005-0000-0000-00005F270000}"/>
    <cellStyle name="Normal 2 4 7 4" xfId="3005" xr:uid="{00000000-0005-0000-0000-000060270000}"/>
    <cellStyle name="Normal 2 4 7 5" xfId="3006" xr:uid="{00000000-0005-0000-0000-000061270000}"/>
    <cellStyle name="Normal 2 4 7 6" xfId="3007" xr:uid="{00000000-0005-0000-0000-000062270000}"/>
    <cellStyle name="Normal 2 4 7 7" xfId="3008" xr:uid="{00000000-0005-0000-0000-000063270000}"/>
    <cellStyle name="Normal 2 4 7 8" xfId="3009" xr:uid="{00000000-0005-0000-0000-000064270000}"/>
    <cellStyle name="Normal 2 4 7 9" xfId="3010" xr:uid="{00000000-0005-0000-0000-000065270000}"/>
    <cellStyle name="Normal 2 5" xfId="3011" xr:uid="{00000000-0005-0000-0000-000066270000}"/>
    <cellStyle name="Normal 2 5 2" xfId="3012" xr:uid="{00000000-0005-0000-0000-000067270000}"/>
    <cellStyle name="Normal 2 5 3" xfId="3013" xr:uid="{00000000-0005-0000-0000-000068270000}"/>
    <cellStyle name="Normal 2 5 4" xfId="3014" xr:uid="{00000000-0005-0000-0000-000069270000}"/>
    <cellStyle name="Normal 2 5 5" xfId="3015" xr:uid="{00000000-0005-0000-0000-00006A270000}"/>
    <cellStyle name="Normal 2 5 6" xfId="3016" xr:uid="{00000000-0005-0000-0000-00006B270000}"/>
    <cellStyle name="Normal 2 5 7" xfId="3017" xr:uid="{00000000-0005-0000-0000-00006C270000}"/>
    <cellStyle name="Normal 2 5 7 10" xfId="3018" xr:uid="{00000000-0005-0000-0000-00006D270000}"/>
    <cellStyle name="Normal 2 5 7 11" xfId="3019" xr:uid="{00000000-0005-0000-0000-00006E270000}"/>
    <cellStyle name="Normal 2 5 7 2" xfId="3020" xr:uid="{00000000-0005-0000-0000-00006F270000}"/>
    <cellStyle name="Normal 2 5 7 3" xfId="3021" xr:uid="{00000000-0005-0000-0000-000070270000}"/>
    <cellStyle name="Normal 2 5 7 4" xfId="3022" xr:uid="{00000000-0005-0000-0000-000071270000}"/>
    <cellStyle name="Normal 2 5 7 5" xfId="3023" xr:uid="{00000000-0005-0000-0000-000072270000}"/>
    <cellStyle name="Normal 2 5 7 6" xfId="3024" xr:uid="{00000000-0005-0000-0000-000073270000}"/>
    <cellStyle name="Normal 2 5 7 7" xfId="3025" xr:uid="{00000000-0005-0000-0000-000074270000}"/>
    <cellStyle name="Normal 2 5 7 8" xfId="3026" xr:uid="{00000000-0005-0000-0000-000075270000}"/>
    <cellStyle name="Normal 2 5 7 9" xfId="3027" xr:uid="{00000000-0005-0000-0000-000076270000}"/>
    <cellStyle name="Normal 2 6" xfId="3028" xr:uid="{00000000-0005-0000-0000-000077270000}"/>
    <cellStyle name="Normal 2 7" xfId="3029" xr:uid="{00000000-0005-0000-0000-000078270000}"/>
    <cellStyle name="Normal 2 8" xfId="3030" xr:uid="{00000000-0005-0000-0000-000079270000}"/>
    <cellStyle name="Normal 2 9" xfId="3031" xr:uid="{00000000-0005-0000-0000-00007A270000}"/>
    <cellStyle name="Normal 2_1_Proportion_CI1" xfId="3032" xr:uid="{00000000-0005-0000-0000-00007B270000}"/>
    <cellStyle name="Normal 20" xfId="3033" xr:uid="{00000000-0005-0000-0000-00007C270000}"/>
    <cellStyle name="Normal 20 10" xfId="3034" xr:uid="{00000000-0005-0000-0000-00007D270000}"/>
    <cellStyle name="Normal 20 11" xfId="10708" xr:uid="{00000000-0005-0000-0000-00007E270000}"/>
    <cellStyle name="Normal 20 12" xfId="9510" xr:uid="{00000000-0005-0000-0000-00007F270000}"/>
    <cellStyle name="Normal 20 13" xfId="8312" xr:uid="{00000000-0005-0000-0000-000080270000}"/>
    <cellStyle name="Normal 20 14" xfId="7114" xr:uid="{00000000-0005-0000-0000-000081270000}"/>
    <cellStyle name="Normal 20 15" xfId="5915" xr:uid="{00000000-0005-0000-0000-000082270000}"/>
    <cellStyle name="Normal 20 16" xfId="4716" xr:uid="{00000000-0005-0000-0000-000083270000}"/>
    <cellStyle name="Normal 20 2" xfId="3035" xr:uid="{00000000-0005-0000-0000-000084270000}"/>
    <cellStyle name="Normal 20 3" xfId="3036" xr:uid="{00000000-0005-0000-0000-000085270000}"/>
    <cellStyle name="Normal 20 4" xfId="3037" xr:uid="{00000000-0005-0000-0000-000086270000}"/>
    <cellStyle name="Normal 20 5" xfId="3038" xr:uid="{00000000-0005-0000-0000-000087270000}"/>
    <cellStyle name="Normal 20 6" xfId="3039" xr:uid="{00000000-0005-0000-0000-000088270000}"/>
    <cellStyle name="Normal 20 7" xfId="3040" xr:uid="{00000000-0005-0000-0000-000089270000}"/>
    <cellStyle name="Normal 20 8" xfId="3041" xr:uid="{00000000-0005-0000-0000-00008A270000}"/>
    <cellStyle name="Normal 20 9" xfId="3042" xr:uid="{00000000-0005-0000-0000-00008B270000}"/>
    <cellStyle name="Normal 20_2" xfId="3043" xr:uid="{00000000-0005-0000-0000-00008C270000}"/>
    <cellStyle name="Normal 21" xfId="3044" xr:uid="{00000000-0005-0000-0000-00008D270000}"/>
    <cellStyle name="Normal 21 10" xfId="9511" xr:uid="{00000000-0005-0000-0000-00008E270000}"/>
    <cellStyle name="Normal 21 11" xfId="8313" xr:uid="{00000000-0005-0000-0000-00008F270000}"/>
    <cellStyle name="Normal 21 12" xfId="7115" xr:uid="{00000000-0005-0000-0000-000090270000}"/>
    <cellStyle name="Normal 21 13" xfId="5916" xr:uid="{00000000-0005-0000-0000-000091270000}"/>
    <cellStyle name="Normal 21 14" xfId="4717" xr:uid="{00000000-0005-0000-0000-000092270000}"/>
    <cellStyle name="Normal 21 2" xfId="3045" xr:uid="{00000000-0005-0000-0000-000093270000}"/>
    <cellStyle name="Normal 21 3" xfId="3046" xr:uid="{00000000-0005-0000-0000-000094270000}"/>
    <cellStyle name="Normal 21 4" xfId="3047" xr:uid="{00000000-0005-0000-0000-000095270000}"/>
    <cellStyle name="Normal 21 5" xfId="3048" xr:uid="{00000000-0005-0000-0000-000096270000}"/>
    <cellStyle name="Normal 21 6" xfId="3049" xr:uid="{00000000-0005-0000-0000-000097270000}"/>
    <cellStyle name="Normal 21 7" xfId="3050" xr:uid="{00000000-0005-0000-0000-000098270000}"/>
    <cellStyle name="Normal 21 8" xfId="3051" xr:uid="{00000000-0005-0000-0000-000099270000}"/>
    <cellStyle name="Normal 21 9" xfId="10709" xr:uid="{00000000-0005-0000-0000-00009A270000}"/>
    <cellStyle name="Normal 21_2" xfId="3052" xr:uid="{00000000-0005-0000-0000-00009B270000}"/>
    <cellStyle name="Normal 22" xfId="3053" xr:uid="{00000000-0005-0000-0000-00009C270000}"/>
    <cellStyle name="Normal 22 10" xfId="10710" xr:uid="{00000000-0005-0000-0000-00009D270000}"/>
    <cellStyle name="Normal 22 11" xfId="9512" xr:uid="{00000000-0005-0000-0000-00009E270000}"/>
    <cellStyle name="Normal 22 12" xfId="8314" xr:uid="{00000000-0005-0000-0000-00009F270000}"/>
    <cellStyle name="Normal 22 13" xfId="7116" xr:uid="{00000000-0005-0000-0000-0000A0270000}"/>
    <cellStyle name="Normal 22 14" xfId="5917" xr:uid="{00000000-0005-0000-0000-0000A1270000}"/>
    <cellStyle name="Normal 22 15" xfId="4718" xr:uid="{00000000-0005-0000-0000-0000A2270000}"/>
    <cellStyle name="Normal 22 2" xfId="3054" xr:uid="{00000000-0005-0000-0000-0000A3270000}"/>
    <cellStyle name="Normal 22 3" xfId="3055" xr:uid="{00000000-0005-0000-0000-0000A4270000}"/>
    <cellStyle name="Normal 22 4" xfId="3056" xr:uid="{00000000-0005-0000-0000-0000A5270000}"/>
    <cellStyle name="Normal 22 5" xfId="3057" xr:uid="{00000000-0005-0000-0000-0000A6270000}"/>
    <cellStyle name="Normal 22 6" xfId="3058" xr:uid="{00000000-0005-0000-0000-0000A7270000}"/>
    <cellStyle name="Normal 22 7" xfId="3059" xr:uid="{00000000-0005-0000-0000-0000A8270000}"/>
    <cellStyle name="Normal 22 8" xfId="3060" xr:uid="{00000000-0005-0000-0000-0000A9270000}"/>
    <cellStyle name="Normal 22 9" xfId="3061" xr:uid="{00000000-0005-0000-0000-0000AA270000}"/>
    <cellStyle name="Normal 22_2" xfId="3062" xr:uid="{00000000-0005-0000-0000-0000AB270000}"/>
    <cellStyle name="Normal 23" xfId="3063" xr:uid="{00000000-0005-0000-0000-0000AC270000}"/>
    <cellStyle name="Normal 23 10" xfId="8315" xr:uid="{00000000-0005-0000-0000-0000AD270000}"/>
    <cellStyle name="Normal 23 11" xfId="7117" xr:uid="{00000000-0005-0000-0000-0000AE270000}"/>
    <cellStyle name="Normal 23 12" xfId="5918" xr:uid="{00000000-0005-0000-0000-0000AF270000}"/>
    <cellStyle name="Normal 23 13" xfId="4719" xr:uid="{00000000-0005-0000-0000-0000B0270000}"/>
    <cellStyle name="Normal 23 2" xfId="3064" xr:uid="{00000000-0005-0000-0000-0000B1270000}"/>
    <cellStyle name="Normal 23 3" xfId="3065" xr:uid="{00000000-0005-0000-0000-0000B2270000}"/>
    <cellStyle name="Normal 23 4" xfId="3066" xr:uid="{00000000-0005-0000-0000-0000B3270000}"/>
    <cellStyle name="Normal 23 5" xfId="3067" xr:uid="{00000000-0005-0000-0000-0000B4270000}"/>
    <cellStyle name="Normal 23 6" xfId="3068" xr:uid="{00000000-0005-0000-0000-0000B5270000}"/>
    <cellStyle name="Normal 23 7" xfId="3069" xr:uid="{00000000-0005-0000-0000-0000B6270000}"/>
    <cellStyle name="Normal 23 8" xfId="10711" xr:uid="{00000000-0005-0000-0000-0000B7270000}"/>
    <cellStyle name="Normal 23 9" xfId="9513" xr:uid="{00000000-0005-0000-0000-0000B8270000}"/>
    <cellStyle name="Normal 23_2" xfId="3070" xr:uid="{00000000-0005-0000-0000-0000B9270000}"/>
    <cellStyle name="Normal 24" xfId="3071" xr:uid="{00000000-0005-0000-0000-0000BA270000}"/>
    <cellStyle name="Normal 24 10" xfId="8316" xr:uid="{00000000-0005-0000-0000-0000BB270000}"/>
    <cellStyle name="Normal 24 11" xfId="7118" xr:uid="{00000000-0005-0000-0000-0000BC270000}"/>
    <cellStyle name="Normal 24 12" xfId="5919" xr:uid="{00000000-0005-0000-0000-0000BD270000}"/>
    <cellStyle name="Normal 24 13" xfId="4720" xr:uid="{00000000-0005-0000-0000-0000BE270000}"/>
    <cellStyle name="Normal 24 2" xfId="3072" xr:uid="{00000000-0005-0000-0000-0000BF270000}"/>
    <cellStyle name="Normal 24 3" xfId="3073" xr:uid="{00000000-0005-0000-0000-0000C0270000}"/>
    <cellStyle name="Normal 24 4" xfId="3074" xr:uid="{00000000-0005-0000-0000-0000C1270000}"/>
    <cellStyle name="Normal 24 5" xfId="3075" xr:uid="{00000000-0005-0000-0000-0000C2270000}"/>
    <cellStyle name="Normal 24 6" xfId="3076" xr:uid="{00000000-0005-0000-0000-0000C3270000}"/>
    <cellStyle name="Normal 24 7" xfId="3077" xr:uid="{00000000-0005-0000-0000-0000C4270000}"/>
    <cellStyle name="Normal 24 8" xfId="10712" xr:uid="{00000000-0005-0000-0000-0000C5270000}"/>
    <cellStyle name="Normal 24 9" xfId="9514" xr:uid="{00000000-0005-0000-0000-0000C6270000}"/>
    <cellStyle name="Normal 24_2" xfId="3078" xr:uid="{00000000-0005-0000-0000-0000C7270000}"/>
    <cellStyle name="Normal 25" xfId="3079" xr:uid="{00000000-0005-0000-0000-0000C8270000}"/>
    <cellStyle name="Normal 25 10" xfId="8317" xr:uid="{00000000-0005-0000-0000-0000C9270000}"/>
    <cellStyle name="Normal 25 11" xfId="7119" xr:uid="{00000000-0005-0000-0000-0000CA270000}"/>
    <cellStyle name="Normal 25 12" xfId="5920" xr:uid="{00000000-0005-0000-0000-0000CB270000}"/>
    <cellStyle name="Normal 25 13" xfId="4721" xr:uid="{00000000-0005-0000-0000-0000CC270000}"/>
    <cellStyle name="Normal 25 2" xfId="3080" xr:uid="{00000000-0005-0000-0000-0000CD270000}"/>
    <cellStyle name="Normal 25 3" xfId="3081" xr:uid="{00000000-0005-0000-0000-0000CE270000}"/>
    <cellStyle name="Normal 25 4" xfId="3082" xr:uid="{00000000-0005-0000-0000-0000CF270000}"/>
    <cellStyle name="Normal 25 5" xfId="3083" xr:uid="{00000000-0005-0000-0000-0000D0270000}"/>
    <cellStyle name="Normal 25 6" xfId="3084" xr:uid="{00000000-0005-0000-0000-0000D1270000}"/>
    <cellStyle name="Normal 25 7" xfId="3085" xr:uid="{00000000-0005-0000-0000-0000D2270000}"/>
    <cellStyle name="Normal 25 8" xfId="10713" xr:uid="{00000000-0005-0000-0000-0000D3270000}"/>
    <cellStyle name="Normal 25 9" xfId="9515" xr:uid="{00000000-0005-0000-0000-0000D4270000}"/>
    <cellStyle name="Normal 25_2" xfId="3086" xr:uid="{00000000-0005-0000-0000-0000D5270000}"/>
    <cellStyle name="Normal 26" xfId="3087" xr:uid="{00000000-0005-0000-0000-0000D6270000}"/>
    <cellStyle name="Normal 26 10" xfId="8318" xr:uid="{00000000-0005-0000-0000-0000D7270000}"/>
    <cellStyle name="Normal 26 11" xfId="7120" xr:uid="{00000000-0005-0000-0000-0000D8270000}"/>
    <cellStyle name="Normal 26 12" xfId="5921" xr:uid="{00000000-0005-0000-0000-0000D9270000}"/>
    <cellStyle name="Normal 26 13" xfId="4722" xr:uid="{00000000-0005-0000-0000-0000DA270000}"/>
    <cellStyle name="Normal 26 2" xfId="3088" xr:uid="{00000000-0005-0000-0000-0000DB270000}"/>
    <cellStyle name="Normal 26 3" xfId="3089" xr:uid="{00000000-0005-0000-0000-0000DC270000}"/>
    <cellStyle name="Normal 26 4" xfId="3090" xr:uid="{00000000-0005-0000-0000-0000DD270000}"/>
    <cellStyle name="Normal 26 5" xfId="3091" xr:uid="{00000000-0005-0000-0000-0000DE270000}"/>
    <cellStyle name="Normal 26 6" xfId="3092" xr:uid="{00000000-0005-0000-0000-0000DF270000}"/>
    <cellStyle name="Normal 26 7" xfId="3093" xr:uid="{00000000-0005-0000-0000-0000E0270000}"/>
    <cellStyle name="Normal 26 8" xfId="10714" xr:uid="{00000000-0005-0000-0000-0000E1270000}"/>
    <cellStyle name="Normal 26 9" xfId="9516" xr:uid="{00000000-0005-0000-0000-0000E2270000}"/>
    <cellStyle name="Normal 26_2" xfId="3094" xr:uid="{00000000-0005-0000-0000-0000E3270000}"/>
    <cellStyle name="Normal 27" xfId="3095" xr:uid="{00000000-0005-0000-0000-0000E4270000}"/>
    <cellStyle name="Normal 27 10" xfId="8319" xr:uid="{00000000-0005-0000-0000-0000E5270000}"/>
    <cellStyle name="Normal 27 11" xfId="7121" xr:uid="{00000000-0005-0000-0000-0000E6270000}"/>
    <cellStyle name="Normal 27 12" xfId="5922" xr:uid="{00000000-0005-0000-0000-0000E7270000}"/>
    <cellStyle name="Normal 27 13" xfId="4723" xr:uid="{00000000-0005-0000-0000-0000E8270000}"/>
    <cellStyle name="Normal 27 2" xfId="3096" xr:uid="{00000000-0005-0000-0000-0000E9270000}"/>
    <cellStyle name="Normal 27 3" xfId="3097" xr:uid="{00000000-0005-0000-0000-0000EA270000}"/>
    <cellStyle name="Normal 27 4" xfId="3098" xr:uid="{00000000-0005-0000-0000-0000EB270000}"/>
    <cellStyle name="Normal 27 5" xfId="3099" xr:uid="{00000000-0005-0000-0000-0000EC270000}"/>
    <cellStyle name="Normal 27 6" xfId="3100" xr:uid="{00000000-0005-0000-0000-0000ED270000}"/>
    <cellStyle name="Normal 27 7" xfId="3101" xr:uid="{00000000-0005-0000-0000-0000EE270000}"/>
    <cellStyle name="Normal 27 8" xfId="10715" xr:uid="{00000000-0005-0000-0000-0000EF270000}"/>
    <cellStyle name="Normal 27 9" xfId="9517" xr:uid="{00000000-0005-0000-0000-0000F0270000}"/>
    <cellStyle name="Normal 27_2" xfId="3102" xr:uid="{00000000-0005-0000-0000-0000F1270000}"/>
    <cellStyle name="Normal 28" xfId="3103" xr:uid="{00000000-0005-0000-0000-0000F2270000}"/>
    <cellStyle name="Normal 28 10" xfId="8320" xr:uid="{00000000-0005-0000-0000-0000F3270000}"/>
    <cellStyle name="Normal 28 11" xfId="7122" xr:uid="{00000000-0005-0000-0000-0000F4270000}"/>
    <cellStyle name="Normal 28 12" xfId="5923" xr:uid="{00000000-0005-0000-0000-0000F5270000}"/>
    <cellStyle name="Normal 28 13" xfId="4724" xr:uid="{00000000-0005-0000-0000-0000F6270000}"/>
    <cellStyle name="Normal 28 2" xfId="3104" xr:uid="{00000000-0005-0000-0000-0000F7270000}"/>
    <cellStyle name="Normal 28 3" xfId="3105" xr:uid="{00000000-0005-0000-0000-0000F8270000}"/>
    <cellStyle name="Normal 28 4" xfId="3106" xr:uid="{00000000-0005-0000-0000-0000F9270000}"/>
    <cellStyle name="Normal 28 5" xfId="3107" xr:uid="{00000000-0005-0000-0000-0000FA270000}"/>
    <cellStyle name="Normal 28 6" xfId="3108" xr:uid="{00000000-0005-0000-0000-0000FB270000}"/>
    <cellStyle name="Normal 28 7" xfId="3109" xr:uid="{00000000-0005-0000-0000-0000FC270000}"/>
    <cellStyle name="Normal 28 8" xfId="10716" xr:uid="{00000000-0005-0000-0000-0000FD270000}"/>
    <cellStyle name="Normal 28 9" xfId="9518" xr:uid="{00000000-0005-0000-0000-0000FE270000}"/>
    <cellStyle name="Normal 28_2" xfId="3110" xr:uid="{00000000-0005-0000-0000-0000FF270000}"/>
    <cellStyle name="Normal 29" xfId="3111" xr:uid="{00000000-0005-0000-0000-000000280000}"/>
    <cellStyle name="Normal 29 10" xfId="8321" xr:uid="{00000000-0005-0000-0000-000001280000}"/>
    <cellStyle name="Normal 29 11" xfId="7123" xr:uid="{00000000-0005-0000-0000-000002280000}"/>
    <cellStyle name="Normal 29 12" xfId="5924" xr:uid="{00000000-0005-0000-0000-000003280000}"/>
    <cellStyle name="Normal 29 13" xfId="4725" xr:uid="{00000000-0005-0000-0000-000004280000}"/>
    <cellStyle name="Normal 29 2" xfId="3112" xr:uid="{00000000-0005-0000-0000-000005280000}"/>
    <cellStyle name="Normal 29 3" xfId="3113" xr:uid="{00000000-0005-0000-0000-000006280000}"/>
    <cellStyle name="Normal 29 4" xfId="3114" xr:uid="{00000000-0005-0000-0000-000007280000}"/>
    <cellStyle name="Normal 29 5" xfId="3115" xr:uid="{00000000-0005-0000-0000-000008280000}"/>
    <cellStyle name="Normal 29 6" xfId="3116" xr:uid="{00000000-0005-0000-0000-000009280000}"/>
    <cellStyle name="Normal 29 7" xfId="3117" xr:uid="{00000000-0005-0000-0000-00000A280000}"/>
    <cellStyle name="Normal 29 8" xfId="10717" xr:uid="{00000000-0005-0000-0000-00000B280000}"/>
    <cellStyle name="Normal 29 9" xfId="9519" xr:uid="{00000000-0005-0000-0000-00000C280000}"/>
    <cellStyle name="Normal 29_2" xfId="3118" xr:uid="{00000000-0005-0000-0000-00000D280000}"/>
    <cellStyle name="Normal 3" xfId="3119" xr:uid="{00000000-0005-0000-0000-00000E280000}"/>
    <cellStyle name="Normal 3 10" xfId="3120" xr:uid="{00000000-0005-0000-0000-00000F280000}"/>
    <cellStyle name="Normal 3 11" xfId="3121" xr:uid="{00000000-0005-0000-0000-000010280000}"/>
    <cellStyle name="Normal 3 12" xfId="3122" xr:uid="{00000000-0005-0000-0000-000011280000}"/>
    <cellStyle name="Normal 3 13" xfId="3123" xr:uid="{00000000-0005-0000-0000-000012280000}"/>
    <cellStyle name="Normal 3 14" xfId="3124" xr:uid="{00000000-0005-0000-0000-000013280000}"/>
    <cellStyle name="Normal 3 15" xfId="3125" xr:uid="{00000000-0005-0000-0000-000014280000}"/>
    <cellStyle name="Normal 3 16" xfId="3126" xr:uid="{00000000-0005-0000-0000-000015280000}"/>
    <cellStyle name="Normal 3 17" xfId="3127" xr:uid="{00000000-0005-0000-0000-000016280000}"/>
    <cellStyle name="Normal 3 18" xfId="3128" xr:uid="{00000000-0005-0000-0000-000017280000}"/>
    <cellStyle name="Normal 3 19" xfId="3129" xr:uid="{00000000-0005-0000-0000-000018280000}"/>
    <cellStyle name="Normal 3 2" xfId="3130" xr:uid="{00000000-0005-0000-0000-000019280000}"/>
    <cellStyle name="Normal 3 3" xfId="3131" xr:uid="{00000000-0005-0000-0000-00001A280000}"/>
    <cellStyle name="Normal 3 4" xfId="3132" xr:uid="{00000000-0005-0000-0000-00001B280000}"/>
    <cellStyle name="Normal 3 5" xfId="3133" xr:uid="{00000000-0005-0000-0000-00001C280000}"/>
    <cellStyle name="Normal 3 6" xfId="3134" xr:uid="{00000000-0005-0000-0000-00001D280000}"/>
    <cellStyle name="Normal 3 7" xfId="3135" xr:uid="{00000000-0005-0000-0000-00001E280000}"/>
    <cellStyle name="Normal 3 8" xfId="3136" xr:uid="{00000000-0005-0000-0000-00001F280000}"/>
    <cellStyle name="Normal 3 9" xfId="3137" xr:uid="{00000000-0005-0000-0000-000020280000}"/>
    <cellStyle name="Normal 3_Cause &amp; Effect (Fishbone)1" xfId="3138" xr:uid="{00000000-0005-0000-0000-000021280000}"/>
    <cellStyle name="Normal 30" xfId="3139" xr:uid="{00000000-0005-0000-0000-000022280000}"/>
    <cellStyle name="Normal 30 10" xfId="8322" xr:uid="{00000000-0005-0000-0000-000023280000}"/>
    <cellStyle name="Normal 30 11" xfId="7124" xr:uid="{00000000-0005-0000-0000-000024280000}"/>
    <cellStyle name="Normal 30 12" xfId="5925" xr:uid="{00000000-0005-0000-0000-000025280000}"/>
    <cellStyle name="Normal 30 13" xfId="4726" xr:uid="{00000000-0005-0000-0000-000026280000}"/>
    <cellStyle name="Normal 30 2" xfId="3140" xr:uid="{00000000-0005-0000-0000-000027280000}"/>
    <cellStyle name="Normal 30 3" xfId="3141" xr:uid="{00000000-0005-0000-0000-000028280000}"/>
    <cellStyle name="Normal 30 4" xfId="3142" xr:uid="{00000000-0005-0000-0000-000029280000}"/>
    <cellStyle name="Normal 30 5" xfId="3143" xr:uid="{00000000-0005-0000-0000-00002A280000}"/>
    <cellStyle name="Normal 30 6" xfId="3144" xr:uid="{00000000-0005-0000-0000-00002B280000}"/>
    <cellStyle name="Normal 30 7" xfId="3145" xr:uid="{00000000-0005-0000-0000-00002C280000}"/>
    <cellStyle name="Normal 30 8" xfId="10718" xr:uid="{00000000-0005-0000-0000-00002D280000}"/>
    <cellStyle name="Normal 30 9" xfId="9520" xr:uid="{00000000-0005-0000-0000-00002E280000}"/>
    <cellStyle name="Normal 30_2" xfId="3146" xr:uid="{00000000-0005-0000-0000-00002F280000}"/>
    <cellStyle name="Normal 31" xfId="3147" xr:uid="{00000000-0005-0000-0000-000030280000}"/>
    <cellStyle name="Normal 32" xfId="3148" xr:uid="{00000000-0005-0000-0000-000031280000}"/>
    <cellStyle name="Normal 33" xfId="3149" xr:uid="{00000000-0005-0000-0000-000032280000}"/>
    <cellStyle name="Normal 34" xfId="3150" xr:uid="{00000000-0005-0000-0000-000033280000}"/>
    <cellStyle name="Normal 35" xfId="3151" xr:uid="{00000000-0005-0000-0000-000034280000}"/>
    <cellStyle name="Normal 36" xfId="3152" xr:uid="{00000000-0005-0000-0000-000035280000}"/>
    <cellStyle name="Normal 37" xfId="3153" xr:uid="{00000000-0005-0000-0000-000036280000}"/>
    <cellStyle name="Normal 38" xfId="3154" xr:uid="{00000000-0005-0000-0000-000037280000}"/>
    <cellStyle name="Normal 39" xfId="3155" xr:uid="{00000000-0005-0000-0000-000038280000}"/>
    <cellStyle name="Normal 4" xfId="3156" xr:uid="{00000000-0005-0000-0000-000039280000}"/>
    <cellStyle name="Normal 4 10" xfId="3157" xr:uid="{00000000-0005-0000-0000-00003A280000}"/>
    <cellStyle name="Normal 4 11" xfId="3158" xr:uid="{00000000-0005-0000-0000-00003B280000}"/>
    <cellStyle name="Normal 4 12" xfId="3159" xr:uid="{00000000-0005-0000-0000-00003C280000}"/>
    <cellStyle name="Normal 4 13" xfId="3160" xr:uid="{00000000-0005-0000-0000-00003D280000}"/>
    <cellStyle name="Normal 4 14" xfId="3161" xr:uid="{00000000-0005-0000-0000-00003E280000}"/>
    <cellStyle name="Normal 4 15" xfId="3162" xr:uid="{00000000-0005-0000-0000-00003F280000}"/>
    <cellStyle name="Normal 4 16" xfId="3163" xr:uid="{00000000-0005-0000-0000-000040280000}"/>
    <cellStyle name="Normal 4 17" xfId="3164" xr:uid="{00000000-0005-0000-0000-000041280000}"/>
    <cellStyle name="Normal 4 18" xfId="10719" xr:uid="{00000000-0005-0000-0000-000042280000}"/>
    <cellStyle name="Normal 4 19" xfId="9521" xr:uid="{00000000-0005-0000-0000-000043280000}"/>
    <cellStyle name="Normal 4 2" xfId="3165" xr:uid="{00000000-0005-0000-0000-000044280000}"/>
    <cellStyle name="Normal 4 20" xfId="8323" xr:uid="{00000000-0005-0000-0000-000045280000}"/>
    <cellStyle name="Normal 4 21" xfId="7125" xr:uid="{00000000-0005-0000-0000-000046280000}"/>
    <cellStyle name="Normal 4 22" xfId="5926" xr:uid="{00000000-0005-0000-0000-000047280000}"/>
    <cellStyle name="Normal 4 23" xfId="4727" xr:uid="{00000000-0005-0000-0000-000048280000}"/>
    <cellStyle name="Normal 4 3" xfId="3166" xr:uid="{00000000-0005-0000-0000-000049280000}"/>
    <cellStyle name="Normal 4 4" xfId="3167" xr:uid="{00000000-0005-0000-0000-00004A280000}"/>
    <cellStyle name="Normal 4 5" xfId="3168" xr:uid="{00000000-0005-0000-0000-00004B280000}"/>
    <cellStyle name="Normal 4 6" xfId="3169" xr:uid="{00000000-0005-0000-0000-00004C280000}"/>
    <cellStyle name="Normal 4 7" xfId="3170" xr:uid="{00000000-0005-0000-0000-00004D280000}"/>
    <cellStyle name="Normal 4 8" xfId="3171" xr:uid="{00000000-0005-0000-0000-00004E280000}"/>
    <cellStyle name="Normal 4 9" xfId="3172" xr:uid="{00000000-0005-0000-0000-00004F280000}"/>
    <cellStyle name="Normal 4_2" xfId="3173" xr:uid="{00000000-0005-0000-0000-000050280000}"/>
    <cellStyle name="Normal 40" xfId="3174" xr:uid="{00000000-0005-0000-0000-000051280000}"/>
    <cellStyle name="Normal 41" xfId="3175" xr:uid="{00000000-0005-0000-0000-000052280000}"/>
    <cellStyle name="Normal 42" xfId="3176" xr:uid="{00000000-0005-0000-0000-000053280000}"/>
    <cellStyle name="Normal 43" xfId="3177" xr:uid="{00000000-0005-0000-0000-000054280000}"/>
    <cellStyle name="Normal 44" xfId="3178" xr:uid="{00000000-0005-0000-0000-000055280000}"/>
    <cellStyle name="Normal 45" xfId="3179" xr:uid="{00000000-0005-0000-0000-000056280000}"/>
    <cellStyle name="Normal 46" xfId="3180" xr:uid="{00000000-0005-0000-0000-000057280000}"/>
    <cellStyle name="Normal 47" xfId="3181" xr:uid="{00000000-0005-0000-0000-000058280000}"/>
    <cellStyle name="Normal 48" xfId="3182" xr:uid="{00000000-0005-0000-0000-000059280000}"/>
    <cellStyle name="Normal 49" xfId="3183" xr:uid="{00000000-0005-0000-0000-00005A280000}"/>
    <cellStyle name="Normal 5" xfId="3184" xr:uid="{00000000-0005-0000-0000-00005B280000}"/>
    <cellStyle name="Normal 5 2" xfId="3185" xr:uid="{00000000-0005-0000-0000-00005C280000}"/>
    <cellStyle name="Normal 5 3" xfId="3186" xr:uid="{00000000-0005-0000-0000-00005D280000}"/>
    <cellStyle name="Normal 5 4" xfId="3187" xr:uid="{00000000-0005-0000-0000-00005E280000}"/>
    <cellStyle name="Normal 5 5" xfId="3188" xr:uid="{00000000-0005-0000-0000-00005F280000}"/>
    <cellStyle name="Normal 5 6" xfId="3189" xr:uid="{00000000-0005-0000-0000-000060280000}"/>
    <cellStyle name="Normal 5 7" xfId="3190" xr:uid="{00000000-0005-0000-0000-000061280000}"/>
    <cellStyle name="Normal 5 8" xfId="10732" xr:uid="{00000000-0005-0000-0000-000062280000}"/>
    <cellStyle name="Normal 5 8 2" xfId="10738" xr:uid="{275D3C4A-80D6-466F-B55D-F6508802236B}"/>
    <cellStyle name="Normal 50" xfId="3191" xr:uid="{00000000-0005-0000-0000-000063280000}"/>
    <cellStyle name="Normal 51" xfId="3192" xr:uid="{00000000-0005-0000-0000-000064280000}"/>
    <cellStyle name="Normal 52" xfId="3193" xr:uid="{00000000-0005-0000-0000-000065280000}"/>
    <cellStyle name="Normal 53" xfId="3194" xr:uid="{00000000-0005-0000-0000-000066280000}"/>
    <cellStyle name="Normal 54" xfId="3195" xr:uid="{00000000-0005-0000-0000-000067280000}"/>
    <cellStyle name="Normal 55" xfId="3196" xr:uid="{00000000-0005-0000-0000-000068280000}"/>
    <cellStyle name="Normal 56" xfId="3197" xr:uid="{00000000-0005-0000-0000-000069280000}"/>
    <cellStyle name="Normal 57" xfId="3198" xr:uid="{00000000-0005-0000-0000-00006A280000}"/>
    <cellStyle name="Normal 58" xfId="3199" xr:uid="{00000000-0005-0000-0000-00006B280000}"/>
    <cellStyle name="Normal 59" xfId="3200" xr:uid="{00000000-0005-0000-0000-00006C280000}"/>
    <cellStyle name="Normal 6" xfId="3201" xr:uid="{00000000-0005-0000-0000-00006D280000}"/>
    <cellStyle name="Normal 6 2" xfId="3202" xr:uid="{00000000-0005-0000-0000-00006E280000}"/>
    <cellStyle name="Normal 6 3" xfId="3203" xr:uid="{00000000-0005-0000-0000-00006F280000}"/>
    <cellStyle name="Normal 6 4" xfId="3204" xr:uid="{00000000-0005-0000-0000-000070280000}"/>
    <cellStyle name="Normal 6 5" xfId="3205" xr:uid="{00000000-0005-0000-0000-000071280000}"/>
    <cellStyle name="Normal 6 6" xfId="3206" xr:uid="{00000000-0005-0000-0000-000072280000}"/>
    <cellStyle name="Normal 6 7" xfId="3207" xr:uid="{00000000-0005-0000-0000-000073280000}"/>
    <cellStyle name="Normal 60" xfId="3208" xr:uid="{00000000-0005-0000-0000-000074280000}"/>
    <cellStyle name="Normal 61" xfId="3209" xr:uid="{00000000-0005-0000-0000-000075280000}"/>
    <cellStyle name="Normal 62" xfId="3210" xr:uid="{00000000-0005-0000-0000-000076280000}"/>
    <cellStyle name="Normal 63" xfId="3211" xr:uid="{00000000-0005-0000-0000-000077280000}"/>
    <cellStyle name="Normal 64" xfId="3212" xr:uid="{00000000-0005-0000-0000-000078280000}"/>
    <cellStyle name="Normal 64 2" xfId="10720" xr:uid="{00000000-0005-0000-0000-000079280000}"/>
    <cellStyle name="Normal 64 3" xfId="9522" xr:uid="{00000000-0005-0000-0000-00007A280000}"/>
    <cellStyle name="Normal 64 4" xfId="8324" xr:uid="{00000000-0005-0000-0000-00007B280000}"/>
    <cellStyle name="Normal 64 5" xfId="7126" xr:uid="{00000000-0005-0000-0000-00007C280000}"/>
    <cellStyle name="Normal 64 6" xfId="5927" xr:uid="{00000000-0005-0000-0000-00007D280000}"/>
    <cellStyle name="Normal 64 7" xfId="4728" xr:uid="{00000000-0005-0000-0000-00007E280000}"/>
    <cellStyle name="Normal 65" xfId="3213" xr:uid="{00000000-0005-0000-0000-00007F280000}"/>
    <cellStyle name="Normal 65 2" xfId="10721" xr:uid="{00000000-0005-0000-0000-000080280000}"/>
    <cellStyle name="Normal 65 3" xfId="9523" xr:uid="{00000000-0005-0000-0000-000081280000}"/>
    <cellStyle name="Normal 65 4" xfId="8325" xr:uid="{00000000-0005-0000-0000-000082280000}"/>
    <cellStyle name="Normal 65 5" xfId="7127" xr:uid="{00000000-0005-0000-0000-000083280000}"/>
    <cellStyle name="Normal 65 6" xfId="5928" xr:uid="{00000000-0005-0000-0000-000084280000}"/>
    <cellStyle name="Normal 65 7" xfId="4729" xr:uid="{00000000-0005-0000-0000-000085280000}"/>
    <cellStyle name="Normal 66" xfId="3214" xr:uid="{00000000-0005-0000-0000-000086280000}"/>
    <cellStyle name="Normal 67" xfId="3215" xr:uid="{00000000-0005-0000-0000-000087280000}"/>
    <cellStyle name="Normal 68" xfId="3216" xr:uid="{00000000-0005-0000-0000-000088280000}"/>
    <cellStyle name="Normal 69" xfId="3217" xr:uid="{00000000-0005-0000-0000-000089280000}"/>
    <cellStyle name="Normal 7" xfId="3218" xr:uid="{00000000-0005-0000-0000-00008A280000}"/>
    <cellStyle name="Normal 7 2" xfId="3219" xr:uid="{00000000-0005-0000-0000-00008B280000}"/>
    <cellStyle name="Normal 7 3" xfId="3220" xr:uid="{00000000-0005-0000-0000-00008C280000}"/>
    <cellStyle name="Normal 7 4" xfId="3221" xr:uid="{00000000-0005-0000-0000-00008D280000}"/>
    <cellStyle name="Normal 7 5" xfId="3222" xr:uid="{00000000-0005-0000-0000-00008E280000}"/>
    <cellStyle name="Normal 7 6" xfId="3223" xr:uid="{00000000-0005-0000-0000-00008F280000}"/>
    <cellStyle name="Normal 7 7" xfId="3224" xr:uid="{00000000-0005-0000-0000-000090280000}"/>
    <cellStyle name="Normal 70" xfId="3225" xr:uid="{00000000-0005-0000-0000-000091280000}"/>
    <cellStyle name="Normal 70 2" xfId="10722" xr:uid="{00000000-0005-0000-0000-000092280000}"/>
    <cellStyle name="Normal 70 3" xfId="9524" xr:uid="{00000000-0005-0000-0000-000093280000}"/>
    <cellStyle name="Normal 70 4" xfId="8326" xr:uid="{00000000-0005-0000-0000-000094280000}"/>
    <cellStyle name="Normal 70 5" xfId="7128" xr:uid="{00000000-0005-0000-0000-000095280000}"/>
    <cellStyle name="Normal 70 6" xfId="5929" xr:uid="{00000000-0005-0000-0000-000096280000}"/>
    <cellStyle name="Normal 70 7" xfId="4730" xr:uid="{00000000-0005-0000-0000-000097280000}"/>
    <cellStyle name="Normal 71" xfId="3226" xr:uid="{00000000-0005-0000-0000-000098280000}"/>
    <cellStyle name="Normal 71 2" xfId="10723" xr:uid="{00000000-0005-0000-0000-000099280000}"/>
    <cellStyle name="Normal 71 3" xfId="9525" xr:uid="{00000000-0005-0000-0000-00009A280000}"/>
    <cellStyle name="Normal 71 4" xfId="8327" xr:uid="{00000000-0005-0000-0000-00009B280000}"/>
    <cellStyle name="Normal 71 5" xfId="7129" xr:uid="{00000000-0005-0000-0000-00009C280000}"/>
    <cellStyle name="Normal 71 6" xfId="5930" xr:uid="{00000000-0005-0000-0000-00009D280000}"/>
    <cellStyle name="Normal 71 7" xfId="4731" xr:uid="{00000000-0005-0000-0000-00009E280000}"/>
    <cellStyle name="Normal 72" xfId="3227" xr:uid="{00000000-0005-0000-0000-00009F280000}"/>
    <cellStyle name="Normal 72 2" xfId="10724" xr:uid="{00000000-0005-0000-0000-0000A0280000}"/>
    <cellStyle name="Normal 72 3" xfId="9526" xr:uid="{00000000-0005-0000-0000-0000A1280000}"/>
    <cellStyle name="Normal 72 4" xfId="8328" xr:uid="{00000000-0005-0000-0000-0000A2280000}"/>
    <cellStyle name="Normal 72 5" xfId="7130" xr:uid="{00000000-0005-0000-0000-0000A3280000}"/>
    <cellStyle name="Normal 72 6" xfId="5931" xr:uid="{00000000-0005-0000-0000-0000A4280000}"/>
    <cellStyle name="Normal 72 7" xfId="4732" xr:uid="{00000000-0005-0000-0000-0000A5280000}"/>
    <cellStyle name="Normal 73" xfId="3228" xr:uid="{00000000-0005-0000-0000-0000A6280000}"/>
    <cellStyle name="Normal 74" xfId="3229" xr:uid="{00000000-0005-0000-0000-0000A7280000}"/>
    <cellStyle name="Normal 75" xfId="3230" xr:uid="{00000000-0005-0000-0000-0000A8280000}"/>
    <cellStyle name="Normal 76" xfId="3231" xr:uid="{00000000-0005-0000-0000-0000A9280000}"/>
    <cellStyle name="Normal 76 2" xfId="10725" xr:uid="{00000000-0005-0000-0000-0000AA280000}"/>
    <cellStyle name="Normal 76 3" xfId="9527" xr:uid="{00000000-0005-0000-0000-0000AB280000}"/>
    <cellStyle name="Normal 76 4" xfId="8329" xr:uid="{00000000-0005-0000-0000-0000AC280000}"/>
    <cellStyle name="Normal 76 5" xfId="7131" xr:uid="{00000000-0005-0000-0000-0000AD280000}"/>
    <cellStyle name="Normal 76 6" xfId="5932" xr:uid="{00000000-0005-0000-0000-0000AE280000}"/>
    <cellStyle name="Normal 76 7" xfId="4733" xr:uid="{00000000-0005-0000-0000-0000AF280000}"/>
    <cellStyle name="Normal 77" xfId="3232" xr:uid="{00000000-0005-0000-0000-0000B0280000}"/>
    <cellStyle name="Normal 77 2" xfId="10726" xr:uid="{00000000-0005-0000-0000-0000B1280000}"/>
    <cellStyle name="Normal 77 3" xfId="9528" xr:uid="{00000000-0005-0000-0000-0000B2280000}"/>
    <cellStyle name="Normal 77 4" xfId="8330" xr:uid="{00000000-0005-0000-0000-0000B3280000}"/>
    <cellStyle name="Normal 77 5" xfId="7132" xr:uid="{00000000-0005-0000-0000-0000B4280000}"/>
    <cellStyle name="Normal 77 6" xfId="5933" xr:uid="{00000000-0005-0000-0000-0000B5280000}"/>
    <cellStyle name="Normal 77 7" xfId="4734" xr:uid="{00000000-0005-0000-0000-0000B6280000}"/>
    <cellStyle name="Normal 78" xfId="4735" xr:uid="{00000000-0005-0000-0000-0000B7280000}"/>
    <cellStyle name="Normal 79" xfId="5934" xr:uid="{00000000-0005-0000-0000-0000B8280000}"/>
    <cellStyle name="Normal 8" xfId="3233" xr:uid="{00000000-0005-0000-0000-0000B9280000}"/>
    <cellStyle name="Normal 8 2" xfId="3234" xr:uid="{00000000-0005-0000-0000-0000BA280000}"/>
    <cellStyle name="Normal 8 3" xfId="3235" xr:uid="{00000000-0005-0000-0000-0000BB280000}"/>
    <cellStyle name="Normal 8 4" xfId="3236" xr:uid="{00000000-0005-0000-0000-0000BC280000}"/>
    <cellStyle name="Normal 8 5" xfId="3237" xr:uid="{00000000-0005-0000-0000-0000BD280000}"/>
    <cellStyle name="Normal 8 6" xfId="3238" xr:uid="{00000000-0005-0000-0000-0000BE280000}"/>
    <cellStyle name="Normal 8 7" xfId="3239" xr:uid="{00000000-0005-0000-0000-0000BF280000}"/>
    <cellStyle name="Normal 80" xfId="10727" xr:uid="{00000000-0005-0000-0000-0000C0280000}"/>
    <cellStyle name="Normal 81" xfId="10728" xr:uid="{00000000-0005-0000-0000-0000C1280000}"/>
    <cellStyle name="Normal 82" xfId="10730" xr:uid="{00000000-0005-0000-0000-0000C2280000}"/>
    <cellStyle name="Normal 83" xfId="10729" xr:uid="{00000000-0005-0000-0000-0000C3280000}"/>
    <cellStyle name="Normal 84" xfId="10734" xr:uid="{3ABB3612-689C-48BE-BD98-D77BAE3BE336}"/>
    <cellStyle name="Normal 85" xfId="10740" xr:uid="{D7795173-41E3-410A-A4D0-6CBE74EE3775}"/>
    <cellStyle name="Normal 86" xfId="10741" xr:uid="{614799CE-A548-41A2-A55B-AA506B4EF8E0}"/>
    <cellStyle name="Normal 87" xfId="10742" xr:uid="{CC05FA7A-1841-46D0-954F-0D17B373D78E}"/>
    <cellStyle name="Normal 9" xfId="3240" xr:uid="{00000000-0005-0000-0000-0000C4280000}"/>
    <cellStyle name="Normal 9 2" xfId="3241" xr:uid="{00000000-0005-0000-0000-0000C5280000}"/>
    <cellStyle name="Normal 9 3" xfId="3242" xr:uid="{00000000-0005-0000-0000-0000C6280000}"/>
    <cellStyle name="Normal 9 4" xfId="3243" xr:uid="{00000000-0005-0000-0000-0000C7280000}"/>
    <cellStyle name="Normal 9 5" xfId="3244" xr:uid="{00000000-0005-0000-0000-0000C8280000}"/>
    <cellStyle name="Normal 9 6" xfId="3245" xr:uid="{00000000-0005-0000-0000-0000C9280000}"/>
    <cellStyle name="Normal 9 7" xfId="3246" xr:uid="{00000000-0005-0000-0000-0000CA280000}"/>
    <cellStyle name="Normal_Doc. Info" xfId="10737" xr:uid="{D521B371-737B-42E0-A36A-3525B9F7AC25}"/>
    <cellStyle name="Normal_QMS5002T_Software_Lifecycle_Defect_Estimation_Tool" xfId="10735" xr:uid="{969D5A60-5EAE-4418-AAB0-48F79F4A7E4A}"/>
    <cellStyle name="Normal_QPM_Mariner_IU" xfId="10731" xr:uid="{00000000-0005-0000-0000-0000CB280000}"/>
    <cellStyle name="Note 10" xfId="3247" xr:uid="{00000000-0005-0000-0000-0000CC280000}"/>
    <cellStyle name="Note 11" xfId="3248" xr:uid="{00000000-0005-0000-0000-0000CD280000}"/>
    <cellStyle name="Note 12" xfId="3249" xr:uid="{00000000-0005-0000-0000-0000CE280000}"/>
    <cellStyle name="Note 12 2" xfId="3250" xr:uid="{00000000-0005-0000-0000-0000CF280000}"/>
    <cellStyle name="Note 13" xfId="3251" xr:uid="{00000000-0005-0000-0000-0000D0280000}"/>
    <cellStyle name="Note 13 2" xfId="3252" xr:uid="{00000000-0005-0000-0000-0000D1280000}"/>
    <cellStyle name="Note 14" xfId="3253" xr:uid="{00000000-0005-0000-0000-0000D2280000}"/>
    <cellStyle name="Note 14 2" xfId="3254" xr:uid="{00000000-0005-0000-0000-0000D3280000}"/>
    <cellStyle name="Note 15" xfId="3255" xr:uid="{00000000-0005-0000-0000-0000D4280000}"/>
    <cellStyle name="Note 16" xfId="3256" xr:uid="{00000000-0005-0000-0000-0000D5280000}"/>
    <cellStyle name="Note 2" xfId="3257" xr:uid="{00000000-0005-0000-0000-0000D6280000}"/>
    <cellStyle name="Note 2 2" xfId="3258" xr:uid="{00000000-0005-0000-0000-0000D7280000}"/>
    <cellStyle name="Note 2 3" xfId="3259" xr:uid="{00000000-0005-0000-0000-0000D8280000}"/>
    <cellStyle name="Note 2 4" xfId="3260" xr:uid="{00000000-0005-0000-0000-0000D9280000}"/>
    <cellStyle name="Note 2 5" xfId="3261" xr:uid="{00000000-0005-0000-0000-0000DA280000}"/>
    <cellStyle name="Note 2 6" xfId="3262" xr:uid="{00000000-0005-0000-0000-0000DB280000}"/>
    <cellStyle name="Note 2 7" xfId="3263" xr:uid="{00000000-0005-0000-0000-0000DC280000}"/>
    <cellStyle name="Note 2 8" xfId="3264" xr:uid="{00000000-0005-0000-0000-0000DD280000}"/>
    <cellStyle name="Note 2 9" xfId="3265" xr:uid="{00000000-0005-0000-0000-0000DE280000}"/>
    <cellStyle name="Note 3" xfId="3266" xr:uid="{00000000-0005-0000-0000-0000DF280000}"/>
    <cellStyle name="Note 3 2" xfId="3267" xr:uid="{00000000-0005-0000-0000-0000E0280000}"/>
    <cellStyle name="Note 3 3" xfId="3268" xr:uid="{00000000-0005-0000-0000-0000E1280000}"/>
    <cellStyle name="Note 3 4" xfId="3269" xr:uid="{00000000-0005-0000-0000-0000E2280000}"/>
    <cellStyle name="Note 4" xfId="3270" xr:uid="{00000000-0005-0000-0000-0000E3280000}"/>
    <cellStyle name="Note 4 2" xfId="3271" xr:uid="{00000000-0005-0000-0000-0000E4280000}"/>
    <cellStyle name="Note 4 3" xfId="3272" xr:uid="{00000000-0005-0000-0000-0000E5280000}"/>
    <cellStyle name="Note 4 4" xfId="3273" xr:uid="{00000000-0005-0000-0000-0000E6280000}"/>
    <cellStyle name="Note 5" xfId="3274" xr:uid="{00000000-0005-0000-0000-0000E7280000}"/>
    <cellStyle name="Note 5 2" xfId="3275" xr:uid="{00000000-0005-0000-0000-0000E8280000}"/>
    <cellStyle name="Note 5 3" xfId="3276" xr:uid="{00000000-0005-0000-0000-0000E9280000}"/>
    <cellStyle name="Note 5 4" xfId="3277" xr:uid="{00000000-0005-0000-0000-0000EA280000}"/>
    <cellStyle name="Note 6" xfId="3278" xr:uid="{00000000-0005-0000-0000-0000EB280000}"/>
    <cellStyle name="Note 6 2" xfId="3279" xr:uid="{00000000-0005-0000-0000-0000EC280000}"/>
    <cellStyle name="Note 6 3" xfId="3280" xr:uid="{00000000-0005-0000-0000-0000ED280000}"/>
    <cellStyle name="Note 6 4" xfId="3281" xr:uid="{00000000-0005-0000-0000-0000EE280000}"/>
    <cellStyle name="Note 7" xfId="3282" xr:uid="{00000000-0005-0000-0000-0000EF280000}"/>
    <cellStyle name="Note 7 2" xfId="3283" xr:uid="{00000000-0005-0000-0000-0000F0280000}"/>
    <cellStyle name="Note 7 3" xfId="3284" xr:uid="{00000000-0005-0000-0000-0000F1280000}"/>
    <cellStyle name="Note 7 4" xfId="3285" xr:uid="{00000000-0005-0000-0000-0000F2280000}"/>
    <cellStyle name="Note 8" xfId="3286" xr:uid="{00000000-0005-0000-0000-0000F3280000}"/>
    <cellStyle name="Note 8 2" xfId="3287" xr:uid="{00000000-0005-0000-0000-0000F4280000}"/>
    <cellStyle name="Note 8 3" xfId="3288" xr:uid="{00000000-0005-0000-0000-0000F5280000}"/>
    <cellStyle name="Note 8 4" xfId="3289" xr:uid="{00000000-0005-0000-0000-0000F6280000}"/>
    <cellStyle name="Note 9" xfId="3290" xr:uid="{00000000-0005-0000-0000-0000F7280000}"/>
    <cellStyle name="Output 10" xfId="3291" xr:uid="{00000000-0005-0000-0000-0000F8280000}"/>
    <cellStyle name="Output 11" xfId="3292" xr:uid="{00000000-0005-0000-0000-0000F9280000}"/>
    <cellStyle name="Output 12" xfId="3293" xr:uid="{00000000-0005-0000-0000-0000FA280000}"/>
    <cellStyle name="Output 12 2" xfId="3294" xr:uid="{00000000-0005-0000-0000-0000FB280000}"/>
    <cellStyle name="Output 13" xfId="3295" xr:uid="{00000000-0005-0000-0000-0000FC280000}"/>
    <cellStyle name="Output 13 2" xfId="3296" xr:uid="{00000000-0005-0000-0000-0000FD280000}"/>
    <cellStyle name="Output 14" xfId="3297" xr:uid="{00000000-0005-0000-0000-0000FE280000}"/>
    <cellStyle name="Output 14 2" xfId="3298" xr:uid="{00000000-0005-0000-0000-0000FF280000}"/>
    <cellStyle name="Output 15" xfId="3299" xr:uid="{00000000-0005-0000-0000-000000290000}"/>
    <cellStyle name="Output 16" xfId="3300" xr:uid="{00000000-0005-0000-0000-000001290000}"/>
    <cellStyle name="Output 2" xfId="3301" xr:uid="{00000000-0005-0000-0000-000002290000}"/>
    <cellStyle name="Output 2 2" xfId="3302" xr:uid="{00000000-0005-0000-0000-000003290000}"/>
    <cellStyle name="Output 2 3" xfId="3303" xr:uid="{00000000-0005-0000-0000-000004290000}"/>
    <cellStyle name="Output 2 4" xfId="3304" xr:uid="{00000000-0005-0000-0000-000005290000}"/>
    <cellStyle name="Output 2 5" xfId="3305" xr:uid="{00000000-0005-0000-0000-000006290000}"/>
    <cellStyle name="Output 2 6" xfId="3306" xr:uid="{00000000-0005-0000-0000-000007290000}"/>
    <cellStyle name="Output 2 7" xfId="3307" xr:uid="{00000000-0005-0000-0000-000008290000}"/>
    <cellStyle name="Output 2 8" xfId="3308" xr:uid="{00000000-0005-0000-0000-000009290000}"/>
    <cellStyle name="Output 2 9" xfId="3309" xr:uid="{00000000-0005-0000-0000-00000A290000}"/>
    <cellStyle name="Output 3" xfId="3310" xr:uid="{00000000-0005-0000-0000-00000B290000}"/>
    <cellStyle name="Output 3 2" xfId="3311" xr:uid="{00000000-0005-0000-0000-00000C290000}"/>
    <cellStyle name="Output 3 3" xfId="3312" xr:uid="{00000000-0005-0000-0000-00000D290000}"/>
    <cellStyle name="Output 3 4" xfId="3313" xr:uid="{00000000-0005-0000-0000-00000E290000}"/>
    <cellStyle name="Output 4" xfId="3314" xr:uid="{00000000-0005-0000-0000-00000F290000}"/>
    <cellStyle name="Output 4 2" xfId="3315" xr:uid="{00000000-0005-0000-0000-000010290000}"/>
    <cellStyle name="Output 4 3" xfId="3316" xr:uid="{00000000-0005-0000-0000-000011290000}"/>
    <cellStyle name="Output 4 4" xfId="3317" xr:uid="{00000000-0005-0000-0000-000012290000}"/>
    <cellStyle name="Output 5" xfId="3318" xr:uid="{00000000-0005-0000-0000-000013290000}"/>
    <cellStyle name="Output 5 2" xfId="3319" xr:uid="{00000000-0005-0000-0000-000014290000}"/>
    <cellStyle name="Output 5 3" xfId="3320" xr:uid="{00000000-0005-0000-0000-000015290000}"/>
    <cellStyle name="Output 5 4" xfId="3321" xr:uid="{00000000-0005-0000-0000-000016290000}"/>
    <cellStyle name="Output 6" xfId="3322" xr:uid="{00000000-0005-0000-0000-000017290000}"/>
    <cellStyle name="Output 6 2" xfId="3323" xr:uid="{00000000-0005-0000-0000-000018290000}"/>
    <cellStyle name="Output 6 3" xfId="3324" xr:uid="{00000000-0005-0000-0000-000019290000}"/>
    <cellStyle name="Output 6 4" xfId="3325" xr:uid="{00000000-0005-0000-0000-00001A290000}"/>
    <cellStyle name="Output 7" xfId="3326" xr:uid="{00000000-0005-0000-0000-00001B290000}"/>
    <cellStyle name="Output 7 2" xfId="3327" xr:uid="{00000000-0005-0000-0000-00001C290000}"/>
    <cellStyle name="Output 7 3" xfId="3328" xr:uid="{00000000-0005-0000-0000-00001D290000}"/>
    <cellStyle name="Output 7 4" xfId="3329" xr:uid="{00000000-0005-0000-0000-00001E290000}"/>
    <cellStyle name="Output 8" xfId="3330" xr:uid="{00000000-0005-0000-0000-00001F290000}"/>
    <cellStyle name="Output 8 2" xfId="3331" xr:uid="{00000000-0005-0000-0000-000020290000}"/>
    <cellStyle name="Output 8 3" xfId="3332" xr:uid="{00000000-0005-0000-0000-000021290000}"/>
    <cellStyle name="Output 8 4" xfId="3333" xr:uid="{00000000-0005-0000-0000-000022290000}"/>
    <cellStyle name="Output 9" xfId="3334" xr:uid="{00000000-0005-0000-0000-000023290000}"/>
    <cellStyle name="Percent [2]" xfId="3335" xr:uid="{00000000-0005-0000-0000-000024290000}"/>
    <cellStyle name="Percent 10" xfId="3336" xr:uid="{00000000-0005-0000-0000-000025290000}"/>
    <cellStyle name="Percent 11" xfId="3337" xr:uid="{00000000-0005-0000-0000-000026290000}"/>
    <cellStyle name="Percent 12" xfId="3338" xr:uid="{00000000-0005-0000-0000-000027290000}"/>
    <cellStyle name="Percent 13" xfId="3339" xr:uid="{00000000-0005-0000-0000-000028290000}"/>
    <cellStyle name="Percent 2" xfId="3340" xr:uid="{00000000-0005-0000-0000-000029290000}"/>
    <cellStyle name="Percent 2 2" xfId="3341" xr:uid="{00000000-0005-0000-0000-00002A290000}"/>
    <cellStyle name="Percent 2 3" xfId="3342" xr:uid="{00000000-0005-0000-0000-00002B290000}"/>
    <cellStyle name="Percent 2 4" xfId="3343" xr:uid="{00000000-0005-0000-0000-00002C290000}"/>
    <cellStyle name="Percent 2 5" xfId="3344" xr:uid="{00000000-0005-0000-0000-00002D290000}"/>
    <cellStyle name="Percent 2 6" xfId="3345" xr:uid="{00000000-0005-0000-0000-00002E290000}"/>
    <cellStyle name="Percent 2 7" xfId="3346" xr:uid="{00000000-0005-0000-0000-00002F290000}"/>
    <cellStyle name="Percent 2 8" xfId="3347" xr:uid="{00000000-0005-0000-0000-000030290000}"/>
    <cellStyle name="Percent 2 9" xfId="3348" xr:uid="{00000000-0005-0000-0000-000031290000}"/>
    <cellStyle name="Percent 3" xfId="3349" xr:uid="{00000000-0005-0000-0000-000032290000}"/>
    <cellStyle name="Percent 3 10" xfId="3350" xr:uid="{00000000-0005-0000-0000-000033290000}"/>
    <cellStyle name="Percent 3 11" xfId="3351" xr:uid="{00000000-0005-0000-0000-000034290000}"/>
    <cellStyle name="Percent 3 12" xfId="3352" xr:uid="{00000000-0005-0000-0000-000035290000}"/>
    <cellStyle name="Percent 3 13" xfId="3353" xr:uid="{00000000-0005-0000-0000-000036290000}"/>
    <cellStyle name="Percent 3 14" xfId="3354" xr:uid="{00000000-0005-0000-0000-000037290000}"/>
    <cellStyle name="Percent 3 15" xfId="3355" xr:uid="{00000000-0005-0000-0000-000038290000}"/>
    <cellStyle name="Percent 3 16" xfId="3356" xr:uid="{00000000-0005-0000-0000-000039290000}"/>
    <cellStyle name="Percent 3 17" xfId="3357" xr:uid="{00000000-0005-0000-0000-00003A290000}"/>
    <cellStyle name="Percent 3 18" xfId="3358" xr:uid="{00000000-0005-0000-0000-00003B290000}"/>
    <cellStyle name="Percent 3 19" xfId="3359" xr:uid="{00000000-0005-0000-0000-00003C290000}"/>
    <cellStyle name="Percent 3 2" xfId="3360" xr:uid="{00000000-0005-0000-0000-00003D290000}"/>
    <cellStyle name="Percent 3 3" xfId="3361" xr:uid="{00000000-0005-0000-0000-00003E290000}"/>
    <cellStyle name="Percent 3 4" xfId="3362" xr:uid="{00000000-0005-0000-0000-00003F290000}"/>
    <cellStyle name="Percent 3 5" xfId="3363" xr:uid="{00000000-0005-0000-0000-000040290000}"/>
    <cellStyle name="Percent 3 6" xfId="3364" xr:uid="{00000000-0005-0000-0000-000041290000}"/>
    <cellStyle name="Percent 3 7" xfId="3365" xr:uid="{00000000-0005-0000-0000-000042290000}"/>
    <cellStyle name="Percent 3 8" xfId="3366" xr:uid="{00000000-0005-0000-0000-000043290000}"/>
    <cellStyle name="Percent 3 9" xfId="3367" xr:uid="{00000000-0005-0000-0000-000044290000}"/>
    <cellStyle name="Percent 4" xfId="3368" xr:uid="{00000000-0005-0000-0000-000045290000}"/>
    <cellStyle name="Percent 4 10" xfId="3369" xr:uid="{00000000-0005-0000-0000-000046290000}"/>
    <cellStyle name="Percent 4 11" xfId="3370" xr:uid="{00000000-0005-0000-0000-000047290000}"/>
    <cellStyle name="Percent 4 12" xfId="3371" xr:uid="{00000000-0005-0000-0000-000048290000}"/>
    <cellStyle name="Percent 4 13" xfId="3372" xr:uid="{00000000-0005-0000-0000-000049290000}"/>
    <cellStyle name="Percent 4 14" xfId="3373" xr:uid="{00000000-0005-0000-0000-00004A290000}"/>
    <cellStyle name="Percent 4 15" xfId="3374" xr:uid="{00000000-0005-0000-0000-00004B290000}"/>
    <cellStyle name="Percent 4 16" xfId="3375" xr:uid="{00000000-0005-0000-0000-00004C290000}"/>
    <cellStyle name="Percent 4 17" xfId="3376" xr:uid="{00000000-0005-0000-0000-00004D290000}"/>
    <cellStyle name="Percent 4 18" xfId="3377" xr:uid="{00000000-0005-0000-0000-00004E290000}"/>
    <cellStyle name="Percent 4 19" xfId="3378" xr:uid="{00000000-0005-0000-0000-00004F290000}"/>
    <cellStyle name="Percent 4 2" xfId="3379" xr:uid="{00000000-0005-0000-0000-000050290000}"/>
    <cellStyle name="Percent 4 3" xfId="3380" xr:uid="{00000000-0005-0000-0000-000051290000}"/>
    <cellStyle name="Percent 4 4" xfId="3381" xr:uid="{00000000-0005-0000-0000-000052290000}"/>
    <cellStyle name="Percent 4 5" xfId="3382" xr:uid="{00000000-0005-0000-0000-000053290000}"/>
    <cellStyle name="Percent 4 6" xfId="3383" xr:uid="{00000000-0005-0000-0000-000054290000}"/>
    <cellStyle name="Percent 4 7" xfId="3384" xr:uid="{00000000-0005-0000-0000-000055290000}"/>
    <cellStyle name="Percent 4 8" xfId="3385" xr:uid="{00000000-0005-0000-0000-000056290000}"/>
    <cellStyle name="Percent 4 9" xfId="3386" xr:uid="{00000000-0005-0000-0000-000057290000}"/>
    <cellStyle name="Percent 5" xfId="3387" xr:uid="{00000000-0005-0000-0000-000058290000}"/>
    <cellStyle name="Percent 6" xfId="3388" xr:uid="{00000000-0005-0000-0000-000059290000}"/>
    <cellStyle name="Percent 7" xfId="3389" xr:uid="{00000000-0005-0000-0000-00005A290000}"/>
    <cellStyle name="Percent 8" xfId="3390" xr:uid="{00000000-0005-0000-0000-00005B290000}"/>
    <cellStyle name="Percent 9" xfId="3391" xr:uid="{00000000-0005-0000-0000-00005C290000}"/>
    <cellStyle name="Sheet Heading" xfId="3392" xr:uid="{00000000-0005-0000-0000-00005D290000}"/>
    <cellStyle name="Sheet Title" xfId="3393" xr:uid="{00000000-0005-0000-0000-00005E290000}"/>
    <cellStyle name="Style 1" xfId="3394" xr:uid="{00000000-0005-0000-0000-00005F290000}"/>
    <cellStyle name="Table Entry" xfId="3395" xr:uid="{00000000-0005-0000-0000-000060290000}"/>
    <cellStyle name="Table Heading" xfId="3396" xr:uid="{00000000-0005-0000-0000-000061290000}"/>
    <cellStyle name="Table Heading Center" xfId="3397" xr:uid="{00000000-0005-0000-0000-000062290000}"/>
    <cellStyle name="Table Medium" xfId="3398" xr:uid="{00000000-0005-0000-0000-000063290000}"/>
    <cellStyle name="Table Normal" xfId="3399" xr:uid="{00000000-0005-0000-0000-000064290000}"/>
    <cellStyle name="Table Small" xfId="3400" xr:uid="{00000000-0005-0000-0000-000065290000}"/>
    <cellStyle name="Table Small Bold" xfId="3401" xr:uid="{00000000-0005-0000-0000-000066290000}"/>
    <cellStyle name="Table Small Center" xfId="3402" xr:uid="{00000000-0005-0000-0000-000067290000}"/>
    <cellStyle name="Table Title" xfId="3403" xr:uid="{00000000-0005-0000-0000-000068290000}"/>
    <cellStyle name="Title 10" xfId="3404" xr:uid="{00000000-0005-0000-0000-000069290000}"/>
    <cellStyle name="Title 11" xfId="3405" xr:uid="{00000000-0005-0000-0000-00006A290000}"/>
    <cellStyle name="Title 12" xfId="3406" xr:uid="{00000000-0005-0000-0000-00006B290000}"/>
    <cellStyle name="Title 12 2" xfId="3407" xr:uid="{00000000-0005-0000-0000-00006C290000}"/>
    <cellStyle name="Title 13" xfId="3408" xr:uid="{00000000-0005-0000-0000-00006D290000}"/>
    <cellStyle name="Title 13 2" xfId="3409" xr:uid="{00000000-0005-0000-0000-00006E290000}"/>
    <cellStyle name="Title 14" xfId="3410" xr:uid="{00000000-0005-0000-0000-00006F290000}"/>
    <cellStyle name="Title 14 2" xfId="3411" xr:uid="{00000000-0005-0000-0000-000070290000}"/>
    <cellStyle name="Title 15" xfId="3412" xr:uid="{00000000-0005-0000-0000-000071290000}"/>
    <cellStyle name="Title 16" xfId="3413" xr:uid="{00000000-0005-0000-0000-000072290000}"/>
    <cellStyle name="Title 2" xfId="3414" xr:uid="{00000000-0005-0000-0000-000073290000}"/>
    <cellStyle name="Title 2 2" xfId="3415" xr:uid="{00000000-0005-0000-0000-000074290000}"/>
    <cellStyle name="Title 2 3" xfId="3416" xr:uid="{00000000-0005-0000-0000-000075290000}"/>
    <cellStyle name="Title 2 4" xfId="3417" xr:uid="{00000000-0005-0000-0000-000076290000}"/>
    <cellStyle name="Title 2 5" xfId="3418" xr:uid="{00000000-0005-0000-0000-000077290000}"/>
    <cellStyle name="Title 2 6" xfId="3419" xr:uid="{00000000-0005-0000-0000-000078290000}"/>
    <cellStyle name="Title 2 7" xfId="3420" xr:uid="{00000000-0005-0000-0000-000079290000}"/>
    <cellStyle name="Title 2 8" xfId="3421" xr:uid="{00000000-0005-0000-0000-00007A290000}"/>
    <cellStyle name="Title 2 9" xfId="3422" xr:uid="{00000000-0005-0000-0000-00007B290000}"/>
    <cellStyle name="Title 3" xfId="3423" xr:uid="{00000000-0005-0000-0000-00007C290000}"/>
    <cellStyle name="Title 3 2" xfId="3424" xr:uid="{00000000-0005-0000-0000-00007D290000}"/>
    <cellStyle name="Title 3 3" xfId="3425" xr:uid="{00000000-0005-0000-0000-00007E290000}"/>
    <cellStyle name="Title 3 4" xfId="3426" xr:uid="{00000000-0005-0000-0000-00007F290000}"/>
    <cellStyle name="Title 4" xfId="3427" xr:uid="{00000000-0005-0000-0000-000080290000}"/>
    <cellStyle name="Title 4 2" xfId="3428" xr:uid="{00000000-0005-0000-0000-000081290000}"/>
    <cellStyle name="Title 4 3" xfId="3429" xr:uid="{00000000-0005-0000-0000-000082290000}"/>
    <cellStyle name="Title 4 4" xfId="3430" xr:uid="{00000000-0005-0000-0000-000083290000}"/>
    <cellStyle name="Title 5" xfId="3431" xr:uid="{00000000-0005-0000-0000-000084290000}"/>
    <cellStyle name="Title 5 2" xfId="3432" xr:uid="{00000000-0005-0000-0000-000085290000}"/>
    <cellStyle name="Title 5 3" xfId="3433" xr:uid="{00000000-0005-0000-0000-000086290000}"/>
    <cellStyle name="Title 5 4" xfId="3434" xr:uid="{00000000-0005-0000-0000-000087290000}"/>
    <cellStyle name="Title 6" xfId="3435" xr:uid="{00000000-0005-0000-0000-000088290000}"/>
    <cellStyle name="Title 6 2" xfId="3436" xr:uid="{00000000-0005-0000-0000-000089290000}"/>
    <cellStyle name="Title 6 3" xfId="3437" xr:uid="{00000000-0005-0000-0000-00008A290000}"/>
    <cellStyle name="Title 6 4" xfId="3438" xr:uid="{00000000-0005-0000-0000-00008B290000}"/>
    <cellStyle name="Title 7" xfId="3439" xr:uid="{00000000-0005-0000-0000-00008C290000}"/>
    <cellStyle name="Title 7 2" xfId="3440" xr:uid="{00000000-0005-0000-0000-00008D290000}"/>
    <cellStyle name="Title 7 3" xfId="3441" xr:uid="{00000000-0005-0000-0000-00008E290000}"/>
    <cellStyle name="Title 7 4" xfId="3442" xr:uid="{00000000-0005-0000-0000-00008F290000}"/>
    <cellStyle name="Title 8" xfId="3443" xr:uid="{00000000-0005-0000-0000-000090290000}"/>
    <cellStyle name="Title 8 2" xfId="3444" xr:uid="{00000000-0005-0000-0000-000091290000}"/>
    <cellStyle name="Title 8 3" xfId="3445" xr:uid="{00000000-0005-0000-0000-000092290000}"/>
    <cellStyle name="Title 8 4" xfId="3446" xr:uid="{00000000-0005-0000-0000-000093290000}"/>
    <cellStyle name="Title 9" xfId="3447" xr:uid="{00000000-0005-0000-0000-000094290000}"/>
    <cellStyle name="Total 10" xfId="3448" xr:uid="{00000000-0005-0000-0000-000095290000}"/>
    <cellStyle name="Total 11" xfId="3449" xr:uid="{00000000-0005-0000-0000-000096290000}"/>
    <cellStyle name="Total 12" xfId="3450" xr:uid="{00000000-0005-0000-0000-000097290000}"/>
    <cellStyle name="Total 12 2" xfId="3451" xr:uid="{00000000-0005-0000-0000-000098290000}"/>
    <cellStyle name="Total 13" xfId="3452" xr:uid="{00000000-0005-0000-0000-000099290000}"/>
    <cellStyle name="Total 13 2" xfId="3453" xr:uid="{00000000-0005-0000-0000-00009A290000}"/>
    <cellStyle name="Total 14" xfId="3454" xr:uid="{00000000-0005-0000-0000-00009B290000}"/>
    <cellStyle name="Total 14 2" xfId="3455" xr:uid="{00000000-0005-0000-0000-00009C290000}"/>
    <cellStyle name="Total 15" xfId="3456" xr:uid="{00000000-0005-0000-0000-00009D290000}"/>
    <cellStyle name="Total 16" xfId="3457" xr:uid="{00000000-0005-0000-0000-00009E290000}"/>
    <cellStyle name="Total 2" xfId="3458" xr:uid="{00000000-0005-0000-0000-00009F290000}"/>
    <cellStyle name="Total 2 2" xfId="3459" xr:uid="{00000000-0005-0000-0000-0000A0290000}"/>
    <cellStyle name="Total 2 3" xfId="3460" xr:uid="{00000000-0005-0000-0000-0000A1290000}"/>
    <cellStyle name="Total 2 4" xfId="3461" xr:uid="{00000000-0005-0000-0000-0000A2290000}"/>
    <cellStyle name="Total 2 5" xfId="3462" xr:uid="{00000000-0005-0000-0000-0000A3290000}"/>
    <cellStyle name="Total 2 6" xfId="3463" xr:uid="{00000000-0005-0000-0000-0000A4290000}"/>
    <cellStyle name="Total 2 7" xfId="3464" xr:uid="{00000000-0005-0000-0000-0000A5290000}"/>
    <cellStyle name="Total 2 8" xfId="3465" xr:uid="{00000000-0005-0000-0000-0000A6290000}"/>
    <cellStyle name="Total 2 9" xfId="3466" xr:uid="{00000000-0005-0000-0000-0000A7290000}"/>
    <cellStyle name="Total 3" xfId="3467" xr:uid="{00000000-0005-0000-0000-0000A8290000}"/>
    <cellStyle name="Total 3 2" xfId="3468" xr:uid="{00000000-0005-0000-0000-0000A9290000}"/>
    <cellStyle name="Total 3 3" xfId="3469" xr:uid="{00000000-0005-0000-0000-0000AA290000}"/>
    <cellStyle name="Total 3 4" xfId="3470" xr:uid="{00000000-0005-0000-0000-0000AB290000}"/>
    <cellStyle name="Total 4" xfId="3471" xr:uid="{00000000-0005-0000-0000-0000AC290000}"/>
    <cellStyle name="Total 4 2" xfId="3472" xr:uid="{00000000-0005-0000-0000-0000AD290000}"/>
    <cellStyle name="Total 4 3" xfId="3473" xr:uid="{00000000-0005-0000-0000-0000AE290000}"/>
    <cellStyle name="Total 4 4" xfId="3474" xr:uid="{00000000-0005-0000-0000-0000AF290000}"/>
    <cellStyle name="Total 5" xfId="3475" xr:uid="{00000000-0005-0000-0000-0000B0290000}"/>
    <cellStyle name="Total 5 2" xfId="3476" xr:uid="{00000000-0005-0000-0000-0000B1290000}"/>
    <cellStyle name="Total 5 3" xfId="3477" xr:uid="{00000000-0005-0000-0000-0000B2290000}"/>
    <cellStyle name="Total 5 4" xfId="3478" xr:uid="{00000000-0005-0000-0000-0000B3290000}"/>
    <cellStyle name="Total 6" xfId="3479" xr:uid="{00000000-0005-0000-0000-0000B4290000}"/>
    <cellStyle name="Total 6 2" xfId="3480" xr:uid="{00000000-0005-0000-0000-0000B5290000}"/>
    <cellStyle name="Total 6 3" xfId="3481" xr:uid="{00000000-0005-0000-0000-0000B6290000}"/>
    <cellStyle name="Total 6 4" xfId="3482" xr:uid="{00000000-0005-0000-0000-0000B7290000}"/>
    <cellStyle name="Total 7" xfId="3483" xr:uid="{00000000-0005-0000-0000-0000B8290000}"/>
    <cellStyle name="Total 7 2" xfId="3484" xr:uid="{00000000-0005-0000-0000-0000B9290000}"/>
    <cellStyle name="Total 7 3" xfId="3485" xr:uid="{00000000-0005-0000-0000-0000BA290000}"/>
    <cellStyle name="Total 7 4" xfId="3486" xr:uid="{00000000-0005-0000-0000-0000BB290000}"/>
    <cellStyle name="Total 8" xfId="3487" xr:uid="{00000000-0005-0000-0000-0000BC290000}"/>
    <cellStyle name="Total 8 2" xfId="3488" xr:uid="{00000000-0005-0000-0000-0000BD290000}"/>
    <cellStyle name="Total 8 3" xfId="3489" xr:uid="{00000000-0005-0000-0000-0000BE290000}"/>
    <cellStyle name="Total 8 4" xfId="3490" xr:uid="{00000000-0005-0000-0000-0000BF290000}"/>
    <cellStyle name="Total 9" xfId="3491" xr:uid="{00000000-0005-0000-0000-0000C0290000}"/>
    <cellStyle name="Total Row" xfId="3492" xr:uid="{00000000-0005-0000-0000-0000C1290000}"/>
    <cellStyle name="Warning Text 10" xfId="3493" xr:uid="{00000000-0005-0000-0000-0000C2290000}"/>
    <cellStyle name="Warning Text 11" xfId="3494" xr:uid="{00000000-0005-0000-0000-0000C3290000}"/>
    <cellStyle name="Warning Text 12" xfId="3495" xr:uid="{00000000-0005-0000-0000-0000C4290000}"/>
    <cellStyle name="Warning Text 12 2" xfId="3496" xr:uid="{00000000-0005-0000-0000-0000C5290000}"/>
    <cellStyle name="Warning Text 13" xfId="3497" xr:uid="{00000000-0005-0000-0000-0000C6290000}"/>
    <cellStyle name="Warning Text 13 2" xfId="3498" xr:uid="{00000000-0005-0000-0000-0000C7290000}"/>
    <cellStyle name="Warning Text 14" xfId="3499" xr:uid="{00000000-0005-0000-0000-0000C8290000}"/>
    <cellStyle name="Warning Text 14 2" xfId="3500" xr:uid="{00000000-0005-0000-0000-0000C9290000}"/>
    <cellStyle name="Warning Text 15" xfId="3501" xr:uid="{00000000-0005-0000-0000-0000CA290000}"/>
    <cellStyle name="Warning Text 16" xfId="3502" xr:uid="{00000000-0005-0000-0000-0000CB290000}"/>
    <cellStyle name="Warning Text 2" xfId="3503" xr:uid="{00000000-0005-0000-0000-0000CC290000}"/>
    <cellStyle name="Warning Text 2 2" xfId="3504" xr:uid="{00000000-0005-0000-0000-0000CD290000}"/>
    <cellStyle name="Warning Text 2 3" xfId="3505" xr:uid="{00000000-0005-0000-0000-0000CE290000}"/>
    <cellStyle name="Warning Text 2 4" xfId="3506" xr:uid="{00000000-0005-0000-0000-0000CF290000}"/>
    <cellStyle name="Warning Text 2 5" xfId="3507" xr:uid="{00000000-0005-0000-0000-0000D0290000}"/>
    <cellStyle name="Warning Text 2 6" xfId="3508" xr:uid="{00000000-0005-0000-0000-0000D1290000}"/>
    <cellStyle name="Warning Text 2 7" xfId="3509" xr:uid="{00000000-0005-0000-0000-0000D2290000}"/>
    <cellStyle name="Warning Text 2 8" xfId="3510" xr:uid="{00000000-0005-0000-0000-0000D3290000}"/>
    <cellStyle name="Warning Text 2 9" xfId="3511" xr:uid="{00000000-0005-0000-0000-0000D4290000}"/>
    <cellStyle name="Warning Text 3" xfId="3512" xr:uid="{00000000-0005-0000-0000-0000D5290000}"/>
    <cellStyle name="Warning Text 3 2" xfId="3513" xr:uid="{00000000-0005-0000-0000-0000D6290000}"/>
    <cellStyle name="Warning Text 3 3" xfId="3514" xr:uid="{00000000-0005-0000-0000-0000D7290000}"/>
    <cellStyle name="Warning Text 3 4" xfId="3515" xr:uid="{00000000-0005-0000-0000-0000D8290000}"/>
    <cellStyle name="Warning Text 4" xfId="3516" xr:uid="{00000000-0005-0000-0000-0000D9290000}"/>
    <cellStyle name="Warning Text 4 2" xfId="3517" xr:uid="{00000000-0005-0000-0000-0000DA290000}"/>
    <cellStyle name="Warning Text 4 3" xfId="3518" xr:uid="{00000000-0005-0000-0000-0000DB290000}"/>
    <cellStyle name="Warning Text 4 4" xfId="3519" xr:uid="{00000000-0005-0000-0000-0000DC290000}"/>
    <cellStyle name="Warning Text 5" xfId="3520" xr:uid="{00000000-0005-0000-0000-0000DD290000}"/>
    <cellStyle name="Warning Text 5 2" xfId="3521" xr:uid="{00000000-0005-0000-0000-0000DE290000}"/>
    <cellStyle name="Warning Text 5 3" xfId="3522" xr:uid="{00000000-0005-0000-0000-0000DF290000}"/>
    <cellStyle name="Warning Text 5 4" xfId="3523" xr:uid="{00000000-0005-0000-0000-0000E0290000}"/>
    <cellStyle name="Warning Text 6" xfId="3524" xr:uid="{00000000-0005-0000-0000-0000E1290000}"/>
    <cellStyle name="Warning Text 6 2" xfId="3525" xr:uid="{00000000-0005-0000-0000-0000E2290000}"/>
    <cellStyle name="Warning Text 6 3" xfId="3526" xr:uid="{00000000-0005-0000-0000-0000E3290000}"/>
    <cellStyle name="Warning Text 6 4" xfId="3527" xr:uid="{00000000-0005-0000-0000-0000E4290000}"/>
    <cellStyle name="Warning Text 7" xfId="3528" xr:uid="{00000000-0005-0000-0000-0000E5290000}"/>
    <cellStyle name="Warning Text 7 2" xfId="3529" xr:uid="{00000000-0005-0000-0000-0000E6290000}"/>
    <cellStyle name="Warning Text 7 3" xfId="3530" xr:uid="{00000000-0005-0000-0000-0000E7290000}"/>
    <cellStyle name="Warning Text 7 4" xfId="3531" xr:uid="{00000000-0005-0000-0000-0000E8290000}"/>
    <cellStyle name="Warning Text 8" xfId="3532" xr:uid="{00000000-0005-0000-0000-0000E9290000}"/>
    <cellStyle name="Warning Text 8 2" xfId="3533" xr:uid="{00000000-0005-0000-0000-0000EA290000}"/>
    <cellStyle name="Warning Text 8 3" xfId="3534" xr:uid="{00000000-0005-0000-0000-0000EB290000}"/>
    <cellStyle name="Warning Text 8 4" xfId="3535" xr:uid="{00000000-0005-0000-0000-0000EC290000}"/>
    <cellStyle name="Warning Text 9" xfId="3536" xr:uid="{00000000-0005-0000-0000-0000ED290000}"/>
  </cellStyles>
  <dxfs count="19">
    <dxf>
      <fill>
        <patternFill>
          <bgColor rgb="FFFF0000"/>
        </patternFill>
      </fill>
    </dxf>
    <dxf>
      <fill>
        <patternFill>
          <bgColor rgb="FFFFC000"/>
        </patternFill>
      </fill>
    </dxf>
    <dxf>
      <fill>
        <patternFill>
          <bgColor rgb="FF92D050"/>
        </patternFill>
      </fill>
    </dxf>
    <dxf>
      <fill>
        <patternFill>
          <bgColor rgb="FFF8FEFE"/>
        </patternFill>
      </fill>
    </dxf>
    <dxf>
      <fill>
        <patternFill>
          <bgColor rgb="FFFF0000"/>
        </patternFill>
      </fill>
    </dxf>
    <dxf>
      <font>
        <b/>
        <i val="0"/>
        <color theme="3"/>
      </font>
      <fill>
        <patternFill>
          <bgColor theme="4" tint="0.59996337778862885"/>
        </patternFill>
      </fill>
    </dxf>
    <dxf>
      <font>
        <b/>
        <i val="0"/>
        <color theme="0"/>
      </font>
      <fill>
        <patternFill>
          <bgColor theme="3" tint="0.39994506668294322"/>
        </patternFill>
      </fill>
    </dxf>
    <dxf>
      <font>
        <b/>
        <i val="0"/>
        <color theme="0"/>
      </font>
      <fill>
        <patternFill>
          <bgColor theme="4" tint="-0.24994659260841701"/>
        </patternFill>
      </fill>
    </dxf>
    <dxf>
      <font>
        <b/>
        <i val="0"/>
        <color theme="1"/>
      </font>
      <fill>
        <patternFill>
          <bgColor theme="8" tint="0.79998168889431442"/>
        </patternFill>
      </fill>
    </dxf>
    <dxf>
      <font>
        <b/>
        <i val="0"/>
        <color theme="1"/>
      </font>
      <fill>
        <patternFill>
          <bgColor theme="0" tint="-0.34998626667073579"/>
        </patternFill>
      </fill>
    </dxf>
    <dxf>
      <fill>
        <patternFill>
          <bgColor rgb="FF92D050"/>
        </patternFill>
      </fill>
    </dxf>
    <dxf>
      <fill>
        <patternFill>
          <bgColor rgb="FFFF0000"/>
        </patternFill>
      </fill>
    </dxf>
    <dxf>
      <fill>
        <patternFill>
          <bgColor rgb="FFFF0000"/>
        </patternFill>
      </fill>
    </dxf>
    <dxf>
      <protection locked="0"/>
    </dxf>
    <dxf>
      <protection locked="0"/>
    </dxf>
    <dxf>
      <protection locked="0"/>
    </dxf>
    <dxf>
      <protection locked="0"/>
    </dxf>
    <dxf>
      <protection locked="0"/>
    </dxf>
    <dxf>
      <protection locked="0"/>
    </dxf>
  </dxfs>
  <tableStyles count="1" defaultTableStyle="TableStyleMedium9" defaultPivotStyle="PivotStyleLight16">
    <tableStyle name="Invisible" pivot="0" table="0" count="0" xr9:uid="{9989DFF9-1F37-42E7-B799-EAC8229267B2}"/>
  </tableStyles>
  <colors>
    <mruColors>
      <color rgb="FFF8FEFE"/>
      <color rgb="FFE3FCFD"/>
      <color rgb="FFEFF3DD"/>
      <color rgb="FFFFFFFF"/>
      <color rgb="FF3C5078"/>
      <color rgb="FF3C4F78"/>
      <color rgb="FFB7DEE8"/>
      <color rgb="FF83CB8F"/>
      <color rgb="FF56426E"/>
      <color rgb="FFFF67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[OM-DEV-TM-71_QPM_Plan -11.xlsm]PivotTable-KPI Summary!PivotTable1</c:name>
    <c:fmtId val="33"/>
  </c:pivotSource>
  <c:chart>
    <c:title>
      <c:tx>
        <c:strRef>
          <c:f>'PivotTable-KPI Summary'!$G$1</c:f>
          <c:strCache>
            <c:ptCount val="1"/>
            <c:pt idx="0">
              <c:v>Delivered Defect Density</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'PivotTable-KPI Summary'!$G$1</c:f>
              <c:strCache>
                <c:ptCount val="1"/>
                <c:pt idx="0">
                  <c:v> Actual Value</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pt idx="0">
                  <c:v>1.6666666666666666E-2</c:v>
                </c:pt>
              </c:numCache>
            </c:numRef>
          </c:val>
          <c:smooth val="0"/>
          <c:extLst>
            <c:ext xmlns:c16="http://schemas.microsoft.com/office/drawing/2014/chart" uri="{C3380CC4-5D6E-409C-BE32-E72D297353CC}">
              <c16:uniqueId val="{00000000-89D4-492D-81F5-D623C86E928B}"/>
            </c:ext>
          </c:extLst>
        </c:ser>
        <c:ser>
          <c:idx val="1"/>
          <c:order val="1"/>
          <c:tx>
            <c:strRef>
              <c:f>'PivotTable-KPI Summary'!$G$1</c:f>
              <c:strCache>
                <c:ptCount val="1"/>
                <c:pt idx="0">
                  <c:v> USL</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numCache>
            </c:numRef>
          </c:val>
          <c:smooth val="0"/>
          <c:extLst>
            <c:ext xmlns:c16="http://schemas.microsoft.com/office/drawing/2014/chart" uri="{C3380CC4-5D6E-409C-BE32-E72D297353CC}">
              <c16:uniqueId val="{00000001-89D4-492D-81F5-D623C86E928B}"/>
            </c:ext>
          </c:extLst>
        </c:ser>
        <c:ser>
          <c:idx val="2"/>
          <c:order val="2"/>
          <c:tx>
            <c:strRef>
              <c:f>'PivotTable-KPI Summary'!$G$1</c:f>
              <c:strCache>
                <c:ptCount val="1"/>
                <c:pt idx="0">
                  <c:v> LSL</c:v>
                </c:pt>
              </c:strCache>
            </c:strRef>
          </c:tx>
          <c:spPr>
            <a:ln w="34925" cap="rnd">
              <a:solidFill>
                <a:schemeClr val="accent3"/>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numCache>
            </c:numRef>
          </c:val>
          <c:smooth val="0"/>
          <c:extLst>
            <c:ext xmlns:c16="http://schemas.microsoft.com/office/drawing/2014/chart" uri="{C3380CC4-5D6E-409C-BE32-E72D297353CC}">
              <c16:uniqueId val="{00000002-89D4-492D-81F5-D623C86E928B}"/>
            </c:ext>
          </c:extLst>
        </c:ser>
        <c:ser>
          <c:idx val="3"/>
          <c:order val="3"/>
          <c:tx>
            <c:strRef>
              <c:f>'PivotTable-KPI Summary'!$G$1</c:f>
              <c:strCache>
                <c:ptCount val="1"/>
                <c:pt idx="0">
                  <c:v> Target</c:v>
                </c:pt>
              </c:strCache>
            </c:strRef>
          </c:tx>
          <c:spPr>
            <a:ln w="34925" cap="rnd">
              <a:solidFill>
                <a:schemeClr val="accent4"/>
              </a:solid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pt idx="0">
                  <c:v>0</c:v>
                </c:pt>
              </c:numCache>
            </c:numRef>
          </c:val>
          <c:smooth val="0"/>
          <c:extLst>
            <c:ext xmlns:c16="http://schemas.microsoft.com/office/drawing/2014/chart" uri="{C3380CC4-5D6E-409C-BE32-E72D297353CC}">
              <c16:uniqueId val="{00000003-89D4-492D-81F5-D623C86E928B}"/>
            </c:ext>
          </c:extLst>
        </c:ser>
        <c:dLbls>
          <c:showLegendKey val="0"/>
          <c:showVal val="0"/>
          <c:showCatName val="0"/>
          <c:showSerName val="0"/>
          <c:showPercent val="0"/>
          <c:showBubbleSize val="0"/>
        </c:dLbls>
        <c:marker val="1"/>
        <c:smooth val="0"/>
        <c:axId val="2143723103"/>
        <c:axId val="2143710143"/>
      </c:lineChart>
      <c:catAx>
        <c:axId val="21437231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3710143"/>
        <c:crosses val="autoZero"/>
        <c:auto val="1"/>
        <c:lblAlgn val="ctr"/>
        <c:lblOffset val="100"/>
        <c:noMultiLvlLbl val="0"/>
      </c:catAx>
      <c:valAx>
        <c:axId val="21437101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3723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[OM-DEV-TM-71_QPM_Plan -11.xlsm]PivotTable-KPI Summary!PivotTable1</c:name>
    <c:fmtId val="0"/>
  </c:pivotSource>
  <c:chart>
    <c:title>
      <c:tx>
        <c:strRef>
          <c:f>'PivotTable-KPI Summary'!$G$1</c:f>
          <c:strCache>
            <c:ptCount val="1"/>
            <c:pt idx="0">
              <c:v>Delivered Defect Density</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'PivotTable-KPI Summary'!$G$1</c:f>
              <c:strCache>
                <c:ptCount val="1"/>
                <c:pt idx="0">
                  <c:v> Actual Value</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pt idx="0">
                  <c:v>1.6666666666666666E-2</c:v>
                </c:pt>
              </c:numCache>
            </c:numRef>
          </c:val>
          <c:smooth val="0"/>
          <c:extLst>
            <c:ext xmlns:c16="http://schemas.microsoft.com/office/drawing/2014/chart" uri="{C3380CC4-5D6E-409C-BE32-E72D297353CC}">
              <c16:uniqueId val="{00000000-89C5-420A-B2EE-6B08BC735A3E}"/>
            </c:ext>
          </c:extLst>
        </c:ser>
        <c:ser>
          <c:idx val="1"/>
          <c:order val="1"/>
          <c:tx>
            <c:strRef>
              <c:f>'PivotTable-KPI Summary'!$G$1</c:f>
              <c:strCache>
                <c:ptCount val="1"/>
                <c:pt idx="0">
                  <c:v> USL</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numCache>
            </c:numRef>
          </c:val>
          <c:smooth val="0"/>
          <c:extLst>
            <c:ext xmlns:c16="http://schemas.microsoft.com/office/drawing/2014/chart" uri="{C3380CC4-5D6E-409C-BE32-E72D297353CC}">
              <c16:uniqueId val="{00000002-89C5-420A-B2EE-6B08BC735A3E}"/>
            </c:ext>
          </c:extLst>
        </c:ser>
        <c:ser>
          <c:idx val="2"/>
          <c:order val="2"/>
          <c:tx>
            <c:strRef>
              <c:f>'PivotTable-KPI Summary'!$G$1</c:f>
              <c:strCache>
                <c:ptCount val="1"/>
                <c:pt idx="0">
                  <c:v> LSL</c:v>
                </c:pt>
              </c:strCache>
            </c:strRef>
          </c:tx>
          <c:spPr>
            <a:ln w="34925" cap="rnd">
              <a:solidFill>
                <a:schemeClr val="accent3"/>
              </a:solidFill>
              <a:round/>
            </a:ln>
            <a:effectLst>
              <a:outerShdw blurRad="40000" dist="23000" dir="5400000" rotWithShape="0">
                <a:srgbClr val="000000">
                  <a:alpha val="35000"/>
                </a:srgbClr>
              </a:outerShdw>
            </a:effectLst>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numCache>
            </c:numRef>
          </c:val>
          <c:smooth val="0"/>
          <c:extLst>
            <c:ext xmlns:c16="http://schemas.microsoft.com/office/drawing/2014/chart" uri="{C3380CC4-5D6E-409C-BE32-E72D297353CC}">
              <c16:uniqueId val="{00000003-89C5-420A-B2EE-6B08BC735A3E}"/>
            </c:ext>
          </c:extLst>
        </c:ser>
        <c:ser>
          <c:idx val="3"/>
          <c:order val="3"/>
          <c:tx>
            <c:strRef>
              <c:f>'PivotTable-KPI Summary'!$G$1</c:f>
              <c:strCache>
                <c:ptCount val="1"/>
                <c:pt idx="0">
                  <c:v> Target</c:v>
                </c:pt>
              </c:strCache>
            </c:strRef>
          </c:tx>
          <c:spPr>
            <a:ln w="34925" cap="rnd">
              <a:solidFill>
                <a:schemeClr val="accent4"/>
              </a:solidFill>
              <a:round/>
            </a:ln>
            <a:effectLst>
              <a:outerShdw blurRad="40000" dist="23000" dir="5400000" rotWithShape="0">
                <a:srgbClr val="000000">
                  <a:alpha val="35000"/>
                </a:srgbClr>
              </a:outerShdw>
            </a:effectLst>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'PivotTable-KPI Summary'!$G$1</c:f>
              <c:strCache>
                <c:ptCount val="1"/>
                <c:pt idx="0">
                  <c:v>R1</c:v>
                </c:pt>
              </c:strCache>
            </c:strRef>
          </c:cat>
          <c:val>
            <c:numRef>
              <c:f>'PivotTable-KPI Summary'!$G$1</c:f>
              <c:numCache>
                <c:formatCode>General</c:formatCode>
                <c:ptCount val="1"/>
                <c:pt idx="0">
                  <c:v>0</c:v>
                </c:pt>
              </c:numCache>
            </c:numRef>
          </c:val>
          <c:smooth val="0"/>
          <c:extLst>
            <c:ext xmlns:c16="http://schemas.microsoft.com/office/drawing/2014/chart" uri="{C3380CC4-5D6E-409C-BE32-E72D297353CC}">
              <c16:uniqueId val="{00000004-89C5-420A-B2EE-6B08BC735A3E}"/>
            </c:ext>
          </c:extLst>
        </c:ser>
        <c:dLbls>
          <c:showLegendKey val="0"/>
          <c:showVal val="0"/>
          <c:showCatName val="0"/>
          <c:showSerName val="0"/>
          <c:showPercent val="0"/>
          <c:showBubbleSize val="0"/>
        </c:dLbls>
        <c:marker val="1"/>
        <c:smooth val="0"/>
        <c:axId val="2143723103"/>
        <c:axId val="2143710143"/>
      </c:lineChart>
      <c:catAx>
        <c:axId val="21437231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3710143"/>
        <c:crosses val="autoZero"/>
        <c:auto val="1"/>
        <c:lblAlgn val="ctr"/>
        <c:lblOffset val="100"/>
        <c:noMultiLvlLbl val="0"/>
      </c:catAx>
      <c:valAx>
        <c:axId val="21437101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3723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85FD1E-8136-4C8A-AF31-DF34731BE3BC}" type="doc">
      <dgm:prSet loTypeId="urn:microsoft.com/office/officeart/2005/8/layout/orgChart1" loCatId="hierarchy" qsTypeId="urn:microsoft.com/office/officeart/2005/8/quickstyle/3d1" qsCatId="3D" csTypeId="urn:microsoft.com/office/officeart/2005/8/colors/accent1_2" csCatId="accent1" phldr="1"/>
      <dgm:spPr/>
      <dgm:t>
        <a:bodyPr/>
        <a:lstStyle/>
        <a:p>
          <a:endParaRPr lang="en-IN"/>
        </a:p>
      </dgm:t>
    </dgm:pt>
    <dgm:pt modelId="{0D19CEF6-7028-42D2-A7FA-9A9CE24E0D3E}">
      <dgm:prSet phldrT="[Text]"/>
      <dgm: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dgm:spPr>
      <dgm:t>
        <a:bodyPr/>
        <a:lstStyle/>
        <a:p>
          <a:pPr algn="l"/>
          <a:endParaRPr lang="en-IN"/>
        </a:p>
      </dgm:t>
    </dgm:pt>
    <dgm:pt modelId="{BBBECFD6-43DC-47AE-B98A-23647B4C8016}" type="parTrans" cxnId="{D6876EBA-F78B-4176-A056-663F2DC0019E}">
      <dgm:prSet/>
      <dgm:spPr/>
      <dgm:t>
        <a:bodyPr/>
        <a:lstStyle/>
        <a:p>
          <a:endParaRPr lang="en-IN"/>
        </a:p>
      </dgm:t>
    </dgm:pt>
    <dgm:pt modelId="{247D7F4C-B6AA-453F-B6B1-CCB72362D25F}" type="sibTrans" cxnId="{D6876EBA-F78B-4176-A056-663F2DC0019E}">
      <dgm:prSet/>
      <dgm:spPr/>
      <dgm:t>
        <a:bodyPr/>
        <a:lstStyle/>
        <a:p>
          <a:endParaRPr lang="en-IN"/>
        </a:p>
      </dgm:t>
    </dgm:pt>
    <dgm:pt modelId="{30A75C1B-28C6-4B8D-9C12-C405753EA701}">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888506E6-77BD-43A8-8E77-FA1FA2C75BB2}" type="parTrans" cxnId="{CFAD9E8F-B4A6-42D6-A004-1CBE9A727E56}">
      <dgm:prSet/>
      <dgm:spPr/>
      <dgm:t>
        <a:bodyPr/>
        <a:lstStyle/>
        <a:p>
          <a:endParaRPr lang="en-IN"/>
        </a:p>
      </dgm:t>
    </dgm:pt>
    <dgm:pt modelId="{F8A17D73-68EA-4704-A740-E68B6A6A14A5}" type="sibTrans" cxnId="{CFAD9E8F-B4A6-42D6-A004-1CBE9A727E56}">
      <dgm:prSet/>
      <dgm:spPr/>
      <dgm:t>
        <a:bodyPr/>
        <a:lstStyle/>
        <a:p>
          <a:endParaRPr lang="en-IN"/>
        </a:p>
      </dgm:t>
    </dgm:pt>
    <dgm:pt modelId="{E2075C35-04A8-466E-AEED-5D3277B5A90A}">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AD6EFD4-8689-4711-870E-B8FCA71DC32C}" type="parTrans" cxnId="{DA23C072-FD5F-4A73-9733-905787364F05}">
      <dgm:prSet/>
      <dgm:spPr/>
      <dgm:t>
        <a:bodyPr/>
        <a:lstStyle/>
        <a:p>
          <a:endParaRPr lang="en-IN"/>
        </a:p>
      </dgm:t>
    </dgm:pt>
    <dgm:pt modelId="{37C1EA31-A108-48BE-8A1B-A8629701A5EC}" type="sibTrans" cxnId="{DA23C072-FD5F-4A73-9733-905787364F05}">
      <dgm:prSet/>
      <dgm:spPr/>
      <dgm:t>
        <a:bodyPr/>
        <a:lstStyle/>
        <a:p>
          <a:endParaRPr lang="en-IN"/>
        </a:p>
      </dgm:t>
    </dgm:pt>
    <dgm:pt modelId="{3F3357F7-4B5D-4628-A1A8-7502CC353783}">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44591BC8-1AE4-4203-B251-4BF042D57FB8}" type="parTrans" cxnId="{6D3FC2D1-A05F-45C1-AA3E-56A644F89545}">
      <dgm:prSet/>
      <dgm:spPr/>
      <dgm:t>
        <a:bodyPr/>
        <a:lstStyle/>
        <a:p>
          <a:endParaRPr lang="en-IN"/>
        </a:p>
      </dgm:t>
    </dgm:pt>
    <dgm:pt modelId="{28D6021F-0685-4140-81B0-9CD9CAA08C85}" type="sibTrans" cxnId="{6D3FC2D1-A05F-45C1-AA3E-56A644F89545}">
      <dgm:prSet/>
      <dgm:spPr/>
      <dgm:t>
        <a:bodyPr/>
        <a:lstStyle/>
        <a:p>
          <a:endParaRPr lang="en-IN"/>
        </a:p>
      </dgm:t>
    </dgm:pt>
    <dgm:pt modelId="{12769DC2-3E6F-47DC-8299-CD864B2ADFD6}">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EDA062A-9AE5-4A51-90C7-F5F58C4180FE}" type="parTrans" cxnId="{5670F8EB-79A3-4D73-89FB-99CBF33AC668}">
      <dgm:prSet/>
      <dgm:spPr/>
      <dgm:t>
        <a:bodyPr/>
        <a:lstStyle/>
        <a:p>
          <a:endParaRPr lang="en-IN"/>
        </a:p>
      </dgm:t>
    </dgm:pt>
    <dgm:pt modelId="{3B3C514D-B829-4206-A3C2-7FE25BEE7C48}" type="sibTrans" cxnId="{5670F8EB-79A3-4D73-89FB-99CBF33AC668}">
      <dgm:prSet/>
      <dgm:spPr/>
      <dgm:t>
        <a:bodyPr/>
        <a:lstStyle/>
        <a:p>
          <a:endParaRPr lang="en-IN"/>
        </a:p>
      </dgm:t>
    </dgm:pt>
    <dgm:pt modelId="{50288868-FEEE-470B-9B6E-3B8DBAE6D90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00EB8B3-EC84-483A-8486-DA03EEAAFDAC}" type="parTrans" cxnId="{E23E0DBC-05B6-42D8-8F2D-7174F19B4999}">
      <dgm:prSet/>
      <dgm:spPr/>
      <dgm:t>
        <a:bodyPr/>
        <a:lstStyle/>
        <a:p>
          <a:endParaRPr lang="en-IN"/>
        </a:p>
      </dgm:t>
    </dgm:pt>
    <dgm:pt modelId="{9A0B2F47-A2BB-4242-B28E-A678B4FBFAE2}" type="sibTrans" cxnId="{E23E0DBC-05B6-42D8-8F2D-7174F19B4999}">
      <dgm:prSet/>
      <dgm:spPr/>
      <dgm:t>
        <a:bodyPr/>
        <a:lstStyle/>
        <a:p>
          <a:endParaRPr lang="en-IN"/>
        </a:p>
      </dgm:t>
    </dgm:pt>
    <dgm:pt modelId="{DE430EBC-9AEB-4AC5-8133-E102B3D8B235}">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82998A5A-8177-4BF4-B11A-85C450BCA0B9}" type="parTrans" cxnId="{C7CEE389-B30D-43E6-B3E1-76ADE483071B}">
      <dgm:prSet/>
      <dgm:spPr/>
      <dgm:t>
        <a:bodyPr/>
        <a:lstStyle/>
        <a:p>
          <a:endParaRPr lang="en-IN"/>
        </a:p>
      </dgm:t>
    </dgm:pt>
    <dgm:pt modelId="{89CC0D70-E04A-479A-8ABF-FBDFB8FC8D64}" type="sibTrans" cxnId="{C7CEE389-B30D-43E6-B3E1-76ADE483071B}">
      <dgm:prSet/>
      <dgm:spPr/>
      <dgm:t>
        <a:bodyPr/>
        <a:lstStyle/>
        <a:p>
          <a:endParaRPr lang="en-IN"/>
        </a:p>
      </dgm:t>
    </dgm:pt>
    <dgm:pt modelId="{15422A0F-7BCA-484C-B057-F62059D58FA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41972CF-CFF7-4A0B-86FB-124A3C29C284}" type="parTrans" cxnId="{4EBE3ACA-84C4-4C6B-89D0-191D7B9B73B5}">
      <dgm:prSet/>
      <dgm:spPr/>
      <dgm:t>
        <a:bodyPr/>
        <a:lstStyle/>
        <a:p>
          <a:endParaRPr lang="en-IN"/>
        </a:p>
      </dgm:t>
    </dgm:pt>
    <dgm:pt modelId="{DC1DF3B3-93D9-4FB5-8CEB-FEEA97B627D4}" type="sibTrans" cxnId="{4EBE3ACA-84C4-4C6B-89D0-191D7B9B73B5}">
      <dgm:prSet/>
      <dgm:spPr/>
      <dgm:t>
        <a:bodyPr/>
        <a:lstStyle/>
        <a:p>
          <a:endParaRPr lang="en-IN"/>
        </a:p>
      </dgm:t>
    </dgm:pt>
    <dgm:pt modelId="{ECF03B94-C7AD-4DF3-B508-62E701087C6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9A46F26-59B1-4C5A-BF18-0E767311EBF1}" type="parTrans" cxnId="{3F228761-04AC-4489-9A68-909409E98AF0}">
      <dgm:prSet/>
      <dgm:spPr/>
      <dgm:t>
        <a:bodyPr/>
        <a:lstStyle/>
        <a:p>
          <a:endParaRPr lang="en-IN"/>
        </a:p>
      </dgm:t>
    </dgm:pt>
    <dgm:pt modelId="{3C1B98AE-1EE8-4E73-BF14-192288902B63}" type="sibTrans" cxnId="{3F228761-04AC-4489-9A68-909409E98AF0}">
      <dgm:prSet/>
      <dgm:spPr/>
      <dgm:t>
        <a:bodyPr/>
        <a:lstStyle/>
        <a:p>
          <a:endParaRPr lang="en-IN"/>
        </a:p>
      </dgm:t>
    </dgm:pt>
    <dgm:pt modelId="{83A882C9-CED3-4DBB-B5D7-A9BC33A0CB1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F8F16B-F0F9-4668-BE26-B49FDC6CE9C8}" type="parTrans" cxnId="{D41F1937-8FBD-4F1F-A49E-11B176BC25C9}">
      <dgm:prSet/>
      <dgm:spPr/>
      <dgm:t>
        <a:bodyPr/>
        <a:lstStyle/>
        <a:p>
          <a:endParaRPr lang="en-IN"/>
        </a:p>
      </dgm:t>
    </dgm:pt>
    <dgm:pt modelId="{3448586C-7F18-4FD2-9D81-69E3111EDB46}" type="sibTrans" cxnId="{D41F1937-8FBD-4F1F-A49E-11B176BC25C9}">
      <dgm:prSet/>
      <dgm:spPr/>
      <dgm:t>
        <a:bodyPr/>
        <a:lstStyle/>
        <a:p>
          <a:endParaRPr lang="en-IN"/>
        </a:p>
      </dgm:t>
    </dgm:pt>
    <dgm:pt modelId="{CAB3C7F0-E5B8-433A-80EE-848BBB579EA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BCA385-66F1-4778-AC5F-322108555713}" type="parTrans" cxnId="{9ED470AA-50DB-44CE-ABBE-04BFFF8BB65D}">
      <dgm:prSet/>
      <dgm:spPr/>
      <dgm:t>
        <a:bodyPr/>
        <a:lstStyle/>
        <a:p>
          <a:endParaRPr lang="en-IN"/>
        </a:p>
      </dgm:t>
    </dgm:pt>
    <dgm:pt modelId="{67E7AAB7-F758-452E-808A-F8A3AC7B5A85}" type="sibTrans" cxnId="{9ED470AA-50DB-44CE-ABBE-04BFFF8BB65D}">
      <dgm:prSet/>
      <dgm:spPr/>
      <dgm:t>
        <a:bodyPr/>
        <a:lstStyle/>
        <a:p>
          <a:endParaRPr lang="en-IN"/>
        </a:p>
      </dgm:t>
    </dgm:pt>
    <dgm:pt modelId="{0AF8697D-AC9F-4005-8FD9-6DCBA79179B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6ECC484-C5B3-4E5A-B7E0-750C177CFF69}" type="parTrans" cxnId="{5DB4BE28-E201-41DA-8084-AFAB81C086B1}">
      <dgm:prSet/>
      <dgm:spPr/>
      <dgm:t>
        <a:bodyPr/>
        <a:lstStyle/>
        <a:p>
          <a:endParaRPr lang="en-IN"/>
        </a:p>
      </dgm:t>
    </dgm:pt>
    <dgm:pt modelId="{A92A7263-63F3-4042-9937-EBDB57A98149}" type="sibTrans" cxnId="{5DB4BE28-E201-41DA-8084-AFAB81C086B1}">
      <dgm:prSet/>
      <dgm:spPr/>
      <dgm:t>
        <a:bodyPr/>
        <a:lstStyle/>
        <a:p>
          <a:endParaRPr lang="en-IN"/>
        </a:p>
      </dgm:t>
    </dgm:pt>
    <dgm:pt modelId="{6C08F2A6-164D-4776-851A-3C052221AD3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2B11AD8-E2B9-4F53-9825-E09DEC18CD35}" type="parTrans" cxnId="{752EF8D9-64B4-45C8-8B3F-AEC5F7B5E0B3}">
      <dgm:prSet/>
      <dgm:spPr/>
      <dgm:t>
        <a:bodyPr/>
        <a:lstStyle/>
        <a:p>
          <a:endParaRPr lang="en-IN"/>
        </a:p>
      </dgm:t>
    </dgm:pt>
    <dgm:pt modelId="{83D61416-757E-415D-AC2D-56F8775EA0CC}" type="sibTrans" cxnId="{752EF8D9-64B4-45C8-8B3F-AEC5F7B5E0B3}">
      <dgm:prSet/>
      <dgm:spPr/>
      <dgm:t>
        <a:bodyPr/>
        <a:lstStyle/>
        <a:p>
          <a:endParaRPr lang="en-IN"/>
        </a:p>
      </dgm:t>
    </dgm:pt>
    <dgm:pt modelId="{9FC7468C-17A0-4FD1-82F6-1994C9AA586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E08339-17FA-41F2-B4C9-036DC2F6E0C9}" type="parTrans" cxnId="{DCEE3DEA-8BAE-4CEE-B342-88B65C4DD116}">
      <dgm:prSet/>
      <dgm:spPr/>
      <dgm:t>
        <a:bodyPr/>
        <a:lstStyle/>
        <a:p>
          <a:endParaRPr lang="en-IN"/>
        </a:p>
      </dgm:t>
    </dgm:pt>
    <dgm:pt modelId="{8C8CDBAE-4CBF-4705-BF3E-E5658DA990A6}" type="sibTrans" cxnId="{DCEE3DEA-8BAE-4CEE-B342-88B65C4DD116}">
      <dgm:prSet/>
      <dgm:spPr/>
      <dgm:t>
        <a:bodyPr/>
        <a:lstStyle/>
        <a:p>
          <a:endParaRPr lang="en-IN"/>
        </a:p>
      </dgm:t>
    </dgm:pt>
    <dgm:pt modelId="{C5F0B96A-A575-48A3-988A-96868B3842F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BED396A-E93F-4365-BB41-2CCF9C939201}" type="parTrans" cxnId="{D6081B88-17DA-4FC2-8FAC-E43450CD57FF}">
      <dgm:prSet/>
      <dgm:spPr/>
      <dgm:t>
        <a:bodyPr/>
        <a:lstStyle/>
        <a:p>
          <a:endParaRPr lang="en-IN"/>
        </a:p>
      </dgm:t>
    </dgm:pt>
    <dgm:pt modelId="{CD1D148D-17B5-4C7B-B8E9-16327CA670DA}" type="sibTrans" cxnId="{D6081B88-17DA-4FC2-8FAC-E43450CD57FF}">
      <dgm:prSet/>
      <dgm:spPr/>
      <dgm:t>
        <a:bodyPr/>
        <a:lstStyle/>
        <a:p>
          <a:endParaRPr lang="en-IN"/>
        </a:p>
      </dgm:t>
    </dgm:pt>
    <dgm:pt modelId="{FBC789F5-9F9D-4FCB-98BD-A3E208DAB14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23F9B4E-084A-4AAC-AACF-8F26CD335DF5}" type="parTrans" cxnId="{B92F3851-0CDE-42DA-8AFC-779C97E2F82C}">
      <dgm:prSet/>
      <dgm:spPr/>
      <dgm:t>
        <a:bodyPr/>
        <a:lstStyle/>
        <a:p>
          <a:endParaRPr lang="en-IN"/>
        </a:p>
      </dgm:t>
    </dgm:pt>
    <dgm:pt modelId="{69A37540-D5B4-4BCA-9831-F17E0BF0CABF}" type="sibTrans" cxnId="{B92F3851-0CDE-42DA-8AFC-779C97E2F82C}">
      <dgm:prSet/>
      <dgm:spPr/>
      <dgm:t>
        <a:bodyPr/>
        <a:lstStyle/>
        <a:p>
          <a:endParaRPr lang="en-IN"/>
        </a:p>
      </dgm:t>
    </dgm:pt>
    <dgm:pt modelId="{A15614BF-5CEB-4D67-B306-D3314BE68D2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40DA0E-41B9-4888-B3E7-28214BCF8D9B}" type="parTrans" cxnId="{F5110D40-14A4-45A5-AD6A-BCF16CEED3FC}">
      <dgm:prSet/>
      <dgm:spPr/>
      <dgm:t>
        <a:bodyPr/>
        <a:lstStyle/>
        <a:p>
          <a:endParaRPr lang="en-IN"/>
        </a:p>
      </dgm:t>
    </dgm:pt>
    <dgm:pt modelId="{D49F71C9-CEDD-4CA7-8F47-A656E1FB3BFF}" type="sibTrans" cxnId="{F5110D40-14A4-45A5-AD6A-BCF16CEED3FC}">
      <dgm:prSet/>
      <dgm:spPr/>
      <dgm:t>
        <a:bodyPr/>
        <a:lstStyle/>
        <a:p>
          <a:endParaRPr lang="en-IN"/>
        </a:p>
      </dgm:t>
    </dgm:pt>
    <dgm:pt modelId="{7DD9B6E2-B271-4E30-8530-F0FFC7508F3F}">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F3C95EC-2FD9-403C-A2F6-972AE545C6A9}" type="parTrans" cxnId="{53E65285-48DC-4376-9BA4-CC44F696EC53}">
      <dgm:prSet/>
      <dgm:spPr/>
      <dgm:t>
        <a:bodyPr/>
        <a:lstStyle/>
        <a:p>
          <a:endParaRPr lang="en-IN"/>
        </a:p>
      </dgm:t>
    </dgm:pt>
    <dgm:pt modelId="{2AE95C04-4BD2-4D20-B92A-21E4CA3B9E04}" type="sibTrans" cxnId="{53E65285-48DC-4376-9BA4-CC44F696EC53}">
      <dgm:prSet/>
      <dgm:spPr/>
      <dgm:t>
        <a:bodyPr/>
        <a:lstStyle/>
        <a:p>
          <a:endParaRPr lang="en-IN"/>
        </a:p>
      </dgm:t>
    </dgm:pt>
    <dgm:pt modelId="{56758184-E51D-4231-A1FE-F35C2731692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B5FE1B7C-2D58-4AE8-96AF-581A3D339B6D}" type="parTrans" cxnId="{006CBC72-9B5C-4DFF-BE2D-50EC163CEF70}">
      <dgm:prSet/>
      <dgm:spPr/>
      <dgm:t>
        <a:bodyPr/>
        <a:lstStyle/>
        <a:p>
          <a:endParaRPr lang="en-IN"/>
        </a:p>
      </dgm:t>
    </dgm:pt>
    <dgm:pt modelId="{79840B14-D186-4325-AE94-AF70BCF8700F}" type="sibTrans" cxnId="{006CBC72-9B5C-4DFF-BE2D-50EC163CEF70}">
      <dgm:prSet/>
      <dgm:spPr/>
      <dgm:t>
        <a:bodyPr/>
        <a:lstStyle/>
        <a:p>
          <a:endParaRPr lang="en-IN"/>
        </a:p>
      </dgm:t>
    </dgm:pt>
    <dgm:pt modelId="{EA739FF8-B294-456B-B07A-B32298D1427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C5FE85-32DD-462E-8D23-03C3DDEA20B9}" type="parTrans" cxnId="{4B2D23CB-5977-4795-8612-E09099CD9B90}">
      <dgm:prSet/>
      <dgm:spPr/>
      <dgm:t>
        <a:bodyPr/>
        <a:lstStyle/>
        <a:p>
          <a:endParaRPr lang="en-IN"/>
        </a:p>
      </dgm:t>
    </dgm:pt>
    <dgm:pt modelId="{7A8556ED-A3CA-4130-AE8E-183C74A85426}" type="sibTrans" cxnId="{4B2D23CB-5977-4795-8612-E09099CD9B90}">
      <dgm:prSet/>
      <dgm:spPr/>
      <dgm:t>
        <a:bodyPr/>
        <a:lstStyle/>
        <a:p>
          <a:endParaRPr lang="en-IN"/>
        </a:p>
      </dgm:t>
    </dgm:pt>
    <dgm:pt modelId="{DB7CACC7-5EC9-4B8D-96B4-EF600082F3F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6102B0F-7854-426C-92B3-2AE27B490B33}" type="parTrans" cxnId="{394E3C2A-153B-47F6-A0DE-B57B8E21A736}">
      <dgm:prSet/>
      <dgm:spPr/>
      <dgm:t>
        <a:bodyPr/>
        <a:lstStyle/>
        <a:p>
          <a:endParaRPr lang="en-IN"/>
        </a:p>
      </dgm:t>
    </dgm:pt>
    <dgm:pt modelId="{A4F133C6-8A42-4E4B-B122-99CF348208F6}" type="sibTrans" cxnId="{394E3C2A-153B-47F6-A0DE-B57B8E21A736}">
      <dgm:prSet/>
      <dgm:spPr/>
      <dgm:t>
        <a:bodyPr/>
        <a:lstStyle/>
        <a:p>
          <a:endParaRPr lang="en-IN"/>
        </a:p>
      </dgm:t>
    </dgm:pt>
    <dgm:pt modelId="{A364AF1D-E42E-45AF-B842-6159BFA8C7B9}">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3FDE87F-8181-442A-B062-9B31B775BC56}" type="parTrans" cxnId="{B7ECDCF3-8798-4721-A009-BEF0DA75E3C1}">
      <dgm:prSet/>
      <dgm:spPr/>
      <dgm:t>
        <a:bodyPr/>
        <a:lstStyle/>
        <a:p>
          <a:endParaRPr lang="en-IN"/>
        </a:p>
      </dgm:t>
    </dgm:pt>
    <dgm:pt modelId="{4D7648AE-A25D-448A-895A-3A58D3F59F00}" type="sibTrans" cxnId="{B7ECDCF3-8798-4721-A009-BEF0DA75E3C1}">
      <dgm:prSet/>
      <dgm:spPr/>
      <dgm:t>
        <a:bodyPr/>
        <a:lstStyle/>
        <a:p>
          <a:endParaRPr lang="en-IN"/>
        </a:p>
      </dgm:t>
    </dgm:pt>
    <dgm:pt modelId="{AD57D6F8-1E1D-4C08-B8E1-F743CC4D861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B1C4966-1262-47C2-A22C-A1A9518F5A79}" type="parTrans" cxnId="{D4F174BE-C618-49C1-8D83-A0E3F1FA0719}">
      <dgm:prSet/>
      <dgm:spPr/>
      <dgm:t>
        <a:bodyPr/>
        <a:lstStyle/>
        <a:p>
          <a:endParaRPr lang="en-IN"/>
        </a:p>
      </dgm:t>
    </dgm:pt>
    <dgm:pt modelId="{E3A71EE5-562D-48DB-A1C5-6CEB44716E34}" type="sibTrans" cxnId="{D4F174BE-C618-49C1-8D83-A0E3F1FA0719}">
      <dgm:prSet/>
      <dgm:spPr/>
      <dgm:t>
        <a:bodyPr/>
        <a:lstStyle/>
        <a:p>
          <a:endParaRPr lang="en-IN"/>
        </a:p>
      </dgm:t>
    </dgm:pt>
    <dgm:pt modelId="{AB76204E-2E1E-4483-B659-02F8E8BD8E3A}">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D236FE8-B5DB-42B2-83A0-8A85E57D18D6}" type="parTrans" cxnId="{96E297A8-0406-4A26-9642-50B037DD0435}">
      <dgm:prSet/>
      <dgm:spPr/>
      <dgm:t>
        <a:bodyPr/>
        <a:lstStyle/>
        <a:p>
          <a:endParaRPr lang="en-IN"/>
        </a:p>
      </dgm:t>
    </dgm:pt>
    <dgm:pt modelId="{24A5B341-C6D8-420A-B49A-C190618461F1}" type="sibTrans" cxnId="{96E297A8-0406-4A26-9642-50B037DD0435}">
      <dgm:prSet/>
      <dgm:spPr/>
      <dgm:t>
        <a:bodyPr/>
        <a:lstStyle/>
        <a:p>
          <a:endParaRPr lang="en-IN"/>
        </a:p>
      </dgm:t>
    </dgm:pt>
    <dgm:pt modelId="{A2EEF95F-6FCB-462B-A18E-D01951D1EB2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E92F089-AA5E-42E6-8F33-FE692A0C9628}" type="parTrans" cxnId="{77B8E4C0-A0AC-4BE2-8384-F974ADC49DA3}">
      <dgm:prSet/>
      <dgm:spPr/>
      <dgm:t>
        <a:bodyPr/>
        <a:lstStyle/>
        <a:p>
          <a:endParaRPr lang="en-IN"/>
        </a:p>
      </dgm:t>
    </dgm:pt>
    <dgm:pt modelId="{3DB9F778-7086-4387-A079-096207A246FE}" type="sibTrans" cxnId="{77B8E4C0-A0AC-4BE2-8384-F974ADC49DA3}">
      <dgm:prSet/>
      <dgm:spPr/>
      <dgm:t>
        <a:bodyPr/>
        <a:lstStyle/>
        <a:p>
          <a:endParaRPr lang="en-IN"/>
        </a:p>
      </dgm:t>
    </dgm:pt>
    <dgm:pt modelId="{BB19C4C0-C836-4CD8-A7C4-A0225D3257F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78B9227-C856-4685-9B63-ED38AD2B7C9E}" type="parTrans" cxnId="{FCD9C6E4-10EC-429C-9B56-EDF6ACA5664C}">
      <dgm:prSet/>
      <dgm:spPr/>
      <dgm:t>
        <a:bodyPr/>
        <a:lstStyle/>
        <a:p>
          <a:endParaRPr lang="en-IN"/>
        </a:p>
      </dgm:t>
    </dgm:pt>
    <dgm:pt modelId="{A8B5BDC3-D275-4065-A98A-85859682AA6D}" type="sibTrans" cxnId="{FCD9C6E4-10EC-429C-9B56-EDF6ACA5664C}">
      <dgm:prSet/>
      <dgm:spPr/>
      <dgm:t>
        <a:bodyPr/>
        <a:lstStyle/>
        <a:p>
          <a:endParaRPr lang="en-IN"/>
        </a:p>
      </dgm:t>
    </dgm:pt>
    <dgm:pt modelId="{763329BB-BA95-4CCB-A946-57F154F16083}">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56B05BB8-D9BC-48CC-8340-36DFDDF4319A}" type="parTrans" cxnId="{518BBBD0-6DB7-4A6D-957E-0EA6D833F387}">
      <dgm:prSet/>
      <dgm:spPr/>
      <dgm:t>
        <a:bodyPr/>
        <a:lstStyle/>
        <a:p>
          <a:endParaRPr lang="en-IN"/>
        </a:p>
      </dgm:t>
    </dgm:pt>
    <dgm:pt modelId="{C41D91DD-B930-4A1A-9EE1-AB29AD6DBECE}" type="sibTrans" cxnId="{518BBBD0-6DB7-4A6D-957E-0EA6D833F387}">
      <dgm:prSet/>
      <dgm:spPr/>
      <dgm:t>
        <a:bodyPr/>
        <a:lstStyle/>
        <a:p>
          <a:endParaRPr lang="en-IN"/>
        </a:p>
      </dgm:t>
    </dgm:pt>
    <dgm:pt modelId="{BF100430-0928-4BA1-B2C3-DCBB59BE2F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5CF3F1D-4FFA-44B5-84B3-977AD131F177}" type="parTrans" cxnId="{75D39245-7D31-4FC1-9B1D-64800C17C3AF}">
      <dgm:prSet/>
      <dgm:spPr/>
      <dgm:t>
        <a:bodyPr/>
        <a:lstStyle/>
        <a:p>
          <a:endParaRPr lang="en-IN"/>
        </a:p>
      </dgm:t>
    </dgm:pt>
    <dgm:pt modelId="{2A9D3097-E7D2-4F49-8DA5-B231360A3C19}" type="sibTrans" cxnId="{75D39245-7D31-4FC1-9B1D-64800C17C3AF}">
      <dgm:prSet/>
      <dgm:spPr/>
      <dgm:t>
        <a:bodyPr/>
        <a:lstStyle/>
        <a:p>
          <a:endParaRPr lang="en-IN"/>
        </a:p>
      </dgm:t>
    </dgm:pt>
    <dgm:pt modelId="{ECA12779-181B-4C07-9D00-63CBA88654A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D1DE0E6-FA2F-44F6-B53A-BD88042663B5}" type="parTrans" cxnId="{72B48A89-A1F1-4D09-BEF0-37389F449EAA}">
      <dgm:prSet/>
      <dgm:spPr/>
      <dgm:t>
        <a:bodyPr/>
        <a:lstStyle/>
        <a:p>
          <a:endParaRPr lang="en-IN"/>
        </a:p>
      </dgm:t>
    </dgm:pt>
    <dgm:pt modelId="{339A230E-D26D-4336-95B7-A30C85828F00}" type="sibTrans" cxnId="{72B48A89-A1F1-4D09-BEF0-37389F449EAA}">
      <dgm:prSet/>
      <dgm:spPr/>
      <dgm:t>
        <a:bodyPr/>
        <a:lstStyle/>
        <a:p>
          <a:endParaRPr lang="en-IN"/>
        </a:p>
      </dgm:t>
    </dgm:pt>
    <dgm:pt modelId="{12351F76-C54E-43F8-A657-363EC9E932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CD7D42E-8C56-458F-8322-E22926EA09CE}" type="parTrans" cxnId="{6A9A789C-B414-495B-9BF3-23B1DA60F874}">
      <dgm:prSet/>
      <dgm:spPr/>
      <dgm:t>
        <a:bodyPr/>
        <a:lstStyle/>
        <a:p>
          <a:endParaRPr lang="en-IN"/>
        </a:p>
      </dgm:t>
    </dgm:pt>
    <dgm:pt modelId="{1B1406ED-048A-472B-AD36-574C7D6F9126}" type="sibTrans" cxnId="{6A9A789C-B414-495B-9BF3-23B1DA60F874}">
      <dgm:prSet/>
      <dgm:spPr/>
      <dgm:t>
        <a:bodyPr/>
        <a:lstStyle/>
        <a:p>
          <a:endParaRPr lang="en-IN"/>
        </a:p>
      </dgm:t>
    </dgm:pt>
    <dgm:pt modelId="{ACFB9295-1466-40DD-AC28-3F5FD1714F64}">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C779102-338A-4658-805D-ADA27F85C532}" type="parTrans" cxnId="{BCE0F127-C485-41BE-B38E-9BDEF8908866}">
      <dgm:prSet/>
      <dgm:spPr/>
      <dgm:t>
        <a:bodyPr/>
        <a:lstStyle/>
        <a:p>
          <a:endParaRPr lang="en-IN"/>
        </a:p>
      </dgm:t>
    </dgm:pt>
    <dgm:pt modelId="{D034D896-F381-4B90-9C52-BBB59FC21309}" type="sibTrans" cxnId="{BCE0F127-C485-41BE-B38E-9BDEF8908866}">
      <dgm:prSet/>
      <dgm:spPr/>
      <dgm:t>
        <a:bodyPr/>
        <a:lstStyle/>
        <a:p>
          <a:endParaRPr lang="en-IN"/>
        </a:p>
      </dgm:t>
    </dgm:pt>
    <dgm:pt modelId="{70EFDBF8-CA80-43EB-AF09-A11A22991EC0}">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49CAF59-51BF-4A91-99DD-F8581AEF1EC4}" type="parTrans" cxnId="{2B56871B-1633-44A9-A6F5-BF8630FE9CDD}">
      <dgm:prSet/>
      <dgm:spPr/>
      <dgm:t>
        <a:bodyPr/>
        <a:lstStyle/>
        <a:p>
          <a:endParaRPr lang="en-IN"/>
        </a:p>
      </dgm:t>
    </dgm:pt>
    <dgm:pt modelId="{24DE2231-1041-48EE-BB8A-F8A29BC5A066}" type="sibTrans" cxnId="{2B56871B-1633-44A9-A6F5-BF8630FE9CDD}">
      <dgm:prSet/>
      <dgm:spPr/>
      <dgm:t>
        <a:bodyPr/>
        <a:lstStyle/>
        <a:p>
          <a:endParaRPr lang="en-IN"/>
        </a:p>
      </dgm:t>
    </dgm:pt>
    <dgm:pt modelId="{B3363645-6E47-4702-9387-06C510C570CB}">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3736F2C-1899-4FBF-B28B-4B7CE5269305}" type="parTrans" cxnId="{D26C66FE-F76A-4E6A-AE40-94465EA6B392}">
      <dgm:prSet/>
      <dgm:spPr/>
      <dgm:t>
        <a:bodyPr/>
        <a:lstStyle/>
        <a:p>
          <a:endParaRPr lang="en-IN"/>
        </a:p>
      </dgm:t>
    </dgm:pt>
    <dgm:pt modelId="{4483FFA3-0535-4525-A2FA-4107CEE67BAE}" type="sibTrans" cxnId="{D26C66FE-F76A-4E6A-AE40-94465EA6B392}">
      <dgm:prSet/>
      <dgm:spPr/>
      <dgm:t>
        <a:bodyPr/>
        <a:lstStyle/>
        <a:p>
          <a:endParaRPr lang="en-IN"/>
        </a:p>
      </dgm:t>
    </dgm:pt>
    <dgm:pt modelId="{1E3D188D-1C38-4FF2-ADAD-687EE27716D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5B5055F-BDE8-4C1F-8169-963DD004C33F}" type="parTrans" cxnId="{9C8D1225-22C7-4C99-8D22-A0F394223E1C}">
      <dgm:prSet/>
      <dgm:spPr/>
      <dgm:t>
        <a:bodyPr/>
        <a:lstStyle/>
        <a:p>
          <a:endParaRPr lang="en-IN"/>
        </a:p>
      </dgm:t>
    </dgm:pt>
    <dgm:pt modelId="{1DA6D785-1867-4555-AF0F-2C53A17CA252}" type="sibTrans" cxnId="{9C8D1225-22C7-4C99-8D22-A0F394223E1C}">
      <dgm:prSet/>
      <dgm:spPr/>
      <dgm:t>
        <a:bodyPr/>
        <a:lstStyle/>
        <a:p>
          <a:endParaRPr lang="en-IN"/>
        </a:p>
      </dgm:t>
    </dgm:pt>
    <dgm:pt modelId="{472A6B0E-9B61-4834-A11A-8167EB7251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0B2F529-C227-4AFA-9869-F1C5F93B7411}" type="parTrans" cxnId="{B40D5C99-47CD-4B5C-BECA-2F3E16A61FF0}">
      <dgm:prSet/>
      <dgm:spPr/>
      <dgm:t>
        <a:bodyPr/>
        <a:lstStyle/>
        <a:p>
          <a:endParaRPr lang="en-IN"/>
        </a:p>
      </dgm:t>
    </dgm:pt>
    <dgm:pt modelId="{A45A06BF-27FB-4DFD-A66D-202CC0C7CB04}" type="sibTrans" cxnId="{B40D5C99-47CD-4B5C-BECA-2F3E16A61FF0}">
      <dgm:prSet/>
      <dgm:spPr/>
      <dgm:t>
        <a:bodyPr/>
        <a:lstStyle/>
        <a:p>
          <a:endParaRPr lang="en-IN"/>
        </a:p>
      </dgm:t>
    </dgm:pt>
    <dgm:pt modelId="{058BAF66-FEE2-4B3A-8EE6-25FBFC3671F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804B64F-8B56-4A4C-A418-4BB3F4ED6989}" type="parTrans" cxnId="{CE732743-EE07-45A9-A191-7CDE8C1EF3FB}">
      <dgm:prSet/>
      <dgm:spPr/>
      <dgm:t>
        <a:bodyPr/>
        <a:lstStyle/>
        <a:p>
          <a:endParaRPr lang="en-IN"/>
        </a:p>
      </dgm:t>
    </dgm:pt>
    <dgm:pt modelId="{2950B48C-8A63-4EE8-992E-FE5529DA3D84}" type="sibTrans" cxnId="{CE732743-EE07-45A9-A191-7CDE8C1EF3FB}">
      <dgm:prSet/>
      <dgm:spPr/>
      <dgm:t>
        <a:bodyPr/>
        <a:lstStyle/>
        <a:p>
          <a:endParaRPr lang="en-IN"/>
        </a:p>
      </dgm:t>
    </dgm:pt>
    <dgm:pt modelId="{CFAC0D8A-84E8-4DBA-8190-A3C763E23FE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C225E30-36A4-4BE6-ADB9-85A3B29271E0}" type="parTrans" cxnId="{77E69C30-A8B8-4C60-A679-AF2569E5D332}">
      <dgm:prSet/>
      <dgm:spPr/>
      <dgm:t>
        <a:bodyPr/>
        <a:lstStyle/>
        <a:p>
          <a:endParaRPr lang="en-IN"/>
        </a:p>
      </dgm:t>
    </dgm:pt>
    <dgm:pt modelId="{2BAD2124-834B-4C41-8988-1E3F81028152}" type="sibTrans" cxnId="{77E69C30-A8B8-4C60-A679-AF2569E5D332}">
      <dgm:prSet/>
      <dgm:spPr/>
      <dgm:t>
        <a:bodyPr/>
        <a:lstStyle/>
        <a:p>
          <a:endParaRPr lang="en-IN"/>
        </a:p>
      </dgm:t>
    </dgm:pt>
    <dgm:pt modelId="{92CBA82E-8C23-4886-9478-50470E71E84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E0A0574-2CD4-4A8E-8B58-75434BAC3266}" type="parTrans" cxnId="{8D58C247-3387-4042-9DA1-6B29904A57D7}">
      <dgm:prSet/>
      <dgm:spPr/>
      <dgm:t>
        <a:bodyPr/>
        <a:lstStyle/>
        <a:p>
          <a:endParaRPr lang="en-IN"/>
        </a:p>
      </dgm:t>
    </dgm:pt>
    <dgm:pt modelId="{3739894D-5D17-4D06-BD0C-F96C8E68D34F}" type="sibTrans" cxnId="{8D58C247-3387-4042-9DA1-6B29904A57D7}">
      <dgm:prSet/>
      <dgm:spPr/>
      <dgm:t>
        <a:bodyPr/>
        <a:lstStyle/>
        <a:p>
          <a:endParaRPr lang="en-IN"/>
        </a:p>
      </dgm:t>
    </dgm:pt>
    <dgm:pt modelId="{F133B79B-C8B9-45C1-8C69-0DC643D51D92}">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EF179D9-C18F-4A06-AEA9-5D6426FE68A5}" type="parTrans" cxnId="{EB6EEB91-7C5B-4EF0-96BC-BDC5AA3F0FD9}">
      <dgm:prSet/>
      <dgm:spPr/>
      <dgm:t>
        <a:bodyPr/>
        <a:lstStyle/>
        <a:p>
          <a:endParaRPr lang="en-IN"/>
        </a:p>
      </dgm:t>
    </dgm:pt>
    <dgm:pt modelId="{8B4E6A5E-1239-4310-97A4-401A115924F6}" type="sibTrans" cxnId="{EB6EEB91-7C5B-4EF0-96BC-BDC5AA3F0FD9}">
      <dgm:prSet/>
      <dgm:spPr/>
      <dgm:t>
        <a:bodyPr/>
        <a:lstStyle/>
        <a:p>
          <a:endParaRPr lang="en-IN"/>
        </a:p>
      </dgm:t>
    </dgm:pt>
    <dgm:pt modelId="{21707E9C-756F-49C7-8A2B-CFCBD71737B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58E3A9E-66A2-4346-BCEC-4375FA80156E}" type="parTrans" cxnId="{D4CDB5C1-3514-4F87-BA98-B12881772400}">
      <dgm:prSet/>
      <dgm:spPr/>
      <dgm:t>
        <a:bodyPr/>
        <a:lstStyle/>
        <a:p>
          <a:endParaRPr lang="en-IN"/>
        </a:p>
      </dgm:t>
    </dgm:pt>
    <dgm:pt modelId="{BD4CC336-0350-4DD6-A438-A1B6D215B4C8}" type="sibTrans" cxnId="{D4CDB5C1-3514-4F87-BA98-B12881772400}">
      <dgm:prSet/>
      <dgm:spPr/>
      <dgm:t>
        <a:bodyPr/>
        <a:lstStyle/>
        <a:p>
          <a:endParaRPr lang="en-IN"/>
        </a:p>
      </dgm:t>
    </dgm:pt>
    <dgm:pt modelId="{D38C2767-0E30-4FB6-A12F-96B1C5EC5AC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C135556-31BF-44F2-8873-1191AAC5AD3E}" type="parTrans" cxnId="{79D660C9-D21C-4FC7-8695-F77066748A2E}">
      <dgm:prSet/>
      <dgm:spPr/>
      <dgm:t>
        <a:bodyPr/>
        <a:lstStyle/>
        <a:p>
          <a:endParaRPr lang="en-IN"/>
        </a:p>
      </dgm:t>
    </dgm:pt>
    <dgm:pt modelId="{6C18CF87-B020-4223-B88A-5C47976CBFAE}" type="sibTrans" cxnId="{79D660C9-D21C-4FC7-8695-F77066748A2E}">
      <dgm:prSet/>
      <dgm:spPr/>
      <dgm:t>
        <a:bodyPr/>
        <a:lstStyle/>
        <a:p>
          <a:endParaRPr lang="en-IN"/>
        </a:p>
      </dgm:t>
    </dgm:pt>
    <dgm:pt modelId="{6D5DB864-02A4-46BE-8545-ED7E486F40B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D53F137-37DF-4C23-9AFE-E21B731FCD13}" type="parTrans" cxnId="{AC1B0D2E-E667-4007-BA66-D9057D10975F}">
      <dgm:prSet/>
      <dgm:spPr/>
      <dgm:t>
        <a:bodyPr/>
        <a:lstStyle/>
        <a:p>
          <a:endParaRPr lang="en-IN"/>
        </a:p>
      </dgm:t>
    </dgm:pt>
    <dgm:pt modelId="{5FD9881E-A1CD-4AF0-A128-252B78B6BC46}" type="sibTrans" cxnId="{AC1B0D2E-E667-4007-BA66-D9057D10975F}">
      <dgm:prSet/>
      <dgm:spPr/>
      <dgm:t>
        <a:bodyPr/>
        <a:lstStyle/>
        <a:p>
          <a:endParaRPr lang="en-IN"/>
        </a:p>
      </dgm:t>
    </dgm:pt>
    <dgm:pt modelId="{BD1A52BE-D10C-4C60-A5CA-97E1F3C6F7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5F3026-EBCD-4FC6-A94B-FA0402247107}" type="parTrans" cxnId="{69F5975D-690D-4573-BBD1-FE2212DC4401}">
      <dgm:prSet/>
      <dgm:spPr/>
      <dgm:t>
        <a:bodyPr/>
        <a:lstStyle/>
        <a:p>
          <a:endParaRPr lang="en-IN"/>
        </a:p>
      </dgm:t>
    </dgm:pt>
    <dgm:pt modelId="{A4DC726A-E32C-4C3E-882A-18D0DB85A508}" type="sibTrans" cxnId="{69F5975D-690D-4573-BBD1-FE2212DC4401}">
      <dgm:prSet/>
      <dgm:spPr/>
      <dgm:t>
        <a:bodyPr/>
        <a:lstStyle/>
        <a:p>
          <a:endParaRPr lang="en-IN"/>
        </a:p>
      </dgm:t>
    </dgm:pt>
    <dgm:pt modelId="{1BBE8EE2-F237-45F9-A383-197C8C6F4123}" type="pres">
      <dgm:prSet presAssocID="{8F85FD1E-8136-4C8A-AF31-DF34731BE3BC}" presName="hierChild1" presStyleCnt="0">
        <dgm:presLayoutVars>
          <dgm:orgChart val="1"/>
          <dgm:chPref val="1"/>
          <dgm:dir/>
          <dgm:animOne val="branch"/>
          <dgm:animLvl val="lvl"/>
          <dgm:resizeHandles/>
        </dgm:presLayoutVars>
      </dgm:prSet>
      <dgm:spPr/>
    </dgm:pt>
    <dgm:pt modelId="{6D0F4103-5D56-4545-B004-2F3D27D4DC7E}" type="pres">
      <dgm:prSet presAssocID="{0D19CEF6-7028-42D2-A7FA-9A9CE24E0D3E}" presName="hierRoot1" presStyleCnt="0">
        <dgm:presLayoutVars>
          <dgm:hierBranch val="init"/>
        </dgm:presLayoutVars>
      </dgm:prSet>
      <dgm:spPr/>
    </dgm:pt>
    <dgm:pt modelId="{248FD803-CE5A-460B-BFC4-F07301AF4304}" type="pres">
      <dgm:prSet presAssocID="{0D19CEF6-7028-42D2-A7FA-9A9CE24E0D3E}" presName="rootComposite1" presStyleCnt="0"/>
      <dgm:spPr/>
    </dgm:pt>
    <dgm:pt modelId="{5C8C398D-1F82-4B8E-87E2-540D1B2A40A0}" type="pres">
      <dgm:prSet presAssocID="{0D19CEF6-7028-42D2-A7FA-9A9CE24E0D3E}" presName="rootText1" presStyleLbl="node0" presStyleIdx="0" presStyleCnt="1" custScaleX="287667" custScaleY="168520" custLinFactNeighborX="-3167" custLinFactNeighborY="-53842">
        <dgm:presLayoutVars>
          <dgm:chPref val="3"/>
        </dgm:presLayoutVars>
      </dgm:prSet>
      <dgm:spPr/>
    </dgm:pt>
    <dgm:pt modelId="{858DBEFF-8CA1-43A2-9BE0-996F85E3B245}" type="pres">
      <dgm:prSet presAssocID="{0D19CEF6-7028-42D2-A7FA-9A9CE24E0D3E}" presName="rootConnector1" presStyleLbl="node1" presStyleIdx="0" presStyleCnt="0"/>
      <dgm:spPr/>
    </dgm:pt>
    <dgm:pt modelId="{14BD63D9-C141-4E9C-B724-F2CE1C6ECE3A}" type="pres">
      <dgm:prSet presAssocID="{0D19CEF6-7028-42D2-A7FA-9A9CE24E0D3E}" presName="hierChild2" presStyleCnt="0"/>
      <dgm:spPr/>
    </dgm:pt>
    <dgm:pt modelId="{6829BF15-4119-41AB-879E-0A03001B34CB}" type="pres">
      <dgm:prSet presAssocID="{888506E6-77BD-43A8-8E77-FA1FA2C75BB2}" presName="Name37" presStyleLbl="parChTrans1D2" presStyleIdx="0" presStyleCnt="6"/>
      <dgm:spPr/>
    </dgm:pt>
    <dgm:pt modelId="{0AB02927-4D03-432B-B536-50E42C732E86}" type="pres">
      <dgm:prSet presAssocID="{30A75C1B-28C6-4B8D-9C12-C405753EA701}" presName="hierRoot2" presStyleCnt="0">
        <dgm:presLayoutVars>
          <dgm:hierBranch val="init"/>
        </dgm:presLayoutVars>
      </dgm:prSet>
      <dgm:spPr/>
    </dgm:pt>
    <dgm:pt modelId="{FDA37664-FE3C-4B36-8ED4-E7B713A9CA04}" type="pres">
      <dgm:prSet presAssocID="{30A75C1B-28C6-4B8D-9C12-C405753EA701}" presName="rootComposite" presStyleCnt="0"/>
      <dgm:spPr/>
    </dgm:pt>
    <dgm:pt modelId="{853FFB4D-1E55-4DDD-854F-C86298D938B0}" type="pres">
      <dgm:prSet presAssocID="{30A75C1B-28C6-4B8D-9C12-C405753EA701}" presName="rootText" presStyleLbl="node2" presStyleIdx="0" presStyleCnt="6" custScaleX="245210" custScaleY="168520">
        <dgm:presLayoutVars>
          <dgm:chPref val="3"/>
        </dgm:presLayoutVars>
      </dgm:prSet>
      <dgm:spPr/>
    </dgm:pt>
    <dgm:pt modelId="{22A73B9D-D4EE-45F4-950A-257DEF58E397}" type="pres">
      <dgm:prSet presAssocID="{30A75C1B-28C6-4B8D-9C12-C405753EA701}" presName="rootConnector" presStyleLbl="node2" presStyleIdx="0" presStyleCnt="6"/>
      <dgm:spPr/>
    </dgm:pt>
    <dgm:pt modelId="{AAC3183A-DCEF-4665-AD87-238BF53C552A}" type="pres">
      <dgm:prSet presAssocID="{30A75C1B-28C6-4B8D-9C12-C405753EA701}" presName="hierChild4" presStyleCnt="0"/>
      <dgm:spPr/>
    </dgm:pt>
    <dgm:pt modelId="{2C29EF2C-4297-4C3B-9B35-26D15FB09F87}" type="pres">
      <dgm:prSet presAssocID="{82998A5A-8177-4BF4-B11A-85C450BCA0B9}" presName="Name37" presStyleLbl="parChTrans1D3" presStyleIdx="0" presStyleCnt="36"/>
      <dgm:spPr/>
    </dgm:pt>
    <dgm:pt modelId="{A115F367-0B3E-43DE-9071-DEE287BC6E21}" type="pres">
      <dgm:prSet presAssocID="{DE430EBC-9AEB-4AC5-8133-E102B3D8B235}" presName="hierRoot2" presStyleCnt="0">
        <dgm:presLayoutVars>
          <dgm:hierBranch val="init"/>
        </dgm:presLayoutVars>
      </dgm:prSet>
      <dgm:spPr/>
    </dgm:pt>
    <dgm:pt modelId="{6C043EAF-2E1F-494A-8B78-7F8A3E97A5DF}" type="pres">
      <dgm:prSet presAssocID="{DE430EBC-9AEB-4AC5-8133-E102B3D8B235}" presName="rootComposite" presStyleCnt="0"/>
      <dgm:spPr/>
    </dgm:pt>
    <dgm:pt modelId="{A15103E7-543E-4790-AE67-947E45BFBF80}" type="pres">
      <dgm:prSet presAssocID="{DE430EBC-9AEB-4AC5-8133-E102B3D8B235}" presName="rootText" presStyleLbl="node3" presStyleIdx="0" presStyleCnt="36" custScaleX="207455" custScaleY="152168" custLinFactNeighborX="-4300" custLinFactNeighborY="22686">
        <dgm:presLayoutVars>
          <dgm:chPref val="3"/>
        </dgm:presLayoutVars>
      </dgm:prSet>
      <dgm:spPr/>
    </dgm:pt>
    <dgm:pt modelId="{87C0B8B4-77B8-4E43-88C6-0FBC36C0E8AE}" type="pres">
      <dgm:prSet presAssocID="{DE430EBC-9AEB-4AC5-8133-E102B3D8B235}" presName="rootConnector" presStyleLbl="node3" presStyleIdx="0" presStyleCnt="36"/>
      <dgm:spPr/>
    </dgm:pt>
    <dgm:pt modelId="{BF01B791-B98C-4021-9AEB-AA06200B383E}" type="pres">
      <dgm:prSet presAssocID="{DE430EBC-9AEB-4AC5-8133-E102B3D8B235}" presName="hierChild4" presStyleCnt="0"/>
      <dgm:spPr/>
    </dgm:pt>
    <dgm:pt modelId="{957D3F0E-F6B3-4198-95F1-E7F4633DD8F7}" type="pres">
      <dgm:prSet presAssocID="{DE430EBC-9AEB-4AC5-8133-E102B3D8B235}" presName="hierChild5" presStyleCnt="0"/>
      <dgm:spPr/>
    </dgm:pt>
    <dgm:pt modelId="{7398580D-8EEC-44BA-940A-E4D9004A0CF0}" type="pres">
      <dgm:prSet presAssocID="{C41972CF-CFF7-4A0B-86FB-124A3C29C284}" presName="Name37" presStyleLbl="parChTrans1D3" presStyleIdx="1" presStyleCnt="36"/>
      <dgm:spPr/>
    </dgm:pt>
    <dgm:pt modelId="{03DBE40F-FF98-444C-A7D5-3EBF0575BB02}" type="pres">
      <dgm:prSet presAssocID="{15422A0F-7BCA-484C-B057-F62059D58FAA}" presName="hierRoot2" presStyleCnt="0">
        <dgm:presLayoutVars>
          <dgm:hierBranch val="init"/>
        </dgm:presLayoutVars>
      </dgm:prSet>
      <dgm:spPr/>
    </dgm:pt>
    <dgm:pt modelId="{02C9CE59-BCDE-4DDD-BDE4-87B0C464539E}" type="pres">
      <dgm:prSet presAssocID="{15422A0F-7BCA-484C-B057-F62059D58FAA}" presName="rootComposite" presStyleCnt="0"/>
      <dgm:spPr/>
    </dgm:pt>
    <dgm:pt modelId="{E96B1214-A9E7-4181-8CA8-92FB713D4A14}" type="pres">
      <dgm:prSet presAssocID="{15422A0F-7BCA-484C-B057-F62059D58FAA}" presName="rootText" presStyleLbl="node3" presStyleIdx="1" presStyleCnt="36" custScaleX="207455" custScaleY="158876" custLinFactNeighborX="-6538">
        <dgm:presLayoutVars>
          <dgm:chPref val="3"/>
        </dgm:presLayoutVars>
      </dgm:prSet>
      <dgm:spPr/>
    </dgm:pt>
    <dgm:pt modelId="{B8710126-C736-487F-A3BB-9B4531A059E9}" type="pres">
      <dgm:prSet presAssocID="{15422A0F-7BCA-484C-B057-F62059D58FAA}" presName="rootConnector" presStyleLbl="node3" presStyleIdx="1" presStyleCnt="36"/>
      <dgm:spPr/>
    </dgm:pt>
    <dgm:pt modelId="{A9508114-E7F9-4DBE-8329-1327BA724F97}" type="pres">
      <dgm:prSet presAssocID="{15422A0F-7BCA-484C-B057-F62059D58FAA}" presName="hierChild4" presStyleCnt="0"/>
      <dgm:spPr/>
    </dgm:pt>
    <dgm:pt modelId="{DAC7EED0-336F-4C94-8BC6-B18A3594F9C8}" type="pres">
      <dgm:prSet presAssocID="{15422A0F-7BCA-484C-B057-F62059D58FAA}" presName="hierChild5" presStyleCnt="0"/>
      <dgm:spPr/>
    </dgm:pt>
    <dgm:pt modelId="{43BA9691-70A2-49E9-901A-2FCF27528D5D}" type="pres">
      <dgm:prSet presAssocID="{19A46F26-59B1-4C5A-BF18-0E767311EBF1}" presName="Name37" presStyleLbl="parChTrans1D3" presStyleIdx="2" presStyleCnt="36"/>
      <dgm:spPr/>
    </dgm:pt>
    <dgm:pt modelId="{5029BA54-005A-49AB-97FF-9FC9A373ADD2}" type="pres">
      <dgm:prSet presAssocID="{ECF03B94-C7AD-4DF3-B508-62E701087C6F}" presName="hierRoot2" presStyleCnt="0">
        <dgm:presLayoutVars>
          <dgm:hierBranch val="init"/>
        </dgm:presLayoutVars>
      </dgm:prSet>
      <dgm:spPr/>
    </dgm:pt>
    <dgm:pt modelId="{A98BA154-E2FA-4146-9D15-A7107B688D5C}" type="pres">
      <dgm:prSet presAssocID="{ECF03B94-C7AD-4DF3-B508-62E701087C6F}" presName="rootComposite" presStyleCnt="0"/>
      <dgm:spPr/>
    </dgm:pt>
    <dgm:pt modelId="{856CFF55-E4E6-40F3-9F14-FD1536F40E0B}" type="pres">
      <dgm:prSet presAssocID="{ECF03B94-C7AD-4DF3-B508-62E701087C6F}" presName="rootText" presStyleLbl="node3" presStyleIdx="2" presStyleCnt="36" custScaleX="207455" custScaleY="173545" custLinFactNeighborX="-6538">
        <dgm:presLayoutVars>
          <dgm:chPref val="3"/>
        </dgm:presLayoutVars>
      </dgm:prSet>
      <dgm:spPr/>
    </dgm:pt>
    <dgm:pt modelId="{F83BC690-EFD5-4158-846D-4272C8D58421}" type="pres">
      <dgm:prSet presAssocID="{ECF03B94-C7AD-4DF3-B508-62E701087C6F}" presName="rootConnector" presStyleLbl="node3" presStyleIdx="2" presStyleCnt="36"/>
      <dgm:spPr/>
    </dgm:pt>
    <dgm:pt modelId="{8BEF0CE6-25E2-45C6-B31D-6615907E5150}" type="pres">
      <dgm:prSet presAssocID="{ECF03B94-C7AD-4DF3-B508-62E701087C6F}" presName="hierChild4" presStyleCnt="0"/>
      <dgm:spPr/>
    </dgm:pt>
    <dgm:pt modelId="{0CCEBE28-D2D2-42E7-8497-A32E247F9332}" type="pres">
      <dgm:prSet presAssocID="{ECF03B94-C7AD-4DF3-B508-62E701087C6F}" presName="hierChild5" presStyleCnt="0"/>
      <dgm:spPr/>
    </dgm:pt>
    <dgm:pt modelId="{59FDCD71-00D1-4CBF-9A31-1E489E856A40}" type="pres">
      <dgm:prSet presAssocID="{68F8F16B-F0F9-4668-BE26-B49FDC6CE9C8}" presName="Name37" presStyleLbl="parChTrans1D3" presStyleIdx="3" presStyleCnt="36"/>
      <dgm:spPr/>
    </dgm:pt>
    <dgm:pt modelId="{783D7969-5DD7-46E6-81AA-175ED2993BE9}" type="pres">
      <dgm:prSet presAssocID="{83A882C9-CED3-4DBB-B5D7-A9BC33A0CB1E}" presName="hierRoot2" presStyleCnt="0">
        <dgm:presLayoutVars>
          <dgm:hierBranch val="init"/>
        </dgm:presLayoutVars>
      </dgm:prSet>
      <dgm:spPr/>
    </dgm:pt>
    <dgm:pt modelId="{156D47D9-66DA-4B1B-87EA-22C3EBEEA027}" type="pres">
      <dgm:prSet presAssocID="{83A882C9-CED3-4DBB-B5D7-A9BC33A0CB1E}" presName="rootComposite" presStyleCnt="0"/>
      <dgm:spPr/>
    </dgm:pt>
    <dgm:pt modelId="{2490E369-58C0-4092-BC57-B6F9B7A8424A}" type="pres">
      <dgm:prSet presAssocID="{83A882C9-CED3-4DBB-B5D7-A9BC33A0CB1E}" presName="rootText" presStyleLbl="node3" presStyleIdx="3" presStyleCnt="36" custScaleX="207455" custScaleY="173545" custLinFactNeighborX="-6538">
        <dgm:presLayoutVars>
          <dgm:chPref val="3"/>
        </dgm:presLayoutVars>
      </dgm:prSet>
      <dgm:spPr/>
    </dgm:pt>
    <dgm:pt modelId="{D5173406-90A0-430E-A257-C053CA506765}" type="pres">
      <dgm:prSet presAssocID="{83A882C9-CED3-4DBB-B5D7-A9BC33A0CB1E}" presName="rootConnector" presStyleLbl="node3" presStyleIdx="3" presStyleCnt="36"/>
      <dgm:spPr/>
    </dgm:pt>
    <dgm:pt modelId="{6F5EA6DD-026A-4E2C-BF23-89FA49EE2F78}" type="pres">
      <dgm:prSet presAssocID="{83A882C9-CED3-4DBB-B5D7-A9BC33A0CB1E}" presName="hierChild4" presStyleCnt="0"/>
      <dgm:spPr/>
    </dgm:pt>
    <dgm:pt modelId="{1D7E1165-8116-4128-B4E6-C0B36CE8B661}" type="pres">
      <dgm:prSet presAssocID="{83A882C9-CED3-4DBB-B5D7-A9BC33A0CB1E}" presName="hierChild5" presStyleCnt="0"/>
      <dgm:spPr/>
    </dgm:pt>
    <dgm:pt modelId="{077EA319-D2C5-4551-A3AF-BBD742321036}" type="pres">
      <dgm:prSet presAssocID="{99BCA385-66F1-4778-AC5F-322108555713}" presName="Name37" presStyleLbl="parChTrans1D3" presStyleIdx="4" presStyleCnt="36"/>
      <dgm:spPr/>
    </dgm:pt>
    <dgm:pt modelId="{7406020C-ABF0-4D0A-8928-4BCD57F20A88}" type="pres">
      <dgm:prSet presAssocID="{CAB3C7F0-E5B8-433A-80EE-848BBB579EA1}" presName="hierRoot2" presStyleCnt="0">
        <dgm:presLayoutVars>
          <dgm:hierBranch val="init"/>
        </dgm:presLayoutVars>
      </dgm:prSet>
      <dgm:spPr/>
    </dgm:pt>
    <dgm:pt modelId="{11670C23-646E-4B95-B4DB-94E6868F4E68}" type="pres">
      <dgm:prSet presAssocID="{CAB3C7F0-E5B8-433A-80EE-848BBB579EA1}" presName="rootComposite" presStyleCnt="0"/>
      <dgm:spPr/>
    </dgm:pt>
    <dgm:pt modelId="{7074A187-D177-4CA7-8FAD-19086FA2F2A3}" type="pres">
      <dgm:prSet presAssocID="{CAB3C7F0-E5B8-433A-80EE-848BBB579EA1}" presName="rootText" presStyleLbl="node3" presStyleIdx="4" presStyleCnt="36" custScaleX="207455" custScaleY="173545" custLinFactNeighborX="-6538">
        <dgm:presLayoutVars>
          <dgm:chPref val="3"/>
        </dgm:presLayoutVars>
      </dgm:prSet>
      <dgm:spPr/>
    </dgm:pt>
    <dgm:pt modelId="{925B500F-2D7C-454A-BB55-FDBCEEFBBE9A}" type="pres">
      <dgm:prSet presAssocID="{CAB3C7F0-E5B8-433A-80EE-848BBB579EA1}" presName="rootConnector" presStyleLbl="node3" presStyleIdx="4" presStyleCnt="36"/>
      <dgm:spPr/>
    </dgm:pt>
    <dgm:pt modelId="{AE7C3B8B-70FE-48C1-BA2C-3642AC5E9DBE}" type="pres">
      <dgm:prSet presAssocID="{CAB3C7F0-E5B8-433A-80EE-848BBB579EA1}" presName="hierChild4" presStyleCnt="0"/>
      <dgm:spPr/>
    </dgm:pt>
    <dgm:pt modelId="{67E5D55B-4E45-415B-A55F-6554AFB561D0}" type="pres">
      <dgm:prSet presAssocID="{CAB3C7F0-E5B8-433A-80EE-848BBB579EA1}" presName="hierChild5" presStyleCnt="0"/>
      <dgm:spPr/>
    </dgm:pt>
    <dgm:pt modelId="{591A4806-A056-49FA-A807-3507349E025F}" type="pres">
      <dgm:prSet presAssocID="{A6ECC484-C5B3-4E5A-B7E0-750C177CFF69}" presName="Name37" presStyleLbl="parChTrans1D3" presStyleIdx="5" presStyleCnt="36"/>
      <dgm:spPr/>
    </dgm:pt>
    <dgm:pt modelId="{96935911-C62F-433C-AE70-3687A1374045}" type="pres">
      <dgm:prSet presAssocID="{0AF8697D-AC9F-4005-8FD9-6DCBA79179B5}" presName="hierRoot2" presStyleCnt="0">
        <dgm:presLayoutVars>
          <dgm:hierBranch val="init"/>
        </dgm:presLayoutVars>
      </dgm:prSet>
      <dgm:spPr/>
    </dgm:pt>
    <dgm:pt modelId="{076F1FC8-A8E5-42C4-84A7-EAF7575AD21F}" type="pres">
      <dgm:prSet presAssocID="{0AF8697D-AC9F-4005-8FD9-6DCBA79179B5}" presName="rootComposite" presStyleCnt="0"/>
      <dgm:spPr/>
    </dgm:pt>
    <dgm:pt modelId="{87B9EBD0-8BEE-4198-81B7-89C4056E1059}" type="pres">
      <dgm:prSet presAssocID="{0AF8697D-AC9F-4005-8FD9-6DCBA79179B5}" presName="rootText" presStyleLbl="node3" presStyleIdx="5" presStyleCnt="36" custScaleX="207455" custScaleY="173545">
        <dgm:presLayoutVars>
          <dgm:chPref val="3"/>
        </dgm:presLayoutVars>
      </dgm:prSet>
      <dgm:spPr/>
    </dgm:pt>
    <dgm:pt modelId="{2866293E-A1B4-4F6A-A920-9518F91B0520}" type="pres">
      <dgm:prSet presAssocID="{0AF8697D-AC9F-4005-8FD9-6DCBA79179B5}" presName="rootConnector" presStyleLbl="node3" presStyleIdx="5" presStyleCnt="36"/>
      <dgm:spPr/>
    </dgm:pt>
    <dgm:pt modelId="{99207C7F-724B-46D3-814D-445C2CAE6893}" type="pres">
      <dgm:prSet presAssocID="{0AF8697D-AC9F-4005-8FD9-6DCBA79179B5}" presName="hierChild4" presStyleCnt="0"/>
      <dgm:spPr/>
    </dgm:pt>
    <dgm:pt modelId="{60FDCBB5-4A13-4815-BDA1-43BC74E14AA2}" type="pres">
      <dgm:prSet presAssocID="{0AF8697D-AC9F-4005-8FD9-6DCBA79179B5}" presName="hierChild5" presStyleCnt="0"/>
      <dgm:spPr/>
    </dgm:pt>
    <dgm:pt modelId="{0B98BB91-97BD-481F-AB76-DC6CB8E05CDE}" type="pres">
      <dgm:prSet presAssocID="{30A75C1B-28C6-4B8D-9C12-C405753EA701}" presName="hierChild5" presStyleCnt="0"/>
      <dgm:spPr/>
    </dgm:pt>
    <dgm:pt modelId="{E956C72C-0695-4AF5-8F1B-AF3CF911254E}" type="pres">
      <dgm:prSet presAssocID="{1AD6EFD4-8689-4711-870E-B8FCA71DC32C}" presName="Name37" presStyleLbl="parChTrans1D2" presStyleIdx="1" presStyleCnt="6"/>
      <dgm:spPr/>
    </dgm:pt>
    <dgm:pt modelId="{D7620E44-AED8-4A1E-A9A7-4CDE6E28310A}" type="pres">
      <dgm:prSet presAssocID="{E2075C35-04A8-466E-AEED-5D3277B5A90A}" presName="hierRoot2" presStyleCnt="0">
        <dgm:presLayoutVars>
          <dgm:hierBranch val="init"/>
        </dgm:presLayoutVars>
      </dgm:prSet>
      <dgm:spPr/>
    </dgm:pt>
    <dgm:pt modelId="{679A40AA-A499-4C07-BD23-A36908EDC486}" type="pres">
      <dgm:prSet presAssocID="{E2075C35-04A8-466E-AEED-5D3277B5A90A}" presName="rootComposite" presStyleCnt="0"/>
      <dgm:spPr/>
    </dgm:pt>
    <dgm:pt modelId="{A93E9E9D-8284-47DB-90D4-BE1DFF93A8F2}" type="pres">
      <dgm:prSet presAssocID="{E2075C35-04A8-466E-AEED-5D3277B5A90A}" presName="rootText" presStyleLbl="node2" presStyleIdx="1" presStyleCnt="6" custScaleX="245210" custScaleY="168520">
        <dgm:presLayoutVars>
          <dgm:chPref val="3"/>
        </dgm:presLayoutVars>
      </dgm:prSet>
      <dgm:spPr/>
    </dgm:pt>
    <dgm:pt modelId="{9DC0A2C5-954A-46FE-AAEA-4522F3158F81}" type="pres">
      <dgm:prSet presAssocID="{E2075C35-04A8-466E-AEED-5D3277B5A90A}" presName="rootConnector" presStyleLbl="node2" presStyleIdx="1" presStyleCnt="6"/>
      <dgm:spPr/>
    </dgm:pt>
    <dgm:pt modelId="{C53ED865-57A2-4A86-A5F6-20FFFD70D8B8}" type="pres">
      <dgm:prSet presAssocID="{E2075C35-04A8-466E-AEED-5D3277B5A90A}" presName="hierChild4" presStyleCnt="0"/>
      <dgm:spPr/>
    </dgm:pt>
    <dgm:pt modelId="{8DEFE2F6-F03E-4E75-8B42-5AD6EA54AB63}" type="pres">
      <dgm:prSet presAssocID="{A2B11AD8-E2B9-4F53-9825-E09DEC18CD35}" presName="Name37" presStyleLbl="parChTrans1D3" presStyleIdx="6" presStyleCnt="36"/>
      <dgm:spPr/>
    </dgm:pt>
    <dgm:pt modelId="{D9B01269-6547-4AD5-91E3-172CC78E7B49}" type="pres">
      <dgm:prSet presAssocID="{6C08F2A6-164D-4776-851A-3C052221AD3E}" presName="hierRoot2" presStyleCnt="0">
        <dgm:presLayoutVars>
          <dgm:hierBranch val="init"/>
        </dgm:presLayoutVars>
      </dgm:prSet>
      <dgm:spPr/>
    </dgm:pt>
    <dgm:pt modelId="{97DEE372-4507-4F14-81B1-E199EB70B660}" type="pres">
      <dgm:prSet presAssocID="{6C08F2A6-164D-4776-851A-3C052221AD3E}" presName="rootComposite" presStyleCnt="0"/>
      <dgm:spPr/>
    </dgm:pt>
    <dgm:pt modelId="{B0EBF5AF-CC42-4F77-830A-5EDB69B9E1FC}" type="pres">
      <dgm:prSet presAssocID="{6C08F2A6-164D-4776-851A-3C052221AD3E}" presName="rootText" presStyleLbl="node3" presStyleIdx="6" presStyleCnt="36" custScaleX="207455" custScaleY="152507" custLinFactNeighborX="-9132" custLinFactNeighborY="21139">
        <dgm:presLayoutVars>
          <dgm:chPref val="3"/>
        </dgm:presLayoutVars>
      </dgm:prSet>
      <dgm:spPr/>
    </dgm:pt>
    <dgm:pt modelId="{267399EE-B55E-4476-A64E-CC4D84D4DD98}" type="pres">
      <dgm:prSet presAssocID="{6C08F2A6-164D-4776-851A-3C052221AD3E}" presName="rootConnector" presStyleLbl="node3" presStyleIdx="6" presStyleCnt="36"/>
      <dgm:spPr/>
    </dgm:pt>
    <dgm:pt modelId="{0C2FC601-8C0E-4474-B12B-45417123F40C}" type="pres">
      <dgm:prSet presAssocID="{6C08F2A6-164D-4776-851A-3C052221AD3E}" presName="hierChild4" presStyleCnt="0"/>
      <dgm:spPr/>
    </dgm:pt>
    <dgm:pt modelId="{B748F201-8D55-4FFE-A32D-99C4022F0082}" type="pres">
      <dgm:prSet presAssocID="{6C08F2A6-164D-4776-851A-3C052221AD3E}" presName="hierChild5" presStyleCnt="0"/>
      <dgm:spPr/>
    </dgm:pt>
    <dgm:pt modelId="{26AFA3A5-1E4B-4A67-9D21-AFAE2916FDB8}" type="pres">
      <dgm:prSet presAssocID="{99E08339-17FA-41F2-B4C9-036DC2F6E0C9}" presName="Name37" presStyleLbl="parChTrans1D3" presStyleIdx="7" presStyleCnt="36"/>
      <dgm:spPr/>
    </dgm:pt>
    <dgm:pt modelId="{3C1DCA8E-EC54-45D1-9F73-EAD65A7ADEF1}" type="pres">
      <dgm:prSet presAssocID="{9FC7468C-17A0-4FD1-82F6-1994C9AA5866}" presName="hierRoot2" presStyleCnt="0">
        <dgm:presLayoutVars>
          <dgm:hierBranch val="init"/>
        </dgm:presLayoutVars>
      </dgm:prSet>
      <dgm:spPr/>
    </dgm:pt>
    <dgm:pt modelId="{82D3828E-B1EA-430B-9868-976A9559B31E}" type="pres">
      <dgm:prSet presAssocID="{9FC7468C-17A0-4FD1-82F6-1994C9AA5866}" presName="rootComposite" presStyleCnt="0"/>
      <dgm:spPr/>
    </dgm:pt>
    <dgm:pt modelId="{1729CE0B-3838-48AD-B589-B372F2B0C771}" type="pres">
      <dgm:prSet presAssocID="{9FC7468C-17A0-4FD1-82F6-1994C9AA5866}" presName="rootText" presStyleLbl="node3" presStyleIdx="7" presStyleCnt="36" custScaleX="207455" custScaleY="152507" custLinFactNeighborX="-6538">
        <dgm:presLayoutVars>
          <dgm:chPref val="3"/>
        </dgm:presLayoutVars>
      </dgm:prSet>
      <dgm:spPr/>
    </dgm:pt>
    <dgm:pt modelId="{A8BB2A2D-2837-4904-B835-E6E594DCE55B}" type="pres">
      <dgm:prSet presAssocID="{9FC7468C-17A0-4FD1-82F6-1994C9AA5866}" presName="rootConnector" presStyleLbl="node3" presStyleIdx="7" presStyleCnt="36"/>
      <dgm:spPr/>
    </dgm:pt>
    <dgm:pt modelId="{1AC87E64-C07B-4202-B676-4B128FE25888}" type="pres">
      <dgm:prSet presAssocID="{9FC7468C-17A0-4FD1-82F6-1994C9AA5866}" presName="hierChild4" presStyleCnt="0"/>
      <dgm:spPr/>
    </dgm:pt>
    <dgm:pt modelId="{DD1D3571-263D-4FA2-8790-445C1AAB693F}" type="pres">
      <dgm:prSet presAssocID="{9FC7468C-17A0-4FD1-82F6-1994C9AA5866}" presName="hierChild5" presStyleCnt="0"/>
      <dgm:spPr/>
    </dgm:pt>
    <dgm:pt modelId="{D2802FED-9B21-4357-BE79-5F7955BAB013}" type="pres">
      <dgm:prSet presAssocID="{ABED396A-E93F-4365-BB41-2CCF9C939201}" presName="Name37" presStyleLbl="parChTrans1D3" presStyleIdx="8" presStyleCnt="36"/>
      <dgm:spPr/>
    </dgm:pt>
    <dgm:pt modelId="{97614FB8-1A21-486C-B55B-9EF2C3E874BF}" type="pres">
      <dgm:prSet presAssocID="{C5F0B96A-A575-48A3-988A-96868B3842FF}" presName="hierRoot2" presStyleCnt="0">
        <dgm:presLayoutVars>
          <dgm:hierBranch val="init"/>
        </dgm:presLayoutVars>
      </dgm:prSet>
      <dgm:spPr/>
    </dgm:pt>
    <dgm:pt modelId="{621A6E13-D87B-47D3-957F-4D1EDD165C34}" type="pres">
      <dgm:prSet presAssocID="{C5F0B96A-A575-48A3-988A-96868B3842FF}" presName="rootComposite" presStyleCnt="0"/>
      <dgm:spPr/>
    </dgm:pt>
    <dgm:pt modelId="{1B70E28B-3F55-4A34-B864-28329F2EE997}" type="pres">
      <dgm:prSet presAssocID="{C5F0B96A-A575-48A3-988A-96868B3842FF}" presName="rootText" presStyleLbl="node3" presStyleIdx="8" presStyleCnt="36" custScaleX="207455" custScaleY="152507" custLinFactNeighborX="-8021" custLinFactNeighborY="29670">
        <dgm:presLayoutVars>
          <dgm:chPref val="3"/>
        </dgm:presLayoutVars>
      </dgm:prSet>
      <dgm:spPr/>
    </dgm:pt>
    <dgm:pt modelId="{EE2E1F48-D8E2-4DBB-BEED-FC3ADD31836E}" type="pres">
      <dgm:prSet presAssocID="{C5F0B96A-A575-48A3-988A-96868B3842FF}" presName="rootConnector" presStyleLbl="node3" presStyleIdx="8" presStyleCnt="36"/>
      <dgm:spPr/>
    </dgm:pt>
    <dgm:pt modelId="{B32A7BF6-63D6-4EE4-8111-A06540E7045C}" type="pres">
      <dgm:prSet presAssocID="{C5F0B96A-A575-48A3-988A-96868B3842FF}" presName="hierChild4" presStyleCnt="0"/>
      <dgm:spPr/>
    </dgm:pt>
    <dgm:pt modelId="{83460E33-FA34-4F0A-ABA7-E7C7BE373402}" type="pres">
      <dgm:prSet presAssocID="{C5F0B96A-A575-48A3-988A-96868B3842FF}" presName="hierChild5" presStyleCnt="0"/>
      <dgm:spPr/>
    </dgm:pt>
    <dgm:pt modelId="{647F2A7F-A133-4193-BF37-41A98E9AE399}" type="pres">
      <dgm:prSet presAssocID="{F23F9B4E-084A-4AAC-AACF-8F26CD335DF5}" presName="Name37" presStyleLbl="parChTrans1D3" presStyleIdx="9" presStyleCnt="36"/>
      <dgm:spPr/>
    </dgm:pt>
    <dgm:pt modelId="{31F4CBCD-8713-4E26-BBAA-7D0852DF8879}" type="pres">
      <dgm:prSet presAssocID="{FBC789F5-9F9D-4FCB-98BD-A3E208DAB147}" presName="hierRoot2" presStyleCnt="0">
        <dgm:presLayoutVars>
          <dgm:hierBranch val="init"/>
        </dgm:presLayoutVars>
      </dgm:prSet>
      <dgm:spPr/>
    </dgm:pt>
    <dgm:pt modelId="{431BA04E-D342-4AB5-AF2D-339A92F629CB}" type="pres">
      <dgm:prSet presAssocID="{FBC789F5-9F9D-4FCB-98BD-A3E208DAB147}" presName="rootComposite" presStyleCnt="0"/>
      <dgm:spPr/>
    </dgm:pt>
    <dgm:pt modelId="{8EFA38DB-7372-4EF3-94A9-14D2F01FACFE}" type="pres">
      <dgm:prSet presAssocID="{FBC789F5-9F9D-4FCB-98BD-A3E208DAB147}" presName="rootText" presStyleLbl="node3" presStyleIdx="9" presStyleCnt="36" custScaleX="207455" custScaleY="152507" custLinFactNeighborX="-8021" custLinFactNeighborY="35604">
        <dgm:presLayoutVars>
          <dgm:chPref val="3"/>
        </dgm:presLayoutVars>
      </dgm:prSet>
      <dgm:spPr/>
    </dgm:pt>
    <dgm:pt modelId="{F0FBC33A-0974-4CF3-961C-D01F841321DD}" type="pres">
      <dgm:prSet presAssocID="{FBC789F5-9F9D-4FCB-98BD-A3E208DAB147}" presName="rootConnector" presStyleLbl="node3" presStyleIdx="9" presStyleCnt="36"/>
      <dgm:spPr/>
    </dgm:pt>
    <dgm:pt modelId="{613551DC-C035-4CE4-890A-3E64C592023D}" type="pres">
      <dgm:prSet presAssocID="{FBC789F5-9F9D-4FCB-98BD-A3E208DAB147}" presName="hierChild4" presStyleCnt="0"/>
      <dgm:spPr/>
    </dgm:pt>
    <dgm:pt modelId="{DC7A5C71-5EA0-4FD2-886E-BA00FD792F31}" type="pres">
      <dgm:prSet presAssocID="{FBC789F5-9F9D-4FCB-98BD-A3E208DAB147}" presName="hierChild5" presStyleCnt="0"/>
      <dgm:spPr/>
    </dgm:pt>
    <dgm:pt modelId="{A4416B43-F3A4-4973-A232-A705A548F85A}" type="pres">
      <dgm:prSet presAssocID="{3940DA0E-41B9-4888-B3E7-28214BCF8D9B}" presName="Name37" presStyleLbl="parChTrans1D3" presStyleIdx="10" presStyleCnt="36"/>
      <dgm:spPr/>
    </dgm:pt>
    <dgm:pt modelId="{3F9C50BB-B39B-4AEA-A6B1-3DF347432C67}" type="pres">
      <dgm:prSet presAssocID="{A15614BF-5CEB-4D67-B306-D3314BE68D26}" presName="hierRoot2" presStyleCnt="0">
        <dgm:presLayoutVars>
          <dgm:hierBranch val="init"/>
        </dgm:presLayoutVars>
      </dgm:prSet>
      <dgm:spPr/>
    </dgm:pt>
    <dgm:pt modelId="{308376A6-3930-4807-AAE3-2A02D2D5268A}" type="pres">
      <dgm:prSet presAssocID="{A15614BF-5CEB-4D67-B306-D3314BE68D26}" presName="rootComposite" presStyleCnt="0"/>
      <dgm:spPr/>
    </dgm:pt>
    <dgm:pt modelId="{4B8036C8-82F6-4CAC-9705-E438507AC395}" type="pres">
      <dgm:prSet presAssocID="{A15614BF-5CEB-4D67-B306-D3314BE68D26}" presName="rootText" presStyleLbl="node3" presStyleIdx="10" presStyleCnt="36" custScaleX="207455" custScaleY="152507" custLinFactNeighborX="-5055" custLinFactNeighborY="47472">
        <dgm:presLayoutVars>
          <dgm:chPref val="3"/>
        </dgm:presLayoutVars>
      </dgm:prSet>
      <dgm:spPr/>
    </dgm:pt>
    <dgm:pt modelId="{4AF6D63D-FDCA-49E5-BB65-DF2D7246EF51}" type="pres">
      <dgm:prSet presAssocID="{A15614BF-5CEB-4D67-B306-D3314BE68D26}" presName="rootConnector" presStyleLbl="node3" presStyleIdx="10" presStyleCnt="36"/>
      <dgm:spPr/>
    </dgm:pt>
    <dgm:pt modelId="{5C0384CC-B3B7-48B8-A011-FDCFCD06668E}" type="pres">
      <dgm:prSet presAssocID="{A15614BF-5CEB-4D67-B306-D3314BE68D26}" presName="hierChild4" presStyleCnt="0"/>
      <dgm:spPr/>
    </dgm:pt>
    <dgm:pt modelId="{A449278A-E27D-4572-806E-1FC8F429B4EB}" type="pres">
      <dgm:prSet presAssocID="{A15614BF-5CEB-4D67-B306-D3314BE68D26}" presName="hierChild5" presStyleCnt="0"/>
      <dgm:spPr/>
    </dgm:pt>
    <dgm:pt modelId="{4D7DA46E-0BF2-4295-9AD5-E7231B6FBE5D}" type="pres">
      <dgm:prSet presAssocID="{658E3A9E-66A2-4346-BCEC-4375FA80156E}" presName="Name37" presStyleLbl="parChTrans1D3" presStyleIdx="11" presStyleCnt="36"/>
      <dgm:spPr/>
    </dgm:pt>
    <dgm:pt modelId="{6BB6A107-FC1D-4323-ADE8-A2A4934A0E2B}" type="pres">
      <dgm:prSet presAssocID="{21707E9C-756F-49C7-8A2B-CFCBD71737BB}" presName="hierRoot2" presStyleCnt="0">
        <dgm:presLayoutVars>
          <dgm:hierBranch val="init"/>
        </dgm:presLayoutVars>
      </dgm:prSet>
      <dgm:spPr/>
    </dgm:pt>
    <dgm:pt modelId="{8E615908-5FA0-43F1-B382-A9FC6441C876}" type="pres">
      <dgm:prSet presAssocID="{21707E9C-756F-49C7-8A2B-CFCBD71737BB}" presName="rootComposite" presStyleCnt="0"/>
      <dgm:spPr/>
    </dgm:pt>
    <dgm:pt modelId="{4A3627A3-97A7-4455-998E-33BC47472C19}" type="pres">
      <dgm:prSet presAssocID="{21707E9C-756F-49C7-8A2B-CFCBD71737BB}" presName="rootText" presStyleLbl="node3" presStyleIdx="11" presStyleCnt="36" custScaleX="207455" custScaleY="152507" custLinFactNeighborX="4450" custLinFactNeighborY="80108">
        <dgm:presLayoutVars>
          <dgm:chPref val="3"/>
        </dgm:presLayoutVars>
      </dgm:prSet>
      <dgm:spPr/>
    </dgm:pt>
    <dgm:pt modelId="{50B422BA-925B-42BF-9337-3D961FB7C327}" type="pres">
      <dgm:prSet presAssocID="{21707E9C-756F-49C7-8A2B-CFCBD71737BB}" presName="rootConnector" presStyleLbl="node3" presStyleIdx="11" presStyleCnt="36"/>
      <dgm:spPr/>
    </dgm:pt>
    <dgm:pt modelId="{99E75F16-2E77-4339-A134-9220014A24EB}" type="pres">
      <dgm:prSet presAssocID="{21707E9C-756F-49C7-8A2B-CFCBD71737BB}" presName="hierChild4" presStyleCnt="0"/>
      <dgm:spPr/>
    </dgm:pt>
    <dgm:pt modelId="{785C9942-3C01-48FB-B4DF-E5A4DA7090E7}" type="pres">
      <dgm:prSet presAssocID="{21707E9C-756F-49C7-8A2B-CFCBD71737BB}" presName="hierChild5" presStyleCnt="0"/>
      <dgm:spPr/>
    </dgm:pt>
    <dgm:pt modelId="{FFB289A8-7FB7-4E72-8B87-1A9FC73E3A80}" type="pres">
      <dgm:prSet presAssocID="{E2075C35-04A8-466E-AEED-5D3277B5A90A}" presName="hierChild5" presStyleCnt="0"/>
      <dgm:spPr/>
    </dgm:pt>
    <dgm:pt modelId="{A974865C-4AAC-4F63-8401-750EBF08F041}" type="pres">
      <dgm:prSet presAssocID="{44591BC8-1AE4-4203-B251-4BF042D57FB8}" presName="Name37" presStyleLbl="parChTrans1D2" presStyleIdx="2" presStyleCnt="6"/>
      <dgm:spPr/>
    </dgm:pt>
    <dgm:pt modelId="{FEE0FA5E-00A4-41D8-AB1C-AA4586D37F11}" type="pres">
      <dgm:prSet presAssocID="{3F3357F7-4B5D-4628-A1A8-7502CC353783}" presName="hierRoot2" presStyleCnt="0">
        <dgm:presLayoutVars>
          <dgm:hierBranch val="init"/>
        </dgm:presLayoutVars>
      </dgm:prSet>
      <dgm:spPr/>
    </dgm:pt>
    <dgm:pt modelId="{0A5465EC-9D64-45D6-A634-820BA7B4AE2B}" type="pres">
      <dgm:prSet presAssocID="{3F3357F7-4B5D-4628-A1A8-7502CC353783}" presName="rootComposite" presStyleCnt="0"/>
      <dgm:spPr/>
    </dgm:pt>
    <dgm:pt modelId="{18D7EB7E-5345-47F5-A003-6DAA02A6F959}" type="pres">
      <dgm:prSet presAssocID="{3F3357F7-4B5D-4628-A1A8-7502CC353783}" presName="rootText" presStyleLbl="node2" presStyleIdx="2" presStyleCnt="6" custScaleX="245210" custScaleY="168520">
        <dgm:presLayoutVars>
          <dgm:chPref val="3"/>
        </dgm:presLayoutVars>
      </dgm:prSet>
      <dgm:spPr/>
    </dgm:pt>
    <dgm:pt modelId="{14ECF5AB-F12D-4C1A-9BDE-E5F8D27CC289}" type="pres">
      <dgm:prSet presAssocID="{3F3357F7-4B5D-4628-A1A8-7502CC353783}" presName="rootConnector" presStyleLbl="node2" presStyleIdx="2" presStyleCnt="6"/>
      <dgm:spPr/>
    </dgm:pt>
    <dgm:pt modelId="{DBDCAAA8-C1BC-464F-9DDC-4F4DD51E07B8}" type="pres">
      <dgm:prSet presAssocID="{3F3357F7-4B5D-4628-A1A8-7502CC353783}" presName="hierChild4" presStyleCnt="0"/>
      <dgm:spPr/>
    </dgm:pt>
    <dgm:pt modelId="{FC1C23FE-41C3-45AB-B919-B5AEFCF7E4A0}" type="pres">
      <dgm:prSet presAssocID="{AF3C95EC-2FD9-403C-A2F6-972AE545C6A9}" presName="Name37" presStyleLbl="parChTrans1D3" presStyleIdx="12" presStyleCnt="36"/>
      <dgm:spPr/>
    </dgm:pt>
    <dgm:pt modelId="{B07E5FBA-853A-4722-8233-6CF6E72C6F4D}" type="pres">
      <dgm:prSet presAssocID="{7DD9B6E2-B271-4E30-8530-F0FFC7508F3F}" presName="hierRoot2" presStyleCnt="0">
        <dgm:presLayoutVars>
          <dgm:hierBranch val="init"/>
        </dgm:presLayoutVars>
      </dgm:prSet>
      <dgm:spPr/>
    </dgm:pt>
    <dgm:pt modelId="{85F8D879-F237-47AF-B3E9-86F453639ABB}" type="pres">
      <dgm:prSet presAssocID="{7DD9B6E2-B271-4E30-8530-F0FFC7508F3F}" presName="rootComposite" presStyleCnt="0"/>
      <dgm:spPr/>
    </dgm:pt>
    <dgm:pt modelId="{67BD0060-BFB1-4C4A-9D5B-6E6E87609C6C}" type="pres">
      <dgm:prSet presAssocID="{7DD9B6E2-B271-4E30-8530-F0FFC7508F3F}" presName="rootText" presStyleLbl="node3" presStyleIdx="12" presStyleCnt="36" custAng="60000" custScaleX="207455" custScaleY="152507" custLinFactNeighborX="-12472" custLinFactNeighborY="20769">
        <dgm:presLayoutVars>
          <dgm:chPref val="3"/>
        </dgm:presLayoutVars>
      </dgm:prSet>
      <dgm:spPr/>
    </dgm:pt>
    <dgm:pt modelId="{96518F74-4F11-437D-A2B6-A7469A744A9A}" type="pres">
      <dgm:prSet presAssocID="{7DD9B6E2-B271-4E30-8530-F0FFC7508F3F}" presName="rootConnector" presStyleLbl="node3" presStyleIdx="12" presStyleCnt="36"/>
      <dgm:spPr/>
    </dgm:pt>
    <dgm:pt modelId="{4D242C7A-E775-4011-B353-68E6D193D297}" type="pres">
      <dgm:prSet presAssocID="{7DD9B6E2-B271-4E30-8530-F0FFC7508F3F}" presName="hierChild4" presStyleCnt="0"/>
      <dgm:spPr/>
    </dgm:pt>
    <dgm:pt modelId="{864A8151-C91F-4B19-8CA8-65447D47AC96}" type="pres">
      <dgm:prSet presAssocID="{7DD9B6E2-B271-4E30-8530-F0FFC7508F3F}" presName="hierChild5" presStyleCnt="0"/>
      <dgm:spPr/>
    </dgm:pt>
    <dgm:pt modelId="{ED94DFB4-543B-4805-8D2B-6695EC59E5AF}" type="pres">
      <dgm:prSet presAssocID="{B5FE1B7C-2D58-4AE8-96AF-581A3D339B6D}" presName="Name37" presStyleLbl="parChTrans1D3" presStyleIdx="13" presStyleCnt="36"/>
      <dgm:spPr/>
    </dgm:pt>
    <dgm:pt modelId="{AB9A0C88-A7A1-4224-9DB6-1220B771A881}" type="pres">
      <dgm:prSet presAssocID="{56758184-E51D-4231-A1FE-F35C27316928}" presName="hierRoot2" presStyleCnt="0">
        <dgm:presLayoutVars>
          <dgm:hierBranch val="init"/>
        </dgm:presLayoutVars>
      </dgm:prSet>
      <dgm:spPr/>
    </dgm:pt>
    <dgm:pt modelId="{270DE9D8-888B-4BB9-B0E6-9D449C7B0BEE}" type="pres">
      <dgm:prSet presAssocID="{56758184-E51D-4231-A1FE-F35C27316928}" presName="rootComposite" presStyleCnt="0"/>
      <dgm:spPr/>
    </dgm:pt>
    <dgm:pt modelId="{5451555C-535D-4995-B08E-92BDE4EE9F4E}" type="pres">
      <dgm:prSet presAssocID="{56758184-E51D-4231-A1FE-F35C27316928}" presName="rootText" presStyleLbl="node3" presStyleIdx="13" presStyleCnt="36" custAng="60000" custScaleX="207455" custScaleY="152507" custLinFactNeighborX="-6538">
        <dgm:presLayoutVars>
          <dgm:chPref val="3"/>
        </dgm:presLayoutVars>
      </dgm:prSet>
      <dgm:spPr/>
    </dgm:pt>
    <dgm:pt modelId="{98AB874C-9D50-49AD-A1E1-FECCB00C7FAA}" type="pres">
      <dgm:prSet presAssocID="{56758184-E51D-4231-A1FE-F35C27316928}" presName="rootConnector" presStyleLbl="node3" presStyleIdx="13" presStyleCnt="36"/>
      <dgm:spPr/>
    </dgm:pt>
    <dgm:pt modelId="{DF40D6F2-C7A3-4C3B-B06C-FFCFC3169665}" type="pres">
      <dgm:prSet presAssocID="{56758184-E51D-4231-A1FE-F35C27316928}" presName="hierChild4" presStyleCnt="0"/>
      <dgm:spPr/>
    </dgm:pt>
    <dgm:pt modelId="{E6D78B30-3EAD-4309-8DBC-744ABF9A9F04}" type="pres">
      <dgm:prSet presAssocID="{56758184-E51D-4231-A1FE-F35C27316928}" presName="hierChild5" presStyleCnt="0"/>
      <dgm:spPr/>
    </dgm:pt>
    <dgm:pt modelId="{0B8C700B-8527-409D-ADF9-BFF88DA7E80C}" type="pres">
      <dgm:prSet presAssocID="{39C5FE85-32DD-462E-8D23-03C3DDEA20B9}" presName="Name37" presStyleLbl="parChTrans1D3" presStyleIdx="14" presStyleCnt="36"/>
      <dgm:spPr/>
    </dgm:pt>
    <dgm:pt modelId="{A44EAD65-1180-474B-9932-864F69D248A2}" type="pres">
      <dgm:prSet presAssocID="{EA739FF8-B294-456B-B07A-B32298D14275}" presName="hierRoot2" presStyleCnt="0">
        <dgm:presLayoutVars>
          <dgm:hierBranch val="init"/>
        </dgm:presLayoutVars>
      </dgm:prSet>
      <dgm:spPr/>
    </dgm:pt>
    <dgm:pt modelId="{3D98EC16-D683-4773-9709-3132C2BA6BE0}" type="pres">
      <dgm:prSet presAssocID="{EA739FF8-B294-456B-B07A-B32298D14275}" presName="rootComposite" presStyleCnt="0"/>
      <dgm:spPr/>
    </dgm:pt>
    <dgm:pt modelId="{67112E2D-DA08-4C12-BA18-598F9B59C2DD}" type="pres">
      <dgm:prSet presAssocID="{EA739FF8-B294-456B-B07A-B32298D14275}" presName="rootText" presStyleLbl="node3" presStyleIdx="14" presStyleCnt="36" custAng="60000" custScaleX="207455" custScaleY="152507" custLinFactNeighborX="-6538">
        <dgm:presLayoutVars>
          <dgm:chPref val="3"/>
        </dgm:presLayoutVars>
      </dgm:prSet>
      <dgm:spPr/>
    </dgm:pt>
    <dgm:pt modelId="{12D47608-971A-4760-9862-9A137244C989}" type="pres">
      <dgm:prSet presAssocID="{EA739FF8-B294-456B-B07A-B32298D14275}" presName="rootConnector" presStyleLbl="node3" presStyleIdx="14" presStyleCnt="36"/>
      <dgm:spPr/>
    </dgm:pt>
    <dgm:pt modelId="{4AED43CD-31C5-4022-8320-197F7917098A}" type="pres">
      <dgm:prSet presAssocID="{EA739FF8-B294-456B-B07A-B32298D14275}" presName="hierChild4" presStyleCnt="0"/>
      <dgm:spPr/>
    </dgm:pt>
    <dgm:pt modelId="{7AF084A5-28F9-4954-B6C1-10F1AB251456}" type="pres">
      <dgm:prSet presAssocID="{EA739FF8-B294-456B-B07A-B32298D14275}" presName="hierChild5" presStyleCnt="0"/>
      <dgm:spPr/>
    </dgm:pt>
    <dgm:pt modelId="{7A5EFE90-79A7-45A5-998C-98AA3A25E535}" type="pres">
      <dgm:prSet presAssocID="{C6102B0F-7854-426C-92B3-2AE27B490B33}" presName="Name37" presStyleLbl="parChTrans1D3" presStyleIdx="15" presStyleCnt="36"/>
      <dgm:spPr/>
    </dgm:pt>
    <dgm:pt modelId="{D0915C85-8D46-47BF-A4EB-A9D5E2C03223}" type="pres">
      <dgm:prSet presAssocID="{DB7CACC7-5EC9-4B8D-96B4-EF600082F3F7}" presName="hierRoot2" presStyleCnt="0">
        <dgm:presLayoutVars>
          <dgm:hierBranch val="init"/>
        </dgm:presLayoutVars>
      </dgm:prSet>
      <dgm:spPr/>
    </dgm:pt>
    <dgm:pt modelId="{479631B7-3BC0-40CC-9C72-E67CB641C124}" type="pres">
      <dgm:prSet presAssocID="{DB7CACC7-5EC9-4B8D-96B4-EF600082F3F7}" presName="rootComposite" presStyleCnt="0"/>
      <dgm:spPr/>
    </dgm:pt>
    <dgm:pt modelId="{450069CF-7114-46AF-B948-B59BD7BD3248}" type="pres">
      <dgm:prSet presAssocID="{DB7CACC7-5EC9-4B8D-96B4-EF600082F3F7}" presName="rootText" presStyleLbl="node3" presStyleIdx="15" presStyleCnt="36" custAng="60000" custScaleX="207455" custScaleY="152507" custLinFactNeighborX="-6538">
        <dgm:presLayoutVars>
          <dgm:chPref val="3"/>
        </dgm:presLayoutVars>
      </dgm:prSet>
      <dgm:spPr/>
    </dgm:pt>
    <dgm:pt modelId="{DF59B64D-B8F5-4CBC-B522-C117940BEBC4}" type="pres">
      <dgm:prSet presAssocID="{DB7CACC7-5EC9-4B8D-96B4-EF600082F3F7}" presName="rootConnector" presStyleLbl="node3" presStyleIdx="15" presStyleCnt="36"/>
      <dgm:spPr/>
    </dgm:pt>
    <dgm:pt modelId="{6345127E-510B-45C4-A1EC-E1832DAFDCB4}" type="pres">
      <dgm:prSet presAssocID="{DB7CACC7-5EC9-4B8D-96B4-EF600082F3F7}" presName="hierChild4" presStyleCnt="0"/>
      <dgm:spPr/>
    </dgm:pt>
    <dgm:pt modelId="{CB40CC88-B9AA-4CF6-954A-09848908972D}" type="pres">
      <dgm:prSet presAssocID="{DB7CACC7-5EC9-4B8D-96B4-EF600082F3F7}" presName="hierChild5" presStyleCnt="0"/>
      <dgm:spPr/>
    </dgm:pt>
    <dgm:pt modelId="{49442FAC-B0E9-4BAD-861B-AEA4355561EE}" type="pres">
      <dgm:prSet presAssocID="{23FDE87F-8181-442A-B062-9B31B775BC56}" presName="Name37" presStyleLbl="parChTrans1D3" presStyleIdx="16" presStyleCnt="36"/>
      <dgm:spPr/>
    </dgm:pt>
    <dgm:pt modelId="{BE36E480-C167-4AD3-9D39-2BDDE28D2FCE}" type="pres">
      <dgm:prSet presAssocID="{A364AF1D-E42E-45AF-B842-6159BFA8C7B9}" presName="hierRoot2" presStyleCnt="0">
        <dgm:presLayoutVars>
          <dgm:hierBranch val="init"/>
        </dgm:presLayoutVars>
      </dgm:prSet>
      <dgm:spPr/>
    </dgm:pt>
    <dgm:pt modelId="{AE7A26D8-46C7-4B04-8483-C1BD2A7E3C14}" type="pres">
      <dgm:prSet presAssocID="{A364AF1D-E42E-45AF-B842-6159BFA8C7B9}" presName="rootComposite" presStyleCnt="0"/>
      <dgm:spPr/>
    </dgm:pt>
    <dgm:pt modelId="{0A0D7290-3BF8-4E1B-AF58-EEEFB663DEAB}" type="pres">
      <dgm:prSet presAssocID="{A364AF1D-E42E-45AF-B842-6159BFA8C7B9}" presName="rootText" presStyleLbl="node3" presStyleIdx="16" presStyleCnt="36" custAng="60000" custScaleX="207455" custScaleY="152507" custLinFactNeighborX="-604" custLinFactNeighborY="35604">
        <dgm:presLayoutVars>
          <dgm:chPref val="3"/>
        </dgm:presLayoutVars>
      </dgm:prSet>
      <dgm:spPr/>
    </dgm:pt>
    <dgm:pt modelId="{4CA1BCDE-C91A-4827-AD61-80C4BDB2B836}" type="pres">
      <dgm:prSet presAssocID="{A364AF1D-E42E-45AF-B842-6159BFA8C7B9}" presName="rootConnector" presStyleLbl="node3" presStyleIdx="16" presStyleCnt="36"/>
      <dgm:spPr/>
    </dgm:pt>
    <dgm:pt modelId="{F38F6212-48FF-463E-B9A7-FB0408902497}" type="pres">
      <dgm:prSet presAssocID="{A364AF1D-E42E-45AF-B842-6159BFA8C7B9}" presName="hierChild4" presStyleCnt="0"/>
      <dgm:spPr/>
    </dgm:pt>
    <dgm:pt modelId="{0D041C48-43CB-4E57-B84A-F832A4E0B4E1}" type="pres">
      <dgm:prSet presAssocID="{A364AF1D-E42E-45AF-B842-6159BFA8C7B9}" presName="hierChild5" presStyleCnt="0"/>
      <dgm:spPr/>
    </dgm:pt>
    <dgm:pt modelId="{BD64C209-A7B0-47B9-A859-89497615BB8D}" type="pres">
      <dgm:prSet presAssocID="{AC135556-31BF-44F2-8873-1191AAC5AD3E}" presName="Name37" presStyleLbl="parChTrans1D3" presStyleIdx="17" presStyleCnt="36"/>
      <dgm:spPr/>
    </dgm:pt>
    <dgm:pt modelId="{DC678C6B-A706-4E55-9339-2F82E726CF1A}" type="pres">
      <dgm:prSet presAssocID="{D38C2767-0E30-4FB6-A12F-96B1C5EC5ACD}" presName="hierRoot2" presStyleCnt="0">
        <dgm:presLayoutVars>
          <dgm:hierBranch val="init"/>
        </dgm:presLayoutVars>
      </dgm:prSet>
      <dgm:spPr/>
    </dgm:pt>
    <dgm:pt modelId="{754A9F5B-6B64-4FAA-9219-44D2BF6EF7D1}" type="pres">
      <dgm:prSet presAssocID="{D38C2767-0E30-4FB6-A12F-96B1C5EC5ACD}" presName="rootComposite" presStyleCnt="0"/>
      <dgm:spPr/>
    </dgm:pt>
    <dgm:pt modelId="{A9181D67-06C7-48A4-910B-0FB4C3B9B53D}" type="pres">
      <dgm:prSet presAssocID="{D38C2767-0E30-4FB6-A12F-96B1C5EC5ACD}" presName="rootText" presStyleLbl="node3" presStyleIdx="17" presStyleCnt="36" custScaleX="207455" custScaleY="152508" custLinFactNeighborX="13351" custLinFactNeighborY="86043">
        <dgm:presLayoutVars>
          <dgm:chPref val="3"/>
        </dgm:presLayoutVars>
      </dgm:prSet>
      <dgm:spPr/>
    </dgm:pt>
    <dgm:pt modelId="{3E7608C9-1BF5-4B36-AAAD-19D61152C89B}" type="pres">
      <dgm:prSet presAssocID="{D38C2767-0E30-4FB6-A12F-96B1C5EC5ACD}" presName="rootConnector" presStyleLbl="node3" presStyleIdx="17" presStyleCnt="36"/>
      <dgm:spPr/>
    </dgm:pt>
    <dgm:pt modelId="{54FA8ABD-8EE2-4C8E-AF0F-E6E5C06705FC}" type="pres">
      <dgm:prSet presAssocID="{D38C2767-0E30-4FB6-A12F-96B1C5EC5ACD}" presName="hierChild4" presStyleCnt="0"/>
      <dgm:spPr/>
    </dgm:pt>
    <dgm:pt modelId="{E6ED8DE2-CF4D-47A4-9B88-6C9B0BFD0B80}" type="pres">
      <dgm:prSet presAssocID="{D38C2767-0E30-4FB6-A12F-96B1C5EC5ACD}" presName="hierChild5" presStyleCnt="0"/>
      <dgm:spPr/>
    </dgm:pt>
    <dgm:pt modelId="{6A072BC7-B881-493B-AD0D-CDD56EE18CBB}" type="pres">
      <dgm:prSet presAssocID="{3F3357F7-4B5D-4628-A1A8-7502CC353783}" presName="hierChild5" presStyleCnt="0"/>
      <dgm:spPr/>
    </dgm:pt>
    <dgm:pt modelId="{4B4A3709-AA75-4971-921B-CAC4A33225CC}" type="pres">
      <dgm:prSet presAssocID="{1EDA062A-9AE5-4A51-90C7-F5F58C4180FE}" presName="Name37" presStyleLbl="parChTrans1D2" presStyleIdx="3" presStyleCnt="6"/>
      <dgm:spPr/>
    </dgm:pt>
    <dgm:pt modelId="{47D8AAF7-3DE1-4F00-8587-467D065E780E}" type="pres">
      <dgm:prSet presAssocID="{12769DC2-3E6F-47DC-8299-CD864B2ADFD6}" presName="hierRoot2" presStyleCnt="0">
        <dgm:presLayoutVars>
          <dgm:hierBranch val="init"/>
        </dgm:presLayoutVars>
      </dgm:prSet>
      <dgm:spPr/>
    </dgm:pt>
    <dgm:pt modelId="{29CBCBA3-9A84-4E67-AE65-EEE179EEC833}" type="pres">
      <dgm:prSet presAssocID="{12769DC2-3E6F-47DC-8299-CD864B2ADFD6}" presName="rootComposite" presStyleCnt="0"/>
      <dgm:spPr/>
    </dgm:pt>
    <dgm:pt modelId="{EBDC4F41-BB02-4045-BB2C-0F561DCA0C10}" type="pres">
      <dgm:prSet presAssocID="{12769DC2-3E6F-47DC-8299-CD864B2ADFD6}" presName="rootText" presStyleLbl="node2" presStyleIdx="3" presStyleCnt="6" custScaleX="245210" custScaleY="168520">
        <dgm:presLayoutVars>
          <dgm:chPref val="3"/>
        </dgm:presLayoutVars>
      </dgm:prSet>
      <dgm:spPr/>
    </dgm:pt>
    <dgm:pt modelId="{7BCBB919-E96F-42D4-BA5F-2446C6D9C71A}" type="pres">
      <dgm:prSet presAssocID="{12769DC2-3E6F-47DC-8299-CD864B2ADFD6}" presName="rootConnector" presStyleLbl="node2" presStyleIdx="3" presStyleCnt="6"/>
      <dgm:spPr/>
    </dgm:pt>
    <dgm:pt modelId="{43280E03-1FB3-4E9D-B52E-EA740400CD98}" type="pres">
      <dgm:prSet presAssocID="{12769DC2-3E6F-47DC-8299-CD864B2ADFD6}" presName="hierChild4" presStyleCnt="0"/>
      <dgm:spPr/>
    </dgm:pt>
    <dgm:pt modelId="{96BFC465-8166-421C-9903-E801C6A495F4}" type="pres">
      <dgm:prSet presAssocID="{9D236FE8-B5DB-42B2-83A0-8A85E57D18D6}" presName="Name37" presStyleLbl="parChTrans1D3" presStyleIdx="18" presStyleCnt="36"/>
      <dgm:spPr/>
    </dgm:pt>
    <dgm:pt modelId="{9FE58E93-0DB9-444A-BC5D-7057BA79A88D}" type="pres">
      <dgm:prSet presAssocID="{AB76204E-2E1E-4483-B659-02F8E8BD8E3A}" presName="hierRoot2" presStyleCnt="0">
        <dgm:presLayoutVars>
          <dgm:hierBranch val="init"/>
        </dgm:presLayoutVars>
      </dgm:prSet>
      <dgm:spPr/>
    </dgm:pt>
    <dgm:pt modelId="{565A487E-9E09-4ED1-9070-3D2C30FC8F80}" type="pres">
      <dgm:prSet presAssocID="{AB76204E-2E1E-4483-B659-02F8E8BD8E3A}" presName="rootComposite" presStyleCnt="0"/>
      <dgm:spPr/>
    </dgm:pt>
    <dgm:pt modelId="{647420B5-B7F6-41E1-AC34-55D8867088E7}" type="pres">
      <dgm:prSet presAssocID="{AB76204E-2E1E-4483-B659-02F8E8BD8E3A}" presName="rootText" presStyleLbl="node3" presStyleIdx="18" presStyleCnt="36" custScaleX="207455" custScaleY="152507" custLinFactNeighborX="-10988" custLinFactNeighborY="17802">
        <dgm:presLayoutVars>
          <dgm:chPref val="3"/>
        </dgm:presLayoutVars>
      </dgm:prSet>
      <dgm:spPr/>
    </dgm:pt>
    <dgm:pt modelId="{2AA0D326-14A0-4FFF-AA6C-042CD260C778}" type="pres">
      <dgm:prSet presAssocID="{AB76204E-2E1E-4483-B659-02F8E8BD8E3A}" presName="rootConnector" presStyleLbl="node3" presStyleIdx="18" presStyleCnt="36"/>
      <dgm:spPr/>
    </dgm:pt>
    <dgm:pt modelId="{C16A6238-679E-4BA6-B31F-76D0DF27624F}" type="pres">
      <dgm:prSet presAssocID="{AB76204E-2E1E-4483-B659-02F8E8BD8E3A}" presName="hierChild4" presStyleCnt="0"/>
      <dgm:spPr/>
    </dgm:pt>
    <dgm:pt modelId="{9FDA9C82-B287-452D-804B-E818F8F1B6D7}" type="pres">
      <dgm:prSet presAssocID="{AB76204E-2E1E-4483-B659-02F8E8BD8E3A}" presName="hierChild5" presStyleCnt="0"/>
      <dgm:spPr/>
    </dgm:pt>
    <dgm:pt modelId="{EF40F13B-2C5A-41A4-9FFF-CA4653B01B3B}" type="pres">
      <dgm:prSet presAssocID="{4E92F089-AA5E-42E6-8F33-FE692A0C9628}" presName="Name37" presStyleLbl="parChTrans1D3" presStyleIdx="19" presStyleCnt="36"/>
      <dgm:spPr/>
    </dgm:pt>
    <dgm:pt modelId="{687001A3-D3CC-4AB1-84C4-16CB10BD9A2C}" type="pres">
      <dgm:prSet presAssocID="{A2EEF95F-6FCB-462B-A18E-D01951D1EB2D}" presName="hierRoot2" presStyleCnt="0">
        <dgm:presLayoutVars>
          <dgm:hierBranch val="init"/>
        </dgm:presLayoutVars>
      </dgm:prSet>
      <dgm:spPr/>
    </dgm:pt>
    <dgm:pt modelId="{2640AFD9-A105-4927-8D49-A4911DAEB8A6}" type="pres">
      <dgm:prSet presAssocID="{A2EEF95F-6FCB-462B-A18E-D01951D1EB2D}" presName="rootComposite" presStyleCnt="0"/>
      <dgm:spPr/>
    </dgm:pt>
    <dgm:pt modelId="{ABC7BB64-A90A-4CB7-9105-0A2AC9805564}" type="pres">
      <dgm:prSet presAssocID="{A2EEF95F-6FCB-462B-A18E-D01951D1EB2D}" presName="rootText" presStyleLbl="node3" presStyleIdx="19" presStyleCnt="36" custScaleX="207455" custScaleY="152507" custLinFactNeighborX="-9505" custLinFactNeighborY="17802">
        <dgm:presLayoutVars>
          <dgm:chPref val="3"/>
        </dgm:presLayoutVars>
      </dgm:prSet>
      <dgm:spPr/>
    </dgm:pt>
    <dgm:pt modelId="{FF3F3098-1EE8-47DE-A756-7FCF6D81535A}" type="pres">
      <dgm:prSet presAssocID="{A2EEF95F-6FCB-462B-A18E-D01951D1EB2D}" presName="rootConnector" presStyleLbl="node3" presStyleIdx="19" presStyleCnt="36"/>
      <dgm:spPr/>
    </dgm:pt>
    <dgm:pt modelId="{B21E56AF-F838-42B0-B06B-68B9B29854D0}" type="pres">
      <dgm:prSet presAssocID="{A2EEF95F-6FCB-462B-A18E-D01951D1EB2D}" presName="hierChild4" presStyleCnt="0"/>
      <dgm:spPr/>
    </dgm:pt>
    <dgm:pt modelId="{296DDADC-4797-42A4-AEEE-50AD6B51ED36}" type="pres">
      <dgm:prSet presAssocID="{A2EEF95F-6FCB-462B-A18E-D01951D1EB2D}" presName="hierChild5" presStyleCnt="0"/>
      <dgm:spPr/>
    </dgm:pt>
    <dgm:pt modelId="{F8DF4927-B0E2-4A18-B576-0CEAC6685F51}" type="pres">
      <dgm:prSet presAssocID="{D78B9227-C856-4685-9B63-ED38AD2B7C9E}" presName="Name37" presStyleLbl="parChTrans1D3" presStyleIdx="20" presStyleCnt="36"/>
      <dgm:spPr/>
    </dgm:pt>
    <dgm:pt modelId="{6CA202BA-0547-482E-BDB3-FA2EF0455FAC}" type="pres">
      <dgm:prSet presAssocID="{BB19C4C0-C836-4CD8-A7C4-A0225D3257FB}" presName="hierRoot2" presStyleCnt="0">
        <dgm:presLayoutVars>
          <dgm:hierBranch val="init"/>
        </dgm:presLayoutVars>
      </dgm:prSet>
      <dgm:spPr/>
    </dgm:pt>
    <dgm:pt modelId="{8555C65F-DEC2-4828-BA48-3DC0D3ECE78E}" type="pres">
      <dgm:prSet presAssocID="{BB19C4C0-C836-4CD8-A7C4-A0225D3257FB}" presName="rootComposite" presStyleCnt="0"/>
      <dgm:spPr/>
    </dgm:pt>
    <dgm:pt modelId="{AD7D396D-70EB-4F3A-AC22-78E8462178A0}" type="pres">
      <dgm:prSet presAssocID="{BB19C4C0-C836-4CD8-A7C4-A0225D3257FB}" presName="rootText" presStyleLbl="node3" presStyleIdx="20" presStyleCnt="36" custScaleX="207455" custScaleY="152507" custLinFactNeighborX="-6538" custLinFactNeighborY="11868">
        <dgm:presLayoutVars>
          <dgm:chPref val="3"/>
        </dgm:presLayoutVars>
      </dgm:prSet>
      <dgm:spPr/>
    </dgm:pt>
    <dgm:pt modelId="{E8EB7F20-D728-4C93-81BC-AECA407EEA56}" type="pres">
      <dgm:prSet presAssocID="{BB19C4C0-C836-4CD8-A7C4-A0225D3257FB}" presName="rootConnector" presStyleLbl="node3" presStyleIdx="20" presStyleCnt="36"/>
      <dgm:spPr/>
    </dgm:pt>
    <dgm:pt modelId="{73215CC5-9FC6-4D32-8095-2F8C1CDF19D5}" type="pres">
      <dgm:prSet presAssocID="{BB19C4C0-C836-4CD8-A7C4-A0225D3257FB}" presName="hierChild4" presStyleCnt="0"/>
      <dgm:spPr/>
    </dgm:pt>
    <dgm:pt modelId="{804A5EFD-3256-46F4-A920-47AD6128D0B1}" type="pres">
      <dgm:prSet presAssocID="{BB19C4C0-C836-4CD8-A7C4-A0225D3257FB}" presName="hierChild5" presStyleCnt="0"/>
      <dgm:spPr/>
    </dgm:pt>
    <dgm:pt modelId="{F7E5F2CE-0C8A-4AD2-8503-9E5CEAC34879}" type="pres">
      <dgm:prSet presAssocID="{56B05BB8-D9BC-48CC-8340-36DFDDF4319A}" presName="Name37" presStyleLbl="parChTrans1D3" presStyleIdx="21" presStyleCnt="36"/>
      <dgm:spPr/>
    </dgm:pt>
    <dgm:pt modelId="{4F2AEEF9-EDA3-4E3E-B002-537E5DD32D88}" type="pres">
      <dgm:prSet presAssocID="{763329BB-BA95-4CCB-A946-57F154F16083}" presName="hierRoot2" presStyleCnt="0">
        <dgm:presLayoutVars>
          <dgm:hierBranch val="init"/>
        </dgm:presLayoutVars>
      </dgm:prSet>
      <dgm:spPr/>
    </dgm:pt>
    <dgm:pt modelId="{4ECD40FA-F322-4346-AA5A-4A751A4677AA}" type="pres">
      <dgm:prSet presAssocID="{763329BB-BA95-4CCB-A946-57F154F16083}" presName="rootComposite" presStyleCnt="0"/>
      <dgm:spPr/>
    </dgm:pt>
    <dgm:pt modelId="{39B8E77F-B22C-4656-8B22-473C50CE438F}" type="pres">
      <dgm:prSet presAssocID="{763329BB-BA95-4CCB-A946-57F154F16083}" presName="rootText" presStyleLbl="node3" presStyleIdx="21" presStyleCnt="36" custScaleX="207455" custScaleY="152507" custLinFactNeighborX="-6538">
        <dgm:presLayoutVars>
          <dgm:chPref val="3"/>
        </dgm:presLayoutVars>
      </dgm:prSet>
      <dgm:spPr/>
    </dgm:pt>
    <dgm:pt modelId="{A69B6F19-D601-4E1F-A30B-92D7339CEC15}" type="pres">
      <dgm:prSet presAssocID="{763329BB-BA95-4CCB-A946-57F154F16083}" presName="rootConnector" presStyleLbl="node3" presStyleIdx="21" presStyleCnt="36"/>
      <dgm:spPr/>
    </dgm:pt>
    <dgm:pt modelId="{CB957512-36BE-4415-B4CF-2844E268DBC9}" type="pres">
      <dgm:prSet presAssocID="{763329BB-BA95-4CCB-A946-57F154F16083}" presName="hierChild4" presStyleCnt="0"/>
      <dgm:spPr/>
    </dgm:pt>
    <dgm:pt modelId="{8BC8AA20-D366-48FE-8A79-B07CEC24E33A}" type="pres">
      <dgm:prSet presAssocID="{763329BB-BA95-4CCB-A946-57F154F16083}" presName="hierChild5" presStyleCnt="0"/>
      <dgm:spPr/>
    </dgm:pt>
    <dgm:pt modelId="{528E5FC3-D11A-4F89-9B14-660DA30A5BD9}" type="pres">
      <dgm:prSet presAssocID="{D5CF3F1D-4FFA-44B5-84B3-977AD131F177}" presName="Name37" presStyleLbl="parChTrans1D3" presStyleIdx="22" presStyleCnt="36"/>
      <dgm:spPr/>
    </dgm:pt>
    <dgm:pt modelId="{12062A6B-A75C-4D48-B92C-B675952729DB}" type="pres">
      <dgm:prSet presAssocID="{BF100430-0928-4BA1-B2C3-DCBB59BE2FBC}" presName="hierRoot2" presStyleCnt="0">
        <dgm:presLayoutVars>
          <dgm:hierBranch val="init"/>
        </dgm:presLayoutVars>
      </dgm:prSet>
      <dgm:spPr/>
    </dgm:pt>
    <dgm:pt modelId="{30E9CCB3-D19D-4DB7-BC88-FB00CD9E218F}" type="pres">
      <dgm:prSet presAssocID="{BF100430-0928-4BA1-B2C3-DCBB59BE2FBC}" presName="rootComposite" presStyleCnt="0"/>
      <dgm:spPr/>
    </dgm:pt>
    <dgm:pt modelId="{DE90A0AF-EF96-426B-BDC2-9EE119692A07}" type="pres">
      <dgm:prSet presAssocID="{BF100430-0928-4BA1-B2C3-DCBB59BE2FBC}" presName="rootText" presStyleLbl="node3" presStyleIdx="22" presStyleCnt="36" custScaleX="207455" custScaleY="152507" custLinFactNeighborX="-3572" custLinFactNeighborY="38571">
        <dgm:presLayoutVars>
          <dgm:chPref val="3"/>
        </dgm:presLayoutVars>
      </dgm:prSet>
      <dgm:spPr/>
    </dgm:pt>
    <dgm:pt modelId="{F75DB207-43BF-488C-BEA8-CD8796287353}" type="pres">
      <dgm:prSet presAssocID="{BF100430-0928-4BA1-B2C3-DCBB59BE2FBC}" presName="rootConnector" presStyleLbl="node3" presStyleIdx="22" presStyleCnt="36"/>
      <dgm:spPr/>
    </dgm:pt>
    <dgm:pt modelId="{6418E0AA-405F-42EF-9349-0AD5D6EAB063}" type="pres">
      <dgm:prSet presAssocID="{BF100430-0928-4BA1-B2C3-DCBB59BE2FBC}" presName="hierChild4" presStyleCnt="0"/>
      <dgm:spPr/>
    </dgm:pt>
    <dgm:pt modelId="{B1B17F1D-BD38-43E7-83FF-66C9397AAE58}" type="pres">
      <dgm:prSet presAssocID="{BF100430-0928-4BA1-B2C3-DCBB59BE2FBC}" presName="hierChild5" presStyleCnt="0"/>
      <dgm:spPr/>
    </dgm:pt>
    <dgm:pt modelId="{59C04252-CCFB-4CC8-BA77-20FD222490E8}" type="pres">
      <dgm:prSet presAssocID="{3D53F137-37DF-4C23-9AFE-E21B731FCD13}" presName="Name37" presStyleLbl="parChTrans1D3" presStyleIdx="23" presStyleCnt="36"/>
      <dgm:spPr/>
    </dgm:pt>
    <dgm:pt modelId="{A1D1C9F3-0143-44EB-B646-474015DEF2F5}" type="pres">
      <dgm:prSet presAssocID="{6D5DB864-02A4-46BE-8545-ED7E486F40B1}" presName="hierRoot2" presStyleCnt="0">
        <dgm:presLayoutVars>
          <dgm:hierBranch val="init"/>
        </dgm:presLayoutVars>
      </dgm:prSet>
      <dgm:spPr/>
    </dgm:pt>
    <dgm:pt modelId="{5030E857-2B75-42B6-8DF1-6EAD3BCFEC87}" type="pres">
      <dgm:prSet presAssocID="{6D5DB864-02A4-46BE-8545-ED7E486F40B1}" presName="rootComposite" presStyleCnt="0"/>
      <dgm:spPr/>
    </dgm:pt>
    <dgm:pt modelId="{0119EEB9-9A38-430C-8605-8FF3F804544F}" type="pres">
      <dgm:prSet presAssocID="{6D5DB864-02A4-46BE-8545-ED7E486F40B1}" presName="rootText" presStyleLbl="node3" presStyleIdx="23" presStyleCnt="36" custScaleX="207455" custScaleY="152508" custLinFactNeighborX="4450" custLinFactNeighborY="74174">
        <dgm:presLayoutVars>
          <dgm:chPref val="3"/>
        </dgm:presLayoutVars>
      </dgm:prSet>
      <dgm:spPr/>
    </dgm:pt>
    <dgm:pt modelId="{E2D3DBFC-8378-439D-8EA2-F88586179F5F}" type="pres">
      <dgm:prSet presAssocID="{6D5DB864-02A4-46BE-8545-ED7E486F40B1}" presName="rootConnector" presStyleLbl="node3" presStyleIdx="23" presStyleCnt="36"/>
      <dgm:spPr/>
    </dgm:pt>
    <dgm:pt modelId="{2CC031BB-80CE-4A34-B076-97E9EA6BF3C3}" type="pres">
      <dgm:prSet presAssocID="{6D5DB864-02A4-46BE-8545-ED7E486F40B1}" presName="hierChild4" presStyleCnt="0"/>
      <dgm:spPr/>
    </dgm:pt>
    <dgm:pt modelId="{964B1D07-7B38-46DF-B184-5EF2F7CA3EAC}" type="pres">
      <dgm:prSet presAssocID="{6D5DB864-02A4-46BE-8545-ED7E486F40B1}" presName="hierChild5" presStyleCnt="0"/>
      <dgm:spPr/>
    </dgm:pt>
    <dgm:pt modelId="{0E4756FC-7C91-46C9-A0DD-FAE4704C34AA}" type="pres">
      <dgm:prSet presAssocID="{12769DC2-3E6F-47DC-8299-CD864B2ADFD6}" presName="hierChild5" presStyleCnt="0"/>
      <dgm:spPr/>
    </dgm:pt>
    <dgm:pt modelId="{F1EE7129-9CBE-42CE-9EE3-3684DAE78A6A}" type="pres">
      <dgm:prSet presAssocID="{700EB8B3-EC84-483A-8486-DA03EEAAFDAC}" presName="Name37" presStyleLbl="parChTrans1D2" presStyleIdx="4" presStyleCnt="6"/>
      <dgm:spPr/>
    </dgm:pt>
    <dgm:pt modelId="{1AC2E66A-2A2E-4A3B-AEC8-DF1D34B03365}" type="pres">
      <dgm:prSet presAssocID="{50288868-FEEE-470B-9B6E-3B8DBAE6D908}" presName="hierRoot2" presStyleCnt="0">
        <dgm:presLayoutVars>
          <dgm:hierBranch val="init"/>
        </dgm:presLayoutVars>
      </dgm:prSet>
      <dgm:spPr/>
    </dgm:pt>
    <dgm:pt modelId="{40535A9C-B148-4F64-A1A0-A8CC7945C730}" type="pres">
      <dgm:prSet presAssocID="{50288868-FEEE-470B-9B6E-3B8DBAE6D908}" presName="rootComposite" presStyleCnt="0"/>
      <dgm:spPr/>
    </dgm:pt>
    <dgm:pt modelId="{A258BD13-7871-4C9C-B418-43BE12BFB3E9}" type="pres">
      <dgm:prSet presAssocID="{50288868-FEEE-470B-9B6E-3B8DBAE6D908}" presName="rootText" presStyleLbl="node2" presStyleIdx="4" presStyleCnt="6" custScaleX="245210" custScaleY="168520">
        <dgm:presLayoutVars>
          <dgm:chPref val="3"/>
        </dgm:presLayoutVars>
      </dgm:prSet>
      <dgm:spPr/>
    </dgm:pt>
    <dgm:pt modelId="{377DAAC8-B64C-4B18-908A-1890A133AEFC}" type="pres">
      <dgm:prSet presAssocID="{50288868-FEEE-470B-9B6E-3B8DBAE6D908}" presName="rootConnector" presStyleLbl="node2" presStyleIdx="4" presStyleCnt="6"/>
      <dgm:spPr/>
    </dgm:pt>
    <dgm:pt modelId="{314C482C-65BB-47D4-915A-6F0C3441E503}" type="pres">
      <dgm:prSet presAssocID="{50288868-FEEE-470B-9B6E-3B8DBAE6D908}" presName="hierChild4" presStyleCnt="0"/>
      <dgm:spPr/>
    </dgm:pt>
    <dgm:pt modelId="{2F7B221D-5030-40CE-B2C2-68153A0F97EC}" type="pres">
      <dgm:prSet presAssocID="{FD1DE0E6-FA2F-44F6-B53A-BD88042663B5}" presName="Name37" presStyleLbl="parChTrans1D3" presStyleIdx="24" presStyleCnt="36"/>
      <dgm:spPr/>
    </dgm:pt>
    <dgm:pt modelId="{9FB25C77-0C0A-4FB2-89FE-7175A2B094F9}" type="pres">
      <dgm:prSet presAssocID="{ECA12779-181B-4C07-9D00-63CBA88654AE}" presName="hierRoot2" presStyleCnt="0">
        <dgm:presLayoutVars>
          <dgm:hierBranch val="init"/>
        </dgm:presLayoutVars>
      </dgm:prSet>
      <dgm:spPr/>
    </dgm:pt>
    <dgm:pt modelId="{CB680E1F-EBAE-4062-A071-AB7C08232403}" type="pres">
      <dgm:prSet presAssocID="{ECA12779-181B-4C07-9D00-63CBA88654AE}" presName="rootComposite" presStyleCnt="0"/>
      <dgm:spPr/>
    </dgm:pt>
    <dgm:pt modelId="{FED6595E-1570-4891-AE46-CD4AC1DEF9EA}" type="pres">
      <dgm:prSet presAssocID="{ECA12779-181B-4C07-9D00-63CBA88654AE}" presName="rootText" presStyleLbl="node3" presStyleIdx="24" presStyleCnt="36" custScaleX="201848" custScaleY="152507" custLinFactNeighborX="-6538">
        <dgm:presLayoutVars>
          <dgm:chPref val="3"/>
        </dgm:presLayoutVars>
      </dgm:prSet>
      <dgm:spPr/>
    </dgm:pt>
    <dgm:pt modelId="{4A3DC27F-8DE4-48A4-9352-6E19ED89BD37}" type="pres">
      <dgm:prSet presAssocID="{ECA12779-181B-4C07-9D00-63CBA88654AE}" presName="rootConnector" presStyleLbl="node3" presStyleIdx="24" presStyleCnt="36"/>
      <dgm:spPr/>
    </dgm:pt>
    <dgm:pt modelId="{DFA8D785-E1E1-4A77-B992-17A55C3F2717}" type="pres">
      <dgm:prSet presAssocID="{ECA12779-181B-4C07-9D00-63CBA88654AE}" presName="hierChild4" presStyleCnt="0"/>
      <dgm:spPr/>
    </dgm:pt>
    <dgm:pt modelId="{6D7E8D45-4C51-4D9C-A331-6B04C0832A8B}" type="pres">
      <dgm:prSet presAssocID="{ECA12779-181B-4C07-9D00-63CBA88654AE}" presName="hierChild5" presStyleCnt="0"/>
      <dgm:spPr/>
    </dgm:pt>
    <dgm:pt modelId="{FD540605-6F96-4B99-9FEF-8CEAB4571FB4}" type="pres">
      <dgm:prSet presAssocID="{1CD7D42E-8C56-458F-8322-E22926EA09CE}" presName="Name37" presStyleLbl="parChTrans1D3" presStyleIdx="25" presStyleCnt="36"/>
      <dgm:spPr/>
    </dgm:pt>
    <dgm:pt modelId="{3611DE11-DCD5-4EE0-BB96-595CF39417D6}" type="pres">
      <dgm:prSet presAssocID="{12351F76-C54E-43F8-A657-363EC9E932E1}" presName="hierRoot2" presStyleCnt="0">
        <dgm:presLayoutVars>
          <dgm:hierBranch val="init"/>
        </dgm:presLayoutVars>
      </dgm:prSet>
      <dgm:spPr/>
    </dgm:pt>
    <dgm:pt modelId="{543E833C-7B9C-410F-911B-FAF9A6E38FF7}" type="pres">
      <dgm:prSet presAssocID="{12351F76-C54E-43F8-A657-363EC9E932E1}" presName="rootComposite" presStyleCnt="0"/>
      <dgm:spPr/>
    </dgm:pt>
    <dgm:pt modelId="{7F8EFDBA-900F-4273-A7B0-E6FE5E02840D}" type="pres">
      <dgm:prSet presAssocID="{12351F76-C54E-43F8-A657-363EC9E932E1}" presName="rootText" presStyleLbl="node3" presStyleIdx="25" presStyleCnt="36" custScaleX="201848" custScaleY="152507" custLinFactNeighborX="-6538">
        <dgm:presLayoutVars>
          <dgm:chPref val="3"/>
        </dgm:presLayoutVars>
      </dgm:prSet>
      <dgm:spPr/>
    </dgm:pt>
    <dgm:pt modelId="{04201401-4837-4B30-AFFF-9998EB8BCE29}" type="pres">
      <dgm:prSet presAssocID="{12351F76-C54E-43F8-A657-363EC9E932E1}" presName="rootConnector" presStyleLbl="node3" presStyleIdx="25" presStyleCnt="36"/>
      <dgm:spPr/>
    </dgm:pt>
    <dgm:pt modelId="{DB6740BE-9238-45AF-9A9D-36FB72CBF9E7}" type="pres">
      <dgm:prSet presAssocID="{12351F76-C54E-43F8-A657-363EC9E932E1}" presName="hierChild4" presStyleCnt="0"/>
      <dgm:spPr/>
    </dgm:pt>
    <dgm:pt modelId="{2E3B18E5-0669-407E-95D9-025A23E008F6}" type="pres">
      <dgm:prSet presAssocID="{12351F76-C54E-43F8-A657-363EC9E932E1}" presName="hierChild5" presStyleCnt="0"/>
      <dgm:spPr/>
    </dgm:pt>
    <dgm:pt modelId="{B5210DB0-CB29-4557-B327-60029655B293}" type="pres">
      <dgm:prSet presAssocID="{EC779102-338A-4658-805D-ADA27F85C532}" presName="Name37" presStyleLbl="parChTrans1D3" presStyleIdx="26" presStyleCnt="36"/>
      <dgm:spPr/>
    </dgm:pt>
    <dgm:pt modelId="{19822EA0-112B-4594-9EA3-4509F040EAF2}" type="pres">
      <dgm:prSet presAssocID="{ACFB9295-1466-40DD-AC28-3F5FD1714F64}" presName="hierRoot2" presStyleCnt="0">
        <dgm:presLayoutVars>
          <dgm:hierBranch val="init"/>
        </dgm:presLayoutVars>
      </dgm:prSet>
      <dgm:spPr/>
    </dgm:pt>
    <dgm:pt modelId="{6BB299F7-B8F6-4EDD-9D61-126308858751}" type="pres">
      <dgm:prSet presAssocID="{ACFB9295-1466-40DD-AC28-3F5FD1714F64}" presName="rootComposite" presStyleCnt="0"/>
      <dgm:spPr/>
    </dgm:pt>
    <dgm:pt modelId="{E140C6C5-E4A1-49E2-8B34-B36A9E45F7A0}" type="pres">
      <dgm:prSet presAssocID="{ACFB9295-1466-40DD-AC28-3F5FD1714F64}" presName="rootText" presStyleLbl="node3" presStyleIdx="26" presStyleCnt="36" custScaleX="201848" custScaleY="152507" custLinFactNeighborX="-6538">
        <dgm:presLayoutVars>
          <dgm:chPref val="3"/>
        </dgm:presLayoutVars>
      </dgm:prSet>
      <dgm:spPr/>
    </dgm:pt>
    <dgm:pt modelId="{69D06E7D-A6C7-4A80-AB80-BC479557C42C}" type="pres">
      <dgm:prSet presAssocID="{ACFB9295-1466-40DD-AC28-3F5FD1714F64}" presName="rootConnector" presStyleLbl="node3" presStyleIdx="26" presStyleCnt="36"/>
      <dgm:spPr/>
    </dgm:pt>
    <dgm:pt modelId="{CBC26D4C-93C3-4000-AAAA-5007190E8675}" type="pres">
      <dgm:prSet presAssocID="{ACFB9295-1466-40DD-AC28-3F5FD1714F64}" presName="hierChild4" presStyleCnt="0"/>
      <dgm:spPr/>
    </dgm:pt>
    <dgm:pt modelId="{1207FA07-C74A-4FD8-A9CB-D00848890C0B}" type="pres">
      <dgm:prSet presAssocID="{ACFB9295-1466-40DD-AC28-3F5FD1714F64}" presName="hierChild5" presStyleCnt="0"/>
      <dgm:spPr/>
    </dgm:pt>
    <dgm:pt modelId="{A45E8E60-357C-4447-B545-DCEEB69E444E}" type="pres">
      <dgm:prSet presAssocID="{449CAF59-51BF-4A91-99DD-F8581AEF1EC4}" presName="Name37" presStyleLbl="parChTrans1D3" presStyleIdx="27" presStyleCnt="36"/>
      <dgm:spPr/>
    </dgm:pt>
    <dgm:pt modelId="{71554BB3-0A6B-433E-B932-4D92DA806144}" type="pres">
      <dgm:prSet presAssocID="{70EFDBF8-CA80-43EB-AF09-A11A22991EC0}" presName="hierRoot2" presStyleCnt="0">
        <dgm:presLayoutVars>
          <dgm:hierBranch val="init"/>
        </dgm:presLayoutVars>
      </dgm:prSet>
      <dgm:spPr/>
    </dgm:pt>
    <dgm:pt modelId="{66136D05-A777-4D84-A3EC-B7B165A311E6}" type="pres">
      <dgm:prSet presAssocID="{70EFDBF8-CA80-43EB-AF09-A11A22991EC0}" presName="rootComposite" presStyleCnt="0"/>
      <dgm:spPr/>
    </dgm:pt>
    <dgm:pt modelId="{2915E1C8-90EE-4D3E-80C4-5A095B94CCE7}" type="pres">
      <dgm:prSet presAssocID="{70EFDBF8-CA80-43EB-AF09-A11A22991EC0}" presName="rootText" presStyleLbl="node3" presStyleIdx="27" presStyleCnt="36" custScaleX="201848" custScaleY="152507" custLinFactNeighborX="-6538">
        <dgm:presLayoutVars>
          <dgm:chPref val="3"/>
        </dgm:presLayoutVars>
      </dgm:prSet>
      <dgm:spPr/>
    </dgm:pt>
    <dgm:pt modelId="{A5DD968A-911F-4376-BCC3-EEACDFED13C5}" type="pres">
      <dgm:prSet presAssocID="{70EFDBF8-CA80-43EB-AF09-A11A22991EC0}" presName="rootConnector" presStyleLbl="node3" presStyleIdx="27" presStyleCnt="36"/>
      <dgm:spPr/>
    </dgm:pt>
    <dgm:pt modelId="{DD42EDC6-12EC-45E7-84BE-1028245A3764}" type="pres">
      <dgm:prSet presAssocID="{70EFDBF8-CA80-43EB-AF09-A11A22991EC0}" presName="hierChild4" presStyleCnt="0"/>
      <dgm:spPr/>
    </dgm:pt>
    <dgm:pt modelId="{29900E30-4D3D-4599-BA5A-15C533165D49}" type="pres">
      <dgm:prSet presAssocID="{70EFDBF8-CA80-43EB-AF09-A11A22991EC0}" presName="hierChild5" presStyleCnt="0"/>
      <dgm:spPr/>
    </dgm:pt>
    <dgm:pt modelId="{C3F18813-D545-4307-9554-61938D010D7E}" type="pres">
      <dgm:prSet presAssocID="{63736F2C-1899-4FBF-B28B-4B7CE5269305}" presName="Name37" presStyleLbl="parChTrans1D3" presStyleIdx="28" presStyleCnt="36"/>
      <dgm:spPr/>
    </dgm:pt>
    <dgm:pt modelId="{3AE6D5F4-54A9-4176-A41A-6515BF526430}" type="pres">
      <dgm:prSet presAssocID="{B3363645-6E47-4702-9387-06C510C570CB}" presName="hierRoot2" presStyleCnt="0">
        <dgm:presLayoutVars>
          <dgm:hierBranch val="init"/>
        </dgm:presLayoutVars>
      </dgm:prSet>
      <dgm:spPr/>
    </dgm:pt>
    <dgm:pt modelId="{3A350310-DA5E-442E-9361-1546903969AD}" type="pres">
      <dgm:prSet presAssocID="{B3363645-6E47-4702-9387-06C510C570CB}" presName="rootComposite" presStyleCnt="0"/>
      <dgm:spPr/>
    </dgm:pt>
    <dgm:pt modelId="{8F6DC081-6798-4216-A738-17F2FC92AADF}" type="pres">
      <dgm:prSet presAssocID="{B3363645-6E47-4702-9387-06C510C570CB}" presName="rootText" presStyleLbl="node3" presStyleIdx="28" presStyleCnt="36" custScaleX="201848" custScaleY="152507" custLinFactNeighborX="-6538">
        <dgm:presLayoutVars>
          <dgm:chPref val="3"/>
        </dgm:presLayoutVars>
      </dgm:prSet>
      <dgm:spPr/>
    </dgm:pt>
    <dgm:pt modelId="{A4F37D24-B226-43D8-A06C-75DCA05AFFD9}" type="pres">
      <dgm:prSet presAssocID="{B3363645-6E47-4702-9387-06C510C570CB}" presName="rootConnector" presStyleLbl="node3" presStyleIdx="28" presStyleCnt="36"/>
      <dgm:spPr/>
    </dgm:pt>
    <dgm:pt modelId="{67B154CC-D158-4BBE-86E2-975FB6B91EA3}" type="pres">
      <dgm:prSet presAssocID="{B3363645-6E47-4702-9387-06C510C570CB}" presName="hierChild4" presStyleCnt="0"/>
      <dgm:spPr/>
    </dgm:pt>
    <dgm:pt modelId="{7E9C417D-3442-4B69-831D-C70C07CB4B29}" type="pres">
      <dgm:prSet presAssocID="{B3363645-6E47-4702-9387-06C510C570CB}" presName="hierChild5" presStyleCnt="0"/>
      <dgm:spPr/>
    </dgm:pt>
    <dgm:pt modelId="{921844B0-3CBD-4834-9F7D-209A988EEE2F}" type="pres">
      <dgm:prSet presAssocID="{685F3026-EBCD-4FC6-A94B-FA0402247107}" presName="Name37" presStyleLbl="parChTrans1D3" presStyleIdx="29" presStyleCnt="36"/>
      <dgm:spPr/>
    </dgm:pt>
    <dgm:pt modelId="{181B7682-06BB-46F9-B405-3552964A6CC8}" type="pres">
      <dgm:prSet presAssocID="{BD1A52BE-D10C-4C60-A5CA-97E1F3C6F7BC}" presName="hierRoot2" presStyleCnt="0">
        <dgm:presLayoutVars>
          <dgm:hierBranch val="init"/>
        </dgm:presLayoutVars>
      </dgm:prSet>
      <dgm:spPr/>
    </dgm:pt>
    <dgm:pt modelId="{0E5ECB81-315B-4B46-85AA-9D0AECDC4371}" type="pres">
      <dgm:prSet presAssocID="{BD1A52BE-D10C-4C60-A5CA-97E1F3C6F7BC}" presName="rootComposite" presStyleCnt="0"/>
      <dgm:spPr/>
    </dgm:pt>
    <dgm:pt modelId="{334CBDC0-DC60-49FB-BE4F-5DC6001401F6}" type="pres">
      <dgm:prSet presAssocID="{BD1A52BE-D10C-4C60-A5CA-97E1F3C6F7BC}" presName="rootText" presStyleLbl="node3" presStyleIdx="29" presStyleCnt="36" custScaleX="207455" custScaleY="152508" custLinFactNeighborX="-2615" custLinFactNeighborY="68042">
        <dgm:presLayoutVars>
          <dgm:chPref val="3"/>
        </dgm:presLayoutVars>
      </dgm:prSet>
      <dgm:spPr/>
    </dgm:pt>
    <dgm:pt modelId="{35E07A3F-BFBB-420C-AA9E-724B4CCB2AAF}" type="pres">
      <dgm:prSet presAssocID="{BD1A52BE-D10C-4C60-A5CA-97E1F3C6F7BC}" presName="rootConnector" presStyleLbl="node3" presStyleIdx="29" presStyleCnt="36"/>
      <dgm:spPr/>
    </dgm:pt>
    <dgm:pt modelId="{20D248A5-DFC2-47FE-8BDD-76A986407FBF}" type="pres">
      <dgm:prSet presAssocID="{BD1A52BE-D10C-4C60-A5CA-97E1F3C6F7BC}" presName="hierChild4" presStyleCnt="0"/>
      <dgm:spPr/>
    </dgm:pt>
    <dgm:pt modelId="{C1A3A537-6CD6-4A63-8FAB-99189E0DC2E3}" type="pres">
      <dgm:prSet presAssocID="{BD1A52BE-D10C-4C60-A5CA-97E1F3C6F7BC}" presName="hierChild5" presStyleCnt="0"/>
      <dgm:spPr/>
    </dgm:pt>
    <dgm:pt modelId="{2EAF0351-BC6A-4491-B99D-6B8BE81BE34F}" type="pres">
      <dgm:prSet presAssocID="{50288868-FEEE-470B-9B6E-3B8DBAE6D908}" presName="hierChild5" presStyleCnt="0"/>
      <dgm:spPr/>
    </dgm:pt>
    <dgm:pt modelId="{D774376C-5B5F-4165-B817-51060CD11209}" type="pres">
      <dgm:prSet presAssocID="{7B1C4966-1262-47C2-A22C-A1A9518F5A79}" presName="Name37" presStyleLbl="parChTrans1D2" presStyleIdx="5" presStyleCnt="6"/>
      <dgm:spPr/>
    </dgm:pt>
    <dgm:pt modelId="{F022E032-1615-4A3C-B78C-E80384BF95D1}" type="pres">
      <dgm:prSet presAssocID="{AD57D6F8-1E1D-4C08-B8E1-F743CC4D8618}" presName="hierRoot2" presStyleCnt="0">
        <dgm:presLayoutVars>
          <dgm:hierBranch val="init"/>
        </dgm:presLayoutVars>
      </dgm:prSet>
      <dgm:spPr/>
    </dgm:pt>
    <dgm:pt modelId="{34941A6D-E8C1-43ED-AFA8-0FCCF9379EFD}" type="pres">
      <dgm:prSet presAssocID="{AD57D6F8-1E1D-4C08-B8E1-F743CC4D8618}" presName="rootComposite" presStyleCnt="0"/>
      <dgm:spPr/>
    </dgm:pt>
    <dgm:pt modelId="{735EB318-83B9-45F6-B3F9-31895D8D9C62}" type="pres">
      <dgm:prSet presAssocID="{AD57D6F8-1E1D-4C08-B8E1-F743CC4D8618}" presName="rootText" presStyleLbl="node2" presStyleIdx="5" presStyleCnt="6" custScaleX="199316" custScaleY="172712">
        <dgm:presLayoutVars>
          <dgm:chPref val="3"/>
        </dgm:presLayoutVars>
      </dgm:prSet>
      <dgm:spPr/>
    </dgm:pt>
    <dgm:pt modelId="{5A2DA114-1867-4140-9A0C-7DDD23CDAE7D}" type="pres">
      <dgm:prSet presAssocID="{AD57D6F8-1E1D-4C08-B8E1-F743CC4D8618}" presName="rootConnector" presStyleLbl="node2" presStyleIdx="5" presStyleCnt="6"/>
      <dgm:spPr/>
    </dgm:pt>
    <dgm:pt modelId="{73A21EB1-59CF-4E01-BE22-D6F921AC84FD}" type="pres">
      <dgm:prSet presAssocID="{AD57D6F8-1E1D-4C08-B8E1-F743CC4D8618}" presName="hierChild4" presStyleCnt="0"/>
      <dgm:spPr/>
    </dgm:pt>
    <dgm:pt modelId="{6E60B9C7-0F06-4460-B10D-685FDA048881}" type="pres">
      <dgm:prSet presAssocID="{E5B5055F-BDE8-4C1F-8169-963DD004C33F}" presName="Name37" presStyleLbl="parChTrans1D3" presStyleIdx="30" presStyleCnt="36"/>
      <dgm:spPr/>
    </dgm:pt>
    <dgm:pt modelId="{7E6AC4EF-8FA7-449E-AAC0-F686359CDEB7}" type="pres">
      <dgm:prSet presAssocID="{1E3D188D-1C38-4FF2-ADAD-687EE27716D1}" presName="hierRoot2" presStyleCnt="0">
        <dgm:presLayoutVars>
          <dgm:hierBranch val="init"/>
        </dgm:presLayoutVars>
      </dgm:prSet>
      <dgm:spPr/>
    </dgm:pt>
    <dgm:pt modelId="{4C3142A5-494B-488F-BB09-C13A10BE0975}" type="pres">
      <dgm:prSet presAssocID="{1E3D188D-1C38-4FF2-ADAD-687EE27716D1}" presName="rootComposite" presStyleCnt="0"/>
      <dgm:spPr/>
    </dgm:pt>
    <dgm:pt modelId="{EB76186E-B8DD-4C2B-A16E-3DCCAC24AD9E}" type="pres">
      <dgm:prSet presAssocID="{1E3D188D-1C38-4FF2-ADAD-687EE27716D1}" presName="rootText" presStyleLbl="node3" presStyleIdx="30" presStyleCnt="36" custScaleX="207455" custScaleY="145779" custLinFactNeighborX="-6538">
        <dgm:presLayoutVars>
          <dgm:chPref val="3"/>
        </dgm:presLayoutVars>
      </dgm:prSet>
      <dgm:spPr/>
    </dgm:pt>
    <dgm:pt modelId="{47B93D21-0A65-46D5-86FF-01807AEA3AE7}" type="pres">
      <dgm:prSet presAssocID="{1E3D188D-1C38-4FF2-ADAD-687EE27716D1}" presName="rootConnector" presStyleLbl="node3" presStyleIdx="30" presStyleCnt="36"/>
      <dgm:spPr/>
    </dgm:pt>
    <dgm:pt modelId="{C1EC5CF3-5B2C-4141-A7BA-E0A191CE739F}" type="pres">
      <dgm:prSet presAssocID="{1E3D188D-1C38-4FF2-ADAD-687EE27716D1}" presName="hierChild4" presStyleCnt="0"/>
      <dgm:spPr/>
    </dgm:pt>
    <dgm:pt modelId="{5B8EAAE4-C7A6-4B46-AD01-2B78A6466CDD}" type="pres">
      <dgm:prSet presAssocID="{1E3D188D-1C38-4FF2-ADAD-687EE27716D1}" presName="hierChild5" presStyleCnt="0"/>
      <dgm:spPr/>
    </dgm:pt>
    <dgm:pt modelId="{AF2EBD80-CD02-4D6E-9BF5-2352F4BE2354}" type="pres">
      <dgm:prSet presAssocID="{10B2F529-C227-4AFA-9869-F1C5F93B7411}" presName="Name37" presStyleLbl="parChTrans1D3" presStyleIdx="31" presStyleCnt="36"/>
      <dgm:spPr/>
    </dgm:pt>
    <dgm:pt modelId="{972733B7-6B51-4663-82D9-0372088553AB}" type="pres">
      <dgm:prSet presAssocID="{472A6B0E-9B61-4834-A11A-8167EB7251E1}" presName="hierRoot2" presStyleCnt="0">
        <dgm:presLayoutVars>
          <dgm:hierBranch val="init"/>
        </dgm:presLayoutVars>
      </dgm:prSet>
      <dgm:spPr/>
    </dgm:pt>
    <dgm:pt modelId="{198351ED-B849-48FF-9C7F-1FCF4F185394}" type="pres">
      <dgm:prSet presAssocID="{472A6B0E-9B61-4834-A11A-8167EB7251E1}" presName="rootComposite" presStyleCnt="0"/>
      <dgm:spPr/>
    </dgm:pt>
    <dgm:pt modelId="{94EA12D3-04D9-47DF-8815-13B679B7C734}" type="pres">
      <dgm:prSet presAssocID="{472A6B0E-9B61-4834-A11A-8167EB7251E1}" presName="rootText" presStyleLbl="node3" presStyleIdx="31" presStyleCnt="36" custScaleX="207455" custScaleY="145779" custLinFactNeighborX="-6538">
        <dgm:presLayoutVars>
          <dgm:chPref val="3"/>
        </dgm:presLayoutVars>
      </dgm:prSet>
      <dgm:spPr/>
    </dgm:pt>
    <dgm:pt modelId="{98978DF8-E78C-45F1-AFBA-94A10B012F83}" type="pres">
      <dgm:prSet presAssocID="{472A6B0E-9B61-4834-A11A-8167EB7251E1}" presName="rootConnector" presStyleLbl="node3" presStyleIdx="31" presStyleCnt="36"/>
      <dgm:spPr/>
    </dgm:pt>
    <dgm:pt modelId="{60E89A05-E1D0-417F-A593-AA66612D687C}" type="pres">
      <dgm:prSet presAssocID="{472A6B0E-9B61-4834-A11A-8167EB7251E1}" presName="hierChild4" presStyleCnt="0"/>
      <dgm:spPr/>
    </dgm:pt>
    <dgm:pt modelId="{2A8E7DA9-7D62-4448-BBEE-6AA257DDCF8E}" type="pres">
      <dgm:prSet presAssocID="{472A6B0E-9B61-4834-A11A-8167EB7251E1}" presName="hierChild5" presStyleCnt="0"/>
      <dgm:spPr/>
    </dgm:pt>
    <dgm:pt modelId="{2136166C-C192-4F23-BD15-061DD6C9F076}" type="pres">
      <dgm:prSet presAssocID="{E804B64F-8B56-4A4C-A418-4BB3F4ED6989}" presName="Name37" presStyleLbl="parChTrans1D3" presStyleIdx="32" presStyleCnt="36"/>
      <dgm:spPr/>
    </dgm:pt>
    <dgm:pt modelId="{3030D531-D74B-4A22-B8C8-E18F7811D864}" type="pres">
      <dgm:prSet presAssocID="{058BAF66-FEE2-4B3A-8EE6-25FBFC3671F8}" presName="hierRoot2" presStyleCnt="0">
        <dgm:presLayoutVars>
          <dgm:hierBranch val="init"/>
        </dgm:presLayoutVars>
      </dgm:prSet>
      <dgm:spPr/>
    </dgm:pt>
    <dgm:pt modelId="{0A0F2D75-049C-4A1A-864A-BD2FF069C52C}" type="pres">
      <dgm:prSet presAssocID="{058BAF66-FEE2-4B3A-8EE6-25FBFC3671F8}" presName="rootComposite" presStyleCnt="0"/>
      <dgm:spPr/>
    </dgm:pt>
    <dgm:pt modelId="{388559F6-A377-4E6B-8AFD-045922C575A5}" type="pres">
      <dgm:prSet presAssocID="{058BAF66-FEE2-4B3A-8EE6-25FBFC3671F8}" presName="rootText" presStyleLbl="node3" presStyleIdx="32" presStyleCnt="36" custScaleX="207455" custScaleY="145779" custLinFactNeighborX="-6538">
        <dgm:presLayoutVars>
          <dgm:chPref val="3"/>
        </dgm:presLayoutVars>
      </dgm:prSet>
      <dgm:spPr/>
    </dgm:pt>
    <dgm:pt modelId="{87C406E2-5A90-409E-A6F8-B797D7521526}" type="pres">
      <dgm:prSet presAssocID="{058BAF66-FEE2-4B3A-8EE6-25FBFC3671F8}" presName="rootConnector" presStyleLbl="node3" presStyleIdx="32" presStyleCnt="36"/>
      <dgm:spPr/>
    </dgm:pt>
    <dgm:pt modelId="{D4B9FBCD-C9E7-40C1-AC02-0A05E30767E3}" type="pres">
      <dgm:prSet presAssocID="{058BAF66-FEE2-4B3A-8EE6-25FBFC3671F8}" presName="hierChild4" presStyleCnt="0"/>
      <dgm:spPr/>
    </dgm:pt>
    <dgm:pt modelId="{F2B51A48-5BFD-45BC-95A3-69FEA211721A}" type="pres">
      <dgm:prSet presAssocID="{058BAF66-FEE2-4B3A-8EE6-25FBFC3671F8}" presName="hierChild5" presStyleCnt="0"/>
      <dgm:spPr/>
    </dgm:pt>
    <dgm:pt modelId="{5C123960-3F75-4914-87F6-AD648CCBE3E0}" type="pres">
      <dgm:prSet presAssocID="{4C225E30-36A4-4BE6-ADB9-85A3B29271E0}" presName="Name37" presStyleLbl="parChTrans1D3" presStyleIdx="33" presStyleCnt="36"/>
      <dgm:spPr/>
    </dgm:pt>
    <dgm:pt modelId="{F96476E5-9D0E-4A4E-8331-B75F1458411B}" type="pres">
      <dgm:prSet presAssocID="{CFAC0D8A-84E8-4DBA-8190-A3C763E23FEE}" presName="hierRoot2" presStyleCnt="0">
        <dgm:presLayoutVars>
          <dgm:hierBranch val="init"/>
        </dgm:presLayoutVars>
      </dgm:prSet>
      <dgm:spPr/>
    </dgm:pt>
    <dgm:pt modelId="{CE7E90F7-F930-49B5-AC35-15622066B5BE}" type="pres">
      <dgm:prSet presAssocID="{CFAC0D8A-84E8-4DBA-8190-A3C763E23FEE}" presName="rootComposite" presStyleCnt="0"/>
      <dgm:spPr/>
    </dgm:pt>
    <dgm:pt modelId="{343E1092-F522-4487-A030-10090F0AF3AB}" type="pres">
      <dgm:prSet presAssocID="{CFAC0D8A-84E8-4DBA-8190-A3C763E23FEE}" presName="rootText" presStyleLbl="node3" presStyleIdx="33" presStyleCnt="36" custScaleX="207455" custScaleY="145779" custLinFactNeighborX="-7846" custLinFactNeighborY="36613">
        <dgm:presLayoutVars>
          <dgm:chPref val="3"/>
        </dgm:presLayoutVars>
      </dgm:prSet>
      <dgm:spPr/>
    </dgm:pt>
    <dgm:pt modelId="{3D8051FC-9840-43DE-B8A8-0A2DB5BDC50C}" type="pres">
      <dgm:prSet presAssocID="{CFAC0D8A-84E8-4DBA-8190-A3C763E23FEE}" presName="rootConnector" presStyleLbl="node3" presStyleIdx="33" presStyleCnt="36"/>
      <dgm:spPr/>
    </dgm:pt>
    <dgm:pt modelId="{6EA2AAF7-0819-4794-B668-B434A0B69997}" type="pres">
      <dgm:prSet presAssocID="{CFAC0D8A-84E8-4DBA-8190-A3C763E23FEE}" presName="hierChild4" presStyleCnt="0"/>
      <dgm:spPr/>
    </dgm:pt>
    <dgm:pt modelId="{42F6E8FF-3D67-46E2-A15D-865395B668A2}" type="pres">
      <dgm:prSet presAssocID="{CFAC0D8A-84E8-4DBA-8190-A3C763E23FEE}" presName="hierChild5" presStyleCnt="0"/>
      <dgm:spPr/>
    </dgm:pt>
    <dgm:pt modelId="{42707F8B-9C5E-4525-95F3-F1CEBC2FA133}" type="pres">
      <dgm:prSet presAssocID="{EE0A0574-2CD4-4A8E-8B58-75434BAC3266}" presName="Name37" presStyleLbl="parChTrans1D3" presStyleIdx="34" presStyleCnt="36"/>
      <dgm:spPr/>
    </dgm:pt>
    <dgm:pt modelId="{44E6D9BD-8772-4999-9DEF-7489312E3E4F}" type="pres">
      <dgm:prSet presAssocID="{92CBA82E-8C23-4886-9478-50470E71E84A}" presName="hierRoot2" presStyleCnt="0">
        <dgm:presLayoutVars>
          <dgm:hierBranch val="init"/>
        </dgm:presLayoutVars>
      </dgm:prSet>
      <dgm:spPr/>
    </dgm:pt>
    <dgm:pt modelId="{6B45A76F-A134-49EB-B38B-0BCE63F77E74}" type="pres">
      <dgm:prSet presAssocID="{92CBA82E-8C23-4886-9478-50470E71E84A}" presName="rootComposite" presStyleCnt="0"/>
      <dgm:spPr/>
    </dgm:pt>
    <dgm:pt modelId="{2314AD4C-5552-4E80-A3D0-6A7B329E2BF2}" type="pres">
      <dgm:prSet presAssocID="{92CBA82E-8C23-4886-9478-50470E71E84A}" presName="rootText" presStyleLbl="node3" presStyleIdx="34" presStyleCnt="36" custScaleX="207455" custScaleY="145779" custLinFactNeighborX="-6538" custLinFactNeighborY="26152">
        <dgm:presLayoutVars>
          <dgm:chPref val="3"/>
        </dgm:presLayoutVars>
      </dgm:prSet>
      <dgm:spPr/>
    </dgm:pt>
    <dgm:pt modelId="{077FA3D0-19CB-4A85-85AD-EB8CC3314E25}" type="pres">
      <dgm:prSet presAssocID="{92CBA82E-8C23-4886-9478-50470E71E84A}" presName="rootConnector" presStyleLbl="node3" presStyleIdx="34" presStyleCnt="36"/>
      <dgm:spPr/>
    </dgm:pt>
    <dgm:pt modelId="{DB8E5205-AE38-47ED-A721-AA31951036E7}" type="pres">
      <dgm:prSet presAssocID="{92CBA82E-8C23-4886-9478-50470E71E84A}" presName="hierChild4" presStyleCnt="0"/>
      <dgm:spPr/>
    </dgm:pt>
    <dgm:pt modelId="{5F33E928-FAB6-42B5-A3BD-4F03365C2947}" type="pres">
      <dgm:prSet presAssocID="{92CBA82E-8C23-4886-9478-50470E71E84A}" presName="hierChild5" presStyleCnt="0"/>
      <dgm:spPr/>
    </dgm:pt>
    <dgm:pt modelId="{35F73487-B376-410E-B7A2-0265DAB6A683}" type="pres">
      <dgm:prSet presAssocID="{2EF179D9-C18F-4A06-AEA9-5D6426FE68A5}" presName="Name37" presStyleLbl="parChTrans1D3" presStyleIdx="35" presStyleCnt="36"/>
      <dgm:spPr/>
    </dgm:pt>
    <dgm:pt modelId="{5D88878A-C848-494D-BE7B-95FCAF4DEB17}" type="pres">
      <dgm:prSet presAssocID="{F133B79B-C8B9-45C1-8C69-0DC643D51D92}" presName="hierRoot2" presStyleCnt="0">
        <dgm:presLayoutVars>
          <dgm:hierBranch val="init"/>
        </dgm:presLayoutVars>
      </dgm:prSet>
      <dgm:spPr/>
    </dgm:pt>
    <dgm:pt modelId="{DE84DD05-C612-45BA-B815-5A7C718F0596}" type="pres">
      <dgm:prSet presAssocID="{F133B79B-C8B9-45C1-8C69-0DC643D51D92}" presName="rootComposite" presStyleCnt="0"/>
      <dgm:spPr/>
    </dgm:pt>
    <dgm:pt modelId="{DD5B3579-7DBE-4F3D-99DF-2C002955CF6D}" type="pres">
      <dgm:prSet presAssocID="{F133B79B-C8B9-45C1-8C69-0DC643D51D92}" presName="rootText" presStyleLbl="node3" presStyleIdx="35" presStyleCnt="36" custScaleX="207455" custScaleY="145779" custLinFactNeighborX="-13076" custLinFactNeighborY="88918">
        <dgm:presLayoutVars>
          <dgm:chPref val="3"/>
        </dgm:presLayoutVars>
      </dgm:prSet>
      <dgm:spPr/>
    </dgm:pt>
    <dgm:pt modelId="{521DA9D7-18AA-4A62-A973-7FAE96D5D548}" type="pres">
      <dgm:prSet presAssocID="{F133B79B-C8B9-45C1-8C69-0DC643D51D92}" presName="rootConnector" presStyleLbl="node3" presStyleIdx="35" presStyleCnt="36"/>
      <dgm:spPr/>
    </dgm:pt>
    <dgm:pt modelId="{0561CA30-0267-42FE-A3FA-4E10A1503EA5}" type="pres">
      <dgm:prSet presAssocID="{F133B79B-C8B9-45C1-8C69-0DC643D51D92}" presName="hierChild4" presStyleCnt="0"/>
      <dgm:spPr/>
    </dgm:pt>
    <dgm:pt modelId="{90691529-D95D-43A6-80CB-0CDE80CEE4EC}" type="pres">
      <dgm:prSet presAssocID="{F133B79B-C8B9-45C1-8C69-0DC643D51D92}" presName="hierChild5" presStyleCnt="0"/>
      <dgm:spPr/>
    </dgm:pt>
    <dgm:pt modelId="{CB1A6616-553A-4DA1-88EA-86425D9AB1AB}" type="pres">
      <dgm:prSet presAssocID="{AD57D6F8-1E1D-4C08-B8E1-F743CC4D8618}" presName="hierChild5" presStyleCnt="0"/>
      <dgm:spPr/>
    </dgm:pt>
    <dgm:pt modelId="{7763BE78-8E9C-404C-8E6F-A395B43F26D7}" type="pres">
      <dgm:prSet presAssocID="{0D19CEF6-7028-42D2-A7FA-9A9CE24E0D3E}" presName="hierChild3" presStyleCnt="0"/>
      <dgm:spPr/>
    </dgm:pt>
  </dgm:ptLst>
  <dgm:cxnLst>
    <dgm:cxn modelId="{49F9DB03-840A-4EF4-8031-623548AD93E0}" type="presOf" srcId="{2EF179D9-C18F-4A06-AEA9-5D6426FE68A5}" destId="{35F73487-B376-410E-B7A2-0265DAB6A683}" srcOrd="0" destOrd="0" presId="urn:microsoft.com/office/officeart/2005/8/layout/orgChart1"/>
    <dgm:cxn modelId="{2E6E2D04-61FC-4749-A7CB-46EB0F4AB814}" type="presOf" srcId="{6D5DB864-02A4-46BE-8545-ED7E486F40B1}" destId="{E2D3DBFC-8378-439D-8EA2-F88586179F5F}" srcOrd="1" destOrd="0" presId="urn:microsoft.com/office/officeart/2005/8/layout/orgChart1"/>
    <dgm:cxn modelId="{E9848A04-7295-4A24-BA52-113ECFBEB042}" type="presOf" srcId="{058BAF66-FEE2-4B3A-8EE6-25FBFC3671F8}" destId="{388559F6-A377-4E6B-8AFD-045922C575A5}" srcOrd="0" destOrd="0" presId="urn:microsoft.com/office/officeart/2005/8/layout/orgChart1"/>
    <dgm:cxn modelId="{4061FE04-A66A-4AFD-B8C3-39A06F45FFE7}" type="presOf" srcId="{50288868-FEEE-470B-9B6E-3B8DBAE6D908}" destId="{377DAAC8-B64C-4B18-908A-1890A133AEFC}" srcOrd="1" destOrd="0" presId="urn:microsoft.com/office/officeart/2005/8/layout/orgChart1"/>
    <dgm:cxn modelId="{B2FACA05-9345-4287-9D13-1E33073F60AA}" type="presOf" srcId="{ACFB9295-1466-40DD-AC28-3F5FD1714F64}" destId="{E140C6C5-E4A1-49E2-8B34-B36A9E45F7A0}" srcOrd="0" destOrd="0" presId="urn:microsoft.com/office/officeart/2005/8/layout/orgChart1"/>
    <dgm:cxn modelId="{B7E83D0D-9F75-458B-8A63-2DF04880CB53}" type="presOf" srcId="{1E3D188D-1C38-4FF2-ADAD-687EE27716D1}" destId="{EB76186E-B8DD-4C2B-A16E-3DCCAC24AD9E}" srcOrd="0" destOrd="0" presId="urn:microsoft.com/office/officeart/2005/8/layout/orgChart1"/>
    <dgm:cxn modelId="{F5963910-8E50-49C0-8BBF-C785429CE9CB}" type="presOf" srcId="{BF100430-0928-4BA1-B2C3-DCBB59BE2FBC}" destId="{DE90A0AF-EF96-426B-BDC2-9EE119692A07}" srcOrd="0" destOrd="0" presId="urn:microsoft.com/office/officeart/2005/8/layout/orgChart1"/>
    <dgm:cxn modelId="{8DEE2214-BCE3-497F-8070-944429AB3707}" type="presOf" srcId="{92CBA82E-8C23-4886-9478-50470E71E84A}" destId="{077FA3D0-19CB-4A85-85AD-EB8CC3314E25}" srcOrd="1" destOrd="0" presId="urn:microsoft.com/office/officeart/2005/8/layout/orgChart1"/>
    <dgm:cxn modelId="{01346F14-4279-4952-88B6-C07477DA22E0}" type="presOf" srcId="{E5B5055F-BDE8-4C1F-8169-963DD004C33F}" destId="{6E60B9C7-0F06-4460-B10D-685FDA048881}" srcOrd="0" destOrd="0" presId="urn:microsoft.com/office/officeart/2005/8/layout/orgChart1"/>
    <dgm:cxn modelId="{32CA9A15-7B73-4295-AD20-E3C4CD15FD86}" type="presOf" srcId="{BD1A52BE-D10C-4C60-A5CA-97E1F3C6F7BC}" destId="{334CBDC0-DC60-49FB-BE4F-5DC6001401F6}" srcOrd="0" destOrd="0" presId="urn:microsoft.com/office/officeart/2005/8/layout/orgChart1"/>
    <dgm:cxn modelId="{44734F1A-88A9-4C68-A494-37CE02D26531}" type="presOf" srcId="{ABED396A-E93F-4365-BB41-2CCF9C939201}" destId="{D2802FED-9B21-4357-BE79-5F7955BAB013}" srcOrd="0" destOrd="0" presId="urn:microsoft.com/office/officeart/2005/8/layout/orgChart1"/>
    <dgm:cxn modelId="{2B56871B-1633-44A9-A6F5-BF8630FE9CDD}" srcId="{50288868-FEEE-470B-9B6E-3B8DBAE6D908}" destId="{70EFDBF8-CA80-43EB-AF09-A11A22991EC0}" srcOrd="3" destOrd="0" parTransId="{449CAF59-51BF-4A91-99DD-F8581AEF1EC4}" sibTransId="{24DE2231-1041-48EE-BB8A-F8A29BC5A066}"/>
    <dgm:cxn modelId="{EDCDD11E-B365-4DA8-98E7-E75E9386D593}" type="presOf" srcId="{A364AF1D-E42E-45AF-B842-6159BFA8C7B9}" destId="{4CA1BCDE-C91A-4827-AD61-80C4BDB2B836}" srcOrd="1" destOrd="0" presId="urn:microsoft.com/office/officeart/2005/8/layout/orgChart1"/>
    <dgm:cxn modelId="{A4B55820-FD6D-4DE5-9F40-12D85BF74C0E}" type="presOf" srcId="{99E08339-17FA-41F2-B4C9-036DC2F6E0C9}" destId="{26AFA3A5-1E4B-4A67-9D21-AFAE2916FDB8}" srcOrd="0" destOrd="0" presId="urn:microsoft.com/office/officeart/2005/8/layout/orgChart1"/>
    <dgm:cxn modelId="{D0FB8A22-8F49-4C94-8A06-DFEAA8164D6D}" type="presOf" srcId="{15422A0F-7BCA-484C-B057-F62059D58FAA}" destId="{B8710126-C736-487F-A3BB-9B4531A059E9}" srcOrd="1" destOrd="0" presId="urn:microsoft.com/office/officeart/2005/8/layout/orgChart1"/>
    <dgm:cxn modelId="{C064F423-42DD-4A89-949D-393FB33DA354}" type="presOf" srcId="{0D19CEF6-7028-42D2-A7FA-9A9CE24E0D3E}" destId="{5C8C398D-1F82-4B8E-87E2-540D1B2A40A0}" srcOrd="0" destOrd="0" presId="urn:microsoft.com/office/officeart/2005/8/layout/orgChart1"/>
    <dgm:cxn modelId="{C2D34624-970B-402C-9103-C7A69F09996F}" type="presOf" srcId="{685F3026-EBCD-4FC6-A94B-FA0402247107}" destId="{921844B0-3CBD-4834-9F7D-209A988EEE2F}" srcOrd="0" destOrd="0" presId="urn:microsoft.com/office/officeart/2005/8/layout/orgChart1"/>
    <dgm:cxn modelId="{AF709824-2CFD-4DA0-80DD-F96742756E69}" type="presOf" srcId="{19A46F26-59B1-4C5A-BF18-0E767311EBF1}" destId="{43BA9691-70A2-49E9-901A-2FCF27528D5D}" srcOrd="0" destOrd="0" presId="urn:microsoft.com/office/officeart/2005/8/layout/orgChart1"/>
    <dgm:cxn modelId="{9C8D1225-22C7-4C99-8D22-A0F394223E1C}" srcId="{AD57D6F8-1E1D-4C08-B8E1-F743CC4D8618}" destId="{1E3D188D-1C38-4FF2-ADAD-687EE27716D1}" srcOrd="0" destOrd="0" parTransId="{E5B5055F-BDE8-4C1F-8169-963DD004C33F}" sibTransId="{1DA6D785-1867-4555-AF0F-2C53A17CA252}"/>
    <dgm:cxn modelId="{BCE0F127-C485-41BE-B38E-9BDEF8908866}" srcId="{50288868-FEEE-470B-9B6E-3B8DBAE6D908}" destId="{ACFB9295-1466-40DD-AC28-3F5FD1714F64}" srcOrd="2" destOrd="0" parTransId="{EC779102-338A-4658-805D-ADA27F85C532}" sibTransId="{D034D896-F381-4B90-9C52-BBB59FC21309}"/>
    <dgm:cxn modelId="{5DB4BE28-E201-41DA-8084-AFAB81C086B1}" srcId="{30A75C1B-28C6-4B8D-9C12-C405753EA701}" destId="{0AF8697D-AC9F-4005-8FD9-6DCBA79179B5}" srcOrd="5" destOrd="0" parTransId="{A6ECC484-C5B3-4E5A-B7E0-750C177CFF69}" sibTransId="{A92A7263-63F3-4042-9937-EBDB57A98149}"/>
    <dgm:cxn modelId="{F242D529-A2F9-42AF-8DCC-B30BACC88A8B}" type="presOf" srcId="{AC135556-31BF-44F2-8873-1191AAC5AD3E}" destId="{BD64C209-A7B0-47B9-A859-89497615BB8D}" srcOrd="0" destOrd="0" presId="urn:microsoft.com/office/officeart/2005/8/layout/orgChart1"/>
    <dgm:cxn modelId="{F84BFA29-AC45-4711-B302-1ABFA8183EFC}" type="presOf" srcId="{ECA12779-181B-4C07-9D00-63CBA88654AE}" destId="{FED6595E-1570-4891-AE46-CD4AC1DEF9EA}" srcOrd="0" destOrd="0" presId="urn:microsoft.com/office/officeart/2005/8/layout/orgChart1"/>
    <dgm:cxn modelId="{A4D8122A-1142-4D35-AE13-AC643480D764}" type="presOf" srcId="{A15614BF-5CEB-4D67-B306-D3314BE68D26}" destId="{4B8036C8-82F6-4CAC-9705-E438507AC395}" srcOrd="0" destOrd="0" presId="urn:microsoft.com/office/officeart/2005/8/layout/orgChart1"/>
    <dgm:cxn modelId="{394E3C2A-153B-47F6-A0DE-B57B8E21A736}" srcId="{3F3357F7-4B5D-4628-A1A8-7502CC353783}" destId="{DB7CACC7-5EC9-4B8D-96B4-EF600082F3F7}" srcOrd="3" destOrd="0" parTransId="{C6102B0F-7854-426C-92B3-2AE27B490B33}" sibTransId="{A4F133C6-8A42-4E4B-B122-99CF348208F6}"/>
    <dgm:cxn modelId="{A0404C2A-220B-4EA9-AE5D-6A2BE0310FA5}" type="presOf" srcId="{C5F0B96A-A575-48A3-988A-96868B3842FF}" destId="{1B70E28B-3F55-4A34-B864-28329F2EE997}" srcOrd="0" destOrd="0" presId="urn:microsoft.com/office/officeart/2005/8/layout/orgChart1"/>
    <dgm:cxn modelId="{AD759D2D-7DF6-45E0-974F-CB038647CD3F}" type="presOf" srcId="{472A6B0E-9B61-4834-A11A-8167EB7251E1}" destId="{94EA12D3-04D9-47DF-8815-13B679B7C734}" srcOrd="0" destOrd="0" presId="urn:microsoft.com/office/officeart/2005/8/layout/orgChart1"/>
    <dgm:cxn modelId="{AC1B0D2E-E667-4007-BA66-D9057D10975F}" srcId="{12769DC2-3E6F-47DC-8299-CD864B2ADFD6}" destId="{6D5DB864-02A4-46BE-8545-ED7E486F40B1}" srcOrd="5" destOrd="0" parTransId="{3D53F137-37DF-4C23-9AFE-E21B731FCD13}" sibTransId="{5FD9881E-A1CD-4AF0-A128-252B78B6BC46}"/>
    <dgm:cxn modelId="{502AA02E-C778-4F4D-81E7-173D8CC0A2C2}" type="presOf" srcId="{39C5FE85-32DD-462E-8D23-03C3DDEA20B9}" destId="{0B8C700B-8527-409D-ADF9-BFF88DA7E80C}" srcOrd="0" destOrd="0" presId="urn:microsoft.com/office/officeart/2005/8/layout/orgChart1"/>
    <dgm:cxn modelId="{77E69C30-A8B8-4C60-A679-AF2569E5D332}" srcId="{AD57D6F8-1E1D-4C08-B8E1-F743CC4D8618}" destId="{CFAC0D8A-84E8-4DBA-8190-A3C763E23FEE}" srcOrd="3" destOrd="0" parTransId="{4C225E30-36A4-4BE6-ADB9-85A3B29271E0}" sibTransId="{2BAD2124-834B-4C41-8988-1E3F81028152}"/>
    <dgm:cxn modelId="{1F664331-4881-4C84-A050-BEF5874BF073}" type="presOf" srcId="{658E3A9E-66A2-4346-BCEC-4375FA80156E}" destId="{4D7DA46E-0BF2-4295-9AD5-E7231B6FBE5D}" srcOrd="0" destOrd="0" presId="urn:microsoft.com/office/officeart/2005/8/layout/orgChart1"/>
    <dgm:cxn modelId="{C9DD5532-33C7-4F5F-807E-9ABC6AED4C8D}" type="presOf" srcId="{A2EEF95F-6FCB-462B-A18E-D01951D1EB2D}" destId="{FF3F3098-1EE8-47DE-A756-7FCF6D81535A}" srcOrd="1" destOrd="0" presId="urn:microsoft.com/office/officeart/2005/8/layout/orgChart1"/>
    <dgm:cxn modelId="{00634A34-C822-4640-B59A-93AC921A671B}" type="presOf" srcId="{7B1C4966-1262-47C2-A22C-A1A9518F5A79}" destId="{D774376C-5B5F-4165-B817-51060CD11209}" srcOrd="0" destOrd="0" presId="urn:microsoft.com/office/officeart/2005/8/layout/orgChart1"/>
    <dgm:cxn modelId="{D41F1937-8FBD-4F1F-A49E-11B176BC25C9}" srcId="{30A75C1B-28C6-4B8D-9C12-C405753EA701}" destId="{83A882C9-CED3-4DBB-B5D7-A9BC33A0CB1E}" srcOrd="3" destOrd="0" parTransId="{68F8F16B-F0F9-4668-BE26-B49FDC6CE9C8}" sibTransId="{3448586C-7F18-4FD2-9D81-69E3111EDB46}"/>
    <dgm:cxn modelId="{D5545437-A83B-46CB-903C-CC8665020628}" type="presOf" srcId="{B3363645-6E47-4702-9387-06C510C570CB}" destId="{A4F37D24-B226-43D8-A06C-75DCA05AFFD9}" srcOrd="1" destOrd="0" presId="urn:microsoft.com/office/officeart/2005/8/layout/orgChart1"/>
    <dgm:cxn modelId="{1A8D213B-DB59-4EC4-84B8-E170271E03F6}" type="presOf" srcId="{9FC7468C-17A0-4FD1-82F6-1994C9AA5866}" destId="{A8BB2A2D-2837-4904-B835-E6E594DCE55B}" srcOrd="1" destOrd="0" presId="urn:microsoft.com/office/officeart/2005/8/layout/orgChart1"/>
    <dgm:cxn modelId="{F5110D40-14A4-45A5-AD6A-BCF16CEED3FC}" srcId="{E2075C35-04A8-466E-AEED-5D3277B5A90A}" destId="{A15614BF-5CEB-4D67-B306-D3314BE68D26}" srcOrd="4" destOrd="0" parTransId="{3940DA0E-41B9-4888-B3E7-28214BCF8D9B}" sibTransId="{D49F71C9-CEDD-4CA7-8F47-A656E1FB3BFF}"/>
    <dgm:cxn modelId="{B1F23E5C-200E-4819-81E0-AE2B046708A1}" type="presOf" srcId="{8F85FD1E-8136-4C8A-AF31-DF34731BE3BC}" destId="{1BBE8EE2-F237-45F9-A383-197C8C6F4123}" srcOrd="0" destOrd="0" presId="urn:microsoft.com/office/officeart/2005/8/layout/orgChart1"/>
    <dgm:cxn modelId="{69F5975D-690D-4573-BBD1-FE2212DC4401}" srcId="{50288868-FEEE-470B-9B6E-3B8DBAE6D908}" destId="{BD1A52BE-D10C-4C60-A5CA-97E1F3C6F7BC}" srcOrd="5" destOrd="0" parTransId="{685F3026-EBCD-4FC6-A94B-FA0402247107}" sibTransId="{A4DC726A-E32C-4C3E-882A-18D0DB85A508}"/>
    <dgm:cxn modelId="{1CF16B5F-2891-404C-913F-1CC43419ABDC}" type="presOf" srcId="{FD1DE0E6-FA2F-44F6-B53A-BD88042663B5}" destId="{2F7B221D-5030-40CE-B2C2-68153A0F97EC}" srcOrd="0" destOrd="0" presId="urn:microsoft.com/office/officeart/2005/8/layout/orgChart1"/>
    <dgm:cxn modelId="{45636860-DAD8-4181-A790-84D1E1C3B599}" type="presOf" srcId="{EA739FF8-B294-456B-B07A-B32298D14275}" destId="{67112E2D-DA08-4C12-BA18-598F9B59C2DD}" srcOrd="0" destOrd="0" presId="urn:microsoft.com/office/officeart/2005/8/layout/orgChart1"/>
    <dgm:cxn modelId="{3F228761-04AC-4489-9A68-909409E98AF0}" srcId="{30A75C1B-28C6-4B8D-9C12-C405753EA701}" destId="{ECF03B94-C7AD-4DF3-B508-62E701087C6F}" srcOrd="2" destOrd="0" parTransId="{19A46F26-59B1-4C5A-BF18-0E767311EBF1}" sibTransId="{3C1B98AE-1EE8-4E73-BF14-192288902B63}"/>
    <dgm:cxn modelId="{86909741-1138-406C-B4D0-BE6532EA3539}" type="presOf" srcId="{10B2F529-C227-4AFA-9869-F1C5F93B7411}" destId="{AF2EBD80-CD02-4D6E-9BF5-2352F4BE2354}" srcOrd="0" destOrd="0" presId="urn:microsoft.com/office/officeart/2005/8/layout/orgChart1"/>
    <dgm:cxn modelId="{CE732743-EE07-45A9-A191-7CDE8C1EF3FB}" srcId="{AD57D6F8-1E1D-4C08-B8E1-F743CC4D8618}" destId="{058BAF66-FEE2-4B3A-8EE6-25FBFC3671F8}" srcOrd="2" destOrd="0" parTransId="{E804B64F-8B56-4A4C-A418-4BB3F4ED6989}" sibTransId="{2950B48C-8A63-4EE8-992E-FE5529DA3D84}"/>
    <dgm:cxn modelId="{67273C63-B413-44C4-B26B-1180D201D4CD}" type="presOf" srcId="{30A75C1B-28C6-4B8D-9C12-C405753EA701}" destId="{22A73B9D-D4EE-45F4-950A-257DEF58E397}" srcOrd="1" destOrd="0" presId="urn:microsoft.com/office/officeart/2005/8/layout/orgChart1"/>
    <dgm:cxn modelId="{CEB78763-F530-43DF-BB2F-9E7750C1ABBC}" type="presOf" srcId="{92CBA82E-8C23-4886-9478-50470E71E84A}" destId="{2314AD4C-5552-4E80-A3D0-6A7B329E2BF2}" srcOrd="0" destOrd="0" presId="urn:microsoft.com/office/officeart/2005/8/layout/orgChart1"/>
    <dgm:cxn modelId="{75D39245-7D31-4FC1-9B1D-64800C17C3AF}" srcId="{12769DC2-3E6F-47DC-8299-CD864B2ADFD6}" destId="{BF100430-0928-4BA1-B2C3-DCBB59BE2FBC}" srcOrd="4" destOrd="0" parTransId="{D5CF3F1D-4FFA-44B5-84B3-977AD131F177}" sibTransId="{2A9D3097-E7D2-4F49-8DA5-B231360A3C19}"/>
    <dgm:cxn modelId="{7ECFE366-6100-4A1F-8009-3B85E1261D12}" type="presOf" srcId="{AD57D6F8-1E1D-4C08-B8E1-F743CC4D8618}" destId="{735EB318-83B9-45F6-B3F9-31895D8D9C62}" srcOrd="0" destOrd="0" presId="urn:microsoft.com/office/officeart/2005/8/layout/orgChart1"/>
    <dgm:cxn modelId="{8D58C247-3387-4042-9DA1-6B29904A57D7}" srcId="{AD57D6F8-1E1D-4C08-B8E1-F743CC4D8618}" destId="{92CBA82E-8C23-4886-9478-50470E71E84A}" srcOrd="4" destOrd="0" parTransId="{EE0A0574-2CD4-4A8E-8B58-75434BAC3266}" sibTransId="{3739894D-5D17-4D06-BD0C-F96C8E68D34F}"/>
    <dgm:cxn modelId="{2FD3CE48-95C2-4CFC-8F14-8B35EA7630C8}" type="presOf" srcId="{4E92F089-AA5E-42E6-8F33-FE692A0C9628}" destId="{EF40F13B-2C5A-41A4-9FFF-CA4653B01B3B}" srcOrd="0" destOrd="0" presId="urn:microsoft.com/office/officeart/2005/8/layout/orgChart1"/>
    <dgm:cxn modelId="{F0E1EE68-5B84-4C5A-90FB-4161911C7562}" type="presOf" srcId="{E2075C35-04A8-466E-AEED-5D3277B5A90A}" destId="{A93E9E9D-8284-47DB-90D4-BE1DFF93A8F2}" srcOrd="0" destOrd="0" presId="urn:microsoft.com/office/officeart/2005/8/layout/orgChart1"/>
    <dgm:cxn modelId="{A0050B69-EE5C-4417-8506-2975869160CF}" type="presOf" srcId="{A2B11AD8-E2B9-4F53-9825-E09DEC18CD35}" destId="{8DEFE2F6-F03E-4E75-8B42-5AD6EA54AB63}" srcOrd="0" destOrd="0" presId="urn:microsoft.com/office/officeart/2005/8/layout/orgChart1"/>
    <dgm:cxn modelId="{F393606A-2885-46F0-8C64-F877975F21B3}" type="presOf" srcId="{CFAC0D8A-84E8-4DBA-8190-A3C763E23FEE}" destId="{3D8051FC-9840-43DE-B8A8-0A2DB5BDC50C}" srcOrd="1" destOrd="0" presId="urn:microsoft.com/office/officeart/2005/8/layout/orgChart1"/>
    <dgm:cxn modelId="{145BF26B-A168-4388-8E5B-3AC00594A09A}" type="presOf" srcId="{3940DA0E-41B9-4888-B3E7-28214BCF8D9B}" destId="{A4416B43-F3A4-4973-A232-A705A548F85A}" srcOrd="0" destOrd="0" presId="urn:microsoft.com/office/officeart/2005/8/layout/orgChart1"/>
    <dgm:cxn modelId="{B5CF034C-8C67-47F1-AD51-C5F509BAC271}" type="presOf" srcId="{21707E9C-756F-49C7-8A2B-CFCBD71737BB}" destId="{50B422BA-925B-42BF-9337-3D961FB7C327}" srcOrd="1" destOrd="0" presId="urn:microsoft.com/office/officeart/2005/8/layout/orgChart1"/>
    <dgm:cxn modelId="{F730974C-D312-4361-BFC2-807B858E754D}" type="presOf" srcId="{56B05BB8-D9BC-48CC-8340-36DFDDF4319A}" destId="{F7E5F2CE-0C8A-4AD2-8503-9E5CEAC34879}" srcOrd="0" destOrd="0" presId="urn:microsoft.com/office/officeart/2005/8/layout/orgChart1"/>
    <dgm:cxn modelId="{B1F5984C-C737-4C26-810D-23008393B35A}" type="presOf" srcId="{3F3357F7-4B5D-4628-A1A8-7502CC353783}" destId="{14ECF5AB-F12D-4C1A-9BDE-E5F8D27CC289}" srcOrd="1" destOrd="0" presId="urn:microsoft.com/office/officeart/2005/8/layout/orgChart1"/>
    <dgm:cxn modelId="{DACA716E-F787-49DE-95CB-DF6D0740753A}" type="presOf" srcId="{763329BB-BA95-4CCB-A946-57F154F16083}" destId="{A69B6F19-D601-4E1F-A30B-92D7339CEC15}" srcOrd="1" destOrd="0" presId="urn:microsoft.com/office/officeart/2005/8/layout/orgChart1"/>
    <dgm:cxn modelId="{B92F3851-0CDE-42DA-8AFC-779C97E2F82C}" srcId="{E2075C35-04A8-466E-AEED-5D3277B5A90A}" destId="{FBC789F5-9F9D-4FCB-98BD-A3E208DAB147}" srcOrd="3" destOrd="0" parTransId="{F23F9B4E-084A-4AAC-AACF-8F26CD335DF5}" sibTransId="{69A37540-D5B4-4BCA-9831-F17E0BF0CABF}"/>
    <dgm:cxn modelId="{F3741072-F9E0-4EF4-B982-C9059007EF1E}" type="presOf" srcId="{7DD9B6E2-B271-4E30-8530-F0FFC7508F3F}" destId="{96518F74-4F11-437D-A2B6-A7469A744A9A}" srcOrd="1" destOrd="0" presId="urn:microsoft.com/office/officeart/2005/8/layout/orgChart1"/>
    <dgm:cxn modelId="{58DA2752-C49C-496C-93A2-2D5A7C3387E4}" type="presOf" srcId="{50288868-FEEE-470B-9B6E-3B8DBAE6D908}" destId="{A258BD13-7871-4C9C-B418-43BE12BFB3E9}" srcOrd="0" destOrd="0" presId="urn:microsoft.com/office/officeart/2005/8/layout/orgChart1"/>
    <dgm:cxn modelId="{006CBC72-9B5C-4DFF-BE2D-50EC163CEF70}" srcId="{3F3357F7-4B5D-4628-A1A8-7502CC353783}" destId="{56758184-E51D-4231-A1FE-F35C27316928}" srcOrd="1" destOrd="0" parTransId="{B5FE1B7C-2D58-4AE8-96AF-581A3D339B6D}" sibTransId="{79840B14-D186-4325-AE94-AF70BCF8700F}"/>
    <dgm:cxn modelId="{DA23C072-FD5F-4A73-9733-905787364F05}" srcId="{0D19CEF6-7028-42D2-A7FA-9A9CE24E0D3E}" destId="{E2075C35-04A8-466E-AEED-5D3277B5A90A}" srcOrd="1" destOrd="0" parTransId="{1AD6EFD4-8689-4711-870E-B8FCA71DC32C}" sibTransId="{37C1EA31-A108-48BE-8A1B-A8629701A5EC}"/>
    <dgm:cxn modelId="{0A281953-719D-4AF6-A7E7-94FA023E6AB7}" type="presOf" srcId="{BB19C4C0-C836-4CD8-A7C4-A0225D3257FB}" destId="{AD7D396D-70EB-4F3A-AC22-78E8462178A0}" srcOrd="0" destOrd="0" presId="urn:microsoft.com/office/officeart/2005/8/layout/orgChart1"/>
    <dgm:cxn modelId="{9B7C1474-1DE6-4DF4-99A2-DA70FB77CC72}" type="presOf" srcId="{70EFDBF8-CA80-43EB-AF09-A11A22991EC0}" destId="{A5DD968A-911F-4376-BCC3-EEACDFED13C5}" srcOrd="1" destOrd="0" presId="urn:microsoft.com/office/officeart/2005/8/layout/orgChart1"/>
    <dgm:cxn modelId="{A4116874-6DD5-45E1-BA10-3D05C823A60D}" type="presOf" srcId="{DB7CACC7-5EC9-4B8D-96B4-EF600082F3F7}" destId="{450069CF-7114-46AF-B948-B59BD7BD3248}" srcOrd="0" destOrd="0" presId="urn:microsoft.com/office/officeart/2005/8/layout/orgChart1"/>
    <dgm:cxn modelId="{32A9EF54-D955-4468-8678-A024CB7D28D7}" type="presOf" srcId="{BB19C4C0-C836-4CD8-A7C4-A0225D3257FB}" destId="{E8EB7F20-D728-4C93-81BC-AECA407EEA56}" srcOrd="1" destOrd="0" presId="urn:microsoft.com/office/officeart/2005/8/layout/orgChart1"/>
    <dgm:cxn modelId="{691D2256-2072-4676-B297-033E6049E8EC}" type="presOf" srcId="{7DD9B6E2-B271-4E30-8530-F0FFC7508F3F}" destId="{67BD0060-BFB1-4C4A-9D5B-6E6E87609C6C}" srcOrd="0" destOrd="0" presId="urn:microsoft.com/office/officeart/2005/8/layout/orgChart1"/>
    <dgm:cxn modelId="{42940657-AA6E-4F42-ACDC-3E09B6D048DE}" type="presOf" srcId="{E804B64F-8B56-4A4C-A418-4BB3F4ED6989}" destId="{2136166C-C192-4F23-BD15-061DD6C9F076}" srcOrd="0" destOrd="0" presId="urn:microsoft.com/office/officeart/2005/8/layout/orgChart1"/>
    <dgm:cxn modelId="{8CDC5277-E97E-43E6-A36F-C115536225F8}" type="presOf" srcId="{D38C2767-0E30-4FB6-A12F-96B1C5EC5ACD}" destId="{3E7608C9-1BF5-4B36-AAAD-19D61152C89B}" srcOrd="1" destOrd="0" presId="urn:microsoft.com/office/officeart/2005/8/layout/orgChart1"/>
    <dgm:cxn modelId="{A9D8E277-E1A1-4681-B7A5-650EE2B27FD2}" type="presOf" srcId="{AD57D6F8-1E1D-4C08-B8E1-F743CC4D8618}" destId="{5A2DA114-1867-4140-9A0C-7DDD23CDAE7D}" srcOrd="1" destOrd="0" presId="urn:microsoft.com/office/officeart/2005/8/layout/orgChart1"/>
    <dgm:cxn modelId="{C2A6935A-856A-486B-9269-B185ED4E897A}" type="presOf" srcId="{0AF8697D-AC9F-4005-8FD9-6DCBA79179B5}" destId="{87B9EBD0-8BEE-4198-81B7-89C4056E1059}" srcOrd="0" destOrd="0" presId="urn:microsoft.com/office/officeart/2005/8/layout/orgChart1"/>
    <dgm:cxn modelId="{01A0577E-407A-4AA6-A415-4776A00F116E}" type="presOf" srcId="{763329BB-BA95-4CCB-A946-57F154F16083}" destId="{39B8E77F-B22C-4656-8B22-473C50CE438F}" srcOrd="0" destOrd="0" presId="urn:microsoft.com/office/officeart/2005/8/layout/orgChart1"/>
    <dgm:cxn modelId="{73583A83-E64D-4F7D-886F-E29DE22FFDCF}" type="presOf" srcId="{D78B9227-C856-4685-9B63-ED38AD2B7C9E}" destId="{F8DF4927-B0E2-4A18-B576-0CEAC6685F51}" srcOrd="0" destOrd="0" presId="urn:microsoft.com/office/officeart/2005/8/layout/orgChart1"/>
    <dgm:cxn modelId="{62B9D284-4693-47EC-8CC3-4AF970218CD1}" type="presOf" srcId="{FBC789F5-9F9D-4FCB-98BD-A3E208DAB147}" destId="{8EFA38DB-7372-4EF3-94A9-14D2F01FACFE}" srcOrd="0" destOrd="0" presId="urn:microsoft.com/office/officeart/2005/8/layout/orgChart1"/>
    <dgm:cxn modelId="{53E65285-48DC-4376-9BA4-CC44F696EC53}" srcId="{3F3357F7-4B5D-4628-A1A8-7502CC353783}" destId="{7DD9B6E2-B271-4E30-8530-F0FFC7508F3F}" srcOrd="0" destOrd="0" parTransId="{AF3C95EC-2FD9-403C-A2F6-972AE545C6A9}" sibTransId="{2AE95C04-4BD2-4D20-B92A-21E4CA3B9E04}"/>
    <dgm:cxn modelId="{1F2A8385-CB6D-4D30-8CDE-C01F55ECCC50}" type="presOf" srcId="{058BAF66-FEE2-4B3A-8EE6-25FBFC3671F8}" destId="{87C406E2-5A90-409E-A6F8-B797D7521526}" srcOrd="1" destOrd="0" presId="urn:microsoft.com/office/officeart/2005/8/layout/orgChart1"/>
    <dgm:cxn modelId="{5D4AD686-A448-48D6-BE03-D809FB468B79}" type="presOf" srcId="{12769DC2-3E6F-47DC-8299-CD864B2ADFD6}" destId="{7BCBB919-E96F-42D4-BA5F-2446C6D9C71A}" srcOrd="1" destOrd="0" presId="urn:microsoft.com/office/officeart/2005/8/layout/orgChart1"/>
    <dgm:cxn modelId="{BF7E4987-F83A-4D17-90D1-D82370611207}" type="presOf" srcId="{A6ECC484-C5B3-4E5A-B7E0-750C177CFF69}" destId="{591A4806-A056-49FA-A807-3507349E025F}" srcOrd="0" destOrd="0" presId="urn:microsoft.com/office/officeart/2005/8/layout/orgChart1"/>
    <dgm:cxn modelId="{D6081B88-17DA-4FC2-8FAC-E43450CD57FF}" srcId="{E2075C35-04A8-466E-AEED-5D3277B5A90A}" destId="{C5F0B96A-A575-48A3-988A-96868B3842FF}" srcOrd="2" destOrd="0" parTransId="{ABED396A-E93F-4365-BB41-2CCF9C939201}" sibTransId="{CD1D148D-17B5-4C7B-B8E9-16327CA670DA}"/>
    <dgm:cxn modelId="{6899F288-868A-421D-9441-BA0C3CFEF45D}" type="presOf" srcId="{BF100430-0928-4BA1-B2C3-DCBB59BE2FBC}" destId="{F75DB207-43BF-488C-BEA8-CD8796287353}" srcOrd="1" destOrd="0" presId="urn:microsoft.com/office/officeart/2005/8/layout/orgChart1"/>
    <dgm:cxn modelId="{832A2A89-4450-42AE-82BC-FCDB349C3EC5}" type="presOf" srcId="{700EB8B3-EC84-483A-8486-DA03EEAAFDAC}" destId="{F1EE7129-9CBE-42CE-9EE3-3684DAE78A6A}" srcOrd="0" destOrd="0" presId="urn:microsoft.com/office/officeart/2005/8/layout/orgChart1"/>
    <dgm:cxn modelId="{72B48A89-A1F1-4D09-BEF0-37389F449EAA}" srcId="{50288868-FEEE-470B-9B6E-3B8DBAE6D908}" destId="{ECA12779-181B-4C07-9D00-63CBA88654AE}" srcOrd="0" destOrd="0" parTransId="{FD1DE0E6-FA2F-44F6-B53A-BD88042663B5}" sibTransId="{339A230E-D26D-4336-95B7-A30C85828F00}"/>
    <dgm:cxn modelId="{C7CEE389-B30D-43E6-B3E1-76ADE483071B}" srcId="{30A75C1B-28C6-4B8D-9C12-C405753EA701}" destId="{DE430EBC-9AEB-4AC5-8133-E102B3D8B235}" srcOrd="0" destOrd="0" parTransId="{82998A5A-8177-4BF4-B11A-85C450BCA0B9}" sibTransId="{89CC0D70-E04A-479A-8ABF-FBDFB8FC8D64}"/>
    <dgm:cxn modelId="{227D088A-4869-4C30-8C75-490F3BC8CFBA}" type="presOf" srcId="{ECF03B94-C7AD-4DF3-B508-62E701087C6F}" destId="{F83BC690-EFD5-4158-846D-4272C8D58421}" srcOrd="1" destOrd="0" presId="urn:microsoft.com/office/officeart/2005/8/layout/orgChart1"/>
    <dgm:cxn modelId="{81B9608E-0058-4BD9-A63F-72254426556D}" type="presOf" srcId="{6C08F2A6-164D-4776-851A-3C052221AD3E}" destId="{B0EBF5AF-CC42-4F77-830A-5EDB69B9E1FC}" srcOrd="0" destOrd="0" presId="urn:microsoft.com/office/officeart/2005/8/layout/orgChart1"/>
    <dgm:cxn modelId="{A24AD98E-9509-45A8-880A-2B2E1160CD62}" type="presOf" srcId="{44591BC8-1AE4-4203-B251-4BF042D57FB8}" destId="{A974865C-4AAC-4F63-8401-750EBF08F041}" srcOrd="0" destOrd="0" presId="urn:microsoft.com/office/officeart/2005/8/layout/orgChart1"/>
    <dgm:cxn modelId="{CFAD9E8F-B4A6-42D6-A004-1CBE9A727E56}" srcId="{0D19CEF6-7028-42D2-A7FA-9A9CE24E0D3E}" destId="{30A75C1B-28C6-4B8D-9C12-C405753EA701}" srcOrd="0" destOrd="0" parTransId="{888506E6-77BD-43A8-8E77-FA1FA2C75BB2}" sibTransId="{F8A17D73-68EA-4704-A740-E68B6A6A14A5}"/>
    <dgm:cxn modelId="{87D72890-5BF5-4371-9044-01FD06BEFE2C}" type="presOf" srcId="{AF3C95EC-2FD9-403C-A2F6-972AE545C6A9}" destId="{FC1C23FE-41C3-45AB-B919-B5AEFCF7E4A0}" srcOrd="0" destOrd="0" presId="urn:microsoft.com/office/officeart/2005/8/layout/orgChart1"/>
    <dgm:cxn modelId="{393BD690-F08C-4411-95CC-04C0BE824920}" type="presOf" srcId="{12351F76-C54E-43F8-A657-363EC9E932E1}" destId="{04201401-4837-4B30-AFFF-9998EB8BCE29}" srcOrd="1" destOrd="0" presId="urn:microsoft.com/office/officeart/2005/8/layout/orgChart1"/>
    <dgm:cxn modelId="{71AC5D91-1E95-41AF-84B1-523D580A8A2D}" type="presOf" srcId="{E2075C35-04A8-466E-AEED-5D3277B5A90A}" destId="{9DC0A2C5-954A-46FE-AAEA-4522F3158F81}" srcOrd="1" destOrd="0" presId="urn:microsoft.com/office/officeart/2005/8/layout/orgChart1"/>
    <dgm:cxn modelId="{5C94E791-CC47-4A1A-BEE4-2F93DB42515F}" type="presOf" srcId="{23FDE87F-8181-442A-B062-9B31B775BC56}" destId="{49442FAC-B0E9-4BAD-861B-AEA4355561EE}" srcOrd="0" destOrd="0" presId="urn:microsoft.com/office/officeart/2005/8/layout/orgChart1"/>
    <dgm:cxn modelId="{EB6EEB91-7C5B-4EF0-96BC-BDC5AA3F0FD9}" srcId="{AD57D6F8-1E1D-4C08-B8E1-F743CC4D8618}" destId="{F133B79B-C8B9-45C1-8C69-0DC643D51D92}" srcOrd="5" destOrd="0" parTransId="{2EF179D9-C18F-4A06-AEA9-5D6426FE68A5}" sibTransId="{8B4E6A5E-1239-4310-97A4-401A115924F6}"/>
    <dgm:cxn modelId="{34FDF191-F57A-4CA4-A29F-771E825A4BFA}" type="presOf" srcId="{D38C2767-0E30-4FB6-A12F-96B1C5EC5ACD}" destId="{A9181D67-06C7-48A4-910B-0FB4C3B9B53D}" srcOrd="0" destOrd="0" presId="urn:microsoft.com/office/officeart/2005/8/layout/orgChart1"/>
    <dgm:cxn modelId="{DBD6A492-9F9C-48A9-A65D-DDCAC2D930B9}" type="presOf" srcId="{A15614BF-5CEB-4D67-B306-D3314BE68D26}" destId="{4AF6D63D-FDCA-49E5-BB65-DF2D7246EF51}" srcOrd="1" destOrd="0" presId="urn:microsoft.com/office/officeart/2005/8/layout/orgChart1"/>
    <dgm:cxn modelId="{0CB1E992-943A-44DE-ADCB-A4E88CF44979}" type="presOf" srcId="{EA739FF8-B294-456B-B07A-B32298D14275}" destId="{12D47608-971A-4760-9862-9A137244C989}" srcOrd="1" destOrd="0" presId="urn:microsoft.com/office/officeart/2005/8/layout/orgChart1"/>
    <dgm:cxn modelId="{CD7B0D94-3F68-431D-80F1-D2AFCBDD0E19}" type="presOf" srcId="{1AD6EFD4-8689-4711-870E-B8FCA71DC32C}" destId="{E956C72C-0695-4AF5-8F1B-AF3CF911254E}" srcOrd="0" destOrd="0" presId="urn:microsoft.com/office/officeart/2005/8/layout/orgChart1"/>
    <dgm:cxn modelId="{0FB83A95-F4FE-4419-8FC2-CF83845C6E43}" type="presOf" srcId="{15422A0F-7BCA-484C-B057-F62059D58FAA}" destId="{E96B1214-A9E7-4181-8CA8-92FB713D4A14}" srcOrd="0" destOrd="0" presId="urn:microsoft.com/office/officeart/2005/8/layout/orgChart1"/>
    <dgm:cxn modelId="{8683A695-D271-47B4-908D-C1BEABA8CB57}" type="presOf" srcId="{ECF03B94-C7AD-4DF3-B508-62E701087C6F}" destId="{856CFF55-E4E6-40F3-9F14-FD1536F40E0B}" srcOrd="0" destOrd="0" presId="urn:microsoft.com/office/officeart/2005/8/layout/orgChart1"/>
    <dgm:cxn modelId="{1051A196-F568-4B7C-AB0C-EBC995E86FDC}" type="presOf" srcId="{ACFB9295-1466-40DD-AC28-3F5FD1714F64}" destId="{69D06E7D-A6C7-4A80-AB80-BC479557C42C}" srcOrd="1" destOrd="0" presId="urn:microsoft.com/office/officeart/2005/8/layout/orgChart1"/>
    <dgm:cxn modelId="{07F0D096-695E-4D0B-BACA-935B752CC4B8}" type="presOf" srcId="{CAB3C7F0-E5B8-433A-80EE-848BBB579EA1}" destId="{7074A187-D177-4CA7-8FAD-19086FA2F2A3}" srcOrd="0" destOrd="0" presId="urn:microsoft.com/office/officeart/2005/8/layout/orgChart1"/>
    <dgm:cxn modelId="{5D127597-EB1A-4657-8E63-AA98FFB3F432}" type="presOf" srcId="{1EDA062A-9AE5-4A51-90C7-F5F58C4180FE}" destId="{4B4A3709-AA75-4971-921B-CAC4A33225CC}" srcOrd="0" destOrd="0" presId="urn:microsoft.com/office/officeart/2005/8/layout/orgChart1"/>
    <dgm:cxn modelId="{2D5D2E98-6032-4A77-B328-99C3F182EC42}" type="presOf" srcId="{EE0A0574-2CD4-4A8E-8B58-75434BAC3266}" destId="{42707F8B-9C5E-4525-95F3-F1CEBC2FA133}" srcOrd="0" destOrd="0" presId="urn:microsoft.com/office/officeart/2005/8/layout/orgChart1"/>
    <dgm:cxn modelId="{B40D5C99-47CD-4B5C-BECA-2F3E16A61FF0}" srcId="{AD57D6F8-1E1D-4C08-B8E1-F743CC4D8618}" destId="{472A6B0E-9B61-4834-A11A-8167EB7251E1}" srcOrd="1" destOrd="0" parTransId="{10B2F529-C227-4AFA-9869-F1C5F93B7411}" sibTransId="{A45A06BF-27FB-4DFD-A66D-202CC0C7CB04}"/>
    <dgm:cxn modelId="{8DA7589A-1176-4098-BCD7-D7509D5DAF47}" type="presOf" srcId="{0AF8697D-AC9F-4005-8FD9-6DCBA79179B5}" destId="{2866293E-A1B4-4F6A-A920-9518F91B0520}" srcOrd="1" destOrd="0" presId="urn:microsoft.com/office/officeart/2005/8/layout/orgChart1"/>
    <dgm:cxn modelId="{49D3B79A-9742-4808-9A0E-650C4A49B5B6}" type="presOf" srcId="{DB7CACC7-5EC9-4B8D-96B4-EF600082F3F7}" destId="{DF59B64D-B8F5-4CBC-B522-C117940BEBC4}" srcOrd="1" destOrd="0" presId="urn:microsoft.com/office/officeart/2005/8/layout/orgChart1"/>
    <dgm:cxn modelId="{6A9A789C-B414-495B-9BF3-23B1DA60F874}" srcId="{50288868-FEEE-470B-9B6E-3B8DBAE6D908}" destId="{12351F76-C54E-43F8-A657-363EC9E932E1}" srcOrd="1" destOrd="0" parTransId="{1CD7D42E-8C56-458F-8322-E22926EA09CE}" sibTransId="{1B1406ED-048A-472B-AD36-574C7D6F9126}"/>
    <dgm:cxn modelId="{63754EA0-264A-41F7-A018-0D8CAEC714B5}" type="presOf" srcId="{888506E6-77BD-43A8-8E77-FA1FA2C75BB2}" destId="{6829BF15-4119-41AB-879E-0A03001B34CB}" srcOrd="0" destOrd="0" presId="urn:microsoft.com/office/officeart/2005/8/layout/orgChart1"/>
    <dgm:cxn modelId="{96D808A1-38C1-4257-AD78-7A218956AEAF}" type="presOf" srcId="{6C08F2A6-164D-4776-851A-3C052221AD3E}" destId="{267399EE-B55E-4476-A64E-CC4D84D4DD98}" srcOrd="1" destOrd="0" presId="urn:microsoft.com/office/officeart/2005/8/layout/orgChart1"/>
    <dgm:cxn modelId="{449EDEA5-6CBF-40B1-839B-3541BEFF93A5}" type="presOf" srcId="{A2EEF95F-6FCB-462B-A18E-D01951D1EB2D}" destId="{ABC7BB64-A90A-4CB7-9105-0A2AC9805564}" srcOrd="0" destOrd="0" presId="urn:microsoft.com/office/officeart/2005/8/layout/orgChart1"/>
    <dgm:cxn modelId="{F262E0A6-DAE2-4052-9BFC-76967577DBB2}" type="presOf" srcId="{EC779102-338A-4658-805D-ADA27F85C532}" destId="{B5210DB0-CB29-4557-B327-60029655B293}" srcOrd="0" destOrd="0" presId="urn:microsoft.com/office/officeart/2005/8/layout/orgChart1"/>
    <dgm:cxn modelId="{EA1E41A7-8379-47D0-8723-1ABF73A8EA47}" type="presOf" srcId="{83A882C9-CED3-4DBB-B5D7-A9BC33A0CB1E}" destId="{2490E369-58C0-4092-BC57-B6F9B7A8424A}" srcOrd="0" destOrd="0" presId="urn:microsoft.com/office/officeart/2005/8/layout/orgChart1"/>
    <dgm:cxn modelId="{731A4DA8-ED5E-46EF-A217-8196EE3BA93C}" type="presOf" srcId="{82998A5A-8177-4BF4-B11A-85C450BCA0B9}" destId="{2C29EF2C-4297-4C3B-9B35-26D15FB09F87}" srcOrd="0" destOrd="0" presId="urn:microsoft.com/office/officeart/2005/8/layout/orgChart1"/>
    <dgm:cxn modelId="{96E297A8-0406-4A26-9642-50B037DD0435}" srcId="{12769DC2-3E6F-47DC-8299-CD864B2ADFD6}" destId="{AB76204E-2E1E-4483-B659-02F8E8BD8E3A}" srcOrd="0" destOrd="0" parTransId="{9D236FE8-B5DB-42B2-83A0-8A85E57D18D6}" sibTransId="{24A5B341-C6D8-420A-B49A-C190618461F1}"/>
    <dgm:cxn modelId="{9ED470AA-50DB-44CE-ABBE-04BFFF8BB65D}" srcId="{30A75C1B-28C6-4B8D-9C12-C405753EA701}" destId="{CAB3C7F0-E5B8-433A-80EE-848BBB579EA1}" srcOrd="4" destOrd="0" parTransId="{99BCA385-66F1-4778-AC5F-322108555713}" sibTransId="{67E7AAB7-F758-452E-808A-F8A3AC7B5A85}"/>
    <dgm:cxn modelId="{3901FAAC-A1B1-4589-9A9C-59CA86DFF58C}" type="presOf" srcId="{56758184-E51D-4231-A1FE-F35C27316928}" destId="{5451555C-535D-4995-B08E-92BDE4EE9F4E}" srcOrd="0" destOrd="0" presId="urn:microsoft.com/office/officeart/2005/8/layout/orgChart1"/>
    <dgm:cxn modelId="{BA616BB5-1FAC-4D6E-83B5-305E0A4442E4}" type="presOf" srcId="{C41972CF-CFF7-4A0B-86FB-124A3C29C284}" destId="{7398580D-8EEC-44BA-940A-E4D9004A0CF0}" srcOrd="0" destOrd="0" presId="urn:microsoft.com/office/officeart/2005/8/layout/orgChart1"/>
    <dgm:cxn modelId="{3DEA44B8-A680-4A9C-B362-8D1E3C44FC40}" type="presOf" srcId="{68F8F16B-F0F9-4668-BE26-B49FDC6CE9C8}" destId="{59FDCD71-00D1-4CBF-9A31-1E489E856A40}" srcOrd="0" destOrd="0" presId="urn:microsoft.com/office/officeart/2005/8/layout/orgChart1"/>
    <dgm:cxn modelId="{ECBFD0B8-048D-47C8-82A4-6AAE4A80C230}" type="presOf" srcId="{ECA12779-181B-4C07-9D00-63CBA88654AE}" destId="{4A3DC27F-8DE4-48A4-9352-6E19ED89BD37}" srcOrd="1" destOrd="0" presId="urn:microsoft.com/office/officeart/2005/8/layout/orgChart1"/>
    <dgm:cxn modelId="{D6876EBA-F78B-4176-A056-663F2DC0019E}" srcId="{8F85FD1E-8136-4C8A-AF31-DF34731BE3BC}" destId="{0D19CEF6-7028-42D2-A7FA-9A9CE24E0D3E}" srcOrd="0" destOrd="0" parTransId="{BBBECFD6-43DC-47AE-B98A-23647B4C8016}" sibTransId="{247D7F4C-B6AA-453F-B6B1-CCB72362D25F}"/>
    <dgm:cxn modelId="{7C766FBB-EE4C-4FAF-B1A9-842A12604A21}" type="presOf" srcId="{AB76204E-2E1E-4483-B659-02F8E8BD8E3A}" destId="{647420B5-B7F6-41E1-AC34-55D8867088E7}" srcOrd="0" destOrd="0" presId="urn:microsoft.com/office/officeart/2005/8/layout/orgChart1"/>
    <dgm:cxn modelId="{E23E0DBC-05B6-42D8-8F2D-7174F19B4999}" srcId="{0D19CEF6-7028-42D2-A7FA-9A9CE24E0D3E}" destId="{50288868-FEEE-470B-9B6E-3B8DBAE6D908}" srcOrd="4" destOrd="0" parTransId="{700EB8B3-EC84-483A-8486-DA03EEAAFDAC}" sibTransId="{9A0B2F47-A2BB-4242-B28E-A678B4FBFAE2}"/>
    <dgm:cxn modelId="{D4F174BE-C618-49C1-8D83-A0E3F1FA0719}" srcId="{0D19CEF6-7028-42D2-A7FA-9A9CE24E0D3E}" destId="{AD57D6F8-1E1D-4C08-B8E1-F743CC4D8618}" srcOrd="5" destOrd="0" parTransId="{7B1C4966-1262-47C2-A22C-A1A9518F5A79}" sibTransId="{E3A71EE5-562D-48DB-A1C5-6CEB44716E34}"/>
    <dgm:cxn modelId="{77B8E4C0-A0AC-4BE2-8384-F974ADC49DA3}" srcId="{12769DC2-3E6F-47DC-8299-CD864B2ADFD6}" destId="{A2EEF95F-6FCB-462B-A18E-D01951D1EB2D}" srcOrd="1" destOrd="0" parTransId="{4E92F089-AA5E-42E6-8F33-FE692A0C9628}" sibTransId="{3DB9F778-7086-4387-A079-096207A246FE}"/>
    <dgm:cxn modelId="{D4CDB5C1-3514-4F87-BA98-B12881772400}" srcId="{E2075C35-04A8-466E-AEED-5D3277B5A90A}" destId="{21707E9C-756F-49C7-8A2B-CFCBD71737BB}" srcOrd="5" destOrd="0" parTransId="{658E3A9E-66A2-4346-BCEC-4375FA80156E}" sibTransId="{BD4CC336-0350-4DD6-A438-A1B6D215B4C8}"/>
    <dgm:cxn modelId="{60572FC4-BD26-4D07-93F8-91AC1FC88761}" type="presOf" srcId="{D5CF3F1D-4FFA-44B5-84B3-977AD131F177}" destId="{528E5FC3-D11A-4F89-9B14-660DA30A5BD9}" srcOrd="0" destOrd="0" presId="urn:microsoft.com/office/officeart/2005/8/layout/orgChart1"/>
    <dgm:cxn modelId="{31F32AC7-E16B-42A0-9EDC-24127D2D1E28}" type="presOf" srcId="{1CD7D42E-8C56-458F-8322-E22926EA09CE}" destId="{FD540605-6F96-4B99-9FEF-8CEAB4571FB4}" srcOrd="0" destOrd="0" presId="urn:microsoft.com/office/officeart/2005/8/layout/orgChart1"/>
    <dgm:cxn modelId="{C7AEB0C7-967B-4690-A418-EB9792882602}" type="presOf" srcId="{B3363645-6E47-4702-9387-06C510C570CB}" destId="{8F6DC081-6798-4216-A738-17F2FC92AADF}" srcOrd="0" destOrd="0" presId="urn:microsoft.com/office/officeart/2005/8/layout/orgChart1"/>
    <dgm:cxn modelId="{900E6AC8-FF25-4C6D-A323-CE992876DB34}" type="presOf" srcId="{9FC7468C-17A0-4FD1-82F6-1994C9AA5866}" destId="{1729CE0B-3838-48AD-B589-B372F2B0C771}" srcOrd="0" destOrd="0" presId="urn:microsoft.com/office/officeart/2005/8/layout/orgChart1"/>
    <dgm:cxn modelId="{2A9D33C9-B372-4771-BAA5-C1CB9F07A41E}" type="presOf" srcId="{F133B79B-C8B9-45C1-8C69-0DC643D51D92}" destId="{521DA9D7-18AA-4A62-A973-7FAE96D5D548}" srcOrd="1" destOrd="0" presId="urn:microsoft.com/office/officeart/2005/8/layout/orgChart1"/>
    <dgm:cxn modelId="{79D660C9-D21C-4FC7-8695-F77066748A2E}" srcId="{3F3357F7-4B5D-4628-A1A8-7502CC353783}" destId="{D38C2767-0E30-4FB6-A12F-96B1C5EC5ACD}" srcOrd="5" destOrd="0" parTransId="{AC135556-31BF-44F2-8873-1191AAC5AD3E}" sibTransId="{6C18CF87-B020-4223-B88A-5C47976CBFAE}"/>
    <dgm:cxn modelId="{4EBE3ACA-84C4-4C6B-89D0-191D7B9B73B5}" srcId="{30A75C1B-28C6-4B8D-9C12-C405753EA701}" destId="{15422A0F-7BCA-484C-B057-F62059D58FAA}" srcOrd="1" destOrd="0" parTransId="{C41972CF-CFF7-4A0B-86FB-124A3C29C284}" sibTransId="{DC1DF3B3-93D9-4FB5-8CEB-FEEA97B627D4}"/>
    <dgm:cxn modelId="{4B2D23CB-5977-4795-8612-E09099CD9B90}" srcId="{3F3357F7-4B5D-4628-A1A8-7502CC353783}" destId="{EA739FF8-B294-456B-B07A-B32298D14275}" srcOrd="2" destOrd="0" parTransId="{39C5FE85-32DD-462E-8D23-03C3DDEA20B9}" sibTransId="{7A8556ED-A3CA-4130-AE8E-183C74A85426}"/>
    <dgm:cxn modelId="{4B0C80CB-FDDF-4922-801F-F54BB3BAD837}" type="presOf" srcId="{9D236FE8-B5DB-42B2-83A0-8A85E57D18D6}" destId="{96BFC465-8166-421C-9903-E801C6A495F4}" srcOrd="0" destOrd="0" presId="urn:microsoft.com/office/officeart/2005/8/layout/orgChart1"/>
    <dgm:cxn modelId="{2D7425CD-93D8-4FAB-A8C4-E01C22FFAD6D}" type="presOf" srcId="{30A75C1B-28C6-4B8D-9C12-C405753EA701}" destId="{853FFB4D-1E55-4DDD-854F-C86298D938B0}" srcOrd="0" destOrd="0" presId="urn:microsoft.com/office/officeart/2005/8/layout/orgChart1"/>
    <dgm:cxn modelId="{3CFB60CE-2E69-46FD-9E4C-80E90F6A4176}" type="presOf" srcId="{3F3357F7-4B5D-4628-A1A8-7502CC353783}" destId="{18D7EB7E-5345-47F5-A003-6DAA02A6F959}" srcOrd="0" destOrd="0" presId="urn:microsoft.com/office/officeart/2005/8/layout/orgChart1"/>
    <dgm:cxn modelId="{25C861CE-B35C-4D2F-A37E-C28F40D6A72C}" type="presOf" srcId="{CAB3C7F0-E5B8-433A-80EE-848BBB579EA1}" destId="{925B500F-2D7C-454A-BB55-FDBCEEFBBE9A}" srcOrd="1" destOrd="0" presId="urn:microsoft.com/office/officeart/2005/8/layout/orgChart1"/>
    <dgm:cxn modelId="{C9B474CE-3750-4A7B-BC46-5F50F62C6E3A}" type="presOf" srcId="{C5F0B96A-A575-48A3-988A-96868B3842FF}" destId="{EE2E1F48-D8E2-4DBB-BEED-FC3ADD31836E}" srcOrd="1" destOrd="0" presId="urn:microsoft.com/office/officeart/2005/8/layout/orgChart1"/>
    <dgm:cxn modelId="{53EEFACF-1904-45A9-ACE9-09167DA6F143}" type="presOf" srcId="{12769DC2-3E6F-47DC-8299-CD864B2ADFD6}" destId="{EBDC4F41-BB02-4045-BB2C-0F561DCA0C10}" srcOrd="0" destOrd="0" presId="urn:microsoft.com/office/officeart/2005/8/layout/orgChart1"/>
    <dgm:cxn modelId="{518BBBD0-6DB7-4A6D-957E-0EA6D833F387}" srcId="{12769DC2-3E6F-47DC-8299-CD864B2ADFD6}" destId="{763329BB-BA95-4CCB-A946-57F154F16083}" srcOrd="3" destOrd="0" parTransId="{56B05BB8-D9BC-48CC-8340-36DFDDF4319A}" sibTransId="{C41D91DD-B930-4A1A-9EE1-AB29AD6DBECE}"/>
    <dgm:cxn modelId="{A4C139D1-B6E4-497C-8214-ED0B72116B90}" type="presOf" srcId="{B5FE1B7C-2D58-4AE8-96AF-581A3D339B6D}" destId="{ED94DFB4-543B-4805-8D2B-6695EC59E5AF}" srcOrd="0" destOrd="0" presId="urn:microsoft.com/office/officeart/2005/8/layout/orgChart1"/>
    <dgm:cxn modelId="{6D3FC2D1-A05F-45C1-AA3E-56A644F89545}" srcId="{0D19CEF6-7028-42D2-A7FA-9A9CE24E0D3E}" destId="{3F3357F7-4B5D-4628-A1A8-7502CC353783}" srcOrd="2" destOrd="0" parTransId="{44591BC8-1AE4-4203-B251-4BF042D57FB8}" sibTransId="{28D6021F-0685-4140-81B0-9CD9CAA08C85}"/>
    <dgm:cxn modelId="{E8BC39D2-48EF-439D-8345-5BBEFB3DE761}" type="presOf" srcId="{21707E9C-756F-49C7-8A2B-CFCBD71737BB}" destId="{4A3627A3-97A7-4455-998E-33BC47472C19}" srcOrd="0" destOrd="0" presId="urn:microsoft.com/office/officeart/2005/8/layout/orgChart1"/>
    <dgm:cxn modelId="{6B61AFD2-09B8-4F29-BD76-86C514C0E146}" type="presOf" srcId="{DE430EBC-9AEB-4AC5-8133-E102B3D8B235}" destId="{87C0B8B4-77B8-4E43-88C6-0FBC36C0E8AE}" srcOrd="1" destOrd="0" presId="urn:microsoft.com/office/officeart/2005/8/layout/orgChart1"/>
    <dgm:cxn modelId="{DE2F38D5-283E-444E-8B8B-873CD1169C91}" type="presOf" srcId="{BD1A52BE-D10C-4C60-A5CA-97E1F3C6F7BC}" destId="{35E07A3F-BFBB-420C-AA9E-724B4CCB2AAF}" srcOrd="1" destOrd="0" presId="urn:microsoft.com/office/officeart/2005/8/layout/orgChart1"/>
    <dgm:cxn modelId="{351DD1D5-5581-43DE-B143-4E2F25324C25}" type="presOf" srcId="{A364AF1D-E42E-45AF-B842-6159BFA8C7B9}" destId="{0A0D7290-3BF8-4E1B-AF58-EEEFB663DEAB}" srcOrd="0" destOrd="0" presId="urn:microsoft.com/office/officeart/2005/8/layout/orgChart1"/>
    <dgm:cxn modelId="{095492D6-17D8-4708-BFBB-97DFA5730C39}" type="presOf" srcId="{6D5DB864-02A4-46BE-8545-ED7E486F40B1}" destId="{0119EEB9-9A38-430C-8605-8FF3F804544F}" srcOrd="0" destOrd="0" presId="urn:microsoft.com/office/officeart/2005/8/layout/orgChart1"/>
    <dgm:cxn modelId="{F6E9B7D9-D226-4AFA-80DF-BDF78EA410C8}" type="presOf" srcId="{70EFDBF8-CA80-43EB-AF09-A11A22991EC0}" destId="{2915E1C8-90EE-4D3E-80C4-5A095B94CCE7}" srcOrd="0" destOrd="0" presId="urn:microsoft.com/office/officeart/2005/8/layout/orgChart1"/>
    <dgm:cxn modelId="{752EF8D9-64B4-45C8-8B3F-AEC5F7B5E0B3}" srcId="{E2075C35-04A8-466E-AEED-5D3277B5A90A}" destId="{6C08F2A6-164D-4776-851A-3C052221AD3E}" srcOrd="0" destOrd="0" parTransId="{A2B11AD8-E2B9-4F53-9825-E09DEC18CD35}" sibTransId="{83D61416-757E-415D-AC2D-56F8775EA0CC}"/>
    <dgm:cxn modelId="{B21A11DA-8901-4DFD-B490-0E9BF153D5D8}" type="presOf" srcId="{CFAC0D8A-84E8-4DBA-8190-A3C763E23FEE}" destId="{343E1092-F522-4487-A030-10090F0AF3AB}" srcOrd="0" destOrd="0" presId="urn:microsoft.com/office/officeart/2005/8/layout/orgChart1"/>
    <dgm:cxn modelId="{823376DE-6B22-4A6D-A45D-C496C0205BBB}" type="presOf" srcId="{472A6B0E-9B61-4834-A11A-8167EB7251E1}" destId="{98978DF8-E78C-45F1-AFBA-94A10B012F83}" srcOrd="1" destOrd="0" presId="urn:microsoft.com/office/officeart/2005/8/layout/orgChart1"/>
    <dgm:cxn modelId="{B9FDF8DE-9D88-4EBD-804F-A97DDD7AF7F0}" type="presOf" srcId="{AB76204E-2E1E-4483-B659-02F8E8BD8E3A}" destId="{2AA0D326-14A0-4FFF-AA6C-042CD260C778}" srcOrd="1" destOrd="0" presId="urn:microsoft.com/office/officeart/2005/8/layout/orgChart1"/>
    <dgm:cxn modelId="{B53F17DF-6FD1-495B-8591-EFAAFB3E5793}" type="presOf" srcId="{F133B79B-C8B9-45C1-8C69-0DC643D51D92}" destId="{DD5B3579-7DBE-4F3D-99DF-2C002955CF6D}" srcOrd="0" destOrd="0" presId="urn:microsoft.com/office/officeart/2005/8/layout/orgChart1"/>
    <dgm:cxn modelId="{742D0BE1-C09B-4D30-96CC-40F5F3FEA9A7}" type="presOf" srcId="{3D53F137-37DF-4C23-9AFE-E21B731FCD13}" destId="{59C04252-CCFB-4CC8-BA77-20FD222490E8}" srcOrd="0" destOrd="0" presId="urn:microsoft.com/office/officeart/2005/8/layout/orgChart1"/>
    <dgm:cxn modelId="{4F509DE2-5A3E-4AB9-9374-BF6C48AF9C71}" type="presOf" srcId="{63736F2C-1899-4FBF-B28B-4B7CE5269305}" destId="{C3F18813-D545-4307-9554-61938D010D7E}" srcOrd="0" destOrd="0" presId="urn:microsoft.com/office/officeart/2005/8/layout/orgChart1"/>
    <dgm:cxn modelId="{7716CCE3-F3BE-423F-AD32-785135C104A1}" type="presOf" srcId="{1E3D188D-1C38-4FF2-ADAD-687EE27716D1}" destId="{47B93D21-0A65-46D5-86FF-01807AEA3AE7}" srcOrd="1" destOrd="0" presId="urn:microsoft.com/office/officeart/2005/8/layout/orgChart1"/>
    <dgm:cxn modelId="{FCD9C6E4-10EC-429C-9B56-EDF6ACA5664C}" srcId="{12769DC2-3E6F-47DC-8299-CD864B2ADFD6}" destId="{BB19C4C0-C836-4CD8-A7C4-A0225D3257FB}" srcOrd="2" destOrd="0" parTransId="{D78B9227-C856-4685-9B63-ED38AD2B7C9E}" sibTransId="{A8B5BDC3-D275-4065-A98A-85859682AA6D}"/>
    <dgm:cxn modelId="{C14DCDE4-9DA3-4ECA-8DB4-B61D36BFE19F}" type="presOf" srcId="{12351F76-C54E-43F8-A657-363EC9E932E1}" destId="{7F8EFDBA-900F-4273-A7B0-E6FE5E02840D}" srcOrd="0" destOrd="0" presId="urn:microsoft.com/office/officeart/2005/8/layout/orgChart1"/>
    <dgm:cxn modelId="{DBBB20E7-8BBF-499E-A2BA-E89FAFD5D972}" type="presOf" srcId="{FBC789F5-9F9D-4FCB-98BD-A3E208DAB147}" destId="{F0FBC33A-0974-4CF3-961C-D01F841321DD}" srcOrd="1" destOrd="0" presId="urn:microsoft.com/office/officeart/2005/8/layout/orgChart1"/>
    <dgm:cxn modelId="{C8D476E9-4C2E-447A-93AF-13D5AA7DB124}" type="presOf" srcId="{F23F9B4E-084A-4AAC-AACF-8F26CD335DF5}" destId="{647F2A7F-A133-4193-BF37-41A98E9AE399}" srcOrd="0" destOrd="0" presId="urn:microsoft.com/office/officeart/2005/8/layout/orgChart1"/>
    <dgm:cxn modelId="{DCEE3DEA-8BAE-4CEE-B342-88B65C4DD116}" srcId="{E2075C35-04A8-466E-AEED-5D3277B5A90A}" destId="{9FC7468C-17A0-4FD1-82F6-1994C9AA5866}" srcOrd="1" destOrd="0" parTransId="{99E08339-17FA-41F2-B4C9-036DC2F6E0C9}" sibTransId="{8C8CDBAE-4CBF-4705-BF3E-E5658DA990A6}"/>
    <dgm:cxn modelId="{5670F8EB-79A3-4D73-89FB-99CBF33AC668}" srcId="{0D19CEF6-7028-42D2-A7FA-9A9CE24E0D3E}" destId="{12769DC2-3E6F-47DC-8299-CD864B2ADFD6}" srcOrd="3" destOrd="0" parTransId="{1EDA062A-9AE5-4A51-90C7-F5F58C4180FE}" sibTransId="{3B3C514D-B829-4206-A3C2-7FE25BEE7C48}"/>
    <dgm:cxn modelId="{431B78ED-0545-4623-8F27-A50D0430BCE9}" type="presOf" srcId="{C6102B0F-7854-426C-92B3-2AE27B490B33}" destId="{7A5EFE90-79A7-45A5-998C-98AA3A25E535}" srcOrd="0" destOrd="0" presId="urn:microsoft.com/office/officeart/2005/8/layout/orgChart1"/>
    <dgm:cxn modelId="{BF3FB4EE-4045-4FEE-9BEC-0525DD85E5E4}" type="presOf" srcId="{DE430EBC-9AEB-4AC5-8133-E102B3D8B235}" destId="{A15103E7-543E-4790-AE67-947E45BFBF80}" srcOrd="0" destOrd="0" presId="urn:microsoft.com/office/officeart/2005/8/layout/orgChart1"/>
    <dgm:cxn modelId="{B2CE66F3-CFF6-403C-9B02-83C34A431606}" type="presOf" srcId="{99BCA385-66F1-4778-AC5F-322108555713}" destId="{077EA319-D2C5-4551-A3AF-BBD742321036}" srcOrd="0" destOrd="0" presId="urn:microsoft.com/office/officeart/2005/8/layout/orgChart1"/>
    <dgm:cxn modelId="{B7ECDCF3-8798-4721-A009-BEF0DA75E3C1}" srcId="{3F3357F7-4B5D-4628-A1A8-7502CC353783}" destId="{A364AF1D-E42E-45AF-B842-6159BFA8C7B9}" srcOrd="4" destOrd="0" parTransId="{23FDE87F-8181-442A-B062-9B31B775BC56}" sibTransId="{4D7648AE-A25D-448A-895A-3A58D3F59F00}"/>
    <dgm:cxn modelId="{83D5B8F4-81B2-442A-9AE3-21F09004121A}" type="presOf" srcId="{4C225E30-36A4-4BE6-ADB9-85A3B29271E0}" destId="{5C123960-3F75-4914-87F6-AD648CCBE3E0}" srcOrd="0" destOrd="0" presId="urn:microsoft.com/office/officeart/2005/8/layout/orgChart1"/>
    <dgm:cxn modelId="{25A67EF5-A1D1-48B4-AF73-42720FD5D7ED}" type="presOf" srcId="{449CAF59-51BF-4A91-99DD-F8581AEF1EC4}" destId="{A45E8E60-357C-4447-B545-DCEEB69E444E}" srcOrd="0" destOrd="0" presId="urn:microsoft.com/office/officeart/2005/8/layout/orgChart1"/>
    <dgm:cxn modelId="{31F8B2F6-4C3A-4D69-BE47-03EF53F9F96D}" type="presOf" srcId="{0D19CEF6-7028-42D2-A7FA-9A9CE24E0D3E}" destId="{858DBEFF-8CA1-43A2-9BE0-996F85E3B245}" srcOrd="1" destOrd="0" presId="urn:microsoft.com/office/officeart/2005/8/layout/orgChart1"/>
    <dgm:cxn modelId="{E1E106F7-6E4F-43B8-96A4-D5CC3764DAF4}" type="presOf" srcId="{56758184-E51D-4231-A1FE-F35C27316928}" destId="{98AB874C-9D50-49AD-A1E1-FECCB00C7FAA}" srcOrd="1" destOrd="0" presId="urn:microsoft.com/office/officeart/2005/8/layout/orgChart1"/>
    <dgm:cxn modelId="{CAE491FC-A349-4B55-AF0E-6F00920955B7}" type="presOf" srcId="{83A882C9-CED3-4DBB-B5D7-A9BC33A0CB1E}" destId="{D5173406-90A0-430E-A257-C053CA506765}" srcOrd="1" destOrd="0" presId="urn:microsoft.com/office/officeart/2005/8/layout/orgChart1"/>
    <dgm:cxn modelId="{D26C66FE-F76A-4E6A-AE40-94465EA6B392}" srcId="{50288868-FEEE-470B-9B6E-3B8DBAE6D908}" destId="{B3363645-6E47-4702-9387-06C510C570CB}" srcOrd="4" destOrd="0" parTransId="{63736F2C-1899-4FBF-B28B-4B7CE5269305}" sibTransId="{4483FFA3-0535-4525-A2FA-4107CEE67BAE}"/>
    <dgm:cxn modelId="{9E0200B2-B116-4193-8003-5B0483F3737F}" type="presParOf" srcId="{1BBE8EE2-F237-45F9-A383-197C8C6F4123}" destId="{6D0F4103-5D56-4545-B004-2F3D27D4DC7E}" srcOrd="0" destOrd="0" presId="urn:microsoft.com/office/officeart/2005/8/layout/orgChart1"/>
    <dgm:cxn modelId="{79EE6BCC-EA48-4143-9AF4-C55085C9C459}" type="presParOf" srcId="{6D0F4103-5D56-4545-B004-2F3D27D4DC7E}" destId="{248FD803-CE5A-460B-BFC4-F07301AF4304}" srcOrd="0" destOrd="0" presId="urn:microsoft.com/office/officeart/2005/8/layout/orgChart1"/>
    <dgm:cxn modelId="{A2E8640F-6185-4393-BB38-D38087541155}" type="presParOf" srcId="{248FD803-CE5A-460B-BFC4-F07301AF4304}" destId="{5C8C398D-1F82-4B8E-87E2-540D1B2A40A0}" srcOrd="0" destOrd="0" presId="urn:microsoft.com/office/officeart/2005/8/layout/orgChart1"/>
    <dgm:cxn modelId="{6D15CC7E-19F6-4B21-B4F3-26BAE9EF13D2}" type="presParOf" srcId="{248FD803-CE5A-460B-BFC4-F07301AF4304}" destId="{858DBEFF-8CA1-43A2-9BE0-996F85E3B245}" srcOrd="1" destOrd="0" presId="urn:microsoft.com/office/officeart/2005/8/layout/orgChart1"/>
    <dgm:cxn modelId="{34A58196-7579-4AEA-8202-55B0119EC9F8}" type="presParOf" srcId="{6D0F4103-5D56-4545-B004-2F3D27D4DC7E}" destId="{14BD63D9-C141-4E9C-B724-F2CE1C6ECE3A}" srcOrd="1" destOrd="0" presId="urn:microsoft.com/office/officeart/2005/8/layout/orgChart1"/>
    <dgm:cxn modelId="{E4D3E286-C714-4102-8958-EA545E0141CE}" type="presParOf" srcId="{14BD63D9-C141-4E9C-B724-F2CE1C6ECE3A}" destId="{6829BF15-4119-41AB-879E-0A03001B34CB}" srcOrd="0" destOrd="0" presId="urn:microsoft.com/office/officeart/2005/8/layout/orgChart1"/>
    <dgm:cxn modelId="{4CD85F66-26A3-4F95-BBED-3CC4E766249E}" type="presParOf" srcId="{14BD63D9-C141-4E9C-B724-F2CE1C6ECE3A}" destId="{0AB02927-4D03-432B-B536-50E42C732E86}" srcOrd="1" destOrd="0" presId="urn:microsoft.com/office/officeart/2005/8/layout/orgChart1"/>
    <dgm:cxn modelId="{DE5E0607-EFC9-4821-8EAE-32E529C3472F}" type="presParOf" srcId="{0AB02927-4D03-432B-B536-50E42C732E86}" destId="{FDA37664-FE3C-4B36-8ED4-E7B713A9CA04}" srcOrd="0" destOrd="0" presId="urn:microsoft.com/office/officeart/2005/8/layout/orgChart1"/>
    <dgm:cxn modelId="{51CE91FD-1036-4169-874F-E57757F669A2}" type="presParOf" srcId="{FDA37664-FE3C-4B36-8ED4-E7B713A9CA04}" destId="{853FFB4D-1E55-4DDD-854F-C86298D938B0}" srcOrd="0" destOrd="0" presId="urn:microsoft.com/office/officeart/2005/8/layout/orgChart1"/>
    <dgm:cxn modelId="{79D2EF78-C2E7-42D2-BA92-C67053DEC08F}" type="presParOf" srcId="{FDA37664-FE3C-4B36-8ED4-E7B713A9CA04}" destId="{22A73B9D-D4EE-45F4-950A-257DEF58E397}" srcOrd="1" destOrd="0" presId="urn:microsoft.com/office/officeart/2005/8/layout/orgChart1"/>
    <dgm:cxn modelId="{B9B5DD22-7B93-4D36-BE46-EEDA559DD6D4}" type="presParOf" srcId="{0AB02927-4D03-432B-B536-50E42C732E86}" destId="{AAC3183A-DCEF-4665-AD87-238BF53C552A}" srcOrd="1" destOrd="0" presId="urn:microsoft.com/office/officeart/2005/8/layout/orgChart1"/>
    <dgm:cxn modelId="{FFF8C4C9-F093-4180-9598-ABF169975631}" type="presParOf" srcId="{AAC3183A-DCEF-4665-AD87-238BF53C552A}" destId="{2C29EF2C-4297-4C3B-9B35-26D15FB09F87}" srcOrd="0" destOrd="0" presId="urn:microsoft.com/office/officeart/2005/8/layout/orgChart1"/>
    <dgm:cxn modelId="{E13FD188-7BF3-4538-8577-2B95C35FB56A}" type="presParOf" srcId="{AAC3183A-DCEF-4665-AD87-238BF53C552A}" destId="{A115F367-0B3E-43DE-9071-DEE287BC6E21}" srcOrd="1" destOrd="0" presId="urn:microsoft.com/office/officeart/2005/8/layout/orgChart1"/>
    <dgm:cxn modelId="{580DCE51-303A-4589-BC17-C4C42BAD2222}" type="presParOf" srcId="{A115F367-0B3E-43DE-9071-DEE287BC6E21}" destId="{6C043EAF-2E1F-494A-8B78-7F8A3E97A5DF}" srcOrd="0" destOrd="0" presId="urn:microsoft.com/office/officeart/2005/8/layout/orgChart1"/>
    <dgm:cxn modelId="{153F08A2-DEC0-4DED-8135-419A0AD2E900}" type="presParOf" srcId="{6C043EAF-2E1F-494A-8B78-7F8A3E97A5DF}" destId="{A15103E7-543E-4790-AE67-947E45BFBF80}" srcOrd="0" destOrd="0" presId="urn:microsoft.com/office/officeart/2005/8/layout/orgChart1"/>
    <dgm:cxn modelId="{2010960E-3E4D-4382-938B-DB0AD6A5CBCD}" type="presParOf" srcId="{6C043EAF-2E1F-494A-8B78-7F8A3E97A5DF}" destId="{87C0B8B4-77B8-4E43-88C6-0FBC36C0E8AE}" srcOrd="1" destOrd="0" presId="urn:microsoft.com/office/officeart/2005/8/layout/orgChart1"/>
    <dgm:cxn modelId="{9F795977-18F3-42AD-A59A-D431810CD043}" type="presParOf" srcId="{A115F367-0B3E-43DE-9071-DEE287BC6E21}" destId="{BF01B791-B98C-4021-9AEB-AA06200B383E}" srcOrd="1" destOrd="0" presId="urn:microsoft.com/office/officeart/2005/8/layout/orgChart1"/>
    <dgm:cxn modelId="{5264D868-280C-4576-ACCC-A89F3434D29F}" type="presParOf" srcId="{A115F367-0B3E-43DE-9071-DEE287BC6E21}" destId="{957D3F0E-F6B3-4198-95F1-E7F4633DD8F7}" srcOrd="2" destOrd="0" presId="urn:microsoft.com/office/officeart/2005/8/layout/orgChart1"/>
    <dgm:cxn modelId="{9C3296D6-5C10-48B4-8B82-06BF1A1B1E5F}" type="presParOf" srcId="{AAC3183A-DCEF-4665-AD87-238BF53C552A}" destId="{7398580D-8EEC-44BA-940A-E4D9004A0CF0}" srcOrd="2" destOrd="0" presId="urn:microsoft.com/office/officeart/2005/8/layout/orgChart1"/>
    <dgm:cxn modelId="{33E8D081-9AE1-45FF-B47C-928CB3A239C8}" type="presParOf" srcId="{AAC3183A-DCEF-4665-AD87-238BF53C552A}" destId="{03DBE40F-FF98-444C-A7D5-3EBF0575BB02}" srcOrd="3" destOrd="0" presId="urn:microsoft.com/office/officeart/2005/8/layout/orgChart1"/>
    <dgm:cxn modelId="{2D218E41-2743-4751-BCF1-EE44CCF9BF54}" type="presParOf" srcId="{03DBE40F-FF98-444C-A7D5-3EBF0575BB02}" destId="{02C9CE59-BCDE-4DDD-BDE4-87B0C464539E}" srcOrd="0" destOrd="0" presId="urn:microsoft.com/office/officeart/2005/8/layout/orgChart1"/>
    <dgm:cxn modelId="{269048A5-1766-4976-B784-A65C1B3761A4}" type="presParOf" srcId="{02C9CE59-BCDE-4DDD-BDE4-87B0C464539E}" destId="{E96B1214-A9E7-4181-8CA8-92FB713D4A14}" srcOrd="0" destOrd="0" presId="urn:microsoft.com/office/officeart/2005/8/layout/orgChart1"/>
    <dgm:cxn modelId="{6793F79E-3CD9-4755-B7CA-D578A37C86D6}" type="presParOf" srcId="{02C9CE59-BCDE-4DDD-BDE4-87B0C464539E}" destId="{B8710126-C736-487F-A3BB-9B4531A059E9}" srcOrd="1" destOrd="0" presId="urn:microsoft.com/office/officeart/2005/8/layout/orgChart1"/>
    <dgm:cxn modelId="{76F83BD9-44EB-47B5-8C85-D3CD00478FC7}" type="presParOf" srcId="{03DBE40F-FF98-444C-A7D5-3EBF0575BB02}" destId="{A9508114-E7F9-4DBE-8329-1327BA724F97}" srcOrd="1" destOrd="0" presId="urn:microsoft.com/office/officeart/2005/8/layout/orgChart1"/>
    <dgm:cxn modelId="{B17708BC-B455-464C-A005-1DBC187534BF}" type="presParOf" srcId="{03DBE40F-FF98-444C-A7D5-3EBF0575BB02}" destId="{DAC7EED0-336F-4C94-8BC6-B18A3594F9C8}" srcOrd="2" destOrd="0" presId="urn:microsoft.com/office/officeart/2005/8/layout/orgChart1"/>
    <dgm:cxn modelId="{78019954-79E7-4D62-8332-8E692157AAEC}" type="presParOf" srcId="{AAC3183A-DCEF-4665-AD87-238BF53C552A}" destId="{43BA9691-70A2-49E9-901A-2FCF27528D5D}" srcOrd="4" destOrd="0" presId="urn:microsoft.com/office/officeart/2005/8/layout/orgChart1"/>
    <dgm:cxn modelId="{27FB3E37-CB10-4D0D-B5D1-6087CF932BC2}" type="presParOf" srcId="{AAC3183A-DCEF-4665-AD87-238BF53C552A}" destId="{5029BA54-005A-49AB-97FF-9FC9A373ADD2}" srcOrd="5" destOrd="0" presId="urn:microsoft.com/office/officeart/2005/8/layout/orgChart1"/>
    <dgm:cxn modelId="{FD6B478E-2570-4804-AF64-427AD4606A8C}" type="presParOf" srcId="{5029BA54-005A-49AB-97FF-9FC9A373ADD2}" destId="{A98BA154-E2FA-4146-9D15-A7107B688D5C}" srcOrd="0" destOrd="0" presId="urn:microsoft.com/office/officeart/2005/8/layout/orgChart1"/>
    <dgm:cxn modelId="{4E354FDB-8AE2-4588-B5C3-EFD6724BF849}" type="presParOf" srcId="{A98BA154-E2FA-4146-9D15-A7107B688D5C}" destId="{856CFF55-E4E6-40F3-9F14-FD1536F40E0B}" srcOrd="0" destOrd="0" presId="urn:microsoft.com/office/officeart/2005/8/layout/orgChart1"/>
    <dgm:cxn modelId="{66EF7E6F-AA4E-4FDC-94B0-795FCBC3FBC8}" type="presParOf" srcId="{A98BA154-E2FA-4146-9D15-A7107B688D5C}" destId="{F83BC690-EFD5-4158-846D-4272C8D58421}" srcOrd="1" destOrd="0" presId="urn:microsoft.com/office/officeart/2005/8/layout/orgChart1"/>
    <dgm:cxn modelId="{42CEB58D-DEB9-4A36-859A-40CF551A9AC8}" type="presParOf" srcId="{5029BA54-005A-49AB-97FF-9FC9A373ADD2}" destId="{8BEF0CE6-25E2-45C6-B31D-6615907E5150}" srcOrd="1" destOrd="0" presId="urn:microsoft.com/office/officeart/2005/8/layout/orgChart1"/>
    <dgm:cxn modelId="{629E1AB8-30C3-43F8-8C2F-978AF6C5DE70}" type="presParOf" srcId="{5029BA54-005A-49AB-97FF-9FC9A373ADD2}" destId="{0CCEBE28-D2D2-42E7-8497-A32E247F9332}" srcOrd="2" destOrd="0" presId="urn:microsoft.com/office/officeart/2005/8/layout/orgChart1"/>
    <dgm:cxn modelId="{F8AC85BE-AED3-4415-ACE3-808EFE9DD9CA}" type="presParOf" srcId="{AAC3183A-DCEF-4665-AD87-238BF53C552A}" destId="{59FDCD71-00D1-4CBF-9A31-1E489E856A40}" srcOrd="6" destOrd="0" presId="urn:microsoft.com/office/officeart/2005/8/layout/orgChart1"/>
    <dgm:cxn modelId="{70CB4D70-0152-41E1-9C5D-5967688897B2}" type="presParOf" srcId="{AAC3183A-DCEF-4665-AD87-238BF53C552A}" destId="{783D7969-5DD7-46E6-81AA-175ED2993BE9}" srcOrd="7" destOrd="0" presId="urn:microsoft.com/office/officeart/2005/8/layout/orgChart1"/>
    <dgm:cxn modelId="{74EC870F-E5EF-4701-9501-DDE0E872ED3E}" type="presParOf" srcId="{783D7969-5DD7-46E6-81AA-175ED2993BE9}" destId="{156D47D9-66DA-4B1B-87EA-22C3EBEEA027}" srcOrd="0" destOrd="0" presId="urn:microsoft.com/office/officeart/2005/8/layout/orgChart1"/>
    <dgm:cxn modelId="{FF48E400-0B85-4EB6-9E03-80531329D8E5}" type="presParOf" srcId="{156D47D9-66DA-4B1B-87EA-22C3EBEEA027}" destId="{2490E369-58C0-4092-BC57-B6F9B7A8424A}" srcOrd="0" destOrd="0" presId="urn:microsoft.com/office/officeart/2005/8/layout/orgChart1"/>
    <dgm:cxn modelId="{DE5341CB-1BC2-4514-AA59-45FE29529196}" type="presParOf" srcId="{156D47D9-66DA-4B1B-87EA-22C3EBEEA027}" destId="{D5173406-90A0-430E-A257-C053CA506765}" srcOrd="1" destOrd="0" presId="urn:microsoft.com/office/officeart/2005/8/layout/orgChart1"/>
    <dgm:cxn modelId="{6111F731-3DBB-47CD-ADBE-344B7680178D}" type="presParOf" srcId="{783D7969-5DD7-46E6-81AA-175ED2993BE9}" destId="{6F5EA6DD-026A-4E2C-BF23-89FA49EE2F78}" srcOrd="1" destOrd="0" presId="urn:microsoft.com/office/officeart/2005/8/layout/orgChart1"/>
    <dgm:cxn modelId="{A47F5D3C-9B83-497A-B3AB-4C810A1B690F}" type="presParOf" srcId="{783D7969-5DD7-46E6-81AA-175ED2993BE9}" destId="{1D7E1165-8116-4128-B4E6-C0B36CE8B661}" srcOrd="2" destOrd="0" presId="urn:microsoft.com/office/officeart/2005/8/layout/orgChart1"/>
    <dgm:cxn modelId="{8AC79B9F-40DB-46E3-9390-9EDF539050F6}" type="presParOf" srcId="{AAC3183A-DCEF-4665-AD87-238BF53C552A}" destId="{077EA319-D2C5-4551-A3AF-BBD742321036}" srcOrd="8" destOrd="0" presId="urn:microsoft.com/office/officeart/2005/8/layout/orgChart1"/>
    <dgm:cxn modelId="{C4575087-9747-44D8-B993-C8C1D4EE05B0}" type="presParOf" srcId="{AAC3183A-DCEF-4665-AD87-238BF53C552A}" destId="{7406020C-ABF0-4D0A-8928-4BCD57F20A88}" srcOrd="9" destOrd="0" presId="urn:microsoft.com/office/officeart/2005/8/layout/orgChart1"/>
    <dgm:cxn modelId="{9A4C1BCE-E057-41E6-A2A3-4FF644469B1C}" type="presParOf" srcId="{7406020C-ABF0-4D0A-8928-4BCD57F20A88}" destId="{11670C23-646E-4B95-B4DB-94E6868F4E68}" srcOrd="0" destOrd="0" presId="urn:microsoft.com/office/officeart/2005/8/layout/orgChart1"/>
    <dgm:cxn modelId="{5CD5B89E-425A-44DC-AA50-0377B41DB59E}" type="presParOf" srcId="{11670C23-646E-4B95-B4DB-94E6868F4E68}" destId="{7074A187-D177-4CA7-8FAD-19086FA2F2A3}" srcOrd="0" destOrd="0" presId="urn:microsoft.com/office/officeart/2005/8/layout/orgChart1"/>
    <dgm:cxn modelId="{85E0A056-2C02-4E1E-9CB2-0775BCB8AA78}" type="presParOf" srcId="{11670C23-646E-4B95-B4DB-94E6868F4E68}" destId="{925B500F-2D7C-454A-BB55-FDBCEEFBBE9A}" srcOrd="1" destOrd="0" presId="urn:microsoft.com/office/officeart/2005/8/layout/orgChart1"/>
    <dgm:cxn modelId="{A1135E37-D9AA-4AE6-8A24-EBE339C99976}" type="presParOf" srcId="{7406020C-ABF0-4D0A-8928-4BCD57F20A88}" destId="{AE7C3B8B-70FE-48C1-BA2C-3642AC5E9DBE}" srcOrd="1" destOrd="0" presId="urn:microsoft.com/office/officeart/2005/8/layout/orgChart1"/>
    <dgm:cxn modelId="{56AE0729-3D66-4B79-8624-3535BE01C842}" type="presParOf" srcId="{7406020C-ABF0-4D0A-8928-4BCD57F20A88}" destId="{67E5D55B-4E45-415B-A55F-6554AFB561D0}" srcOrd="2" destOrd="0" presId="urn:microsoft.com/office/officeart/2005/8/layout/orgChart1"/>
    <dgm:cxn modelId="{EE470F41-AA97-40FF-9A3E-A871B06E37A4}" type="presParOf" srcId="{AAC3183A-DCEF-4665-AD87-238BF53C552A}" destId="{591A4806-A056-49FA-A807-3507349E025F}" srcOrd="10" destOrd="0" presId="urn:microsoft.com/office/officeart/2005/8/layout/orgChart1"/>
    <dgm:cxn modelId="{CC7C114F-CDD1-4B2A-A256-D4669B2A5FA5}" type="presParOf" srcId="{AAC3183A-DCEF-4665-AD87-238BF53C552A}" destId="{96935911-C62F-433C-AE70-3687A1374045}" srcOrd="11" destOrd="0" presId="urn:microsoft.com/office/officeart/2005/8/layout/orgChart1"/>
    <dgm:cxn modelId="{5767D42C-13F4-4BB7-BE01-8579EEA70225}" type="presParOf" srcId="{96935911-C62F-433C-AE70-3687A1374045}" destId="{076F1FC8-A8E5-42C4-84A7-EAF7575AD21F}" srcOrd="0" destOrd="0" presId="urn:microsoft.com/office/officeart/2005/8/layout/orgChart1"/>
    <dgm:cxn modelId="{7E6A5279-86FD-468F-9FC3-B5E59C18199D}" type="presParOf" srcId="{076F1FC8-A8E5-42C4-84A7-EAF7575AD21F}" destId="{87B9EBD0-8BEE-4198-81B7-89C4056E1059}" srcOrd="0" destOrd="0" presId="urn:microsoft.com/office/officeart/2005/8/layout/orgChart1"/>
    <dgm:cxn modelId="{FD558D91-25DB-4759-9E07-344FF047AA4C}" type="presParOf" srcId="{076F1FC8-A8E5-42C4-84A7-EAF7575AD21F}" destId="{2866293E-A1B4-4F6A-A920-9518F91B0520}" srcOrd="1" destOrd="0" presId="urn:microsoft.com/office/officeart/2005/8/layout/orgChart1"/>
    <dgm:cxn modelId="{B9C73F44-7691-47DB-ACB0-5DCCBA34CC72}" type="presParOf" srcId="{96935911-C62F-433C-AE70-3687A1374045}" destId="{99207C7F-724B-46D3-814D-445C2CAE6893}" srcOrd="1" destOrd="0" presId="urn:microsoft.com/office/officeart/2005/8/layout/orgChart1"/>
    <dgm:cxn modelId="{76AA2A56-E1E9-45CA-88C7-0B981932975E}" type="presParOf" srcId="{96935911-C62F-433C-AE70-3687A1374045}" destId="{60FDCBB5-4A13-4815-BDA1-43BC74E14AA2}" srcOrd="2" destOrd="0" presId="urn:microsoft.com/office/officeart/2005/8/layout/orgChart1"/>
    <dgm:cxn modelId="{E0F93BBE-47BB-477D-9617-90948BFC872F}" type="presParOf" srcId="{0AB02927-4D03-432B-B536-50E42C732E86}" destId="{0B98BB91-97BD-481F-AB76-DC6CB8E05CDE}" srcOrd="2" destOrd="0" presId="urn:microsoft.com/office/officeart/2005/8/layout/orgChart1"/>
    <dgm:cxn modelId="{44BBAEB0-9E97-413F-A087-A4B812FEC7EF}" type="presParOf" srcId="{14BD63D9-C141-4E9C-B724-F2CE1C6ECE3A}" destId="{E956C72C-0695-4AF5-8F1B-AF3CF911254E}" srcOrd="2" destOrd="0" presId="urn:microsoft.com/office/officeart/2005/8/layout/orgChart1"/>
    <dgm:cxn modelId="{D255D225-EFD2-450B-9651-7F325EDC29FC}" type="presParOf" srcId="{14BD63D9-C141-4E9C-B724-F2CE1C6ECE3A}" destId="{D7620E44-AED8-4A1E-A9A7-4CDE6E28310A}" srcOrd="3" destOrd="0" presId="urn:microsoft.com/office/officeart/2005/8/layout/orgChart1"/>
    <dgm:cxn modelId="{FCAFDEB6-E5AE-4FEE-ABA7-35634DA15793}" type="presParOf" srcId="{D7620E44-AED8-4A1E-A9A7-4CDE6E28310A}" destId="{679A40AA-A499-4C07-BD23-A36908EDC486}" srcOrd="0" destOrd="0" presId="urn:microsoft.com/office/officeart/2005/8/layout/orgChart1"/>
    <dgm:cxn modelId="{00410B50-AA16-4A3A-B193-0AFD1B56B373}" type="presParOf" srcId="{679A40AA-A499-4C07-BD23-A36908EDC486}" destId="{A93E9E9D-8284-47DB-90D4-BE1DFF93A8F2}" srcOrd="0" destOrd="0" presId="urn:microsoft.com/office/officeart/2005/8/layout/orgChart1"/>
    <dgm:cxn modelId="{37A16B6E-1E3C-46D8-85AB-DAAD56C2ADE8}" type="presParOf" srcId="{679A40AA-A499-4C07-BD23-A36908EDC486}" destId="{9DC0A2C5-954A-46FE-AAEA-4522F3158F81}" srcOrd="1" destOrd="0" presId="urn:microsoft.com/office/officeart/2005/8/layout/orgChart1"/>
    <dgm:cxn modelId="{0EDC886D-FAE3-41F3-951B-5EEE7BA94ECE}" type="presParOf" srcId="{D7620E44-AED8-4A1E-A9A7-4CDE6E28310A}" destId="{C53ED865-57A2-4A86-A5F6-20FFFD70D8B8}" srcOrd="1" destOrd="0" presId="urn:microsoft.com/office/officeart/2005/8/layout/orgChart1"/>
    <dgm:cxn modelId="{BF3D0DD6-9A9E-46F9-B810-F29C398BAE00}" type="presParOf" srcId="{C53ED865-57A2-4A86-A5F6-20FFFD70D8B8}" destId="{8DEFE2F6-F03E-4E75-8B42-5AD6EA54AB63}" srcOrd="0" destOrd="0" presId="urn:microsoft.com/office/officeart/2005/8/layout/orgChart1"/>
    <dgm:cxn modelId="{DC9D1817-5592-4C68-A620-FCAC8F7E3D10}" type="presParOf" srcId="{C53ED865-57A2-4A86-A5F6-20FFFD70D8B8}" destId="{D9B01269-6547-4AD5-91E3-172CC78E7B49}" srcOrd="1" destOrd="0" presId="urn:microsoft.com/office/officeart/2005/8/layout/orgChart1"/>
    <dgm:cxn modelId="{9F404D20-EBF8-47BB-B965-D7473662336D}" type="presParOf" srcId="{D9B01269-6547-4AD5-91E3-172CC78E7B49}" destId="{97DEE372-4507-4F14-81B1-E199EB70B660}" srcOrd="0" destOrd="0" presId="urn:microsoft.com/office/officeart/2005/8/layout/orgChart1"/>
    <dgm:cxn modelId="{2FF5115C-D05B-4CFD-9573-ACF0DE22BDB4}" type="presParOf" srcId="{97DEE372-4507-4F14-81B1-E199EB70B660}" destId="{B0EBF5AF-CC42-4F77-830A-5EDB69B9E1FC}" srcOrd="0" destOrd="0" presId="urn:microsoft.com/office/officeart/2005/8/layout/orgChart1"/>
    <dgm:cxn modelId="{3BAD8277-D14C-41E6-B0E7-78C1521F07C7}" type="presParOf" srcId="{97DEE372-4507-4F14-81B1-E199EB70B660}" destId="{267399EE-B55E-4476-A64E-CC4D84D4DD98}" srcOrd="1" destOrd="0" presId="urn:microsoft.com/office/officeart/2005/8/layout/orgChart1"/>
    <dgm:cxn modelId="{24BEA7B8-BF1C-42BB-81C3-D7267660A750}" type="presParOf" srcId="{D9B01269-6547-4AD5-91E3-172CC78E7B49}" destId="{0C2FC601-8C0E-4474-B12B-45417123F40C}" srcOrd="1" destOrd="0" presId="urn:microsoft.com/office/officeart/2005/8/layout/orgChart1"/>
    <dgm:cxn modelId="{E3ACFA46-6E00-473D-A88F-376DBE5D7162}" type="presParOf" srcId="{D9B01269-6547-4AD5-91E3-172CC78E7B49}" destId="{B748F201-8D55-4FFE-A32D-99C4022F0082}" srcOrd="2" destOrd="0" presId="urn:microsoft.com/office/officeart/2005/8/layout/orgChart1"/>
    <dgm:cxn modelId="{9FBF2713-17FC-4207-B39D-4AD24607517B}" type="presParOf" srcId="{C53ED865-57A2-4A86-A5F6-20FFFD70D8B8}" destId="{26AFA3A5-1E4B-4A67-9D21-AFAE2916FDB8}" srcOrd="2" destOrd="0" presId="urn:microsoft.com/office/officeart/2005/8/layout/orgChart1"/>
    <dgm:cxn modelId="{102D7C68-3034-46FB-8C85-F74234419886}" type="presParOf" srcId="{C53ED865-57A2-4A86-A5F6-20FFFD70D8B8}" destId="{3C1DCA8E-EC54-45D1-9F73-EAD65A7ADEF1}" srcOrd="3" destOrd="0" presId="urn:microsoft.com/office/officeart/2005/8/layout/orgChart1"/>
    <dgm:cxn modelId="{650AF8BD-3199-49F0-9235-A9124503E1AB}" type="presParOf" srcId="{3C1DCA8E-EC54-45D1-9F73-EAD65A7ADEF1}" destId="{82D3828E-B1EA-430B-9868-976A9559B31E}" srcOrd="0" destOrd="0" presId="urn:microsoft.com/office/officeart/2005/8/layout/orgChart1"/>
    <dgm:cxn modelId="{7DDEEB17-8410-446B-AA34-EBAFAA654100}" type="presParOf" srcId="{82D3828E-B1EA-430B-9868-976A9559B31E}" destId="{1729CE0B-3838-48AD-B589-B372F2B0C771}" srcOrd="0" destOrd="0" presId="urn:microsoft.com/office/officeart/2005/8/layout/orgChart1"/>
    <dgm:cxn modelId="{9E7D030B-FBE1-4A09-8324-BA00C5D2D0A2}" type="presParOf" srcId="{82D3828E-B1EA-430B-9868-976A9559B31E}" destId="{A8BB2A2D-2837-4904-B835-E6E594DCE55B}" srcOrd="1" destOrd="0" presId="urn:microsoft.com/office/officeart/2005/8/layout/orgChart1"/>
    <dgm:cxn modelId="{03509B50-E655-4391-90AC-91507980D3AE}" type="presParOf" srcId="{3C1DCA8E-EC54-45D1-9F73-EAD65A7ADEF1}" destId="{1AC87E64-C07B-4202-B676-4B128FE25888}" srcOrd="1" destOrd="0" presId="urn:microsoft.com/office/officeart/2005/8/layout/orgChart1"/>
    <dgm:cxn modelId="{DDFCAD52-2F2E-4336-9719-E39BA343E8A9}" type="presParOf" srcId="{3C1DCA8E-EC54-45D1-9F73-EAD65A7ADEF1}" destId="{DD1D3571-263D-4FA2-8790-445C1AAB693F}" srcOrd="2" destOrd="0" presId="urn:microsoft.com/office/officeart/2005/8/layout/orgChart1"/>
    <dgm:cxn modelId="{A752B630-68FE-4991-9196-929EE0AC9D4D}" type="presParOf" srcId="{C53ED865-57A2-4A86-A5F6-20FFFD70D8B8}" destId="{D2802FED-9B21-4357-BE79-5F7955BAB013}" srcOrd="4" destOrd="0" presId="urn:microsoft.com/office/officeart/2005/8/layout/orgChart1"/>
    <dgm:cxn modelId="{94D92A71-4B42-45DF-BCF7-EF19B7CF9AEE}" type="presParOf" srcId="{C53ED865-57A2-4A86-A5F6-20FFFD70D8B8}" destId="{97614FB8-1A21-486C-B55B-9EF2C3E874BF}" srcOrd="5" destOrd="0" presId="urn:microsoft.com/office/officeart/2005/8/layout/orgChart1"/>
    <dgm:cxn modelId="{4D6384A8-0C48-4E07-9360-760E6CEAE0D8}" type="presParOf" srcId="{97614FB8-1A21-486C-B55B-9EF2C3E874BF}" destId="{621A6E13-D87B-47D3-957F-4D1EDD165C34}" srcOrd="0" destOrd="0" presId="urn:microsoft.com/office/officeart/2005/8/layout/orgChart1"/>
    <dgm:cxn modelId="{AA4D7B87-A4D1-409D-ADBE-E070C4E738AD}" type="presParOf" srcId="{621A6E13-D87B-47D3-957F-4D1EDD165C34}" destId="{1B70E28B-3F55-4A34-B864-28329F2EE997}" srcOrd="0" destOrd="0" presId="urn:microsoft.com/office/officeart/2005/8/layout/orgChart1"/>
    <dgm:cxn modelId="{06CBCE33-6638-448B-9D21-26F0BF57B27B}" type="presParOf" srcId="{621A6E13-D87B-47D3-957F-4D1EDD165C34}" destId="{EE2E1F48-D8E2-4DBB-BEED-FC3ADD31836E}" srcOrd="1" destOrd="0" presId="urn:microsoft.com/office/officeart/2005/8/layout/orgChart1"/>
    <dgm:cxn modelId="{9515A297-8110-4B73-9BB8-F395C30EBB33}" type="presParOf" srcId="{97614FB8-1A21-486C-B55B-9EF2C3E874BF}" destId="{B32A7BF6-63D6-4EE4-8111-A06540E7045C}" srcOrd="1" destOrd="0" presId="urn:microsoft.com/office/officeart/2005/8/layout/orgChart1"/>
    <dgm:cxn modelId="{79398CA7-10A8-4442-9EC8-59CEA32650BD}" type="presParOf" srcId="{97614FB8-1A21-486C-B55B-9EF2C3E874BF}" destId="{83460E33-FA34-4F0A-ABA7-E7C7BE373402}" srcOrd="2" destOrd="0" presId="urn:microsoft.com/office/officeart/2005/8/layout/orgChart1"/>
    <dgm:cxn modelId="{972CC595-3EAF-4CA1-8F47-60A15B9A8770}" type="presParOf" srcId="{C53ED865-57A2-4A86-A5F6-20FFFD70D8B8}" destId="{647F2A7F-A133-4193-BF37-41A98E9AE399}" srcOrd="6" destOrd="0" presId="urn:microsoft.com/office/officeart/2005/8/layout/orgChart1"/>
    <dgm:cxn modelId="{55EA21A3-9DCD-4756-8505-24FFD98CDBCE}" type="presParOf" srcId="{C53ED865-57A2-4A86-A5F6-20FFFD70D8B8}" destId="{31F4CBCD-8713-4E26-BBAA-7D0852DF8879}" srcOrd="7" destOrd="0" presId="urn:microsoft.com/office/officeart/2005/8/layout/orgChart1"/>
    <dgm:cxn modelId="{375F204D-2532-45BD-8D40-434BFA26E946}" type="presParOf" srcId="{31F4CBCD-8713-4E26-BBAA-7D0852DF8879}" destId="{431BA04E-D342-4AB5-AF2D-339A92F629CB}" srcOrd="0" destOrd="0" presId="urn:microsoft.com/office/officeart/2005/8/layout/orgChart1"/>
    <dgm:cxn modelId="{689860D5-66F3-4233-A964-4FF1DA11AC01}" type="presParOf" srcId="{431BA04E-D342-4AB5-AF2D-339A92F629CB}" destId="{8EFA38DB-7372-4EF3-94A9-14D2F01FACFE}" srcOrd="0" destOrd="0" presId="urn:microsoft.com/office/officeart/2005/8/layout/orgChart1"/>
    <dgm:cxn modelId="{9D185F02-A460-49E6-AADC-7CA1CBC3D730}" type="presParOf" srcId="{431BA04E-D342-4AB5-AF2D-339A92F629CB}" destId="{F0FBC33A-0974-4CF3-961C-D01F841321DD}" srcOrd="1" destOrd="0" presId="urn:microsoft.com/office/officeart/2005/8/layout/orgChart1"/>
    <dgm:cxn modelId="{5C9A1E1E-8B41-4E6B-8822-C6C32BA8985B}" type="presParOf" srcId="{31F4CBCD-8713-4E26-BBAA-7D0852DF8879}" destId="{613551DC-C035-4CE4-890A-3E64C592023D}" srcOrd="1" destOrd="0" presId="urn:microsoft.com/office/officeart/2005/8/layout/orgChart1"/>
    <dgm:cxn modelId="{B8AD299A-6731-402C-B94E-4F3418E03A1E}" type="presParOf" srcId="{31F4CBCD-8713-4E26-BBAA-7D0852DF8879}" destId="{DC7A5C71-5EA0-4FD2-886E-BA00FD792F31}" srcOrd="2" destOrd="0" presId="urn:microsoft.com/office/officeart/2005/8/layout/orgChart1"/>
    <dgm:cxn modelId="{4B5D0F57-C2DD-4356-A5C8-4CC26EF7638E}" type="presParOf" srcId="{C53ED865-57A2-4A86-A5F6-20FFFD70D8B8}" destId="{A4416B43-F3A4-4973-A232-A705A548F85A}" srcOrd="8" destOrd="0" presId="urn:microsoft.com/office/officeart/2005/8/layout/orgChart1"/>
    <dgm:cxn modelId="{0B998248-BE2F-4D10-BB24-690D35E2B78E}" type="presParOf" srcId="{C53ED865-57A2-4A86-A5F6-20FFFD70D8B8}" destId="{3F9C50BB-B39B-4AEA-A6B1-3DF347432C67}" srcOrd="9" destOrd="0" presId="urn:microsoft.com/office/officeart/2005/8/layout/orgChart1"/>
    <dgm:cxn modelId="{77ED63C5-18EE-493B-906D-029657182012}" type="presParOf" srcId="{3F9C50BB-B39B-4AEA-A6B1-3DF347432C67}" destId="{308376A6-3930-4807-AAE3-2A02D2D5268A}" srcOrd="0" destOrd="0" presId="urn:microsoft.com/office/officeart/2005/8/layout/orgChart1"/>
    <dgm:cxn modelId="{A50DA481-B3C6-4022-B99C-2692497315C8}" type="presParOf" srcId="{308376A6-3930-4807-AAE3-2A02D2D5268A}" destId="{4B8036C8-82F6-4CAC-9705-E438507AC395}" srcOrd="0" destOrd="0" presId="urn:microsoft.com/office/officeart/2005/8/layout/orgChart1"/>
    <dgm:cxn modelId="{FDEE285D-6C3C-4A94-A028-2A6E47A22989}" type="presParOf" srcId="{308376A6-3930-4807-AAE3-2A02D2D5268A}" destId="{4AF6D63D-FDCA-49E5-BB65-DF2D7246EF51}" srcOrd="1" destOrd="0" presId="urn:microsoft.com/office/officeart/2005/8/layout/orgChart1"/>
    <dgm:cxn modelId="{4770FEDA-43C6-4538-9961-DB428287863B}" type="presParOf" srcId="{3F9C50BB-B39B-4AEA-A6B1-3DF347432C67}" destId="{5C0384CC-B3B7-48B8-A011-FDCFCD06668E}" srcOrd="1" destOrd="0" presId="urn:microsoft.com/office/officeart/2005/8/layout/orgChart1"/>
    <dgm:cxn modelId="{61579D8B-DD16-4120-B1F8-2991568D0290}" type="presParOf" srcId="{3F9C50BB-B39B-4AEA-A6B1-3DF347432C67}" destId="{A449278A-E27D-4572-806E-1FC8F429B4EB}" srcOrd="2" destOrd="0" presId="urn:microsoft.com/office/officeart/2005/8/layout/orgChart1"/>
    <dgm:cxn modelId="{C672D458-4DD1-4EE5-BE2A-0DD4059DC799}" type="presParOf" srcId="{C53ED865-57A2-4A86-A5F6-20FFFD70D8B8}" destId="{4D7DA46E-0BF2-4295-9AD5-E7231B6FBE5D}" srcOrd="10" destOrd="0" presId="urn:microsoft.com/office/officeart/2005/8/layout/orgChart1"/>
    <dgm:cxn modelId="{C49B358C-D17F-437C-BBBB-53B04776343C}" type="presParOf" srcId="{C53ED865-57A2-4A86-A5F6-20FFFD70D8B8}" destId="{6BB6A107-FC1D-4323-ADE8-A2A4934A0E2B}" srcOrd="11" destOrd="0" presId="urn:microsoft.com/office/officeart/2005/8/layout/orgChart1"/>
    <dgm:cxn modelId="{9D4FF972-9269-4AAB-85A8-548FEC556289}" type="presParOf" srcId="{6BB6A107-FC1D-4323-ADE8-A2A4934A0E2B}" destId="{8E615908-5FA0-43F1-B382-A9FC6441C876}" srcOrd="0" destOrd="0" presId="urn:microsoft.com/office/officeart/2005/8/layout/orgChart1"/>
    <dgm:cxn modelId="{D1ECC80D-0A68-48DC-BFA1-893B7F8E18D8}" type="presParOf" srcId="{8E615908-5FA0-43F1-B382-A9FC6441C876}" destId="{4A3627A3-97A7-4455-998E-33BC47472C19}" srcOrd="0" destOrd="0" presId="urn:microsoft.com/office/officeart/2005/8/layout/orgChart1"/>
    <dgm:cxn modelId="{ECB6A37F-DFB2-42DF-B437-DF5326E47B21}" type="presParOf" srcId="{8E615908-5FA0-43F1-B382-A9FC6441C876}" destId="{50B422BA-925B-42BF-9337-3D961FB7C327}" srcOrd="1" destOrd="0" presId="urn:microsoft.com/office/officeart/2005/8/layout/orgChart1"/>
    <dgm:cxn modelId="{931F3CD7-BB91-4027-8595-8D68985099E2}" type="presParOf" srcId="{6BB6A107-FC1D-4323-ADE8-A2A4934A0E2B}" destId="{99E75F16-2E77-4339-A134-9220014A24EB}" srcOrd="1" destOrd="0" presId="urn:microsoft.com/office/officeart/2005/8/layout/orgChart1"/>
    <dgm:cxn modelId="{4D58A73B-2998-4A78-AD13-77F4A73EE9E8}" type="presParOf" srcId="{6BB6A107-FC1D-4323-ADE8-A2A4934A0E2B}" destId="{785C9942-3C01-48FB-B4DF-E5A4DA7090E7}" srcOrd="2" destOrd="0" presId="urn:microsoft.com/office/officeart/2005/8/layout/orgChart1"/>
    <dgm:cxn modelId="{144FCEDD-2A92-4F01-91A2-9B044D6953EB}" type="presParOf" srcId="{D7620E44-AED8-4A1E-A9A7-4CDE6E28310A}" destId="{FFB289A8-7FB7-4E72-8B87-1A9FC73E3A80}" srcOrd="2" destOrd="0" presId="urn:microsoft.com/office/officeart/2005/8/layout/orgChart1"/>
    <dgm:cxn modelId="{5B0CC52B-C6F4-478D-9480-2F82F4134815}" type="presParOf" srcId="{14BD63D9-C141-4E9C-B724-F2CE1C6ECE3A}" destId="{A974865C-4AAC-4F63-8401-750EBF08F041}" srcOrd="4" destOrd="0" presId="urn:microsoft.com/office/officeart/2005/8/layout/orgChart1"/>
    <dgm:cxn modelId="{C31A59A8-1BC0-4DC4-9D24-F18F24DFE4D8}" type="presParOf" srcId="{14BD63D9-C141-4E9C-B724-F2CE1C6ECE3A}" destId="{FEE0FA5E-00A4-41D8-AB1C-AA4586D37F11}" srcOrd="5" destOrd="0" presId="urn:microsoft.com/office/officeart/2005/8/layout/orgChart1"/>
    <dgm:cxn modelId="{128460BA-C963-4C3D-A131-BA0E991F2204}" type="presParOf" srcId="{FEE0FA5E-00A4-41D8-AB1C-AA4586D37F11}" destId="{0A5465EC-9D64-45D6-A634-820BA7B4AE2B}" srcOrd="0" destOrd="0" presId="urn:microsoft.com/office/officeart/2005/8/layout/orgChart1"/>
    <dgm:cxn modelId="{A886863B-5788-4495-A5C9-FB67A6C555AD}" type="presParOf" srcId="{0A5465EC-9D64-45D6-A634-820BA7B4AE2B}" destId="{18D7EB7E-5345-47F5-A003-6DAA02A6F959}" srcOrd="0" destOrd="0" presId="urn:microsoft.com/office/officeart/2005/8/layout/orgChart1"/>
    <dgm:cxn modelId="{43F740C5-9A2B-403E-AB5A-E7E5EA11392C}" type="presParOf" srcId="{0A5465EC-9D64-45D6-A634-820BA7B4AE2B}" destId="{14ECF5AB-F12D-4C1A-9BDE-E5F8D27CC289}" srcOrd="1" destOrd="0" presId="urn:microsoft.com/office/officeart/2005/8/layout/orgChart1"/>
    <dgm:cxn modelId="{995B158F-A130-4453-9A49-1FAFAC105954}" type="presParOf" srcId="{FEE0FA5E-00A4-41D8-AB1C-AA4586D37F11}" destId="{DBDCAAA8-C1BC-464F-9DDC-4F4DD51E07B8}" srcOrd="1" destOrd="0" presId="urn:microsoft.com/office/officeart/2005/8/layout/orgChart1"/>
    <dgm:cxn modelId="{0D7E18AF-165D-4E32-AD9C-5E7E75C24860}" type="presParOf" srcId="{DBDCAAA8-C1BC-464F-9DDC-4F4DD51E07B8}" destId="{FC1C23FE-41C3-45AB-B919-B5AEFCF7E4A0}" srcOrd="0" destOrd="0" presId="urn:microsoft.com/office/officeart/2005/8/layout/orgChart1"/>
    <dgm:cxn modelId="{A2A50B65-3577-4218-B06A-2ABAEB325E3E}" type="presParOf" srcId="{DBDCAAA8-C1BC-464F-9DDC-4F4DD51E07B8}" destId="{B07E5FBA-853A-4722-8233-6CF6E72C6F4D}" srcOrd="1" destOrd="0" presId="urn:microsoft.com/office/officeart/2005/8/layout/orgChart1"/>
    <dgm:cxn modelId="{09F87F3F-E3EA-4F92-9B1F-12D302D76744}" type="presParOf" srcId="{B07E5FBA-853A-4722-8233-6CF6E72C6F4D}" destId="{85F8D879-F237-47AF-B3E9-86F453639ABB}" srcOrd="0" destOrd="0" presId="urn:microsoft.com/office/officeart/2005/8/layout/orgChart1"/>
    <dgm:cxn modelId="{C4E0E4C7-0BBD-4344-90E3-4C4A2864BB59}" type="presParOf" srcId="{85F8D879-F237-47AF-B3E9-86F453639ABB}" destId="{67BD0060-BFB1-4C4A-9D5B-6E6E87609C6C}" srcOrd="0" destOrd="0" presId="urn:microsoft.com/office/officeart/2005/8/layout/orgChart1"/>
    <dgm:cxn modelId="{BF404F13-9970-4358-B34A-8C3D1A788CA7}" type="presParOf" srcId="{85F8D879-F237-47AF-B3E9-86F453639ABB}" destId="{96518F74-4F11-437D-A2B6-A7469A744A9A}" srcOrd="1" destOrd="0" presId="urn:microsoft.com/office/officeart/2005/8/layout/orgChart1"/>
    <dgm:cxn modelId="{C7AF72F8-9DC2-4DB1-946E-FC1BA1493CC2}" type="presParOf" srcId="{B07E5FBA-853A-4722-8233-6CF6E72C6F4D}" destId="{4D242C7A-E775-4011-B353-68E6D193D297}" srcOrd="1" destOrd="0" presId="urn:microsoft.com/office/officeart/2005/8/layout/orgChart1"/>
    <dgm:cxn modelId="{25890F56-24DA-45E7-A3AD-73E5060443CD}" type="presParOf" srcId="{B07E5FBA-853A-4722-8233-6CF6E72C6F4D}" destId="{864A8151-C91F-4B19-8CA8-65447D47AC96}" srcOrd="2" destOrd="0" presId="urn:microsoft.com/office/officeart/2005/8/layout/orgChart1"/>
    <dgm:cxn modelId="{4A50C63F-ED19-460D-A2A1-58648C239434}" type="presParOf" srcId="{DBDCAAA8-C1BC-464F-9DDC-4F4DD51E07B8}" destId="{ED94DFB4-543B-4805-8D2B-6695EC59E5AF}" srcOrd="2" destOrd="0" presId="urn:microsoft.com/office/officeart/2005/8/layout/orgChart1"/>
    <dgm:cxn modelId="{8B76DE38-950C-4122-B8B5-3FCAF402E5C1}" type="presParOf" srcId="{DBDCAAA8-C1BC-464F-9DDC-4F4DD51E07B8}" destId="{AB9A0C88-A7A1-4224-9DB6-1220B771A881}" srcOrd="3" destOrd="0" presId="urn:microsoft.com/office/officeart/2005/8/layout/orgChart1"/>
    <dgm:cxn modelId="{97232F6A-9D14-4309-9A2C-6F7047788E0E}" type="presParOf" srcId="{AB9A0C88-A7A1-4224-9DB6-1220B771A881}" destId="{270DE9D8-888B-4BB9-B0E6-9D449C7B0BEE}" srcOrd="0" destOrd="0" presId="urn:microsoft.com/office/officeart/2005/8/layout/orgChart1"/>
    <dgm:cxn modelId="{A73BE2BF-4B40-47EB-972E-F96DD72397ED}" type="presParOf" srcId="{270DE9D8-888B-4BB9-B0E6-9D449C7B0BEE}" destId="{5451555C-535D-4995-B08E-92BDE4EE9F4E}" srcOrd="0" destOrd="0" presId="urn:microsoft.com/office/officeart/2005/8/layout/orgChart1"/>
    <dgm:cxn modelId="{4DBA9AE6-A20E-414E-A58B-B7AF33CCD11C}" type="presParOf" srcId="{270DE9D8-888B-4BB9-B0E6-9D449C7B0BEE}" destId="{98AB874C-9D50-49AD-A1E1-FECCB00C7FAA}" srcOrd="1" destOrd="0" presId="urn:microsoft.com/office/officeart/2005/8/layout/orgChart1"/>
    <dgm:cxn modelId="{75724C84-B7E5-488E-82E5-2CC563BB532C}" type="presParOf" srcId="{AB9A0C88-A7A1-4224-9DB6-1220B771A881}" destId="{DF40D6F2-C7A3-4C3B-B06C-FFCFC3169665}" srcOrd="1" destOrd="0" presId="urn:microsoft.com/office/officeart/2005/8/layout/orgChart1"/>
    <dgm:cxn modelId="{B4A7B9F4-5E79-4D4A-AB81-B5CD8749F374}" type="presParOf" srcId="{AB9A0C88-A7A1-4224-9DB6-1220B771A881}" destId="{E6D78B30-3EAD-4309-8DBC-744ABF9A9F04}" srcOrd="2" destOrd="0" presId="urn:microsoft.com/office/officeart/2005/8/layout/orgChart1"/>
    <dgm:cxn modelId="{CC36B45F-7CC0-4457-8DA2-BFE5EC0CF229}" type="presParOf" srcId="{DBDCAAA8-C1BC-464F-9DDC-4F4DD51E07B8}" destId="{0B8C700B-8527-409D-ADF9-BFF88DA7E80C}" srcOrd="4" destOrd="0" presId="urn:microsoft.com/office/officeart/2005/8/layout/orgChart1"/>
    <dgm:cxn modelId="{F0D2B8B5-3C34-4712-8C0E-2D0976B66ED7}" type="presParOf" srcId="{DBDCAAA8-C1BC-464F-9DDC-4F4DD51E07B8}" destId="{A44EAD65-1180-474B-9932-864F69D248A2}" srcOrd="5" destOrd="0" presId="urn:microsoft.com/office/officeart/2005/8/layout/orgChart1"/>
    <dgm:cxn modelId="{8F30379D-D50A-47AB-9FF3-BD094BDD43D1}" type="presParOf" srcId="{A44EAD65-1180-474B-9932-864F69D248A2}" destId="{3D98EC16-D683-4773-9709-3132C2BA6BE0}" srcOrd="0" destOrd="0" presId="urn:microsoft.com/office/officeart/2005/8/layout/orgChart1"/>
    <dgm:cxn modelId="{68F6EAE5-772D-4F09-8AD3-EBA87D9DA2BF}" type="presParOf" srcId="{3D98EC16-D683-4773-9709-3132C2BA6BE0}" destId="{67112E2D-DA08-4C12-BA18-598F9B59C2DD}" srcOrd="0" destOrd="0" presId="urn:microsoft.com/office/officeart/2005/8/layout/orgChart1"/>
    <dgm:cxn modelId="{9789D945-1577-4C73-80FF-78DCD08210FD}" type="presParOf" srcId="{3D98EC16-D683-4773-9709-3132C2BA6BE0}" destId="{12D47608-971A-4760-9862-9A137244C989}" srcOrd="1" destOrd="0" presId="urn:microsoft.com/office/officeart/2005/8/layout/orgChart1"/>
    <dgm:cxn modelId="{97E40180-A4E5-4420-A257-506660C91218}" type="presParOf" srcId="{A44EAD65-1180-474B-9932-864F69D248A2}" destId="{4AED43CD-31C5-4022-8320-197F7917098A}" srcOrd="1" destOrd="0" presId="urn:microsoft.com/office/officeart/2005/8/layout/orgChart1"/>
    <dgm:cxn modelId="{8AE93CA7-208A-45BD-A4C9-3B9A4F8E7986}" type="presParOf" srcId="{A44EAD65-1180-474B-9932-864F69D248A2}" destId="{7AF084A5-28F9-4954-B6C1-10F1AB251456}" srcOrd="2" destOrd="0" presId="urn:microsoft.com/office/officeart/2005/8/layout/orgChart1"/>
    <dgm:cxn modelId="{B3B09572-2B83-401D-B257-1542D6C7E378}" type="presParOf" srcId="{DBDCAAA8-C1BC-464F-9DDC-4F4DD51E07B8}" destId="{7A5EFE90-79A7-45A5-998C-98AA3A25E535}" srcOrd="6" destOrd="0" presId="urn:microsoft.com/office/officeart/2005/8/layout/orgChart1"/>
    <dgm:cxn modelId="{3C4721A0-8A73-46EC-9BEC-E4BBB2B6336A}" type="presParOf" srcId="{DBDCAAA8-C1BC-464F-9DDC-4F4DD51E07B8}" destId="{D0915C85-8D46-47BF-A4EB-A9D5E2C03223}" srcOrd="7" destOrd="0" presId="urn:microsoft.com/office/officeart/2005/8/layout/orgChart1"/>
    <dgm:cxn modelId="{D0DDE1BC-7843-4F2E-8845-EA9DC6BEC6BE}" type="presParOf" srcId="{D0915C85-8D46-47BF-A4EB-A9D5E2C03223}" destId="{479631B7-3BC0-40CC-9C72-E67CB641C124}" srcOrd="0" destOrd="0" presId="urn:microsoft.com/office/officeart/2005/8/layout/orgChart1"/>
    <dgm:cxn modelId="{607BDA23-996F-479A-9EA6-E63A249B0A9D}" type="presParOf" srcId="{479631B7-3BC0-40CC-9C72-E67CB641C124}" destId="{450069CF-7114-46AF-B948-B59BD7BD3248}" srcOrd="0" destOrd="0" presId="urn:microsoft.com/office/officeart/2005/8/layout/orgChart1"/>
    <dgm:cxn modelId="{36501132-44A4-406F-B671-A038E78BCDF1}" type="presParOf" srcId="{479631B7-3BC0-40CC-9C72-E67CB641C124}" destId="{DF59B64D-B8F5-4CBC-B522-C117940BEBC4}" srcOrd="1" destOrd="0" presId="urn:microsoft.com/office/officeart/2005/8/layout/orgChart1"/>
    <dgm:cxn modelId="{FE6126DA-2786-4224-AE93-6E0372551B70}" type="presParOf" srcId="{D0915C85-8D46-47BF-A4EB-A9D5E2C03223}" destId="{6345127E-510B-45C4-A1EC-E1832DAFDCB4}" srcOrd="1" destOrd="0" presId="urn:microsoft.com/office/officeart/2005/8/layout/orgChart1"/>
    <dgm:cxn modelId="{A1479E4E-72B0-4726-A92C-E3E5EA712ADC}" type="presParOf" srcId="{D0915C85-8D46-47BF-A4EB-A9D5E2C03223}" destId="{CB40CC88-B9AA-4CF6-954A-09848908972D}" srcOrd="2" destOrd="0" presId="urn:microsoft.com/office/officeart/2005/8/layout/orgChart1"/>
    <dgm:cxn modelId="{102943F4-FD8E-4041-9821-BDC5B13B6863}" type="presParOf" srcId="{DBDCAAA8-C1BC-464F-9DDC-4F4DD51E07B8}" destId="{49442FAC-B0E9-4BAD-861B-AEA4355561EE}" srcOrd="8" destOrd="0" presId="urn:microsoft.com/office/officeart/2005/8/layout/orgChart1"/>
    <dgm:cxn modelId="{CA024236-DA21-411E-B832-829DACAFB6A9}" type="presParOf" srcId="{DBDCAAA8-C1BC-464F-9DDC-4F4DD51E07B8}" destId="{BE36E480-C167-4AD3-9D39-2BDDE28D2FCE}" srcOrd="9" destOrd="0" presId="urn:microsoft.com/office/officeart/2005/8/layout/orgChart1"/>
    <dgm:cxn modelId="{E0552681-600E-48C7-B5E6-0A2A608730F0}" type="presParOf" srcId="{BE36E480-C167-4AD3-9D39-2BDDE28D2FCE}" destId="{AE7A26D8-46C7-4B04-8483-C1BD2A7E3C14}" srcOrd="0" destOrd="0" presId="urn:microsoft.com/office/officeart/2005/8/layout/orgChart1"/>
    <dgm:cxn modelId="{8278DA01-EA76-4B96-A078-DD00990EC5CB}" type="presParOf" srcId="{AE7A26D8-46C7-4B04-8483-C1BD2A7E3C14}" destId="{0A0D7290-3BF8-4E1B-AF58-EEEFB663DEAB}" srcOrd="0" destOrd="0" presId="urn:microsoft.com/office/officeart/2005/8/layout/orgChart1"/>
    <dgm:cxn modelId="{BF2E4401-7743-4E8E-8671-BE1F36ED104B}" type="presParOf" srcId="{AE7A26D8-46C7-4B04-8483-C1BD2A7E3C14}" destId="{4CA1BCDE-C91A-4827-AD61-80C4BDB2B836}" srcOrd="1" destOrd="0" presId="urn:microsoft.com/office/officeart/2005/8/layout/orgChart1"/>
    <dgm:cxn modelId="{1C10457C-EAB9-42D3-B977-AF7AB9783E72}" type="presParOf" srcId="{BE36E480-C167-4AD3-9D39-2BDDE28D2FCE}" destId="{F38F6212-48FF-463E-B9A7-FB0408902497}" srcOrd="1" destOrd="0" presId="urn:microsoft.com/office/officeart/2005/8/layout/orgChart1"/>
    <dgm:cxn modelId="{092A05E8-3CEA-4347-8C10-406C38FCE565}" type="presParOf" srcId="{BE36E480-C167-4AD3-9D39-2BDDE28D2FCE}" destId="{0D041C48-43CB-4E57-B84A-F832A4E0B4E1}" srcOrd="2" destOrd="0" presId="urn:microsoft.com/office/officeart/2005/8/layout/orgChart1"/>
    <dgm:cxn modelId="{C9B3F06A-48A6-4CD0-9E2E-733ED94C7D59}" type="presParOf" srcId="{DBDCAAA8-C1BC-464F-9DDC-4F4DD51E07B8}" destId="{BD64C209-A7B0-47B9-A859-89497615BB8D}" srcOrd="10" destOrd="0" presId="urn:microsoft.com/office/officeart/2005/8/layout/orgChart1"/>
    <dgm:cxn modelId="{378E6516-8904-4035-A2FC-F6A11D3DE185}" type="presParOf" srcId="{DBDCAAA8-C1BC-464F-9DDC-4F4DD51E07B8}" destId="{DC678C6B-A706-4E55-9339-2F82E726CF1A}" srcOrd="11" destOrd="0" presId="urn:microsoft.com/office/officeart/2005/8/layout/orgChart1"/>
    <dgm:cxn modelId="{C2D6B0DF-9029-4AD4-B83E-B33D8BA234DA}" type="presParOf" srcId="{DC678C6B-A706-4E55-9339-2F82E726CF1A}" destId="{754A9F5B-6B64-4FAA-9219-44D2BF6EF7D1}" srcOrd="0" destOrd="0" presId="urn:microsoft.com/office/officeart/2005/8/layout/orgChart1"/>
    <dgm:cxn modelId="{9B245A97-8C16-4F91-9797-4DBBF6F58239}" type="presParOf" srcId="{754A9F5B-6B64-4FAA-9219-44D2BF6EF7D1}" destId="{A9181D67-06C7-48A4-910B-0FB4C3B9B53D}" srcOrd="0" destOrd="0" presId="urn:microsoft.com/office/officeart/2005/8/layout/orgChart1"/>
    <dgm:cxn modelId="{AD9ED67F-E463-495B-98C4-A62925828109}" type="presParOf" srcId="{754A9F5B-6B64-4FAA-9219-44D2BF6EF7D1}" destId="{3E7608C9-1BF5-4B36-AAAD-19D61152C89B}" srcOrd="1" destOrd="0" presId="urn:microsoft.com/office/officeart/2005/8/layout/orgChart1"/>
    <dgm:cxn modelId="{634C2FA0-1B2A-4925-9DA9-CF2A0E6C5922}" type="presParOf" srcId="{DC678C6B-A706-4E55-9339-2F82E726CF1A}" destId="{54FA8ABD-8EE2-4C8E-AF0F-E6E5C06705FC}" srcOrd="1" destOrd="0" presId="urn:microsoft.com/office/officeart/2005/8/layout/orgChart1"/>
    <dgm:cxn modelId="{8E927E69-697A-4050-BF13-B0E9E747012A}" type="presParOf" srcId="{DC678C6B-A706-4E55-9339-2F82E726CF1A}" destId="{E6ED8DE2-CF4D-47A4-9B88-6C9B0BFD0B80}" srcOrd="2" destOrd="0" presId="urn:microsoft.com/office/officeart/2005/8/layout/orgChart1"/>
    <dgm:cxn modelId="{C123D5CF-78D8-46CE-B9C3-F53227D92FE3}" type="presParOf" srcId="{FEE0FA5E-00A4-41D8-AB1C-AA4586D37F11}" destId="{6A072BC7-B881-493B-AD0D-CDD56EE18CBB}" srcOrd="2" destOrd="0" presId="urn:microsoft.com/office/officeart/2005/8/layout/orgChart1"/>
    <dgm:cxn modelId="{64805519-56ED-443C-8289-820ACED27D4C}" type="presParOf" srcId="{14BD63D9-C141-4E9C-B724-F2CE1C6ECE3A}" destId="{4B4A3709-AA75-4971-921B-CAC4A33225CC}" srcOrd="6" destOrd="0" presId="urn:microsoft.com/office/officeart/2005/8/layout/orgChart1"/>
    <dgm:cxn modelId="{E9B1529B-FF2F-415B-A699-9613460257EC}" type="presParOf" srcId="{14BD63D9-C141-4E9C-B724-F2CE1C6ECE3A}" destId="{47D8AAF7-3DE1-4F00-8587-467D065E780E}" srcOrd="7" destOrd="0" presId="urn:microsoft.com/office/officeart/2005/8/layout/orgChart1"/>
    <dgm:cxn modelId="{22E853FC-D1FF-4937-BB55-3FC42C11B4F8}" type="presParOf" srcId="{47D8AAF7-3DE1-4F00-8587-467D065E780E}" destId="{29CBCBA3-9A84-4E67-AE65-EEE179EEC833}" srcOrd="0" destOrd="0" presId="urn:microsoft.com/office/officeart/2005/8/layout/orgChart1"/>
    <dgm:cxn modelId="{4C14ACDA-5FD3-4D75-808F-04169386AE7D}" type="presParOf" srcId="{29CBCBA3-9A84-4E67-AE65-EEE179EEC833}" destId="{EBDC4F41-BB02-4045-BB2C-0F561DCA0C10}" srcOrd="0" destOrd="0" presId="urn:microsoft.com/office/officeart/2005/8/layout/orgChart1"/>
    <dgm:cxn modelId="{0F155082-1085-4EFD-ACBA-6D21BCDA181D}" type="presParOf" srcId="{29CBCBA3-9A84-4E67-AE65-EEE179EEC833}" destId="{7BCBB919-E96F-42D4-BA5F-2446C6D9C71A}" srcOrd="1" destOrd="0" presId="urn:microsoft.com/office/officeart/2005/8/layout/orgChart1"/>
    <dgm:cxn modelId="{5AFFB923-9E3D-4165-B5AB-93C916D485D6}" type="presParOf" srcId="{47D8AAF7-3DE1-4F00-8587-467D065E780E}" destId="{43280E03-1FB3-4E9D-B52E-EA740400CD98}" srcOrd="1" destOrd="0" presId="urn:microsoft.com/office/officeart/2005/8/layout/orgChart1"/>
    <dgm:cxn modelId="{DCF1EF43-CBF0-47BA-BDBC-93849B4E425D}" type="presParOf" srcId="{43280E03-1FB3-4E9D-B52E-EA740400CD98}" destId="{96BFC465-8166-421C-9903-E801C6A495F4}" srcOrd="0" destOrd="0" presId="urn:microsoft.com/office/officeart/2005/8/layout/orgChart1"/>
    <dgm:cxn modelId="{151DFF2B-8CF3-4AFE-BA8A-413DBDA066C4}" type="presParOf" srcId="{43280E03-1FB3-4E9D-B52E-EA740400CD98}" destId="{9FE58E93-0DB9-444A-BC5D-7057BA79A88D}" srcOrd="1" destOrd="0" presId="urn:microsoft.com/office/officeart/2005/8/layout/orgChart1"/>
    <dgm:cxn modelId="{2CEC0060-9557-4158-8F40-402957313CFE}" type="presParOf" srcId="{9FE58E93-0DB9-444A-BC5D-7057BA79A88D}" destId="{565A487E-9E09-4ED1-9070-3D2C30FC8F80}" srcOrd="0" destOrd="0" presId="urn:microsoft.com/office/officeart/2005/8/layout/orgChart1"/>
    <dgm:cxn modelId="{98112BCD-9A31-49A4-937A-3BA902C11513}" type="presParOf" srcId="{565A487E-9E09-4ED1-9070-3D2C30FC8F80}" destId="{647420B5-B7F6-41E1-AC34-55D8867088E7}" srcOrd="0" destOrd="0" presId="urn:microsoft.com/office/officeart/2005/8/layout/orgChart1"/>
    <dgm:cxn modelId="{694B95D2-FCD2-4A80-8773-CDBC4B15C5AB}" type="presParOf" srcId="{565A487E-9E09-4ED1-9070-3D2C30FC8F80}" destId="{2AA0D326-14A0-4FFF-AA6C-042CD260C778}" srcOrd="1" destOrd="0" presId="urn:microsoft.com/office/officeart/2005/8/layout/orgChart1"/>
    <dgm:cxn modelId="{D083AFCB-54CA-4DDE-8F52-3F1EAF4C4983}" type="presParOf" srcId="{9FE58E93-0DB9-444A-BC5D-7057BA79A88D}" destId="{C16A6238-679E-4BA6-B31F-76D0DF27624F}" srcOrd="1" destOrd="0" presId="urn:microsoft.com/office/officeart/2005/8/layout/orgChart1"/>
    <dgm:cxn modelId="{1218AF5A-2220-4DC4-9499-E9649DD5F2C7}" type="presParOf" srcId="{9FE58E93-0DB9-444A-BC5D-7057BA79A88D}" destId="{9FDA9C82-B287-452D-804B-E818F8F1B6D7}" srcOrd="2" destOrd="0" presId="urn:microsoft.com/office/officeart/2005/8/layout/orgChart1"/>
    <dgm:cxn modelId="{4B5C12E6-1EFB-4AB9-9A05-4EE2C9BB8F41}" type="presParOf" srcId="{43280E03-1FB3-4E9D-B52E-EA740400CD98}" destId="{EF40F13B-2C5A-41A4-9FFF-CA4653B01B3B}" srcOrd="2" destOrd="0" presId="urn:microsoft.com/office/officeart/2005/8/layout/orgChart1"/>
    <dgm:cxn modelId="{29CA16A0-0931-4985-A343-763F5B714E98}" type="presParOf" srcId="{43280E03-1FB3-4E9D-B52E-EA740400CD98}" destId="{687001A3-D3CC-4AB1-84C4-16CB10BD9A2C}" srcOrd="3" destOrd="0" presId="urn:microsoft.com/office/officeart/2005/8/layout/orgChart1"/>
    <dgm:cxn modelId="{AB621D04-AA37-4F10-AB35-1B2A1238E86A}" type="presParOf" srcId="{687001A3-D3CC-4AB1-84C4-16CB10BD9A2C}" destId="{2640AFD9-A105-4927-8D49-A4911DAEB8A6}" srcOrd="0" destOrd="0" presId="urn:microsoft.com/office/officeart/2005/8/layout/orgChart1"/>
    <dgm:cxn modelId="{7590CE4B-49F5-468F-833F-BACFD8D9DFC2}" type="presParOf" srcId="{2640AFD9-A105-4927-8D49-A4911DAEB8A6}" destId="{ABC7BB64-A90A-4CB7-9105-0A2AC9805564}" srcOrd="0" destOrd="0" presId="urn:microsoft.com/office/officeart/2005/8/layout/orgChart1"/>
    <dgm:cxn modelId="{85612891-EFAD-4E66-BDB7-7F4A54B314D9}" type="presParOf" srcId="{2640AFD9-A105-4927-8D49-A4911DAEB8A6}" destId="{FF3F3098-1EE8-47DE-A756-7FCF6D81535A}" srcOrd="1" destOrd="0" presId="urn:microsoft.com/office/officeart/2005/8/layout/orgChart1"/>
    <dgm:cxn modelId="{1721754D-93E3-4BC7-8532-2A57D330D7FC}" type="presParOf" srcId="{687001A3-D3CC-4AB1-84C4-16CB10BD9A2C}" destId="{B21E56AF-F838-42B0-B06B-68B9B29854D0}" srcOrd="1" destOrd="0" presId="urn:microsoft.com/office/officeart/2005/8/layout/orgChart1"/>
    <dgm:cxn modelId="{A8B83F55-6A73-45A6-BB10-370A06C70C57}" type="presParOf" srcId="{687001A3-D3CC-4AB1-84C4-16CB10BD9A2C}" destId="{296DDADC-4797-42A4-AEEE-50AD6B51ED36}" srcOrd="2" destOrd="0" presId="urn:microsoft.com/office/officeart/2005/8/layout/orgChart1"/>
    <dgm:cxn modelId="{DA3D6551-9434-4A5C-A549-2D6078BD936E}" type="presParOf" srcId="{43280E03-1FB3-4E9D-B52E-EA740400CD98}" destId="{F8DF4927-B0E2-4A18-B576-0CEAC6685F51}" srcOrd="4" destOrd="0" presId="urn:microsoft.com/office/officeart/2005/8/layout/orgChart1"/>
    <dgm:cxn modelId="{C3CE59DC-837D-41B3-B753-00A2F1642598}" type="presParOf" srcId="{43280E03-1FB3-4E9D-B52E-EA740400CD98}" destId="{6CA202BA-0547-482E-BDB3-FA2EF0455FAC}" srcOrd="5" destOrd="0" presId="urn:microsoft.com/office/officeart/2005/8/layout/orgChart1"/>
    <dgm:cxn modelId="{B59EDC1F-358F-42F8-8634-291B73D5E861}" type="presParOf" srcId="{6CA202BA-0547-482E-BDB3-FA2EF0455FAC}" destId="{8555C65F-DEC2-4828-BA48-3DC0D3ECE78E}" srcOrd="0" destOrd="0" presId="urn:microsoft.com/office/officeart/2005/8/layout/orgChart1"/>
    <dgm:cxn modelId="{412D4C61-CC00-4320-B7FF-B07A1A207A43}" type="presParOf" srcId="{8555C65F-DEC2-4828-BA48-3DC0D3ECE78E}" destId="{AD7D396D-70EB-4F3A-AC22-78E8462178A0}" srcOrd="0" destOrd="0" presId="urn:microsoft.com/office/officeart/2005/8/layout/orgChart1"/>
    <dgm:cxn modelId="{927AF5B6-4318-4C51-A538-46DD1F67B4E6}" type="presParOf" srcId="{8555C65F-DEC2-4828-BA48-3DC0D3ECE78E}" destId="{E8EB7F20-D728-4C93-81BC-AECA407EEA56}" srcOrd="1" destOrd="0" presId="urn:microsoft.com/office/officeart/2005/8/layout/orgChart1"/>
    <dgm:cxn modelId="{9AC22216-1CC0-4FC2-9228-3638C466401B}" type="presParOf" srcId="{6CA202BA-0547-482E-BDB3-FA2EF0455FAC}" destId="{73215CC5-9FC6-4D32-8095-2F8C1CDF19D5}" srcOrd="1" destOrd="0" presId="urn:microsoft.com/office/officeart/2005/8/layout/orgChart1"/>
    <dgm:cxn modelId="{A99C5B42-543D-4012-B17E-A1B060EBCF73}" type="presParOf" srcId="{6CA202BA-0547-482E-BDB3-FA2EF0455FAC}" destId="{804A5EFD-3256-46F4-A920-47AD6128D0B1}" srcOrd="2" destOrd="0" presId="urn:microsoft.com/office/officeart/2005/8/layout/orgChart1"/>
    <dgm:cxn modelId="{1BB8B42B-5F34-408B-9A3A-D4EB9258D91D}" type="presParOf" srcId="{43280E03-1FB3-4E9D-B52E-EA740400CD98}" destId="{F7E5F2CE-0C8A-4AD2-8503-9E5CEAC34879}" srcOrd="6" destOrd="0" presId="urn:microsoft.com/office/officeart/2005/8/layout/orgChart1"/>
    <dgm:cxn modelId="{3498A3E2-99A7-4E2F-A3D5-D25D554424D6}" type="presParOf" srcId="{43280E03-1FB3-4E9D-B52E-EA740400CD98}" destId="{4F2AEEF9-EDA3-4E3E-B002-537E5DD32D88}" srcOrd="7" destOrd="0" presId="urn:microsoft.com/office/officeart/2005/8/layout/orgChart1"/>
    <dgm:cxn modelId="{CE843B9C-1B40-4AEB-B780-827AB324D9A9}" type="presParOf" srcId="{4F2AEEF9-EDA3-4E3E-B002-537E5DD32D88}" destId="{4ECD40FA-F322-4346-AA5A-4A751A4677AA}" srcOrd="0" destOrd="0" presId="urn:microsoft.com/office/officeart/2005/8/layout/orgChart1"/>
    <dgm:cxn modelId="{A1C3DF81-C438-436B-B744-5A4D012D53AB}" type="presParOf" srcId="{4ECD40FA-F322-4346-AA5A-4A751A4677AA}" destId="{39B8E77F-B22C-4656-8B22-473C50CE438F}" srcOrd="0" destOrd="0" presId="urn:microsoft.com/office/officeart/2005/8/layout/orgChart1"/>
    <dgm:cxn modelId="{EE7210FB-C1F5-44FE-A139-1CDDDB73203A}" type="presParOf" srcId="{4ECD40FA-F322-4346-AA5A-4A751A4677AA}" destId="{A69B6F19-D601-4E1F-A30B-92D7339CEC15}" srcOrd="1" destOrd="0" presId="urn:microsoft.com/office/officeart/2005/8/layout/orgChart1"/>
    <dgm:cxn modelId="{7C99DB1C-0297-4859-97D2-F536689DD122}" type="presParOf" srcId="{4F2AEEF9-EDA3-4E3E-B002-537E5DD32D88}" destId="{CB957512-36BE-4415-B4CF-2844E268DBC9}" srcOrd="1" destOrd="0" presId="urn:microsoft.com/office/officeart/2005/8/layout/orgChart1"/>
    <dgm:cxn modelId="{284F3723-272F-40DA-9F8C-667341F95DBA}" type="presParOf" srcId="{4F2AEEF9-EDA3-4E3E-B002-537E5DD32D88}" destId="{8BC8AA20-D366-48FE-8A79-B07CEC24E33A}" srcOrd="2" destOrd="0" presId="urn:microsoft.com/office/officeart/2005/8/layout/orgChart1"/>
    <dgm:cxn modelId="{CDDD3EB2-851E-4B38-AF4F-6F7AEB6E956A}" type="presParOf" srcId="{43280E03-1FB3-4E9D-B52E-EA740400CD98}" destId="{528E5FC3-D11A-4F89-9B14-660DA30A5BD9}" srcOrd="8" destOrd="0" presId="urn:microsoft.com/office/officeart/2005/8/layout/orgChart1"/>
    <dgm:cxn modelId="{8AEEFC14-AB88-4D8E-8DE8-36655C50E7F9}" type="presParOf" srcId="{43280E03-1FB3-4E9D-B52E-EA740400CD98}" destId="{12062A6B-A75C-4D48-B92C-B675952729DB}" srcOrd="9" destOrd="0" presId="urn:microsoft.com/office/officeart/2005/8/layout/orgChart1"/>
    <dgm:cxn modelId="{62567538-C87B-4B25-AC94-8C453294F8C0}" type="presParOf" srcId="{12062A6B-A75C-4D48-B92C-B675952729DB}" destId="{30E9CCB3-D19D-4DB7-BC88-FB00CD9E218F}" srcOrd="0" destOrd="0" presId="urn:microsoft.com/office/officeart/2005/8/layout/orgChart1"/>
    <dgm:cxn modelId="{06113589-95E3-4BF5-972D-78D6E4476EA0}" type="presParOf" srcId="{30E9CCB3-D19D-4DB7-BC88-FB00CD9E218F}" destId="{DE90A0AF-EF96-426B-BDC2-9EE119692A07}" srcOrd="0" destOrd="0" presId="urn:microsoft.com/office/officeart/2005/8/layout/orgChart1"/>
    <dgm:cxn modelId="{06B9FD66-7E7F-4A6D-A0BB-B800C7FCC859}" type="presParOf" srcId="{30E9CCB3-D19D-4DB7-BC88-FB00CD9E218F}" destId="{F75DB207-43BF-488C-BEA8-CD8796287353}" srcOrd="1" destOrd="0" presId="urn:microsoft.com/office/officeart/2005/8/layout/orgChart1"/>
    <dgm:cxn modelId="{2CE0DA20-2223-4B94-93C8-E6C951DFFD51}" type="presParOf" srcId="{12062A6B-A75C-4D48-B92C-B675952729DB}" destId="{6418E0AA-405F-42EF-9349-0AD5D6EAB063}" srcOrd="1" destOrd="0" presId="urn:microsoft.com/office/officeart/2005/8/layout/orgChart1"/>
    <dgm:cxn modelId="{EF5B1575-CCDD-4035-83CA-725BAF691569}" type="presParOf" srcId="{12062A6B-A75C-4D48-B92C-B675952729DB}" destId="{B1B17F1D-BD38-43E7-83FF-66C9397AAE58}" srcOrd="2" destOrd="0" presId="urn:microsoft.com/office/officeart/2005/8/layout/orgChart1"/>
    <dgm:cxn modelId="{4F9DC0A5-D2B1-4732-93DF-DCA324C609E9}" type="presParOf" srcId="{43280E03-1FB3-4E9D-B52E-EA740400CD98}" destId="{59C04252-CCFB-4CC8-BA77-20FD222490E8}" srcOrd="10" destOrd="0" presId="urn:microsoft.com/office/officeart/2005/8/layout/orgChart1"/>
    <dgm:cxn modelId="{12BF3A4C-07CA-4B86-9A7C-A208B6883F03}" type="presParOf" srcId="{43280E03-1FB3-4E9D-B52E-EA740400CD98}" destId="{A1D1C9F3-0143-44EB-B646-474015DEF2F5}" srcOrd="11" destOrd="0" presId="urn:microsoft.com/office/officeart/2005/8/layout/orgChart1"/>
    <dgm:cxn modelId="{1C60A34E-A11D-42DB-A5A6-82ECF8493537}" type="presParOf" srcId="{A1D1C9F3-0143-44EB-B646-474015DEF2F5}" destId="{5030E857-2B75-42B6-8DF1-6EAD3BCFEC87}" srcOrd="0" destOrd="0" presId="urn:microsoft.com/office/officeart/2005/8/layout/orgChart1"/>
    <dgm:cxn modelId="{E5368034-3128-497D-9FEC-7D74D18B1D02}" type="presParOf" srcId="{5030E857-2B75-42B6-8DF1-6EAD3BCFEC87}" destId="{0119EEB9-9A38-430C-8605-8FF3F804544F}" srcOrd="0" destOrd="0" presId="urn:microsoft.com/office/officeart/2005/8/layout/orgChart1"/>
    <dgm:cxn modelId="{AEF1D014-A2D0-486B-908D-A1F105FD9E87}" type="presParOf" srcId="{5030E857-2B75-42B6-8DF1-6EAD3BCFEC87}" destId="{E2D3DBFC-8378-439D-8EA2-F88586179F5F}" srcOrd="1" destOrd="0" presId="urn:microsoft.com/office/officeart/2005/8/layout/orgChart1"/>
    <dgm:cxn modelId="{BD18F5BD-0DB7-4C24-8319-F1B6DB99F8FF}" type="presParOf" srcId="{A1D1C9F3-0143-44EB-B646-474015DEF2F5}" destId="{2CC031BB-80CE-4A34-B076-97E9EA6BF3C3}" srcOrd="1" destOrd="0" presId="urn:microsoft.com/office/officeart/2005/8/layout/orgChart1"/>
    <dgm:cxn modelId="{A3233A7B-1D9D-4875-9AB8-FEE9D991A7AE}" type="presParOf" srcId="{A1D1C9F3-0143-44EB-B646-474015DEF2F5}" destId="{964B1D07-7B38-46DF-B184-5EF2F7CA3EAC}" srcOrd="2" destOrd="0" presId="urn:microsoft.com/office/officeart/2005/8/layout/orgChart1"/>
    <dgm:cxn modelId="{B1ABFBED-D0C0-4564-B031-DEF4AB8CCB7B}" type="presParOf" srcId="{47D8AAF7-3DE1-4F00-8587-467D065E780E}" destId="{0E4756FC-7C91-46C9-A0DD-FAE4704C34AA}" srcOrd="2" destOrd="0" presId="urn:microsoft.com/office/officeart/2005/8/layout/orgChart1"/>
    <dgm:cxn modelId="{F8294044-588A-4704-BAD1-B1D37E4877C8}" type="presParOf" srcId="{14BD63D9-C141-4E9C-B724-F2CE1C6ECE3A}" destId="{F1EE7129-9CBE-42CE-9EE3-3684DAE78A6A}" srcOrd="8" destOrd="0" presId="urn:microsoft.com/office/officeart/2005/8/layout/orgChart1"/>
    <dgm:cxn modelId="{33C1F114-E806-40EA-9777-A1CB5A9C0757}" type="presParOf" srcId="{14BD63D9-C141-4E9C-B724-F2CE1C6ECE3A}" destId="{1AC2E66A-2A2E-4A3B-AEC8-DF1D34B03365}" srcOrd="9" destOrd="0" presId="urn:microsoft.com/office/officeart/2005/8/layout/orgChart1"/>
    <dgm:cxn modelId="{45D546DB-8C1F-45A1-8B8E-E187691552BB}" type="presParOf" srcId="{1AC2E66A-2A2E-4A3B-AEC8-DF1D34B03365}" destId="{40535A9C-B148-4F64-A1A0-A8CC7945C730}" srcOrd="0" destOrd="0" presId="urn:microsoft.com/office/officeart/2005/8/layout/orgChart1"/>
    <dgm:cxn modelId="{6C100D4D-E985-4A33-B316-FA7588AAD8F0}" type="presParOf" srcId="{40535A9C-B148-4F64-A1A0-A8CC7945C730}" destId="{A258BD13-7871-4C9C-B418-43BE12BFB3E9}" srcOrd="0" destOrd="0" presId="urn:microsoft.com/office/officeart/2005/8/layout/orgChart1"/>
    <dgm:cxn modelId="{936FA9A8-9B5E-4CBE-B403-CC2EEAF24278}" type="presParOf" srcId="{40535A9C-B148-4F64-A1A0-A8CC7945C730}" destId="{377DAAC8-B64C-4B18-908A-1890A133AEFC}" srcOrd="1" destOrd="0" presId="urn:microsoft.com/office/officeart/2005/8/layout/orgChart1"/>
    <dgm:cxn modelId="{B75CDC5A-F682-4ECF-B925-39A3176CC6CB}" type="presParOf" srcId="{1AC2E66A-2A2E-4A3B-AEC8-DF1D34B03365}" destId="{314C482C-65BB-47D4-915A-6F0C3441E503}" srcOrd="1" destOrd="0" presId="urn:microsoft.com/office/officeart/2005/8/layout/orgChart1"/>
    <dgm:cxn modelId="{55B0F3B0-983C-4A7F-BA1B-53D4414D37F9}" type="presParOf" srcId="{314C482C-65BB-47D4-915A-6F0C3441E503}" destId="{2F7B221D-5030-40CE-B2C2-68153A0F97EC}" srcOrd="0" destOrd="0" presId="urn:microsoft.com/office/officeart/2005/8/layout/orgChart1"/>
    <dgm:cxn modelId="{9D7AFB09-6262-4F2F-8F22-4E7E8F828426}" type="presParOf" srcId="{314C482C-65BB-47D4-915A-6F0C3441E503}" destId="{9FB25C77-0C0A-4FB2-89FE-7175A2B094F9}" srcOrd="1" destOrd="0" presId="urn:microsoft.com/office/officeart/2005/8/layout/orgChart1"/>
    <dgm:cxn modelId="{9583D0BC-9176-4997-8ECB-6985E8761F36}" type="presParOf" srcId="{9FB25C77-0C0A-4FB2-89FE-7175A2B094F9}" destId="{CB680E1F-EBAE-4062-A071-AB7C08232403}" srcOrd="0" destOrd="0" presId="urn:microsoft.com/office/officeart/2005/8/layout/orgChart1"/>
    <dgm:cxn modelId="{628F28EA-1AC4-46A5-A13C-C87CC4F32764}" type="presParOf" srcId="{CB680E1F-EBAE-4062-A071-AB7C08232403}" destId="{FED6595E-1570-4891-AE46-CD4AC1DEF9EA}" srcOrd="0" destOrd="0" presId="urn:microsoft.com/office/officeart/2005/8/layout/orgChart1"/>
    <dgm:cxn modelId="{B867269F-730E-4A91-9B61-09320907D9D9}" type="presParOf" srcId="{CB680E1F-EBAE-4062-A071-AB7C08232403}" destId="{4A3DC27F-8DE4-48A4-9352-6E19ED89BD37}" srcOrd="1" destOrd="0" presId="urn:microsoft.com/office/officeart/2005/8/layout/orgChart1"/>
    <dgm:cxn modelId="{FA618AF7-4068-437A-85DE-EEE4E8DABF07}" type="presParOf" srcId="{9FB25C77-0C0A-4FB2-89FE-7175A2B094F9}" destId="{DFA8D785-E1E1-4A77-B992-17A55C3F2717}" srcOrd="1" destOrd="0" presId="urn:microsoft.com/office/officeart/2005/8/layout/orgChart1"/>
    <dgm:cxn modelId="{05BCAE30-8B31-42BA-B530-6923102127D6}" type="presParOf" srcId="{9FB25C77-0C0A-4FB2-89FE-7175A2B094F9}" destId="{6D7E8D45-4C51-4D9C-A331-6B04C0832A8B}" srcOrd="2" destOrd="0" presId="urn:microsoft.com/office/officeart/2005/8/layout/orgChart1"/>
    <dgm:cxn modelId="{66E2AAC7-4F6B-4041-9CC4-82F1E64F7C50}" type="presParOf" srcId="{314C482C-65BB-47D4-915A-6F0C3441E503}" destId="{FD540605-6F96-4B99-9FEF-8CEAB4571FB4}" srcOrd="2" destOrd="0" presId="urn:microsoft.com/office/officeart/2005/8/layout/orgChart1"/>
    <dgm:cxn modelId="{9956EDBF-B018-4A01-9840-173465058820}" type="presParOf" srcId="{314C482C-65BB-47D4-915A-6F0C3441E503}" destId="{3611DE11-DCD5-4EE0-BB96-595CF39417D6}" srcOrd="3" destOrd="0" presId="urn:microsoft.com/office/officeart/2005/8/layout/orgChart1"/>
    <dgm:cxn modelId="{7FB0EDB3-A758-4E60-8B88-6857246B482F}" type="presParOf" srcId="{3611DE11-DCD5-4EE0-BB96-595CF39417D6}" destId="{543E833C-7B9C-410F-911B-FAF9A6E38FF7}" srcOrd="0" destOrd="0" presId="urn:microsoft.com/office/officeart/2005/8/layout/orgChart1"/>
    <dgm:cxn modelId="{2F16D306-8A53-4558-B868-DF99E272D014}" type="presParOf" srcId="{543E833C-7B9C-410F-911B-FAF9A6E38FF7}" destId="{7F8EFDBA-900F-4273-A7B0-E6FE5E02840D}" srcOrd="0" destOrd="0" presId="urn:microsoft.com/office/officeart/2005/8/layout/orgChart1"/>
    <dgm:cxn modelId="{F11E3F90-AFD2-4CB4-86EE-325B52D5AE56}" type="presParOf" srcId="{543E833C-7B9C-410F-911B-FAF9A6E38FF7}" destId="{04201401-4837-4B30-AFFF-9998EB8BCE29}" srcOrd="1" destOrd="0" presId="urn:microsoft.com/office/officeart/2005/8/layout/orgChart1"/>
    <dgm:cxn modelId="{615EE113-196D-41F1-83B5-1EBD5EDD60CC}" type="presParOf" srcId="{3611DE11-DCD5-4EE0-BB96-595CF39417D6}" destId="{DB6740BE-9238-45AF-9A9D-36FB72CBF9E7}" srcOrd="1" destOrd="0" presId="urn:microsoft.com/office/officeart/2005/8/layout/orgChart1"/>
    <dgm:cxn modelId="{9D12D937-6862-41A7-B1A7-2664517AE652}" type="presParOf" srcId="{3611DE11-DCD5-4EE0-BB96-595CF39417D6}" destId="{2E3B18E5-0669-407E-95D9-025A23E008F6}" srcOrd="2" destOrd="0" presId="urn:microsoft.com/office/officeart/2005/8/layout/orgChart1"/>
    <dgm:cxn modelId="{1D112DB4-555A-4039-88E5-0A49BB24B482}" type="presParOf" srcId="{314C482C-65BB-47D4-915A-6F0C3441E503}" destId="{B5210DB0-CB29-4557-B327-60029655B293}" srcOrd="4" destOrd="0" presId="urn:microsoft.com/office/officeart/2005/8/layout/orgChart1"/>
    <dgm:cxn modelId="{5EA629F2-41CF-4B60-A352-3FD84B4E52F0}" type="presParOf" srcId="{314C482C-65BB-47D4-915A-6F0C3441E503}" destId="{19822EA0-112B-4594-9EA3-4509F040EAF2}" srcOrd="5" destOrd="0" presId="urn:microsoft.com/office/officeart/2005/8/layout/orgChart1"/>
    <dgm:cxn modelId="{F4B38B64-B5FE-4A62-BB45-20BF389E8361}" type="presParOf" srcId="{19822EA0-112B-4594-9EA3-4509F040EAF2}" destId="{6BB299F7-B8F6-4EDD-9D61-126308858751}" srcOrd="0" destOrd="0" presId="urn:microsoft.com/office/officeart/2005/8/layout/orgChart1"/>
    <dgm:cxn modelId="{72C01C1B-0BF1-492D-AD85-3417A085DA54}" type="presParOf" srcId="{6BB299F7-B8F6-4EDD-9D61-126308858751}" destId="{E140C6C5-E4A1-49E2-8B34-B36A9E45F7A0}" srcOrd="0" destOrd="0" presId="urn:microsoft.com/office/officeart/2005/8/layout/orgChart1"/>
    <dgm:cxn modelId="{E1063253-5B42-44A3-8C12-AE1E1AD3CF6D}" type="presParOf" srcId="{6BB299F7-B8F6-4EDD-9D61-126308858751}" destId="{69D06E7D-A6C7-4A80-AB80-BC479557C42C}" srcOrd="1" destOrd="0" presId="urn:microsoft.com/office/officeart/2005/8/layout/orgChart1"/>
    <dgm:cxn modelId="{2922D712-A476-4738-8D16-A91E10E5B55B}" type="presParOf" srcId="{19822EA0-112B-4594-9EA3-4509F040EAF2}" destId="{CBC26D4C-93C3-4000-AAAA-5007190E8675}" srcOrd="1" destOrd="0" presId="urn:microsoft.com/office/officeart/2005/8/layout/orgChart1"/>
    <dgm:cxn modelId="{9DF4D806-F71B-4C1A-A065-40A31CFAF907}" type="presParOf" srcId="{19822EA0-112B-4594-9EA3-4509F040EAF2}" destId="{1207FA07-C74A-4FD8-A9CB-D00848890C0B}" srcOrd="2" destOrd="0" presId="urn:microsoft.com/office/officeart/2005/8/layout/orgChart1"/>
    <dgm:cxn modelId="{B120C6E5-EF02-4A43-801E-EEB9A18C8B4E}" type="presParOf" srcId="{314C482C-65BB-47D4-915A-6F0C3441E503}" destId="{A45E8E60-357C-4447-B545-DCEEB69E444E}" srcOrd="6" destOrd="0" presId="urn:microsoft.com/office/officeart/2005/8/layout/orgChart1"/>
    <dgm:cxn modelId="{3BDF962D-563C-421B-A69B-D1DB14038A03}" type="presParOf" srcId="{314C482C-65BB-47D4-915A-6F0C3441E503}" destId="{71554BB3-0A6B-433E-B932-4D92DA806144}" srcOrd="7" destOrd="0" presId="urn:microsoft.com/office/officeart/2005/8/layout/orgChart1"/>
    <dgm:cxn modelId="{02851F58-5BA5-41C5-9914-91667EBD81E0}" type="presParOf" srcId="{71554BB3-0A6B-433E-B932-4D92DA806144}" destId="{66136D05-A777-4D84-A3EC-B7B165A311E6}" srcOrd="0" destOrd="0" presId="urn:microsoft.com/office/officeart/2005/8/layout/orgChart1"/>
    <dgm:cxn modelId="{5E9B9ABA-208B-4050-8DC2-1481E0BA1D14}" type="presParOf" srcId="{66136D05-A777-4D84-A3EC-B7B165A311E6}" destId="{2915E1C8-90EE-4D3E-80C4-5A095B94CCE7}" srcOrd="0" destOrd="0" presId="urn:microsoft.com/office/officeart/2005/8/layout/orgChart1"/>
    <dgm:cxn modelId="{CAA2E082-2284-46DE-BAA8-78B7E62D02E9}" type="presParOf" srcId="{66136D05-A777-4D84-A3EC-B7B165A311E6}" destId="{A5DD968A-911F-4376-BCC3-EEACDFED13C5}" srcOrd="1" destOrd="0" presId="urn:microsoft.com/office/officeart/2005/8/layout/orgChart1"/>
    <dgm:cxn modelId="{018479C6-5D88-4019-B9CF-1EFA85EFFA89}" type="presParOf" srcId="{71554BB3-0A6B-433E-B932-4D92DA806144}" destId="{DD42EDC6-12EC-45E7-84BE-1028245A3764}" srcOrd="1" destOrd="0" presId="urn:microsoft.com/office/officeart/2005/8/layout/orgChart1"/>
    <dgm:cxn modelId="{4B8A8583-6182-4D42-91A8-F3898F0B802B}" type="presParOf" srcId="{71554BB3-0A6B-433E-B932-4D92DA806144}" destId="{29900E30-4D3D-4599-BA5A-15C533165D49}" srcOrd="2" destOrd="0" presId="urn:microsoft.com/office/officeart/2005/8/layout/orgChart1"/>
    <dgm:cxn modelId="{346F9FFA-7416-4B3C-95AB-DD338E81DDAB}" type="presParOf" srcId="{314C482C-65BB-47D4-915A-6F0C3441E503}" destId="{C3F18813-D545-4307-9554-61938D010D7E}" srcOrd="8" destOrd="0" presId="urn:microsoft.com/office/officeart/2005/8/layout/orgChart1"/>
    <dgm:cxn modelId="{BCB9AFB8-408A-45CF-8077-9240EAB20D85}" type="presParOf" srcId="{314C482C-65BB-47D4-915A-6F0C3441E503}" destId="{3AE6D5F4-54A9-4176-A41A-6515BF526430}" srcOrd="9" destOrd="0" presId="urn:microsoft.com/office/officeart/2005/8/layout/orgChart1"/>
    <dgm:cxn modelId="{FB5827A8-4529-474B-9BF1-62022836F36C}" type="presParOf" srcId="{3AE6D5F4-54A9-4176-A41A-6515BF526430}" destId="{3A350310-DA5E-442E-9361-1546903969AD}" srcOrd="0" destOrd="0" presId="urn:microsoft.com/office/officeart/2005/8/layout/orgChart1"/>
    <dgm:cxn modelId="{7B602EF3-131F-4659-9D4B-6ECADD412FCD}" type="presParOf" srcId="{3A350310-DA5E-442E-9361-1546903969AD}" destId="{8F6DC081-6798-4216-A738-17F2FC92AADF}" srcOrd="0" destOrd="0" presId="urn:microsoft.com/office/officeart/2005/8/layout/orgChart1"/>
    <dgm:cxn modelId="{F9E969F4-BE5F-42DD-A76F-F49E7E3E8DAA}" type="presParOf" srcId="{3A350310-DA5E-442E-9361-1546903969AD}" destId="{A4F37D24-B226-43D8-A06C-75DCA05AFFD9}" srcOrd="1" destOrd="0" presId="urn:microsoft.com/office/officeart/2005/8/layout/orgChart1"/>
    <dgm:cxn modelId="{C3940EDB-8132-48C4-9F7E-E5A9C8350D64}" type="presParOf" srcId="{3AE6D5F4-54A9-4176-A41A-6515BF526430}" destId="{67B154CC-D158-4BBE-86E2-975FB6B91EA3}" srcOrd="1" destOrd="0" presId="urn:microsoft.com/office/officeart/2005/8/layout/orgChart1"/>
    <dgm:cxn modelId="{B2E0814D-D234-4A73-AD1C-942F39932BAD}" type="presParOf" srcId="{3AE6D5F4-54A9-4176-A41A-6515BF526430}" destId="{7E9C417D-3442-4B69-831D-C70C07CB4B29}" srcOrd="2" destOrd="0" presId="urn:microsoft.com/office/officeart/2005/8/layout/orgChart1"/>
    <dgm:cxn modelId="{0E8CC715-4153-45E3-A355-6B3242C30B15}" type="presParOf" srcId="{314C482C-65BB-47D4-915A-6F0C3441E503}" destId="{921844B0-3CBD-4834-9F7D-209A988EEE2F}" srcOrd="10" destOrd="0" presId="urn:microsoft.com/office/officeart/2005/8/layout/orgChart1"/>
    <dgm:cxn modelId="{74CABCBE-95C7-4D63-97F1-5204D69463C1}" type="presParOf" srcId="{314C482C-65BB-47D4-915A-6F0C3441E503}" destId="{181B7682-06BB-46F9-B405-3552964A6CC8}" srcOrd="11" destOrd="0" presId="urn:microsoft.com/office/officeart/2005/8/layout/orgChart1"/>
    <dgm:cxn modelId="{83B2A804-E8FF-4198-8416-21AC58190976}" type="presParOf" srcId="{181B7682-06BB-46F9-B405-3552964A6CC8}" destId="{0E5ECB81-315B-4B46-85AA-9D0AECDC4371}" srcOrd="0" destOrd="0" presId="urn:microsoft.com/office/officeart/2005/8/layout/orgChart1"/>
    <dgm:cxn modelId="{9CF10349-605D-46BB-9E65-85661AA9A09D}" type="presParOf" srcId="{0E5ECB81-315B-4B46-85AA-9D0AECDC4371}" destId="{334CBDC0-DC60-49FB-BE4F-5DC6001401F6}" srcOrd="0" destOrd="0" presId="urn:microsoft.com/office/officeart/2005/8/layout/orgChart1"/>
    <dgm:cxn modelId="{EA110267-EDF2-4FAC-9ED6-323D69814D2B}" type="presParOf" srcId="{0E5ECB81-315B-4B46-85AA-9D0AECDC4371}" destId="{35E07A3F-BFBB-420C-AA9E-724B4CCB2AAF}" srcOrd="1" destOrd="0" presId="urn:microsoft.com/office/officeart/2005/8/layout/orgChart1"/>
    <dgm:cxn modelId="{C2090804-BC43-4E79-BFAE-8791A3656572}" type="presParOf" srcId="{181B7682-06BB-46F9-B405-3552964A6CC8}" destId="{20D248A5-DFC2-47FE-8BDD-76A986407FBF}" srcOrd="1" destOrd="0" presId="urn:microsoft.com/office/officeart/2005/8/layout/orgChart1"/>
    <dgm:cxn modelId="{9274CEDD-8CEB-4B3B-B61E-5E8F7694110D}" type="presParOf" srcId="{181B7682-06BB-46F9-B405-3552964A6CC8}" destId="{C1A3A537-6CD6-4A63-8FAB-99189E0DC2E3}" srcOrd="2" destOrd="0" presId="urn:microsoft.com/office/officeart/2005/8/layout/orgChart1"/>
    <dgm:cxn modelId="{01CEAC6E-E0DE-4357-9F37-6AC1F34F5BAC}" type="presParOf" srcId="{1AC2E66A-2A2E-4A3B-AEC8-DF1D34B03365}" destId="{2EAF0351-BC6A-4491-B99D-6B8BE81BE34F}" srcOrd="2" destOrd="0" presId="urn:microsoft.com/office/officeart/2005/8/layout/orgChart1"/>
    <dgm:cxn modelId="{6567F074-36B4-4EEF-991C-8326C742EC99}" type="presParOf" srcId="{14BD63D9-C141-4E9C-B724-F2CE1C6ECE3A}" destId="{D774376C-5B5F-4165-B817-51060CD11209}" srcOrd="10" destOrd="0" presId="urn:microsoft.com/office/officeart/2005/8/layout/orgChart1"/>
    <dgm:cxn modelId="{BB4E86F4-06DA-49E3-8B6C-1807EA5684F6}" type="presParOf" srcId="{14BD63D9-C141-4E9C-B724-F2CE1C6ECE3A}" destId="{F022E032-1615-4A3C-B78C-E80384BF95D1}" srcOrd="11" destOrd="0" presId="urn:microsoft.com/office/officeart/2005/8/layout/orgChart1"/>
    <dgm:cxn modelId="{A08B1E9C-E54E-4264-AA0A-A1D245B6D895}" type="presParOf" srcId="{F022E032-1615-4A3C-B78C-E80384BF95D1}" destId="{34941A6D-E8C1-43ED-AFA8-0FCCF9379EFD}" srcOrd="0" destOrd="0" presId="urn:microsoft.com/office/officeart/2005/8/layout/orgChart1"/>
    <dgm:cxn modelId="{7E363400-B802-462E-A091-578FC2419550}" type="presParOf" srcId="{34941A6D-E8C1-43ED-AFA8-0FCCF9379EFD}" destId="{735EB318-83B9-45F6-B3F9-31895D8D9C62}" srcOrd="0" destOrd="0" presId="urn:microsoft.com/office/officeart/2005/8/layout/orgChart1"/>
    <dgm:cxn modelId="{950E5FC1-F7D2-44D6-8E2D-FCE38734CC1F}" type="presParOf" srcId="{34941A6D-E8C1-43ED-AFA8-0FCCF9379EFD}" destId="{5A2DA114-1867-4140-9A0C-7DDD23CDAE7D}" srcOrd="1" destOrd="0" presId="urn:microsoft.com/office/officeart/2005/8/layout/orgChart1"/>
    <dgm:cxn modelId="{163BF820-5FE4-4220-9F7D-82719A07F3B1}" type="presParOf" srcId="{F022E032-1615-4A3C-B78C-E80384BF95D1}" destId="{73A21EB1-59CF-4E01-BE22-D6F921AC84FD}" srcOrd="1" destOrd="0" presId="urn:microsoft.com/office/officeart/2005/8/layout/orgChart1"/>
    <dgm:cxn modelId="{EA9BF972-600A-47B1-9AB2-D58C35FCC923}" type="presParOf" srcId="{73A21EB1-59CF-4E01-BE22-D6F921AC84FD}" destId="{6E60B9C7-0F06-4460-B10D-685FDA048881}" srcOrd="0" destOrd="0" presId="urn:microsoft.com/office/officeart/2005/8/layout/orgChart1"/>
    <dgm:cxn modelId="{6518792B-CF72-49C5-A77F-79BA46BDDD48}" type="presParOf" srcId="{73A21EB1-59CF-4E01-BE22-D6F921AC84FD}" destId="{7E6AC4EF-8FA7-449E-AAC0-F686359CDEB7}" srcOrd="1" destOrd="0" presId="urn:microsoft.com/office/officeart/2005/8/layout/orgChart1"/>
    <dgm:cxn modelId="{CDA8F13F-F847-4655-BEF9-1EDE44C9C65F}" type="presParOf" srcId="{7E6AC4EF-8FA7-449E-AAC0-F686359CDEB7}" destId="{4C3142A5-494B-488F-BB09-C13A10BE0975}" srcOrd="0" destOrd="0" presId="urn:microsoft.com/office/officeart/2005/8/layout/orgChart1"/>
    <dgm:cxn modelId="{F23732C6-6AE7-4E1E-AE66-3868DEF056F2}" type="presParOf" srcId="{4C3142A5-494B-488F-BB09-C13A10BE0975}" destId="{EB76186E-B8DD-4C2B-A16E-3DCCAC24AD9E}" srcOrd="0" destOrd="0" presId="urn:microsoft.com/office/officeart/2005/8/layout/orgChart1"/>
    <dgm:cxn modelId="{EA8F8B14-6842-410E-B075-1DC52F4AF5DE}" type="presParOf" srcId="{4C3142A5-494B-488F-BB09-C13A10BE0975}" destId="{47B93D21-0A65-46D5-86FF-01807AEA3AE7}" srcOrd="1" destOrd="0" presId="urn:microsoft.com/office/officeart/2005/8/layout/orgChart1"/>
    <dgm:cxn modelId="{BD9EB1C3-2ECB-48C0-8F23-F1CA9092C3E7}" type="presParOf" srcId="{7E6AC4EF-8FA7-449E-AAC0-F686359CDEB7}" destId="{C1EC5CF3-5B2C-4141-A7BA-E0A191CE739F}" srcOrd="1" destOrd="0" presId="urn:microsoft.com/office/officeart/2005/8/layout/orgChart1"/>
    <dgm:cxn modelId="{1556BF43-D76D-4DB2-B4D7-E8E1F436BB10}" type="presParOf" srcId="{7E6AC4EF-8FA7-449E-AAC0-F686359CDEB7}" destId="{5B8EAAE4-C7A6-4B46-AD01-2B78A6466CDD}" srcOrd="2" destOrd="0" presId="urn:microsoft.com/office/officeart/2005/8/layout/orgChart1"/>
    <dgm:cxn modelId="{E4740C3F-2014-40C5-9C65-67EED5CECB4A}" type="presParOf" srcId="{73A21EB1-59CF-4E01-BE22-D6F921AC84FD}" destId="{AF2EBD80-CD02-4D6E-9BF5-2352F4BE2354}" srcOrd="2" destOrd="0" presId="urn:microsoft.com/office/officeart/2005/8/layout/orgChart1"/>
    <dgm:cxn modelId="{787134B6-AACF-4F58-8ACB-21102B0D25F0}" type="presParOf" srcId="{73A21EB1-59CF-4E01-BE22-D6F921AC84FD}" destId="{972733B7-6B51-4663-82D9-0372088553AB}" srcOrd="3" destOrd="0" presId="urn:microsoft.com/office/officeart/2005/8/layout/orgChart1"/>
    <dgm:cxn modelId="{EBA75507-E0B7-4B5B-95B1-7495C6C9B50D}" type="presParOf" srcId="{972733B7-6B51-4663-82D9-0372088553AB}" destId="{198351ED-B849-48FF-9C7F-1FCF4F185394}" srcOrd="0" destOrd="0" presId="urn:microsoft.com/office/officeart/2005/8/layout/orgChart1"/>
    <dgm:cxn modelId="{ECC5404A-BF43-45BC-86A7-FD180A930988}" type="presParOf" srcId="{198351ED-B849-48FF-9C7F-1FCF4F185394}" destId="{94EA12D3-04D9-47DF-8815-13B679B7C734}" srcOrd="0" destOrd="0" presId="urn:microsoft.com/office/officeart/2005/8/layout/orgChart1"/>
    <dgm:cxn modelId="{A8109219-A401-429E-A612-CBF8B36FB7B6}" type="presParOf" srcId="{198351ED-B849-48FF-9C7F-1FCF4F185394}" destId="{98978DF8-E78C-45F1-AFBA-94A10B012F83}" srcOrd="1" destOrd="0" presId="urn:microsoft.com/office/officeart/2005/8/layout/orgChart1"/>
    <dgm:cxn modelId="{2E5EBED6-1A2B-45F3-86DF-7E69939D47A0}" type="presParOf" srcId="{972733B7-6B51-4663-82D9-0372088553AB}" destId="{60E89A05-E1D0-417F-A593-AA66612D687C}" srcOrd="1" destOrd="0" presId="urn:microsoft.com/office/officeart/2005/8/layout/orgChart1"/>
    <dgm:cxn modelId="{A391FE49-99B3-4EAF-BC16-09BD3F7EB688}" type="presParOf" srcId="{972733B7-6B51-4663-82D9-0372088553AB}" destId="{2A8E7DA9-7D62-4448-BBEE-6AA257DDCF8E}" srcOrd="2" destOrd="0" presId="urn:microsoft.com/office/officeart/2005/8/layout/orgChart1"/>
    <dgm:cxn modelId="{3ECE791C-1335-4E41-8F1E-29F90EBD030A}" type="presParOf" srcId="{73A21EB1-59CF-4E01-BE22-D6F921AC84FD}" destId="{2136166C-C192-4F23-BD15-061DD6C9F076}" srcOrd="4" destOrd="0" presId="urn:microsoft.com/office/officeart/2005/8/layout/orgChart1"/>
    <dgm:cxn modelId="{62202FA1-0A94-4686-8938-F0D06A8EF3DD}" type="presParOf" srcId="{73A21EB1-59CF-4E01-BE22-D6F921AC84FD}" destId="{3030D531-D74B-4A22-B8C8-E18F7811D864}" srcOrd="5" destOrd="0" presId="urn:microsoft.com/office/officeart/2005/8/layout/orgChart1"/>
    <dgm:cxn modelId="{E21D2E28-8B7D-4C35-9F2E-B4C55F1B0DA7}" type="presParOf" srcId="{3030D531-D74B-4A22-B8C8-E18F7811D864}" destId="{0A0F2D75-049C-4A1A-864A-BD2FF069C52C}" srcOrd="0" destOrd="0" presId="urn:microsoft.com/office/officeart/2005/8/layout/orgChart1"/>
    <dgm:cxn modelId="{FB53DE86-4ECF-4BD7-8FE4-7C4B64CFC9AC}" type="presParOf" srcId="{0A0F2D75-049C-4A1A-864A-BD2FF069C52C}" destId="{388559F6-A377-4E6B-8AFD-045922C575A5}" srcOrd="0" destOrd="0" presId="urn:microsoft.com/office/officeart/2005/8/layout/orgChart1"/>
    <dgm:cxn modelId="{D38DF294-509A-4C12-A61C-531A5357F21F}" type="presParOf" srcId="{0A0F2D75-049C-4A1A-864A-BD2FF069C52C}" destId="{87C406E2-5A90-409E-A6F8-B797D7521526}" srcOrd="1" destOrd="0" presId="urn:microsoft.com/office/officeart/2005/8/layout/orgChart1"/>
    <dgm:cxn modelId="{33E4BD5C-340C-41F8-9064-98516A9FA101}" type="presParOf" srcId="{3030D531-D74B-4A22-B8C8-E18F7811D864}" destId="{D4B9FBCD-C9E7-40C1-AC02-0A05E30767E3}" srcOrd="1" destOrd="0" presId="urn:microsoft.com/office/officeart/2005/8/layout/orgChart1"/>
    <dgm:cxn modelId="{9C77D4DB-A3E8-4913-8929-BDDB0D56ECF5}" type="presParOf" srcId="{3030D531-D74B-4A22-B8C8-E18F7811D864}" destId="{F2B51A48-5BFD-45BC-95A3-69FEA211721A}" srcOrd="2" destOrd="0" presId="urn:microsoft.com/office/officeart/2005/8/layout/orgChart1"/>
    <dgm:cxn modelId="{3D7E1222-5EED-4CCC-BB72-9A80DFD63327}" type="presParOf" srcId="{73A21EB1-59CF-4E01-BE22-D6F921AC84FD}" destId="{5C123960-3F75-4914-87F6-AD648CCBE3E0}" srcOrd="6" destOrd="0" presId="urn:microsoft.com/office/officeart/2005/8/layout/orgChart1"/>
    <dgm:cxn modelId="{693C9CAB-08B1-4939-9FED-E2166BA14B16}" type="presParOf" srcId="{73A21EB1-59CF-4E01-BE22-D6F921AC84FD}" destId="{F96476E5-9D0E-4A4E-8331-B75F1458411B}" srcOrd="7" destOrd="0" presId="urn:microsoft.com/office/officeart/2005/8/layout/orgChart1"/>
    <dgm:cxn modelId="{F9A96D20-73F9-42C3-8C9A-1EAE6479ABE8}" type="presParOf" srcId="{F96476E5-9D0E-4A4E-8331-B75F1458411B}" destId="{CE7E90F7-F930-49B5-AC35-15622066B5BE}" srcOrd="0" destOrd="0" presId="urn:microsoft.com/office/officeart/2005/8/layout/orgChart1"/>
    <dgm:cxn modelId="{29C24A7C-041D-4B7F-A9C0-256A8E7FD718}" type="presParOf" srcId="{CE7E90F7-F930-49B5-AC35-15622066B5BE}" destId="{343E1092-F522-4487-A030-10090F0AF3AB}" srcOrd="0" destOrd="0" presId="urn:microsoft.com/office/officeart/2005/8/layout/orgChart1"/>
    <dgm:cxn modelId="{854A595E-BF3C-40D0-8CC0-9897DE681037}" type="presParOf" srcId="{CE7E90F7-F930-49B5-AC35-15622066B5BE}" destId="{3D8051FC-9840-43DE-B8A8-0A2DB5BDC50C}" srcOrd="1" destOrd="0" presId="urn:microsoft.com/office/officeart/2005/8/layout/orgChart1"/>
    <dgm:cxn modelId="{83355CE1-426F-4762-B2E3-32799E56E297}" type="presParOf" srcId="{F96476E5-9D0E-4A4E-8331-B75F1458411B}" destId="{6EA2AAF7-0819-4794-B668-B434A0B69997}" srcOrd="1" destOrd="0" presId="urn:microsoft.com/office/officeart/2005/8/layout/orgChart1"/>
    <dgm:cxn modelId="{0E48EA0B-51E2-411A-8936-CF7534CE6E44}" type="presParOf" srcId="{F96476E5-9D0E-4A4E-8331-B75F1458411B}" destId="{42F6E8FF-3D67-46E2-A15D-865395B668A2}" srcOrd="2" destOrd="0" presId="urn:microsoft.com/office/officeart/2005/8/layout/orgChart1"/>
    <dgm:cxn modelId="{5D9D4CC4-07A5-4F42-9CB3-84485C4548B7}" type="presParOf" srcId="{73A21EB1-59CF-4E01-BE22-D6F921AC84FD}" destId="{42707F8B-9C5E-4525-95F3-F1CEBC2FA133}" srcOrd="8" destOrd="0" presId="urn:microsoft.com/office/officeart/2005/8/layout/orgChart1"/>
    <dgm:cxn modelId="{25B7B2BF-ADB1-40EE-917C-2AE88808F683}" type="presParOf" srcId="{73A21EB1-59CF-4E01-BE22-D6F921AC84FD}" destId="{44E6D9BD-8772-4999-9DEF-7489312E3E4F}" srcOrd="9" destOrd="0" presId="urn:microsoft.com/office/officeart/2005/8/layout/orgChart1"/>
    <dgm:cxn modelId="{209A33CD-4AD4-40E2-92B7-D78CE252641D}" type="presParOf" srcId="{44E6D9BD-8772-4999-9DEF-7489312E3E4F}" destId="{6B45A76F-A134-49EB-B38B-0BCE63F77E74}" srcOrd="0" destOrd="0" presId="urn:microsoft.com/office/officeart/2005/8/layout/orgChart1"/>
    <dgm:cxn modelId="{7215E440-8AB9-426E-8525-FA4ADF4AE9B1}" type="presParOf" srcId="{6B45A76F-A134-49EB-B38B-0BCE63F77E74}" destId="{2314AD4C-5552-4E80-A3D0-6A7B329E2BF2}" srcOrd="0" destOrd="0" presId="urn:microsoft.com/office/officeart/2005/8/layout/orgChart1"/>
    <dgm:cxn modelId="{30226F83-9B3E-4674-A900-991FCAA51EC8}" type="presParOf" srcId="{6B45A76F-A134-49EB-B38B-0BCE63F77E74}" destId="{077FA3D0-19CB-4A85-85AD-EB8CC3314E25}" srcOrd="1" destOrd="0" presId="urn:microsoft.com/office/officeart/2005/8/layout/orgChart1"/>
    <dgm:cxn modelId="{B069920C-482B-44F2-B3CB-C794FA5B4C8E}" type="presParOf" srcId="{44E6D9BD-8772-4999-9DEF-7489312E3E4F}" destId="{DB8E5205-AE38-47ED-A721-AA31951036E7}" srcOrd="1" destOrd="0" presId="urn:microsoft.com/office/officeart/2005/8/layout/orgChart1"/>
    <dgm:cxn modelId="{53E8BC4E-D9A3-4ED2-8269-504EA4EDA377}" type="presParOf" srcId="{44E6D9BD-8772-4999-9DEF-7489312E3E4F}" destId="{5F33E928-FAB6-42B5-A3BD-4F03365C2947}" srcOrd="2" destOrd="0" presId="urn:microsoft.com/office/officeart/2005/8/layout/orgChart1"/>
    <dgm:cxn modelId="{CB8A3C70-02B4-45B1-926C-D358B6051DFF}" type="presParOf" srcId="{73A21EB1-59CF-4E01-BE22-D6F921AC84FD}" destId="{35F73487-B376-410E-B7A2-0265DAB6A683}" srcOrd="10" destOrd="0" presId="urn:microsoft.com/office/officeart/2005/8/layout/orgChart1"/>
    <dgm:cxn modelId="{ACAE9C0C-15B2-4552-AE5A-2513460263C6}" type="presParOf" srcId="{73A21EB1-59CF-4E01-BE22-D6F921AC84FD}" destId="{5D88878A-C848-494D-BE7B-95FCAF4DEB17}" srcOrd="11" destOrd="0" presId="urn:microsoft.com/office/officeart/2005/8/layout/orgChart1"/>
    <dgm:cxn modelId="{E04351CF-35EB-4261-B32B-8685EF8314CF}" type="presParOf" srcId="{5D88878A-C848-494D-BE7B-95FCAF4DEB17}" destId="{DE84DD05-C612-45BA-B815-5A7C718F0596}" srcOrd="0" destOrd="0" presId="urn:microsoft.com/office/officeart/2005/8/layout/orgChart1"/>
    <dgm:cxn modelId="{65634721-37D4-4BC7-8B8D-F94425B1DC5A}" type="presParOf" srcId="{DE84DD05-C612-45BA-B815-5A7C718F0596}" destId="{DD5B3579-7DBE-4F3D-99DF-2C002955CF6D}" srcOrd="0" destOrd="0" presId="urn:microsoft.com/office/officeart/2005/8/layout/orgChart1"/>
    <dgm:cxn modelId="{F4FF260C-B5B8-41A5-ACA1-9EC3A11B8CE6}" type="presParOf" srcId="{DE84DD05-C612-45BA-B815-5A7C718F0596}" destId="{521DA9D7-18AA-4A62-A973-7FAE96D5D548}" srcOrd="1" destOrd="0" presId="urn:microsoft.com/office/officeart/2005/8/layout/orgChart1"/>
    <dgm:cxn modelId="{EADCF076-6801-4A4A-82AA-5E396F4F9DB5}" type="presParOf" srcId="{5D88878A-C848-494D-BE7B-95FCAF4DEB17}" destId="{0561CA30-0267-42FE-A3FA-4E10A1503EA5}" srcOrd="1" destOrd="0" presId="urn:microsoft.com/office/officeart/2005/8/layout/orgChart1"/>
    <dgm:cxn modelId="{AA397CE8-2C97-49E6-8D8F-8210F7209ABB}" type="presParOf" srcId="{5D88878A-C848-494D-BE7B-95FCAF4DEB17}" destId="{90691529-D95D-43A6-80CB-0CDE80CEE4EC}" srcOrd="2" destOrd="0" presId="urn:microsoft.com/office/officeart/2005/8/layout/orgChart1"/>
    <dgm:cxn modelId="{DE237715-857C-4661-A652-0D86894F9082}" type="presParOf" srcId="{F022E032-1615-4A3C-B78C-E80384BF95D1}" destId="{CB1A6616-553A-4DA1-88EA-86425D9AB1AB}" srcOrd="2" destOrd="0" presId="urn:microsoft.com/office/officeart/2005/8/layout/orgChart1"/>
    <dgm:cxn modelId="{A68420A6-2F7D-4296-91B4-55EFFC22CB2D}" type="presParOf" srcId="{6D0F4103-5D56-4545-B004-2F3D27D4DC7E}" destId="{7763BE78-8E9C-404C-8E6F-A395B43F26D7}" srcOrd="2" destOrd="0" presId="urn:microsoft.com/office/officeart/2005/8/layout/orgChart1"/>
  </dgm:cxnLst>
  <dgm:bg>
    <a:gradFill>
      <a:gsLst>
        <a:gs pos="0">
          <a:schemeClr val="accent1">
            <a:lumMod val="20000"/>
            <a:lumOff val="80000"/>
          </a:schemeClr>
        </a:gs>
        <a:gs pos="0">
          <a:schemeClr val="tx2">
            <a:lumMod val="40000"/>
            <a:lumOff val="60000"/>
          </a:schemeClr>
        </a:gs>
        <a:gs pos="100000">
          <a:schemeClr val="accent3">
            <a:lumMod val="60000"/>
            <a:lumOff val="40000"/>
          </a:schemeClr>
        </a:gs>
      </a:gsLst>
      <a:path path="circle">
        <a:fillToRect l="100000" t="100000"/>
      </a:path>
    </a:gradFill>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F85FD1E-8136-4C8A-AF31-DF34731BE3BC}" type="doc">
      <dgm:prSet loTypeId="urn:microsoft.com/office/officeart/2005/8/layout/orgChart1" loCatId="hierarchy" qsTypeId="urn:microsoft.com/office/officeart/2005/8/quickstyle/3d1" qsCatId="3D" csTypeId="urn:microsoft.com/office/officeart/2005/8/colors/accent1_2" csCatId="accent1" phldr="1"/>
      <dgm:spPr/>
      <dgm:t>
        <a:bodyPr/>
        <a:lstStyle/>
        <a:p>
          <a:endParaRPr lang="en-IN"/>
        </a:p>
      </dgm:t>
    </dgm:pt>
    <dgm:pt modelId="{0D19CEF6-7028-42D2-A7FA-9A9CE24E0D3E}">
      <dgm:prSet phldrT="[Text]" custT="1"/>
      <dgm: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dgm:spPr>
      <dgm:t>
        <a:bodyPr/>
        <a:lstStyle/>
        <a:p>
          <a:pPr algn="l"/>
          <a:r>
            <a:rPr lang="en-IN" sz="700" b="1">
              <a:solidFill>
                <a:srgbClr val="FFFF00"/>
              </a:solidFill>
            </a:rPr>
            <a:t>Improve Quality of Delivery</a:t>
          </a:r>
        </a:p>
        <a:p>
          <a:pPr algn="l"/>
          <a:r>
            <a:rPr lang="en-IN" sz="800"/>
            <a:t>Delivered Defect Density</a:t>
          </a:r>
        </a:p>
      </dgm:t>
    </dgm:pt>
    <dgm:pt modelId="{BBBECFD6-43DC-47AE-B98A-23647B4C8016}" type="parTrans" cxnId="{D6876EBA-F78B-4176-A056-663F2DC0019E}">
      <dgm:prSet/>
      <dgm:spPr/>
      <dgm:t>
        <a:bodyPr/>
        <a:lstStyle/>
        <a:p>
          <a:endParaRPr lang="en-IN"/>
        </a:p>
      </dgm:t>
    </dgm:pt>
    <dgm:pt modelId="{247D7F4C-B6AA-453F-B6B1-CCB72362D25F}" type="sibTrans" cxnId="{D6876EBA-F78B-4176-A056-663F2DC0019E}">
      <dgm:prSet/>
      <dgm:spPr/>
      <dgm:t>
        <a:bodyPr/>
        <a:lstStyle/>
        <a:p>
          <a:endParaRPr lang="en-IN"/>
        </a:p>
      </dgm:t>
    </dgm:pt>
    <dgm:pt modelId="{30A75C1B-28C6-4B8D-9C12-C405753EA701}">
      <dgm:prSet phldrT="[Text]" custT="1"/>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r>
            <a:rPr lang="en-IN" sz="700" b="1">
              <a:solidFill>
                <a:srgbClr val="FFFF00"/>
              </a:solidFill>
            </a:rPr>
            <a:t>Improve Quality of Delivery</a:t>
          </a:r>
        </a:p>
        <a:p>
          <a:pPr algn="l"/>
          <a:r>
            <a:rPr lang="en-IN" sz="800"/>
            <a:t>Delivered Defect Density</a:t>
          </a:r>
        </a:p>
      </dgm:t>
    </dgm:pt>
    <dgm:pt modelId="{888506E6-77BD-43A8-8E77-FA1FA2C75BB2}" type="parTrans" cxnId="{CFAD9E8F-B4A6-42D6-A004-1CBE9A727E56}">
      <dgm:prSet/>
      <dgm:spPr/>
      <dgm:t>
        <a:bodyPr/>
        <a:lstStyle/>
        <a:p>
          <a:endParaRPr lang="en-IN"/>
        </a:p>
      </dgm:t>
    </dgm:pt>
    <dgm:pt modelId="{F8A17D73-68EA-4704-A740-E68B6A6A14A5}" type="sibTrans" cxnId="{CFAD9E8F-B4A6-42D6-A004-1CBE9A727E56}">
      <dgm:prSet/>
      <dgm:spPr/>
      <dgm:t>
        <a:bodyPr/>
        <a:lstStyle/>
        <a:p>
          <a:endParaRPr lang="en-IN"/>
        </a:p>
      </dgm:t>
    </dgm:pt>
    <dgm:pt modelId="{E2075C35-04A8-466E-AEED-5D3277B5A90A}">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AD6EFD4-8689-4711-870E-B8FCA71DC32C}" type="parTrans" cxnId="{DA23C072-FD5F-4A73-9733-905787364F05}">
      <dgm:prSet/>
      <dgm:spPr/>
      <dgm:t>
        <a:bodyPr/>
        <a:lstStyle/>
        <a:p>
          <a:endParaRPr lang="en-IN"/>
        </a:p>
      </dgm:t>
    </dgm:pt>
    <dgm:pt modelId="{37C1EA31-A108-48BE-8A1B-A8629701A5EC}" type="sibTrans" cxnId="{DA23C072-FD5F-4A73-9733-905787364F05}">
      <dgm:prSet/>
      <dgm:spPr/>
      <dgm:t>
        <a:bodyPr/>
        <a:lstStyle/>
        <a:p>
          <a:endParaRPr lang="en-IN"/>
        </a:p>
      </dgm:t>
    </dgm:pt>
    <dgm:pt modelId="{3F3357F7-4B5D-4628-A1A8-7502CC353783}">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44591BC8-1AE4-4203-B251-4BF042D57FB8}" type="parTrans" cxnId="{6D3FC2D1-A05F-45C1-AA3E-56A644F89545}">
      <dgm:prSet/>
      <dgm:spPr/>
      <dgm:t>
        <a:bodyPr/>
        <a:lstStyle/>
        <a:p>
          <a:endParaRPr lang="en-IN"/>
        </a:p>
      </dgm:t>
    </dgm:pt>
    <dgm:pt modelId="{28D6021F-0685-4140-81B0-9CD9CAA08C85}" type="sibTrans" cxnId="{6D3FC2D1-A05F-45C1-AA3E-56A644F89545}">
      <dgm:prSet/>
      <dgm:spPr/>
      <dgm:t>
        <a:bodyPr/>
        <a:lstStyle/>
        <a:p>
          <a:endParaRPr lang="en-IN"/>
        </a:p>
      </dgm:t>
    </dgm:pt>
    <dgm:pt modelId="{12769DC2-3E6F-47DC-8299-CD864B2ADFD6}">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EDA062A-9AE5-4A51-90C7-F5F58C4180FE}" type="parTrans" cxnId="{5670F8EB-79A3-4D73-89FB-99CBF33AC668}">
      <dgm:prSet/>
      <dgm:spPr/>
      <dgm:t>
        <a:bodyPr/>
        <a:lstStyle/>
        <a:p>
          <a:endParaRPr lang="en-IN"/>
        </a:p>
      </dgm:t>
    </dgm:pt>
    <dgm:pt modelId="{3B3C514D-B829-4206-A3C2-7FE25BEE7C48}" type="sibTrans" cxnId="{5670F8EB-79A3-4D73-89FB-99CBF33AC668}">
      <dgm:prSet/>
      <dgm:spPr/>
      <dgm:t>
        <a:bodyPr/>
        <a:lstStyle/>
        <a:p>
          <a:endParaRPr lang="en-IN"/>
        </a:p>
      </dgm:t>
    </dgm:pt>
    <dgm:pt modelId="{50288868-FEEE-470B-9B6E-3B8DBAE6D90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00EB8B3-EC84-483A-8486-DA03EEAAFDAC}" type="parTrans" cxnId="{E23E0DBC-05B6-42D8-8F2D-7174F19B4999}">
      <dgm:prSet/>
      <dgm:spPr/>
      <dgm:t>
        <a:bodyPr/>
        <a:lstStyle/>
        <a:p>
          <a:endParaRPr lang="en-IN"/>
        </a:p>
      </dgm:t>
    </dgm:pt>
    <dgm:pt modelId="{9A0B2F47-A2BB-4242-B28E-A678B4FBFAE2}" type="sibTrans" cxnId="{E23E0DBC-05B6-42D8-8F2D-7174F19B4999}">
      <dgm:prSet/>
      <dgm:spPr/>
      <dgm:t>
        <a:bodyPr/>
        <a:lstStyle/>
        <a:p>
          <a:endParaRPr lang="en-IN"/>
        </a:p>
      </dgm:t>
    </dgm:pt>
    <dgm:pt modelId="{DE430EBC-9AEB-4AC5-8133-E102B3D8B235}">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82998A5A-8177-4BF4-B11A-85C450BCA0B9}" type="parTrans" cxnId="{C7CEE389-B30D-43E6-B3E1-76ADE483071B}">
      <dgm:prSet/>
      <dgm:spPr/>
      <dgm:t>
        <a:bodyPr/>
        <a:lstStyle/>
        <a:p>
          <a:endParaRPr lang="en-IN"/>
        </a:p>
      </dgm:t>
    </dgm:pt>
    <dgm:pt modelId="{89CC0D70-E04A-479A-8ABF-FBDFB8FC8D64}" type="sibTrans" cxnId="{C7CEE389-B30D-43E6-B3E1-76ADE483071B}">
      <dgm:prSet/>
      <dgm:spPr/>
      <dgm:t>
        <a:bodyPr/>
        <a:lstStyle/>
        <a:p>
          <a:endParaRPr lang="en-IN"/>
        </a:p>
      </dgm:t>
    </dgm:pt>
    <dgm:pt modelId="{15422A0F-7BCA-484C-B057-F62059D58FA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41972CF-CFF7-4A0B-86FB-124A3C29C284}" type="parTrans" cxnId="{4EBE3ACA-84C4-4C6B-89D0-191D7B9B73B5}">
      <dgm:prSet/>
      <dgm:spPr/>
      <dgm:t>
        <a:bodyPr/>
        <a:lstStyle/>
        <a:p>
          <a:endParaRPr lang="en-IN"/>
        </a:p>
      </dgm:t>
    </dgm:pt>
    <dgm:pt modelId="{DC1DF3B3-93D9-4FB5-8CEB-FEEA97B627D4}" type="sibTrans" cxnId="{4EBE3ACA-84C4-4C6B-89D0-191D7B9B73B5}">
      <dgm:prSet/>
      <dgm:spPr/>
      <dgm:t>
        <a:bodyPr/>
        <a:lstStyle/>
        <a:p>
          <a:endParaRPr lang="en-IN"/>
        </a:p>
      </dgm:t>
    </dgm:pt>
    <dgm:pt modelId="{ECF03B94-C7AD-4DF3-B508-62E701087C6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9A46F26-59B1-4C5A-BF18-0E767311EBF1}" type="parTrans" cxnId="{3F228761-04AC-4489-9A68-909409E98AF0}">
      <dgm:prSet/>
      <dgm:spPr/>
      <dgm:t>
        <a:bodyPr/>
        <a:lstStyle/>
        <a:p>
          <a:endParaRPr lang="en-IN"/>
        </a:p>
      </dgm:t>
    </dgm:pt>
    <dgm:pt modelId="{3C1B98AE-1EE8-4E73-BF14-192288902B63}" type="sibTrans" cxnId="{3F228761-04AC-4489-9A68-909409E98AF0}">
      <dgm:prSet/>
      <dgm:spPr/>
      <dgm:t>
        <a:bodyPr/>
        <a:lstStyle/>
        <a:p>
          <a:endParaRPr lang="en-IN"/>
        </a:p>
      </dgm:t>
    </dgm:pt>
    <dgm:pt modelId="{83A882C9-CED3-4DBB-B5D7-A9BC33A0CB1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F8F16B-F0F9-4668-BE26-B49FDC6CE9C8}" type="parTrans" cxnId="{D41F1937-8FBD-4F1F-A49E-11B176BC25C9}">
      <dgm:prSet/>
      <dgm:spPr/>
      <dgm:t>
        <a:bodyPr/>
        <a:lstStyle/>
        <a:p>
          <a:endParaRPr lang="en-IN"/>
        </a:p>
      </dgm:t>
    </dgm:pt>
    <dgm:pt modelId="{3448586C-7F18-4FD2-9D81-69E3111EDB46}" type="sibTrans" cxnId="{D41F1937-8FBD-4F1F-A49E-11B176BC25C9}">
      <dgm:prSet/>
      <dgm:spPr/>
      <dgm:t>
        <a:bodyPr/>
        <a:lstStyle/>
        <a:p>
          <a:endParaRPr lang="en-IN"/>
        </a:p>
      </dgm:t>
    </dgm:pt>
    <dgm:pt modelId="{CAB3C7F0-E5B8-433A-80EE-848BBB579EA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BCA385-66F1-4778-AC5F-322108555713}" type="parTrans" cxnId="{9ED470AA-50DB-44CE-ABBE-04BFFF8BB65D}">
      <dgm:prSet/>
      <dgm:spPr/>
      <dgm:t>
        <a:bodyPr/>
        <a:lstStyle/>
        <a:p>
          <a:endParaRPr lang="en-IN"/>
        </a:p>
      </dgm:t>
    </dgm:pt>
    <dgm:pt modelId="{67E7AAB7-F758-452E-808A-F8A3AC7B5A85}" type="sibTrans" cxnId="{9ED470AA-50DB-44CE-ABBE-04BFFF8BB65D}">
      <dgm:prSet/>
      <dgm:spPr/>
      <dgm:t>
        <a:bodyPr/>
        <a:lstStyle/>
        <a:p>
          <a:endParaRPr lang="en-IN"/>
        </a:p>
      </dgm:t>
    </dgm:pt>
    <dgm:pt modelId="{0AF8697D-AC9F-4005-8FD9-6DCBA79179B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6ECC484-C5B3-4E5A-B7E0-750C177CFF69}" type="parTrans" cxnId="{5DB4BE28-E201-41DA-8084-AFAB81C086B1}">
      <dgm:prSet/>
      <dgm:spPr/>
      <dgm:t>
        <a:bodyPr/>
        <a:lstStyle/>
        <a:p>
          <a:endParaRPr lang="en-IN"/>
        </a:p>
      </dgm:t>
    </dgm:pt>
    <dgm:pt modelId="{A92A7263-63F3-4042-9937-EBDB57A98149}" type="sibTrans" cxnId="{5DB4BE28-E201-41DA-8084-AFAB81C086B1}">
      <dgm:prSet/>
      <dgm:spPr/>
      <dgm:t>
        <a:bodyPr/>
        <a:lstStyle/>
        <a:p>
          <a:endParaRPr lang="en-IN"/>
        </a:p>
      </dgm:t>
    </dgm:pt>
    <dgm:pt modelId="{6C08F2A6-164D-4776-851A-3C052221AD3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2B11AD8-E2B9-4F53-9825-E09DEC18CD35}" type="parTrans" cxnId="{752EF8D9-64B4-45C8-8B3F-AEC5F7B5E0B3}">
      <dgm:prSet/>
      <dgm:spPr/>
      <dgm:t>
        <a:bodyPr/>
        <a:lstStyle/>
        <a:p>
          <a:endParaRPr lang="en-IN"/>
        </a:p>
      </dgm:t>
    </dgm:pt>
    <dgm:pt modelId="{83D61416-757E-415D-AC2D-56F8775EA0CC}" type="sibTrans" cxnId="{752EF8D9-64B4-45C8-8B3F-AEC5F7B5E0B3}">
      <dgm:prSet/>
      <dgm:spPr/>
      <dgm:t>
        <a:bodyPr/>
        <a:lstStyle/>
        <a:p>
          <a:endParaRPr lang="en-IN"/>
        </a:p>
      </dgm:t>
    </dgm:pt>
    <dgm:pt modelId="{9FC7468C-17A0-4FD1-82F6-1994C9AA586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E08339-17FA-41F2-B4C9-036DC2F6E0C9}" type="parTrans" cxnId="{DCEE3DEA-8BAE-4CEE-B342-88B65C4DD116}">
      <dgm:prSet/>
      <dgm:spPr/>
      <dgm:t>
        <a:bodyPr/>
        <a:lstStyle/>
        <a:p>
          <a:endParaRPr lang="en-IN"/>
        </a:p>
      </dgm:t>
    </dgm:pt>
    <dgm:pt modelId="{8C8CDBAE-4CBF-4705-BF3E-E5658DA990A6}" type="sibTrans" cxnId="{DCEE3DEA-8BAE-4CEE-B342-88B65C4DD116}">
      <dgm:prSet/>
      <dgm:spPr/>
      <dgm:t>
        <a:bodyPr/>
        <a:lstStyle/>
        <a:p>
          <a:endParaRPr lang="en-IN"/>
        </a:p>
      </dgm:t>
    </dgm:pt>
    <dgm:pt modelId="{C5F0B96A-A575-48A3-988A-96868B3842F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BED396A-E93F-4365-BB41-2CCF9C939201}" type="parTrans" cxnId="{D6081B88-17DA-4FC2-8FAC-E43450CD57FF}">
      <dgm:prSet/>
      <dgm:spPr/>
      <dgm:t>
        <a:bodyPr/>
        <a:lstStyle/>
        <a:p>
          <a:endParaRPr lang="en-IN"/>
        </a:p>
      </dgm:t>
    </dgm:pt>
    <dgm:pt modelId="{CD1D148D-17B5-4C7B-B8E9-16327CA670DA}" type="sibTrans" cxnId="{D6081B88-17DA-4FC2-8FAC-E43450CD57FF}">
      <dgm:prSet/>
      <dgm:spPr/>
      <dgm:t>
        <a:bodyPr/>
        <a:lstStyle/>
        <a:p>
          <a:endParaRPr lang="en-IN"/>
        </a:p>
      </dgm:t>
    </dgm:pt>
    <dgm:pt modelId="{FBC789F5-9F9D-4FCB-98BD-A3E208DAB14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23F9B4E-084A-4AAC-AACF-8F26CD335DF5}" type="parTrans" cxnId="{B92F3851-0CDE-42DA-8AFC-779C97E2F82C}">
      <dgm:prSet/>
      <dgm:spPr/>
      <dgm:t>
        <a:bodyPr/>
        <a:lstStyle/>
        <a:p>
          <a:endParaRPr lang="en-IN"/>
        </a:p>
      </dgm:t>
    </dgm:pt>
    <dgm:pt modelId="{69A37540-D5B4-4BCA-9831-F17E0BF0CABF}" type="sibTrans" cxnId="{B92F3851-0CDE-42DA-8AFC-779C97E2F82C}">
      <dgm:prSet/>
      <dgm:spPr/>
      <dgm:t>
        <a:bodyPr/>
        <a:lstStyle/>
        <a:p>
          <a:endParaRPr lang="en-IN"/>
        </a:p>
      </dgm:t>
    </dgm:pt>
    <dgm:pt modelId="{A15614BF-5CEB-4D67-B306-D3314BE68D2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40DA0E-41B9-4888-B3E7-28214BCF8D9B}" type="parTrans" cxnId="{F5110D40-14A4-45A5-AD6A-BCF16CEED3FC}">
      <dgm:prSet/>
      <dgm:spPr/>
      <dgm:t>
        <a:bodyPr/>
        <a:lstStyle/>
        <a:p>
          <a:endParaRPr lang="en-IN"/>
        </a:p>
      </dgm:t>
    </dgm:pt>
    <dgm:pt modelId="{D49F71C9-CEDD-4CA7-8F47-A656E1FB3BFF}" type="sibTrans" cxnId="{F5110D40-14A4-45A5-AD6A-BCF16CEED3FC}">
      <dgm:prSet/>
      <dgm:spPr/>
      <dgm:t>
        <a:bodyPr/>
        <a:lstStyle/>
        <a:p>
          <a:endParaRPr lang="en-IN"/>
        </a:p>
      </dgm:t>
    </dgm:pt>
    <dgm:pt modelId="{7DD9B6E2-B271-4E30-8530-F0FFC7508F3F}">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F3C95EC-2FD9-403C-A2F6-972AE545C6A9}" type="parTrans" cxnId="{53E65285-48DC-4376-9BA4-CC44F696EC53}">
      <dgm:prSet/>
      <dgm:spPr/>
      <dgm:t>
        <a:bodyPr/>
        <a:lstStyle/>
        <a:p>
          <a:endParaRPr lang="en-IN"/>
        </a:p>
      </dgm:t>
    </dgm:pt>
    <dgm:pt modelId="{2AE95C04-4BD2-4D20-B92A-21E4CA3B9E04}" type="sibTrans" cxnId="{53E65285-48DC-4376-9BA4-CC44F696EC53}">
      <dgm:prSet/>
      <dgm:spPr/>
      <dgm:t>
        <a:bodyPr/>
        <a:lstStyle/>
        <a:p>
          <a:endParaRPr lang="en-IN"/>
        </a:p>
      </dgm:t>
    </dgm:pt>
    <dgm:pt modelId="{56758184-E51D-4231-A1FE-F35C2731692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B5FE1B7C-2D58-4AE8-96AF-581A3D339B6D}" type="parTrans" cxnId="{006CBC72-9B5C-4DFF-BE2D-50EC163CEF70}">
      <dgm:prSet/>
      <dgm:spPr/>
      <dgm:t>
        <a:bodyPr/>
        <a:lstStyle/>
        <a:p>
          <a:endParaRPr lang="en-IN"/>
        </a:p>
      </dgm:t>
    </dgm:pt>
    <dgm:pt modelId="{79840B14-D186-4325-AE94-AF70BCF8700F}" type="sibTrans" cxnId="{006CBC72-9B5C-4DFF-BE2D-50EC163CEF70}">
      <dgm:prSet/>
      <dgm:spPr/>
      <dgm:t>
        <a:bodyPr/>
        <a:lstStyle/>
        <a:p>
          <a:endParaRPr lang="en-IN"/>
        </a:p>
      </dgm:t>
    </dgm:pt>
    <dgm:pt modelId="{EA739FF8-B294-456B-B07A-B32298D1427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C5FE85-32DD-462E-8D23-03C3DDEA20B9}" type="parTrans" cxnId="{4B2D23CB-5977-4795-8612-E09099CD9B90}">
      <dgm:prSet/>
      <dgm:spPr/>
      <dgm:t>
        <a:bodyPr/>
        <a:lstStyle/>
        <a:p>
          <a:endParaRPr lang="en-IN"/>
        </a:p>
      </dgm:t>
    </dgm:pt>
    <dgm:pt modelId="{7A8556ED-A3CA-4130-AE8E-183C74A85426}" type="sibTrans" cxnId="{4B2D23CB-5977-4795-8612-E09099CD9B90}">
      <dgm:prSet/>
      <dgm:spPr/>
      <dgm:t>
        <a:bodyPr/>
        <a:lstStyle/>
        <a:p>
          <a:endParaRPr lang="en-IN"/>
        </a:p>
      </dgm:t>
    </dgm:pt>
    <dgm:pt modelId="{DB7CACC7-5EC9-4B8D-96B4-EF600082F3F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6102B0F-7854-426C-92B3-2AE27B490B33}" type="parTrans" cxnId="{394E3C2A-153B-47F6-A0DE-B57B8E21A736}">
      <dgm:prSet/>
      <dgm:spPr/>
      <dgm:t>
        <a:bodyPr/>
        <a:lstStyle/>
        <a:p>
          <a:endParaRPr lang="en-IN"/>
        </a:p>
      </dgm:t>
    </dgm:pt>
    <dgm:pt modelId="{A4F133C6-8A42-4E4B-B122-99CF348208F6}" type="sibTrans" cxnId="{394E3C2A-153B-47F6-A0DE-B57B8E21A736}">
      <dgm:prSet/>
      <dgm:spPr/>
      <dgm:t>
        <a:bodyPr/>
        <a:lstStyle/>
        <a:p>
          <a:endParaRPr lang="en-IN"/>
        </a:p>
      </dgm:t>
    </dgm:pt>
    <dgm:pt modelId="{A364AF1D-E42E-45AF-B842-6159BFA8C7B9}">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3FDE87F-8181-442A-B062-9B31B775BC56}" type="parTrans" cxnId="{B7ECDCF3-8798-4721-A009-BEF0DA75E3C1}">
      <dgm:prSet/>
      <dgm:spPr/>
      <dgm:t>
        <a:bodyPr/>
        <a:lstStyle/>
        <a:p>
          <a:endParaRPr lang="en-IN"/>
        </a:p>
      </dgm:t>
    </dgm:pt>
    <dgm:pt modelId="{4D7648AE-A25D-448A-895A-3A58D3F59F00}" type="sibTrans" cxnId="{B7ECDCF3-8798-4721-A009-BEF0DA75E3C1}">
      <dgm:prSet/>
      <dgm:spPr/>
      <dgm:t>
        <a:bodyPr/>
        <a:lstStyle/>
        <a:p>
          <a:endParaRPr lang="en-IN"/>
        </a:p>
      </dgm:t>
    </dgm:pt>
    <dgm:pt modelId="{AD57D6F8-1E1D-4C08-B8E1-F743CC4D861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B1C4966-1262-47C2-A22C-A1A9518F5A79}" type="parTrans" cxnId="{D4F174BE-C618-49C1-8D83-A0E3F1FA0719}">
      <dgm:prSet/>
      <dgm:spPr/>
      <dgm:t>
        <a:bodyPr/>
        <a:lstStyle/>
        <a:p>
          <a:endParaRPr lang="en-IN"/>
        </a:p>
      </dgm:t>
    </dgm:pt>
    <dgm:pt modelId="{E3A71EE5-562D-48DB-A1C5-6CEB44716E34}" type="sibTrans" cxnId="{D4F174BE-C618-49C1-8D83-A0E3F1FA0719}">
      <dgm:prSet/>
      <dgm:spPr/>
      <dgm:t>
        <a:bodyPr/>
        <a:lstStyle/>
        <a:p>
          <a:endParaRPr lang="en-IN"/>
        </a:p>
      </dgm:t>
    </dgm:pt>
    <dgm:pt modelId="{AB76204E-2E1E-4483-B659-02F8E8BD8E3A}">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D236FE8-B5DB-42B2-83A0-8A85E57D18D6}" type="parTrans" cxnId="{96E297A8-0406-4A26-9642-50B037DD0435}">
      <dgm:prSet/>
      <dgm:spPr/>
      <dgm:t>
        <a:bodyPr/>
        <a:lstStyle/>
        <a:p>
          <a:endParaRPr lang="en-IN"/>
        </a:p>
      </dgm:t>
    </dgm:pt>
    <dgm:pt modelId="{24A5B341-C6D8-420A-B49A-C190618461F1}" type="sibTrans" cxnId="{96E297A8-0406-4A26-9642-50B037DD0435}">
      <dgm:prSet/>
      <dgm:spPr/>
      <dgm:t>
        <a:bodyPr/>
        <a:lstStyle/>
        <a:p>
          <a:endParaRPr lang="en-IN"/>
        </a:p>
      </dgm:t>
    </dgm:pt>
    <dgm:pt modelId="{A2EEF95F-6FCB-462B-A18E-D01951D1EB2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E92F089-AA5E-42E6-8F33-FE692A0C9628}" type="parTrans" cxnId="{77B8E4C0-A0AC-4BE2-8384-F974ADC49DA3}">
      <dgm:prSet/>
      <dgm:spPr/>
      <dgm:t>
        <a:bodyPr/>
        <a:lstStyle/>
        <a:p>
          <a:endParaRPr lang="en-IN"/>
        </a:p>
      </dgm:t>
    </dgm:pt>
    <dgm:pt modelId="{3DB9F778-7086-4387-A079-096207A246FE}" type="sibTrans" cxnId="{77B8E4C0-A0AC-4BE2-8384-F974ADC49DA3}">
      <dgm:prSet/>
      <dgm:spPr/>
      <dgm:t>
        <a:bodyPr/>
        <a:lstStyle/>
        <a:p>
          <a:endParaRPr lang="en-IN"/>
        </a:p>
      </dgm:t>
    </dgm:pt>
    <dgm:pt modelId="{BB19C4C0-C836-4CD8-A7C4-A0225D3257F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78B9227-C856-4685-9B63-ED38AD2B7C9E}" type="parTrans" cxnId="{FCD9C6E4-10EC-429C-9B56-EDF6ACA5664C}">
      <dgm:prSet/>
      <dgm:spPr/>
      <dgm:t>
        <a:bodyPr/>
        <a:lstStyle/>
        <a:p>
          <a:endParaRPr lang="en-IN"/>
        </a:p>
      </dgm:t>
    </dgm:pt>
    <dgm:pt modelId="{A8B5BDC3-D275-4065-A98A-85859682AA6D}" type="sibTrans" cxnId="{FCD9C6E4-10EC-429C-9B56-EDF6ACA5664C}">
      <dgm:prSet/>
      <dgm:spPr/>
      <dgm:t>
        <a:bodyPr/>
        <a:lstStyle/>
        <a:p>
          <a:endParaRPr lang="en-IN"/>
        </a:p>
      </dgm:t>
    </dgm:pt>
    <dgm:pt modelId="{763329BB-BA95-4CCB-A946-57F154F16083}">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56B05BB8-D9BC-48CC-8340-36DFDDF4319A}" type="parTrans" cxnId="{518BBBD0-6DB7-4A6D-957E-0EA6D833F387}">
      <dgm:prSet/>
      <dgm:spPr/>
      <dgm:t>
        <a:bodyPr/>
        <a:lstStyle/>
        <a:p>
          <a:endParaRPr lang="en-IN"/>
        </a:p>
      </dgm:t>
    </dgm:pt>
    <dgm:pt modelId="{C41D91DD-B930-4A1A-9EE1-AB29AD6DBECE}" type="sibTrans" cxnId="{518BBBD0-6DB7-4A6D-957E-0EA6D833F387}">
      <dgm:prSet/>
      <dgm:spPr/>
      <dgm:t>
        <a:bodyPr/>
        <a:lstStyle/>
        <a:p>
          <a:endParaRPr lang="en-IN"/>
        </a:p>
      </dgm:t>
    </dgm:pt>
    <dgm:pt modelId="{BF100430-0928-4BA1-B2C3-DCBB59BE2F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5CF3F1D-4FFA-44B5-84B3-977AD131F177}" type="parTrans" cxnId="{75D39245-7D31-4FC1-9B1D-64800C17C3AF}">
      <dgm:prSet/>
      <dgm:spPr/>
      <dgm:t>
        <a:bodyPr/>
        <a:lstStyle/>
        <a:p>
          <a:endParaRPr lang="en-IN"/>
        </a:p>
      </dgm:t>
    </dgm:pt>
    <dgm:pt modelId="{2A9D3097-E7D2-4F49-8DA5-B231360A3C19}" type="sibTrans" cxnId="{75D39245-7D31-4FC1-9B1D-64800C17C3AF}">
      <dgm:prSet/>
      <dgm:spPr/>
      <dgm:t>
        <a:bodyPr/>
        <a:lstStyle/>
        <a:p>
          <a:endParaRPr lang="en-IN"/>
        </a:p>
      </dgm:t>
    </dgm:pt>
    <dgm:pt modelId="{ECA12779-181B-4C07-9D00-63CBA88654A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D1DE0E6-FA2F-44F6-B53A-BD88042663B5}" type="parTrans" cxnId="{72B48A89-A1F1-4D09-BEF0-37389F449EAA}">
      <dgm:prSet/>
      <dgm:spPr/>
      <dgm:t>
        <a:bodyPr/>
        <a:lstStyle/>
        <a:p>
          <a:endParaRPr lang="en-IN"/>
        </a:p>
      </dgm:t>
    </dgm:pt>
    <dgm:pt modelId="{339A230E-D26D-4336-95B7-A30C85828F00}" type="sibTrans" cxnId="{72B48A89-A1F1-4D09-BEF0-37389F449EAA}">
      <dgm:prSet/>
      <dgm:spPr/>
      <dgm:t>
        <a:bodyPr/>
        <a:lstStyle/>
        <a:p>
          <a:endParaRPr lang="en-IN"/>
        </a:p>
      </dgm:t>
    </dgm:pt>
    <dgm:pt modelId="{12351F76-C54E-43F8-A657-363EC9E932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CD7D42E-8C56-458F-8322-E22926EA09CE}" type="parTrans" cxnId="{6A9A789C-B414-495B-9BF3-23B1DA60F874}">
      <dgm:prSet/>
      <dgm:spPr/>
      <dgm:t>
        <a:bodyPr/>
        <a:lstStyle/>
        <a:p>
          <a:endParaRPr lang="en-IN"/>
        </a:p>
      </dgm:t>
    </dgm:pt>
    <dgm:pt modelId="{1B1406ED-048A-472B-AD36-574C7D6F9126}" type="sibTrans" cxnId="{6A9A789C-B414-495B-9BF3-23B1DA60F874}">
      <dgm:prSet/>
      <dgm:spPr/>
      <dgm:t>
        <a:bodyPr/>
        <a:lstStyle/>
        <a:p>
          <a:endParaRPr lang="en-IN"/>
        </a:p>
      </dgm:t>
    </dgm:pt>
    <dgm:pt modelId="{ACFB9295-1466-40DD-AC28-3F5FD1714F64}">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C779102-338A-4658-805D-ADA27F85C532}" type="parTrans" cxnId="{BCE0F127-C485-41BE-B38E-9BDEF8908866}">
      <dgm:prSet/>
      <dgm:spPr/>
      <dgm:t>
        <a:bodyPr/>
        <a:lstStyle/>
        <a:p>
          <a:endParaRPr lang="en-IN"/>
        </a:p>
      </dgm:t>
    </dgm:pt>
    <dgm:pt modelId="{D034D896-F381-4B90-9C52-BBB59FC21309}" type="sibTrans" cxnId="{BCE0F127-C485-41BE-B38E-9BDEF8908866}">
      <dgm:prSet/>
      <dgm:spPr/>
      <dgm:t>
        <a:bodyPr/>
        <a:lstStyle/>
        <a:p>
          <a:endParaRPr lang="en-IN"/>
        </a:p>
      </dgm:t>
    </dgm:pt>
    <dgm:pt modelId="{70EFDBF8-CA80-43EB-AF09-A11A22991EC0}">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49CAF59-51BF-4A91-99DD-F8581AEF1EC4}" type="parTrans" cxnId="{2B56871B-1633-44A9-A6F5-BF8630FE9CDD}">
      <dgm:prSet/>
      <dgm:spPr/>
      <dgm:t>
        <a:bodyPr/>
        <a:lstStyle/>
        <a:p>
          <a:endParaRPr lang="en-IN"/>
        </a:p>
      </dgm:t>
    </dgm:pt>
    <dgm:pt modelId="{24DE2231-1041-48EE-BB8A-F8A29BC5A066}" type="sibTrans" cxnId="{2B56871B-1633-44A9-A6F5-BF8630FE9CDD}">
      <dgm:prSet/>
      <dgm:spPr/>
      <dgm:t>
        <a:bodyPr/>
        <a:lstStyle/>
        <a:p>
          <a:endParaRPr lang="en-IN"/>
        </a:p>
      </dgm:t>
    </dgm:pt>
    <dgm:pt modelId="{B3363645-6E47-4702-9387-06C510C570CB}">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3736F2C-1899-4FBF-B28B-4B7CE5269305}" type="parTrans" cxnId="{D26C66FE-F76A-4E6A-AE40-94465EA6B392}">
      <dgm:prSet/>
      <dgm:spPr/>
      <dgm:t>
        <a:bodyPr/>
        <a:lstStyle/>
        <a:p>
          <a:endParaRPr lang="en-IN"/>
        </a:p>
      </dgm:t>
    </dgm:pt>
    <dgm:pt modelId="{4483FFA3-0535-4525-A2FA-4107CEE67BAE}" type="sibTrans" cxnId="{D26C66FE-F76A-4E6A-AE40-94465EA6B392}">
      <dgm:prSet/>
      <dgm:spPr/>
      <dgm:t>
        <a:bodyPr/>
        <a:lstStyle/>
        <a:p>
          <a:endParaRPr lang="en-IN"/>
        </a:p>
      </dgm:t>
    </dgm:pt>
    <dgm:pt modelId="{1E3D188D-1C38-4FF2-ADAD-687EE27716D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5B5055F-BDE8-4C1F-8169-963DD004C33F}" type="parTrans" cxnId="{9C8D1225-22C7-4C99-8D22-A0F394223E1C}">
      <dgm:prSet/>
      <dgm:spPr/>
      <dgm:t>
        <a:bodyPr/>
        <a:lstStyle/>
        <a:p>
          <a:endParaRPr lang="en-IN"/>
        </a:p>
      </dgm:t>
    </dgm:pt>
    <dgm:pt modelId="{1DA6D785-1867-4555-AF0F-2C53A17CA252}" type="sibTrans" cxnId="{9C8D1225-22C7-4C99-8D22-A0F394223E1C}">
      <dgm:prSet/>
      <dgm:spPr/>
      <dgm:t>
        <a:bodyPr/>
        <a:lstStyle/>
        <a:p>
          <a:endParaRPr lang="en-IN"/>
        </a:p>
      </dgm:t>
    </dgm:pt>
    <dgm:pt modelId="{472A6B0E-9B61-4834-A11A-8167EB7251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0B2F529-C227-4AFA-9869-F1C5F93B7411}" type="parTrans" cxnId="{B40D5C99-47CD-4B5C-BECA-2F3E16A61FF0}">
      <dgm:prSet/>
      <dgm:spPr/>
      <dgm:t>
        <a:bodyPr/>
        <a:lstStyle/>
        <a:p>
          <a:endParaRPr lang="en-IN"/>
        </a:p>
      </dgm:t>
    </dgm:pt>
    <dgm:pt modelId="{A45A06BF-27FB-4DFD-A66D-202CC0C7CB04}" type="sibTrans" cxnId="{B40D5C99-47CD-4B5C-BECA-2F3E16A61FF0}">
      <dgm:prSet/>
      <dgm:spPr/>
      <dgm:t>
        <a:bodyPr/>
        <a:lstStyle/>
        <a:p>
          <a:endParaRPr lang="en-IN"/>
        </a:p>
      </dgm:t>
    </dgm:pt>
    <dgm:pt modelId="{058BAF66-FEE2-4B3A-8EE6-25FBFC3671F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804B64F-8B56-4A4C-A418-4BB3F4ED6989}" type="parTrans" cxnId="{CE732743-EE07-45A9-A191-7CDE8C1EF3FB}">
      <dgm:prSet/>
      <dgm:spPr/>
      <dgm:t>
        <a:bodyPr/>
        <a:lstStyle/>
        <a:p>
          <a:endParaRPr lang="en-IN"/>
        </a:p>
      </dgm:t>
    </dgm:pt>
    <dgm:pt modelId="{2950B48C-8A63-4EE8-992E-FE5529DA3D84}" type="sibTrans" cxnId="{CE732743-EE07-45A9-A191-7CDE8C1EF3FB}">
      <dgm:prSet/>
      <dgm:spPr/>
      <dgm:t>
        <a:bodyPr/>
        <a:lstStyle/>
        <a:p>
          <a:endParaRPr lang="en-IN"/>
        </a:p>
      </dgm:t>
    </dgm:pt>
    <dgm:pt modelId="{CFAC0D8A-84E8-4DBA-8190-A3C763E23FE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C225E30-36A4-4BE6-ADB9-85A3B29271E0}" type="parTrans" cxnId="{77E69C30-A8B8-4C60-A679-AF2569E5D332}">
      <dgm:prSet/>
      <dgm:spPr/>
      <dgm:t>
        <a:bodyPr/>
        <a:lstStyle/>
        <a:p>
          <a:endParaRPr lang="en-IN"/>
        </a:p>
      </dgm:t>
    </dgm:pt>
    <dgm:pt modelId="{2BAD2124-834B-4C41-8988-1E3F81028152}" type="sibTrans" cxnId="{77E69C30-A8B8-4C60-A679-AF2569E5D332}">
      <dgm:prSet/>
      <dgm:spPr/>
      <dgm:t>
        <a:bodyPr/>
        <a:lstStyle/>
        <a:p>
          <a:endParaRPr lang="en-IN"/>
        </a:p>
      </dgm:t>
    </dgm:pt>
    <dgm:pt modelId="{92CBA82E-8C23-4886-9478-50470E71E84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E0A0574-2CD4-4A8E-8B58-75434BAC3266}" type="parTrans" cxnId="{8D58C247-3387-4042-9DA1-6B29904A57D7}">
      <dgm:prSet/>
      <dgm:spPr/>
      <dgm:t>
        <a:bodyPr/>
        <a:lstStyle/>
        <a:p>
          <a:endParaRPr lang="en-IN"/>
        </a:p>
      </dgm:t>
    </dgm:pt>
    <dgm:pt modelId="{3739894D-5D17-4D06-BD0C-F96C8E68D34F}" type="sibTrans" cxnId="{8D58C247-3387-4042-9DA1-6B29904A57D7}">
      <dgm:prSet/>
      <dgm:spPr/>
      <dgm:t>
        <a:bodyPr/>
        <a:lstStyle/>
        <a:p>
          <a:endParaRPr lang="en-IN"/>
        </a:p>
      </dgm:t>
    </dgm:pt>
    <dgm:pt modelId="{F133B79B-C8B9-45C1-8C69-0DC643D51D92}">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EF179D9-C18F-4A06-AEA9-5D6426FE68A5}" type="parTrans" cxnId="{EB6EEB91-7C5B-4EF0-96BC-BDC5AA3F0FD9}">
      <dgm:prSet/>
      <dgm:spPr/>
      <dgm:t>
        <a:bodyPr/>
        <a:lstStyle/>
        <a:p>
          <a:endParaRPr lang="en-IN"/>
        </a:p>
      </dgm:t>
    </dgm:pt>
    <dgm:pt modelId="{8B4E6A5E-1239-4310-97A4-401A115924F6}" type="sibTrans" cxnId="{EB6EEB91-7C5B-4EF0-96BC-BDC5AA3F0FD9}">
      <dgm:prSet/>
      <dgm:spPr/>
      <dgm:t>
        <a:bodyPr/>
        <a:lstStyle/>
        <a:p>
          <a:endParaRPr lang="en-IN"/>
        </a:p>
      </dgm:t>
    </dgm:pt>
    <dgm:pt modelId="{21707E9C-756F-49C7-8A2B-CFCBD71737B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58E3A9E-66A2-4346-BCEC-4375FA80156E}" type="parTrans" cxnId="{D4CDB5C1-3514-4F87-BA98-B12881772400}">
      <dgm:prSet/>
      <dgm:spPr/>
      <dgm:t>
        <a:bodyPr/>
        <a:lstStyle/>
        <a:p>
          <a:endParaRPr lang="en-IN"/>
        </a:p>
      </dgm:t>
    </dgm:pt>
    <dgm:pt modelId="{BD4CC336-0350-4DD6-A438-A1B6D215B4C8}" type="sibTrans" cxnId="{D4CDB5C1-3514-4F87-BA98-B12881772400}">
      <dgm:prSet/>
      <dgm:spPr/>
      <dgm:t>
        <a:bodyPr/>
        <a:lstStyle/>
        <a:p>
          <a:endParaRPr lang="en-IN"/>
        </a:p>
      </dgm:t>
    </dgm:pt>
    <dgm:pt modelId="{D38C2767-0E30-4FB6-A12F-96B1C5EC5AC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C135556-31BF-44F2-8873-1191AAC5AD3E}" type="parTrans" cxnId="{79D660C9-D21C-4FC7-8695-F77066748A2E}">
      <dgm:prSet/>
      <dgm:spPr/>
      <dgm:t>
        <a:bodyPr/>
        <a:lstStyle/>
        <a:p>
          <a:endParaRPr lang="en-IN"/>
        </a:p>
      </dgm:t>
    </dgm:pt>
    <dgm:pt modelId="{6C18CF87-B020-4223-B88A-5C47976CBFAE}" type="sibTrans" cxnId="{79D660C9-D21C-4FC7-8695-F77066748A2E}">
      <dgm:prSet/>
      <dgm:spPr/>
      <dgm:t>
        <a:bodyPr/>
        <a:lstStyle/>
        <a:p>
          <a:endParaRPr lang="en-IN"/>
        </a:p>
      </dgm:t>
    </dgm:pt>
    <dgm:pt modelId="{6D5DB864-02A4-46BE-8545-ED7E486F40B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D53F137-37DF-4C23-9AFE-E21B731FCD13}" type="parTrans" cxnId="{AC1B0D2E-E667-4007-BA66-D9057D10975F}">
      <dgm:prSet/>
      <dgm:spPr/>
      <dgm:t>
        <a:bodyPr/>
        <a:lstStyle/>
        <a:p>
          <a:endParaRPr lang="en-IN"/>
        </a:p>
      </dgm:t>
    </dgm:pt>
    <dgm:pt modelId="{5FD9881E-A1CD-4AF0-A128-252B78B6BC46}" type="sibTrans" cxnId="{AC1B0D2E-E667-4007-BA66-D9057D10975F}">
      <dgm:prSet/>
      <dgm:spPr/>
      <dgm:t>
        <a:bodyPr/>
        <a:lstStyle/>
        <a:p>
          <a:endParaRPr lang="en-IN"/>
        </a:p>
      </dgm:t>
    </dgm:pt>
    <dgm:pt modelId="{BD1A52BE-D10C-4C60-A5CA-97E1F3C6F7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5F3026-EBCD-4FC6-A94B-FA0402247107}" type="parTrans" cxnId="{69F5975D-690D-4573-BBD1-FE2212DC4401}">
      <dgm:prSet/>
      <dgm:spPr/>
      <dgm:t>
        <a:bodyPr/>
        <a:lstStyle/>
        <a:p>
          <a:endParaRPr lang="en-IN"/>
        </a:p>
      </dgm:t>
    </dgm:pt>
    <dgm:pt modelId="{A4DC726A-E32C-4C3E-882A-18D0DB85A508}" type="sibTrans" cxnId="{69F5975D-690D-4573-BBD1-FE2212DC4401}">
      <dgm:prSet/>
      <dgm:spPr/>
      <dgm:t>
        <a:bodyPr/>
        <a:lstStyle/>
        <a:p>
          <a:endParaRPr lang="en-IN"/>
        </a:p>
      </dgm:t>
    </dgm:pt>
    <dgm:pt modelId="{1BBE8EE2-F237-45F9-A383-197C8C6F4123}" type="pres">
      <dgm:prSet presAssocID="{8F85FD1E-8136-4C8A-AF31-DF34731BE3BC}" presName="hierChild1" presStyleCnt="0">
        <dgm:presLayoutVars>
          <dgm:orgChart val="1"/>
          <dgm:chPref val="1"/>
          <dgm:dir/>
          <dgm:animOne val="branch"/>
          <dgm:animLvl val="lvl"/>
          <dgm:resizeHandles/>
        </dgm:presLayoutVars>
      </dgm:prSet>
      <dgm:spPr/>
    </dgm:pt>
    <dgm:pt modelId="{6D0F4103-5D56-4545-B004-2F3D27D4DC7E}" type="pres">
      <dgm:prSet presAssocID="{0D19CEF6-7028-42D2-A7FA-9A9CE24E0D3E}" presName="hierRoot1" presStyleCnt="0">
        <dgm:presLayoutVars>
          <dgm:hierBranch val="init"/>
        </dgm:presLayoutVars>
      </dgm:prSet>
      <dgm:spPr/>
    </dgm:pt>
    <dgm:pt modelId="{248FD803-CE5A-460B-BFC4-F07301AF4304}" type="pres">
      <dgm:prSet presAssocID="{0D19CEF6-7028-42D2-A7FA-9A9CE24E0D3E}" presName="rootComposite1" presStyleCnt="0"/>
      <dgm:spPr/>
    </dgm:pt>
    <dgm:pt modelId="{5C8C398D-1F82-4B8E-87E2-540D1B2A40A0}" type="pres">
      <dgm:prSet presAssocID="{0D19CEF6-7028-42D2-A7FA-9A9CE24E0D3E}" presName="rootText1" presStyleLbl="node0" presStyleIdx="0" presStyleCnt="1" custScaleX="287667" custScaleY="168520" custLinFactNeighborX="-3167" custLinFactNeighborY="-53842">
        <dgm:presLayoutVars>
          <dgm:chPref val="3"/>
        </dgm:presLayoutVars>
      </dgm:prSet>
      <dgm:spPr/>
    </dgm:pt>
    <dgm:pt modelId="{858DBEFF-8CA1-43A2-9BE0-996F85E3B245}" type="pres">
      <dgm:prSet presAssocID="{0D19CEF6-7028-42D2-A7FA-9A9CE24E0D3E}" presName="rootConnector1" presStyleLbl="node1" presStyleIdx="0" presStyleCnt="0"/>
      <dgm:spPr/>
    </dgm:pt>
    <dgm:pt modelId="{14BD63D9-C141-4E9C-B724-F2CE1C6ECE3A}" type="pres">
      <dgm:prSet presAssocID="{0D19CEF6-7028-42D2-A7FA-9A9CE24E0D3E}" presName="hierChild2" presStyleCnt="0"/>
      <dgm:spPr/>
    </dgm:pt>
    <dgm:pt modelId="{6829BF15-4119-41AB-879E-0A03001B34CB}" type="pres">
      <dgm:prSet presAssocID="{888506E6-77BD-43A8-8E77-FA1FA2C75BB2}" presName="Name37" presStyleLbl="parChTrans1D2" presStyleIdx="0" presStyleCnt="6"/>
      <dgm:spPr/>
    </dgm:pt>
    <dgm:pt modelId="{0AB02927-4D03-432B-B536-50E42C732E86}" type="pres">
      <dgm:prSet presAssocID="{30A75C1B-28C6-4B8D-9C12-C405753EA701}" presName="hierRoot2" presStyleCnt="0">
        <dgm:presLayoutVars>
          <dgm:hierBranch val="init"/>
        </dgm:presLayoutVars>
      </dgm:prSet>
      <dgm:spPr/>
    </dgm:pt>
    <dgm:pt modelId="{FDA37664-FE3C-4B36-8ED4-E7B713A9CA04}" type="pres">
      <dgm:prSet presAssocID="{30A75C1B-28C6-4B8D-9C12-C405753EA701}" presName="rootComposite" presStyleCnt="0"/>
      <dgm:spPr/>
    </dgm:pt>
    <dgm:pt modelId="{853FFB4D-1E55-4DDD-854F-C86298D938B0}" type="pres">
      <dgm:prSet presAssocID="{30A75C1B-28C6-4B8D-9C12-C405753EA701}" presName="rootText" presStyleLbl="node2" presStyleIdx="0" presStyleCnt="6" custScaleX="269731" custScaleY="185372">
        <dgm:presLayoutVars>
          <dgm:chPref val="3"/>
        </dgm:presLayoutVars>
      </dgm:prSet>
      <dgm:spPr/>
    </dgm:pt>
    <dgm:pt modelId="{22A73B9D-D4EE-45F4-950A-257DEF58E397}" type="pres">
      <dgm:prSet presAssocID="{30A75C1B-28C6-4B8D-9C12-C405753EA701}" presName="rootConnector" presStyleLbl="node2" presStyleIdx="0" presStyleCnt="6"/>
      <dgm:spPr/>
    </dgm:pt>
    <dgm:pt modelId="{AAC3183A-DCEF-4665-AD87-238BF53C552A}" type="pres">
      <dgm:prSet presAssocID="{30A75C1B-28C6-4B8D-9C12-C405753EA701}" presName="hierChild4" presStyleCnt="0"/>
      <dgm:spPr/>
    </dgm:pt>
    <dgm:pt modelId="{2C29EF2C-4297-4C3B-9B35-26D15FB09F87}" type="pres">
      <dgm:prSet presAssocID="{82998A5A-8177-4BF4-B11A-85C450BCA0B9}" presName="Name37" presStyleLbl="parChTrans1D3" presStyleIdx="0" presStyleCnt="36"/>
      <dgm:spPr/>
    </dgm:pt>
    <dgm:pt modelId="{A115F367-0B3E-43DE-9071-DEE287BC6E21}" type="pres">
      <dgm:prSet presAssocID="{DE430EBC-9AEB-4AC5-8133-E102B3D8B235}" presName="hierRoot2" presStyleCnt="0">
        <dgm:presLayoutVars>
          <dgm:hierBranch val="init"/>
        </dgm:presLayoutVars>
      </dgm:prSet>
      <dgm:spPr/>
    </dgm:pt>
    <dgm:pt modelId="{6C043EAF-2E1F-494A-8B78-7F8A3E97A5DF}" type="pres">
      <dgm:prSet presAssocID="{DE430EBC-9AEB-4AC5-8133-E102B3D8B235}" presName="rootComposite" presStyleCnt="0"/>
      <dgm:spPr/>
    </dgm:pt>
    <dgm:pt modelId="{A15103E7-543E-4790-AE67-947E45BFBF80}" type="pres">
      <dgm:prSet presAssocID="{DE430EBC-9AEB-4AC5-8133-E102B3D8B235}" presName="rootText" presStyleLbl="node3" presStyleIdx="0" presStyleCnt="36" custScaleX="207455" custScaleY="152168" custLinFactNeighborX="-4300" custLinFactNeighborY="22686">
        <dgm:presLayoutVars>
          <dgm:chPref val="3"/>
        </dgm:presLayoutVars>
      </dgm:prSet>
      <dgm:spPr/>
    </dgm:pt>
    <dgm:pt modelId="{87C0B8B4-77B8-4E43-88C6-0FBC36C0E8AE}" type="pres">
      <dgm:prSet presAssocID="{DE430EBC-9AEB-4AC5-8133-E102B3D8B235}" presName="rootConnector" presStyleLbl="node3" presStyleIdx="0" presStyleCnt="36"/>
      <dgm:spPr/>
    </dgm:pt>
    <dgm:pt modelId="{BF01B791-B98C-4021-9AEB-AA06200B383E}" type="pres">
      <dgm:prSet presAssocID="{DE430EBC-9AEB-4AC5-8133-E102B3D8B235}" presName="hierChild4" presStyleCnt="0"/>
      <dgm:spPr/>
    </dgm:pt>
    <dgm:pt modelId="{957D3F0E-F6B3-4198-95F1-E7F4633DD8F7}" type="pres">
      <dgm:prSet presAssocID="{DE430EBC-9AEB-4AC5-8133-E102B3D8B235}" presName="hierChild5" presStyleCnt="0"/>
      <dgm:spPr/>
    </dgm:pt>
    <dgm:pt modelId="{7398580D-8EEC-44BA-940A-E4D9004A0CF0}" type="pres">
      <dgm:prSet presAssocID="{C41972CF-CFF7-4A0B-86FB-124A3C29C284}" presName="Name37" presStyleLbl="parChTrans1D3" presStyleIdx="1" presStyleCnt="36"/>
      <dgm:spPr/>
    </dgm:pt>
    <dgm:pt modelId="{03DBE40F-FF98-444C-A7D5-3EBF0575BB02}" type="pres">
      <dgm:prSet presAssocID="{15422A0F-7BCA-484C-B057-F62059D58FAA}" presName="hierRoot2" presStyleCnt="0">
        <dgm:presLayoutVars>
          <dgm:hierBranch val="init"/>
        </dgm:presLayoutVars>
      </dgm:prSet>
      <dgm:spPr/>
    </dgm:pt>
    <dgm:pt modelId="{02C9CE59-BCDE-4DDD-BDE4-87B0C464539E}" type="pres">
      <dgm:prSet presAssocID="{15422A0F-7BCA-484C-B057-F62059D58FAA}" presName="rootComposite" presStyleCnt="0"/>
      <dgm:spPr/>
    </dgm:pt>
    <dgm:pt modelId="{E96B1214-A9E7-4181-8CA8-92FB713D4A14}" type="pres">
      <dgm:prSet presAssocID="{15422A0F-7BCA-484C-B057-F62059D58FAA}" presName="rootText" presStyleLbl="node3" presStyleIdx="1" presStyleCnt="36" custScaleX="207455" custScaleY="158876" custLinFactNeighborX="-6538">
        <dgm:presLayoutVars>
          <dgm:chPref val="3"/>
        </dgm:presLayoutVars>
      </dgm:prSet>
      <dgm:spPr/>
    </dgm:pt>
    <dgm:pt modelId="{B8710126-C736-487F-A3BB-9B4531A059E9}" type="pres">
      <dgm:prSet presAssocID="{15422A0F-7BCA-484C-B057-F62059D58FAA}" presName="rootConnector" presStyleLbl="node3" presStyleIdx="1" presStyleCnt="36"/>
      <dgm:spPr/>
    </dgm:pt>
    <dgm:pt modelId="{A9508114-E7F9-4DBE-8329-1327BA724F97}" type="pres">
      <dgm:prSet presAssocID="{15422A0F-7BCA-484C-B057-F62059D58FAA}" presName="hierChild4" presStyleCnt="0"/>
      <dgm:spPr/>
    </dgm:pt>
    <dgm:pt modelId="{DAC7EED0-336F-4C94-8BC6-B18A3594F9C8}" type="pres">
      <dgm:prSet presAssocID="{15422A0F-7BCA-484C-B057-F62059D58FAA}" presName="hierChild5" presStyleCnt="0"/>
      <dgm:spPr/>
    </dgm:pt>
    <dgm:pt modelId="{43BA9691-70A2-49E9-901A-2FCF27528D5D}" type="pres">
      <dgm:prSet presAssocID="{19A46F26-59B1-4C5A-BF18-0E767311EBF1}" presName="Name37" presStyleLbl="parChTrans1D3" presStyleIdx="2" presStyleCnt="36"/>
      <dgm:spPr/>
    </dgm:pt>
    <dgm:pt modelId="{5029BA54-005A-49AB-97FF-9FC9A373ADD2}" type="pres">
      <dgm:prSet presAssocID="{ECF03B94-C7AD-4DF3-B508-62E701087C6F}" presName="hierRoot2" presStyleCnt="0">
        <dgm:presLayoutVars>
          <dgm:hierBranch val="init"/>
        </dgm:presLayoutVars>
      </dgm:prSet>
      <dgm:spPr/>
    </dgm:pt>
    <dgm:pt modelId="{A98BA154-E2FA-4146-9D15-A7107B688D5C}" type="pres">
      <dgm:prSet presAssocID="{ECF03B94-C7AD-4DF3-B508-62E701087C6F}" presName="rootComposite" presStyleCnt="0"/>
      <dgm:spPr/>
    </dgm:pt>
    <dgm:pt modelId="{856CFF55-E4E6-40F3-9F14-FD1536F40E0B}" type="pres">
      <dgm:prSet presAssocID="{ECF03B94-C7AD-4DF3-B508-62E701087C6F}" presName="rootText" presStyleLbl="node3" presStyleIdx="2" presStyleCnt="36" custScaleX="207455" custScaleY="173545" custLinFactNeighborX="-6538">
        <dgm:presLayoutVars>
          <dgm:chPref val="3"/>
        </dgm:presLayoutVars>
      </dgm:prSet>
      <dgm:spPr/>
    </dgm:pt>
    <dgm:pt modelId="{F83BC690-EFD5-4158-846D-4272C8D58421}" type="pres">
      <dgm:prSet presAssocID="{ECF03B94-C7AD-4DF3-B508-62E701087C6F}" presName="rootConnector" presStyleLbl="node3" presStyleIdx="2" presStyleCnt="36"/>
      <dgm:spPr/>
    </dgm:pt>
    <dgm:pt modelId="{8BEF0CE6-25E2-45C6-B31D-6615907E5150}" type="pres">
      <dgm:prSet presAssocID="{ECF03B94-C7AD-4DF3-B508-62E701087C6F}" presName="hierChild4" presStyleCnt="0"/>
      <dgm:spPr/>
    </dgm:pt>
    <dgm:pt modelId="{0CCEBE28-D2D2-42E7-8497-A32E247F9332}" type="pres">
      <dgm:prSet presAssocID="{ECF03B94-C7AD-4DF3-B508-62E701087C6F}" presName="hierChild5" presStyleCnt="0"/>
      <dgm:spPr/>
    </dgm:pt>
    <dgm:pt modelId="{59FDCD71-00D1-4CBF-9A31-1E489E856A40}" type="pres">
      <dgm:prSet presAssocID="{68F8F16B-F0F9-4668-BE26-B49FDC6CE9C8}" presName="Name37" presStyleLbl="parChTrans1D3" presStyleIdx="3" presStyleCnt="36"/>
      <dgm:spPr/>
    </dgm:pt>
    <dgm:pt modelId="{783D7969-5DD7-46E6-81AA-175ED2993BE9}" type="pres">
      <dgm:prSet presAssocID="{83A882C9-CED3-4DBB-B5D7-A9BC33A0CB1E}" presName="hierRoot2" presStyleCnt="0">
        <dgm:presLayoutVars>
          <dgm:hierBranch val="init"/>
        </dgm:presLayoutVars>
      </dgm:prSet>
      <dgm:spPr/>
    </dgm:pt>
    <dgm:pt modelId="{156D47D9-66DA-4B1B-87EA-22C3EBEEA027}" type="pres">
      <dgm:prSet presAssocID="{83A882C9-CED3-4DBB-B5D7-A9BC33A0CB1E}" presName="rootComposite" presStyleCnt="0"/>
      <dgm:spPr/>
    </dgm:pt>
    <dgm:pt modelId="{2490E369-58C0-4092-BC57-B6F9B7A8424A}" type="pres">
      <dgm:prSet presAssocID="{83A882C9-CED3-4DBB-B5D7-A9BC33A0CB1E}" presName="rootText" presStyleLbl="node3" presStyleIdx="3" presStyleCnt="36" custScaleX="207455" custScaleY="173545" custLinFactNeighborX="-6538">
        <dgm:presLayoutVars>
          <dgm:chPref val="3"/>
        </dgm:presLayoutVars>
      </dgm:prSet>
      <dgm:spPr/>
    </dgm:pt>
    <dgm:pt modelId="{D5173406-90A0-430E-A257-C053CA506765}" type="pres">
      <dgm:prSet presAssocID="{83A882C9-CED3-4DBB-B5D7-A9BC33A0CB1E}" presName="rootConnector" presStyleLbl="node3" presStyleIdx="3" presStyleCnt="36"/>
      <dgm:spPr/>
    </dgm:pt>
    <dgm:pt modelId="{6F5EA6DD-026A-4E2C-BF23-89FA49EE2F78}" type="pres">
      <dgm:prSet presAssocID="{83A882C9-CED3-4DBB-B5D7-A9BC33A0CB1E}" presName="hierChild4" presStyleCnt="0"/>
      <dgm:spPr/>
    </dgm:pt>
    <dgm:pt modelId="{1D7E1165-8116-4128-B4E6-C0B36CE8B661}" type="pres">
      <dgm:prSet presAssocID="{83A882C9-CED3-4DBB-B5D7-A9BC33A0CB1E}" presName="hierChild5" presStyleCnt="0"/>
      <dgm:spPr/>
    </dgm:pt>
    <dgm:pt modelId="{077EA319-D2C5-4551-A3AF-BBD742321036}" type="pres">
      <dgm:prSet presAssocID="{99BCA385-66F1-4778-AC5F-322108555713}" presName="Name37" presStyleLbl="parChTrans1D3" presStyleIdx="4" presStyleCnt="36"/>
      <dgm:spPr/>
    </dgm:pt>
    <dgm:pt modelId="{7406020C-ABF0-4D0A-8928-4BCD57F20A88}" type="pres">
      <dgm:prSet presAssocID="{CAB3C7F0-E5B8-433A-80EE-848BBB579EA1}" presName="hierRoot2" presStyleCnt="0">
        <dgm:presLayoutVars>
          <dgm:hierBranch val="init"/>
        </dgm:presLayoutVars>
      </dgm:prSet>
      <dgm:spPr/>
    </dgm:pt>
    <dgm:pt modelId="{11670C23-646E-4B95-B4DB-94E6868F4E68}" type="pres">
      <dgm:prSet presAssocID="{CAB3C7F0-E5B8-433A-80EE-848BBB579EA1}" presName="rootComposite" presStyleCnt="0"/>
      <dgm:spPr/>
    </dgm:pt>
    <dgm:pt modelId="{7074A187-D177-4CA7-8FAD-19086FA2F2A3}" type="pres">
      <dgm:prSet presAssocID="{CAB3C7F0-E5B8-433A-80EE-848BBB579EA1}" presName="rootText" presStyleLbl="node3" presStyleIdx="4" presStyleCnt="36" custScaleX="207455" custScaleY="173545" custLinFactNeighborX="-6538">
        <dgm:presLayoutVars>
          <dgm:chPref val="3"/>
        </dgm:presLayoutVars>
      </dgm:prSet>
      <dgm:spPr/>
    </dgm:pt>
    <dgm:pt modelId="{925B500F-2D7C-454A-BB55-FDBCEEFBBE9A}" type="pres">
      <dgm:prSet presAssocID="{CAB3C7F0-E5B8-433A-80EE-848BBB579EA1}" presName="rootConnector" presStyleLbl="node3" presStyleIdx="4" presStyleCnt="36"/>
      <dgm:spPr/>
    </dgm:pt>
    <dgm:pt modelId="{AE7C3B8B-70FE-48C1-BA2C-3642AC5E9DBE}" type="pres">
      <dgm:prSet presAssocID="{CAB3C7F0-E5B8-433A-80EE-848BBB579EA1}" presName="hierChild4" presStyleCnt="0"/>
      <dgm:spPr/>
    </dgm:pt>
    <dgm:pt modelId="{67E5D55B-4E45-415B-A55F-6554AFB561D0}" type="pres">
      <dgm:prSet presAssocID="{CAB3C7F0-E5B8-433A-80EE-848BBB579EA1}" presName="hierChild5" presStyleCnt="0"/>
      <dgm:spPr/>
    </dgm:pt>
    <dgm:pt modelId="{591A4806-A056-49FA-A807-3507349E025F}" type="pres">
      <dgm:prSet presAssocID="{A6ECC484-C5B3-4E5A-B7E0-750C177CFF69}" presName="Name37" presStyleLbl="parChTrans1D3" presStyleIdx="5" presStyleCnt="36"/>
      <dgm:spPr/>
    </dgm:pt>
    <dgm:pt modelId="{96935911-C62F-433C-AE70-3687A1374045}" type="pres">
      <dgm:prSet presAssocID="{0AF8697D-AC9F-4005-8FD9-6DCBA79179B5}" presName="hierRoot2" presStyleCnt="0">
        <dgm:presLayoutVars>
          <dgm:hierBranch val="init"/>
        </dgm:presLayoutVars>
      </dgm:prSet>
      <dgm:spPr/>
    </dgm:pt>
    <dgm:pt modelId="{076F1FC8-A8E5-42C4-84A7-EAF7575AD21F}" type="pres">
      <dgm:prSet presAssocID="{0AF8697D-AC9F-4005-8FD9-6DCBA79179B5}" presName="rootComposite" presStyleCnt="0"/>
      <dgm:spPr/>
    </dgm:pt>
    <dgm:pt modelId="{87B9EBD0-8BEE-4198-81B7-89C4056E1059}" type="pres">
      <dgm:prSet presAssocID="{0AF8697D-AC9F-4005-8FD9-6DCBA79179B5}" presName="rootText" presStyleLbl="node3" presStyleIdx="5" presStyleCnt="36" custScaleX="207455" custScaleY="173545">
        <dgm:presLayoutVars>
          <dgm:chPref val="3"/>
        </dgm:presLayoutVars>
      </dgm:prSet>
      <dgm:spPr/>
    </dgm:pt>
    <dgm:pt modelId="{2866293E-A1B4-4F6A-A920-9518F91B0520}" type="pres">
      <dgm:prSet presAssocID="{0AF8697D-AC9F-4005-8FD9-6DCBA79179B5}" presName="rootConnector" presStyleLbl="node3" presStyleIdx="5" presStyleCnt="36"/>
      <dgm:spPr/>
    </dgm:pt>
    <dgm:pt modelId="{99207C7F-724B-46D3-814D-445C2CAE6893}" type="pres">
      <dgm:prSet presAssocID="{0AF8697D-AC9F-4005-8FD9-6DCBA79179B5}" presName="hierChild4" presStyleCnt="0"/>
      <dgm:spPr/>
    </dgm:pt>
    <dgm:pt modelId="{60FDCBB5-4A13-4815-BDA1-43BC74E14AA2}" type="pres">
      <dgm:prSet presAssocID="{0AF8697D-AC9F-4005-8FD9-6DCBA79179B5}" presName="hierChild5" presStyleCnt="0"/>
      <dgm:spPr/>
    </dgm:pt>
    <dgm:pt modelId="{0B98BB91-97BD-481F-AB76-DC6CB8E05CDE}" type="pres">
      <dgm:prSet presAssocID="{30A75C1B-28C6-4B8D-9C12-C405753EA701}" presName="hierChild5" presStyleCnt="0"/>
      <dgm:spPr/>
    </dgm:pt>
    <dgm:pt modelId="{E956C72C-0695-4AF5-8F1B-AF3CF911254E}" type="pres">
      <dgm:prSet presAssocID="{1AD6EFD4-8689-4711-870E-B8FCA71DC32C}" presName="Name37" presStyleLbl="parChTrans1D2" presStyleIdx="1" presStyleCnt="6"/>
      <dgm:spPr/>
    </dgm:pt>
    <dgm:pt modelId="{D7620E44-AED8-4A1E-A9A7-4CDE6E28310A}" type="pres">
      <dgm:prSet presAssocID="{E2075C35-04A8-466E-AEED-5D3277B5A90A}" presName="hierRoot2" presStyleCnt="0">
        <dgm:presLayoutVars>
          <dgm:hierBranch val="init"/>
        </dgm:presLayoutVars>
      </dgm:prSet>
      <dgm:spPr/>
    </dgm:pt>
    <dgm:pt modelId="{679A40AA-A499-4C07-BD23-A36908EDC486}" type="pres">
      <dgm:prSet presAssocID="{E2075C35-04A8-466E-AEED-5D3277B5A90A}" presName="rootComposite" presStyleCnt="0"/>
      <dgm:spPr/>
    </dgm:pt>
    <dgm:pt modelId="{A93E9E9D-8284-47DB-90D4-BE1DFF93A8F2}" type="pres">
      <dgm:prSet presAssocID="{E2075C35-04A8-466E-AEED-5D3277B5A90A}" presName="rootText" presStyleLbl="node2" presStyleIdx="1" presStyleCnt="6" custScaleX="245210" custScaleY="168520">
        <dgm:presLayoutVars>
          <dgm:chPref val="3"/>
        </dgm:presLayoutVars>
      </dgm:prSet>
      <dgm:spPr/>
    </dgm:pt>
    <dgm:pt modelId="{9DC0A2C5-954A-46FE-AAEA-4522F3158F81}" type="pres">
      <dgm:prSet presAssocID="{E2075C35-04A8-466E-AEED-5D3277B5A90A}" presName="rootConnector" presStyleLbl="node2" presStyleIdx="1" presStyleCnt="6"/>
      <dgm:spPr/>
    </dgm:pt>
    <dgm:pt modelId="{C53ED865-57A2-4A86-A5F6-20FFFD70D8B8}" type="pres">
      <dgm:prSet presAssocID="{E2075C35-04A8-466E-AEED-5D3277B5A90A}" presName="hierChild4" presStyleCnt="0"/>
      <dgm:spPr/>
    </dgm:pt>
    <dgm:pt modelId="{8DEFE2F6-F03E-4E75-8B42-5AD6EA54AB63}" type="pres">
      <dgm:prSet presAssocID="{A2B11AD8-E2B9-4F53-9825-E09DEC18CD35}" presName="Name37" presStyleLbl="parChTrans1D3" presStyleIdx="6" presStyleCnt="36"/>
      <dgm:spPr/>
    </dgm:pt>
    <dgm:pt modelId="{D9B01269-6547-4AD5-91E3-172CC78E7B49}" type="pres">
      <dgm:prSet presAssocID="{6C08F2A6-164D-4776-851A-3C052221AD3E}" presName="hierRoot2" presStyleCnt="0">
        <dgm:presLayoutVars>
          <dgm:hierBranch val="init"/>
        </dgm:presLayoutVars>
      </dgm:prSet>
      <dgm:spPr/>
    </dgm:pt>
    <dgm:pt modelId="{97DEE372-4507-4F14-81B1-E199EB70B660}" type="pres">
      <dgm:prSet presAssocID="{6C08F2A6-164D-4776-851A-3C052221AD3E}" presName="rootComposite" presStyleCnt="0"/>
      <dgm:spPr/>
    </dgm:pt>
    <dgm:pt modelId="{B0EBF5AF-CC42-4F77-830A-5EDB69B9E1FC}" type="pres">
      <dgm:prSet presAssocID="{6C08F2A6-164D-4776-851A-3C052221AD3E}" presName="rootText" presStyleLbl="node3" presStyleIdx="6" presStyleCnt="36" custScaleX="207455" custScaleY="152507" custLinFactNeighborX="-9132" custLinFactNeighborY="21139">
        <dgm:presLayoutVars>
          <dgm:chPref val="3"/>
        </dgm:presLayoutVars>
      </dgm:prSet>
      <dgm:spPr/>
    </dgm:pt>
    <dgm:pt modelId="{267399EE-B55E-4476-A64E-CC4D84D4DD98}" type="pres">
      <dgm:prSet presAssocID="{6C08F2A6-164D-4776-851A-3C052221AD3E}" presName="rootConnector" presStyleLbl="node3" presStyleIdx="6" presStyleCnt="36"/>
      <dgm:spPr/>
    </dgm:pt>
    <dgm:pt modelId="{0C2FC601-8C0E-4474-B12B-45417123F40C}" type="pres">
      <dgm:prSet presAssocID="{6C08F2A6-164D-4776-851A-3C052221AD3E}" presName="hierChild4" presStyleCnt="0"/>
      <dgm:spPr/>
    </dgm:pt>
    <dgm:pt modelId="{B748F201-8D55-4FFE-A32D-99C4022F0082}" type="pres">
      <dgm:prSet presAssocID="{6C08F2A6-164D-4776-851A-3C052221AD3E}" presName="hierChild5" presStyleCnt="0"/>
      <dgm:spPr/>
    </dgm:pt>
    <dgm:pt modelId="{26AFA3A5-1E4B-4A67-9D21-AFAE2916FDB8}" type="pres">
      <dgm:prSet presAssocID="{99E08339-17FA-41F2-B4C9-036DC2F6E0C9}" presName="Name37" presStyleLbl="parChTrans1D3" presStyleIdx="7" presStyleCnt="36"/>
      <dgm:spPr/>
    </dgm:pt>
    <dgm:pt modelId="{3C1DCA8E-EC54-45D1-9F73-EAD65A7ADEF1}" type="pres">
      <dgm:prSet presAssocID="{9FC7468C-17A0-4FD1-82F6-1994C9AA5866}" presName="hierRoot2" presStyleCnt="0">
        <dgm:presLayoutVars>
          <dgm:hierBranch val="init"/>
        </dgm:presLayoutVars>
      </dgm:prSet>
      <dgm:spPr/>
    </dgm:pt>
    <dgm:pt modelId="{82D3828E-B1EA-430B-9868-976A9559B31E}" type="pres">
      <dgm:prSet presAssocID="{9FC7468C-17A0-4FD1-82F6-1994C9AA5866}" presName="rootComposite" presStyleCnt="0"/>
      <dgm:spPr/>
    </dgm:pt>
    <dgm:pt modelId="{1729CE0B-3838-48AD-B589-B372F2B0C771}" type="pres">
      <dgm:prSet presAssocID="{9FC7468C-17A0-4FD1-82F6-1994C9AA5866}" presName="rootText" presStyleLbl="node3" presStyleIdx="7" presStyleCnt="36" custScaleX="207455" custScaleY="152507" custLinFactNeighborX="-6538">
        <dgm:presLayoutVars>
          <dgm:chPref val="3"/>
        </dgm:presLayoutVars>
      </dgm:prSet>
      <dgm:spPr/>
    </dgm:pt>
    <dgm:pt modelId="{A8BB2A2D-2837-4904-B835-E6E594DCE55B}" type="pres">
      <dgm:prSet presAssocID="{9FC7468C-17A0-4FD1-82F6-1994C9AA5866}" presName="rootConnector" presStyleLbl="node3" presStyleIdx="7" presStyleCnt="36"/>
      <dgm:spPr/>
    </dgm:pt>
    <dgm:pt modelId="{1AC87E64-C07B-4202-B676-4B128FE25888}" type="pres">
      <dgm:prSet presAssocID="{9FC7468C-17A0-4FD1-82F6-1994C9AA5866}" presName="hierChild4" presStyleCnt="0"/>
      <dgm:spPr/>
    </dgm:pt>
    <dgm:pt modelId="{DD1D3571-263D-4FA2-8790-445C1AAB693F}" type="pres">
      <dgm:prSet presAssocID="{9FC7468C-17A0-4FD1-82F6-1994C9AA5866}" presName="hierChild5" presStyleCnt="0"/>
      <dgm:spPr/>
    </dgm:pt>
    <dgm:pt modelId="{D2802FED-9B21-4357-BE79-5F7955BAB013}" type="pres">
      <dgm:prSet presAssocID="{ABED396A-E93F-4365-BB41-2CCF9C939201}" presName="Name37" presStyleLbl="parChTrans1D3" presStyleIdx="8" presStyleCnt="36"/>
      <dgm:spPr/>
    </dgm:pt>
    <dgm:pt modelId="{97614FB8-1A21-486C-B55B-9EF2C3E874BF}" type="pres">
      <dgm:prSet presAssocID="{C5F0B96A-A575-48A3-988A-96868B3842FF}" presName="hierRoot2" presStyleCnt="0">
        <dgm:presLayoutVars>
          <dgm:hierBranch val="init"/>
        </dgm:presLayoutVars>
      </dgm:prSet>
      <dgm:spPr/>
    </dgm:pt>
    <dgm:pt modelId="{621A6E13-D87B-47D3-957F-4D1EDD165C34}" type="pres">
      <dgm:prSet presAssocID="{C5F0B96A-A575-48A3-988A-96868B3842FF}" presName="rootComposite" presStyleCnt="0"/>
      <dgm:spPr/>
    </dgm:pt>
    <dgm:pt modelId="{1B70E28B-3F55-4A34-B864-28329F2EE997}" type="pres">
      <dgm:prSet presAssocID="{C5F0B96A-A575-48A3-988A-96868B3842FF}" presName="rootText" presStyleLbl="node3" presStyleIdx="8" presStyleCnt="36" custScaleX="207455" custScaleY="152507" custLinFactNeighborX="-8021" custLinFactNeighborY="29670">
        <dgm:presLayoutVars>
          <dgm:chPref val="3"/>
        </dgm:presLayoutVars>
      </dgm:prSet>
      <dgm:spPr/>
    </dgm:pt>
    <dgm:pt modelId="{EE2E1F48-D8E2-4DBB-BEED-FC3ADD31836E}" type="pres">
      <dgm:prSet presAssocID="{C5F0B96A-A575-48A3-988A-96868B3842FF}" presName="rootConnector" presStyleLbl="node3" presStyleIdx="8" presStyleCnt="36"/>
      <dgm:spPr/>
    </dgm:pt>
    <dgm:pt modelId="{B32A7BF6-63D6-4EE4-8111-A06540E7045C}" type="pres">
      <dgm:prSet presAssocID="{C5F0B96A-A575-48A3-988A-96868B3842FF}" presName="hierChild4" presStyleCnt="0"/>
      <dgm:spPr/>
    </dgm:pt>
    <dgm:pt modelId="{83460E33-FA34-4F0A-ABA7-E7C7BE373402}" type="pres">
      <dgm:prSet presAssocID="{C5F0B96A-A575-48A3-988A-96868B3842FF}" presName="hierChild5" presStyleCnt="0"/>
      <dgm:spPr/>
    </dgm:pt>
    <dgm:pt modelId="{647F2A7F-A133-4193-BF37-41A98E9AE399}" type="pres">
      <dgm:prSet presAssocID="{F23F9B4E-084A-4AAC-AACF-8F26CD335DF5}" presName="Name37" presStyleLbl="parChTrans1D3" presStyleIdx="9" presStyleCnt="36"/>
      <dgm:spPr/>
    </dgm:pt>
    <dgm:pt modelId="{31F4CBCD-8713-4E26-BBAA-7D0852DF8879}" type="pres">
      <dgm:prSet presAssocID="{FBC789F5-9F9D-4FCB-98BD-A3E208DAB147}" presName="hierRoot2" presStyleCnt="0">
        <dgm:presLayoutVars>
          <dgm:hierBranch val="init"/>
        </dgm:presLayoutVars>
      </dgm:prSet>
      <dgm:spPr/>
    </dgm:pt>
    <dgm:pt modelId="{431BA04E-D342-4AB5-AF2D-339A92F629CB}" type="pres">
      <dgm:prSet presAssocID="{FBC789F5-9F9D-4FCB-98BD-A3E208DAB147}" presName="rootComposite" presStyleCnt="0"/>
      <dgm:spPr/>
    </dgm:pt>
    <dgm:pt modelId="{8EFA38DB-7372-4EF3-94A9-14D2F01FACFE}" type="pres">
      <dgm:prSet presAssocID="{FBC789F5-9F9D-4FCB-98BD-A3E208DAB147}" presName="rootText" presStyleLbl="node3" presStyleIdx="9" presStyleCnt="36" custScaleX="207455" custScaleY="152507" custLinFactNeighborX="-8021" custLinFactNeighborY="35604">
        <dgm:presLayoutVars>
          <dgm:chPref val="3"/>
        </dgm:presLayoutVars>
      </dgm:prSet>
      <dgm:spPr/>
    </dgm:pt>
    <dgm:pt modelId="{F0FBC33A-0974-4CF3-961C-D01F841321DD}" type="pres">
      <dgm:prSet presAssocID="{FBC789F5-9F9D-4FCB-98BD-A3E208DAB147}" presName="rootConnector" presStyleLbl="node3" presStyleIdx="9" presStyleCnt="36"/>
      <dgm:spPr/>
    </dgm:pt>
    <dgm:pt modelId="{613551DC-C035-4CE4-890A-3E64C592023D}" type="pres">
      <dgm:prSet presAssocID="{FBC789F5-9F9D-4FCB-98BD-A3E208DAB147}" presName="hierChild4" presStyleCnt="0"/>
      <dgm:spPr/>
    </dgm:pt>
    <dgm:pt modelId="{DC7A5C71-5EA0-4FD2-886E-BA00FD792F31}" type="pres">
      <dgm:prSet presAssocID="{FBC789F5-9F9D-4FCB-98BD-A3E208DAB147}" presName="hierChild5" presStyleCnt="0"/>
      <dgm:spPr/>
    </dgm:pt>
    <dgm:pt modelId="{A4416B43-F3A4-4973-A232-A705A548F85A}" type="pres">
      <dgm:prSet presAssocID="{3940DA0E-41B9-4888-B3E7-28214BCF8D9B}" presName="Name37" presStyleLbl="parChTrans1D3" presStyleIdx="10" presStyleCnt="36"/>
      <dgm:spPr/>
    </dgm:pt>
    <dgm:pt modelId="{3F9C50BB-B39B-4AEA-A6B1-3DF347432C67}" type="pres">
      <dgm:prSet presAssocID="{A15614BF-5CEB-4D67-B306-D3314BE68D26}" presName="hierRoot2" presStyleCnt="0">
        <dgm:presLayoutVars>
          <dgm:hierBranch val="init"/>
        </dgm:presLayoutVars>
      </dgm:prSet>
      <dgm:spPr/>
    </dgm:pt>
    <dgm:pt modelId="{308376A6-3930-4807-AAE3-2A02D2D5268A}" type="pres">
      <dgm:prSet presAssocID="{A15614BF-5CEB-4D67-B306-D3314BE68D26}" presName="rootComposite" presStyleCnt="0"/>
      <dgm:spPr/>
    </dgm:pt>
    <dgm:pt modelId="{4B8036C8-82F6-4CAC-9705-E438507AC395}" type="pres">
      <dgm:prSet presAssocID="{A15614BF-5CEB-4D67-B306-D3314BE68D26}" presName="rootText" presStyleLbl="node3" presStyleIdx="10" presStyleCnt="36" custScaleX="207455" custScaleY="152507" custLinFactNeighborX="-5055" custLinFactNeighborY="47472">
        <dgm:presLayoutVars>
          <dgm:chPref val="3"/>
        </dgm:presLayoutVars>
      </dgm:prSet>
      <dgm:spPr/>
    </dgm:pt>
    <dgm:pt modelId="{4AF6D63D-FDCA-49E5-BB65-DF2D7246EF51}" type="pres">
      <dgm:prSet presAssocID="{A15614BF-5CEB-4D67-B306-D3314BE68D26}" presName="rootConnector" presStyleLbl="node3" presStyleIdx="10" presStyleCnt="36"/>
      <dgm:spPr/>
    </dgm:pt>
    <dgm:pt modelId="{5C0384CC-B3B7-48B8-A011-FDCFCD06668E}" type="pres">
      <dgm:prSet presAssocID="{A15614BF-5CEB-4D67-B306-D3314BE68D26}" presName="hierChild4" presStyleCnt="0"/>
      <dgm:spPr/>
    </dgm:pt>
    <dgm:pt modelId="{A449278A-E27D-4572-806E-1FC8F429B4EB}" type="pres">
      <dgm:prSet presAssocID="{A15614BF-5CEB-4D67-B306-D3314BE68D26}" presName="hierChild5" presStyleCnt="0"/>
      <dgm:spPr/>
    </dgm:pt>
    <dgm:pt modelId="{4D7DA46E-0BF2-4295-9AD5-E7231B6FBE5D}" type="pres">
      <dgm:prSet presAssocID="{658E3A9E-66A2-4346-BCEC-4375FA80156E}" presName="Name37" presStyleLbl="parChTrans1D3" presStyleIdx="11" presStyleCnt="36"/>
      <dgm:spPr/>
    </dgm:pt>
    <dgm:pt modelId="{6BB6A107-FC1D-4323-ADE8-A2A4934A0E2B}" type="pres">
      <dgm:prSet presAssocID="{21707E9C-756F-49C7-8A2B-CFCBD71737BB}" presName="hierRoot2" presStyleCnt="0">
        <dgm:presLayoutVars>
          <dgm:hierBranch val="init"/>
        </dgm:presLayoutVars>
      </dgm:prSet>
      <dgm:spPr/>
    </dgm:pt>
    <dgm:pt modelId="{8E615908-5FA0-43F1-B382-A9FC6441C876}" type="pres">
      <dgm:prSet presAssocID="{21707E9C-756F-49C7-8A2B-CFCBD71737BB}" presName="rootComposite" presStyleCnt="0"/>
      <dgm:spPr/>
    </dgm:pt>
    <dgm:pt modelId="{4A3627A3-97A7-4455-998E-33BC47472C19}" type="pres">
      <dgm:prSet presAssocID="{21707E9C-756F-49C7-8A2B-CFCBD71737BB}" presName="rootText" presStyleLbl="node3" presStyleIdx="11" presStyleCnt="36" custScaleX="207455" custScaleY="152507" custLinFactNeighborX="4450" custLinFactNeighborY="80108">
        <dgm:presLayoutVars>
          <dgm:chPref val="3"/>
        </dgm:presLayoutVars>
      </dgm:prSet>
      <dgm:spPr/>
    </dgm:pt>
    <dgm:pt modelId="{50B422BA-925B-42BF-9337-3D961FB7C327}" type="pres">
      <dgm:prSet presAssocID="{21707E9C-756F-49C7-8A2B-CFCBD71737BB}" presName="rootConnector" presStyleLbl="node3" presStyleIdx="11" presStyleCnt="36"/>
      <dgm:spPr/>
    </dgm:pt>
    <dgm:pt modelId="{99E75F16-2E77-4339-A134-9220014A24EB}" type="pres">
      <dgm:prSet presAssocID="{21707E9C-756F-49C7-8A2B-CFCBD71737BB}" presName="hierChild4" presStyleCnt="0"/>
      <dgm:spPr/>
    </dgm:pt>
    <dgm:pt modelId="{785C9942-3C01-48FB-B4DF-E5A4DA7090E7}" type="pres">
      <dgm:prSet presAssocID="{21707E9C-756F-49C7-8A2B-CFCBD71737BB}" presName="hierChild5" presStyleCnt="0"/>
      <dgm:spPr/>
    </dgm:pt>
    <dgm:pt modelId="{FFB289A8-7FB7-4E72-8B87-1A9FC73E3A80}" type="pres">
      <dgm:prSet presAssocID="{E2075C35-04A8-466E-AEED-5D3277B5A90A}" presName="hierChild5" presStyleCnt="0"/>
      <dgm:spPr/>
    </dgm:pt>
    <dgm:pt modelId="{A974865C-4AAC-4F63-8401-750EBF08F041}" type="pres">
      <dgm:prSet presAssocID="{44591BC8-1AE4-4203-B251-4BF042D57FB8}" presName="Name37" presStyleLbl="parChTrans1D2" presStyleIdx="2" presStyleCnt="6"/>
      <dgm:spPr/>
    </dgm:pt>
    <dgm:pt modelId="{FEE0FA5E-00A4-41D8-AB1C-AA4586D37F11}" type="pres">
      <dgm:prSet presAssocID="{3F3357F7-4B5D-4628-A1A8-7502CC353783}" presName="hierRoot2" presStyleCnt="0">
        <dgm:presLayoutVars>
          <dgm:hierBranch val="init"/>
        </dgm:presLayoutVars>
      </dgm:prSet>
      <dgm:spPr/>
    </dgm:pt>
    <dgm:pt modelId="{0A5465EC-9D64-45D6-A634-820BA7B4AE2B}" type="pres">
      <dgm:prSet presAssocID="{3F3357F7-4B5D-4628-A1A8-7502CC353783}" presName="rootComposite" presStyleCnt="0"/>
      <dgm:spPr/>
    </dgm:pt>
    <dgm:pt modelId="{18D7EB7E-5345-47F5-A003-6DAA02A6F959}" type="pres">
      <dgm:prSet presAssocID="{3F3357F7-4B5D-4628-A1A8-7502CC353783}" presName="rootText" presStyleLbl="node2" presStyleIdx="2" presStyleCnt="6" custScaleX="245210" custScaleY="168520">
        <dgm:presLayoutVars>
          <dgm:chPref val="3"/>
        </dgm:presLayoutVars>
      </dgm:prSet>
      <dgm:spPr/>
    </dgm:pt>
    <dgm:pt modelId="{14ECF5AB-F12D-4C1A-9BDE-E5F8D27CC289}" type="pres">
      <dgm:prSet presAssocID="{3F3357F7-4B5D-4628-A1A8-7502CC353783}" presName="rootConnector" presStyleLbl="node2" presStyleIdx="2" presStyleCnt="6"/>
      <dgm:spPr/>
    </dgm:pt>
    <dgm:pt modelId="{DBDCAAA8-C1BC-464F-9DDC-4F4DD51E07B8}" type="pres">
      <dgm:prSet presAssocID="{3F3357F7-4B5D-4628-A1A8-7502CC353783}" presName="hierChild4" presStyleCnt="0"/>
      <dgm:spPr/>
    </dgm:pt>
    <dgm:pt modelId="{FC1C23FE-41C3-45AB-B919-B5AEFCF7E4A0}" type="pres">
      <dgm:prSet presAssocID="{AF3C95EC-2FD9-403C-A2F6-972AE545C6A9}" presName="Name37" presStyleLbl="parChTrans1D3" presStyleIdx="12" presStyleCnt="36"/>
      <dgm:spPr/>
    </dgm:pt>
    <dgm:pt modelId="{B07E5FBA-853A-4722-8233-6CF6E72C6F4D}" type="pres">
      <dgm:prSet presAssocID="{7DD9B6E2-B271-4E30-8530-F0FFC7508F3F}" presName="hierRoot2" presStyleCnt="0">
        <dgm:presLayoutVars>
          <dgm:hierBranch val="init"/>
        </dgm:presLayoutVars>
      </dgm:prSet>
      <dgm:spPr/>
    </dgm:pt>
    <dgm:pt modelId="{85F8D879-F237-47AF-B3E9-86F453639ABB}" type="pres">
      <dgm:prSet presAssocID="{7DD9B6E2-B271-4E30-8530-F0FFC7508F3F}" presName="rootComposite" presStyleCnt="0"/>
      <dgm:spPr/>
    </dgm:pt>
    <dgm:pt modelId="{67BD0060-BFB1-4C4A-9D5B-6E6E87609C6C}" type="pres">
      <dgm:prSet presAssocID="{7DD9B6E2-B271-4E30-8530-F0FFC7508F3F}" presName="rootText" presStyleLbl="node3" presStyleIdx="12" presStyleCnt="36" custAng="60000" custScaleX="207455" custScaleY="152507" custLinFactNeighborX="-12472" custLinFactNeighborY="20769">
        <dgm:presLayoutVars>
          <dgm:chPref val="3"/>
        </dgm:presLayoutVars>
      </dgm:prSet>
      <dgm:spPr/>
    </dgm:pt>
    <dgm:pt modelId="{96518F74-4F11-437D-A2B6-A7469A744A9A}" type="pres">
      <dgm:prSet presAssocID="{7DD9B6E2-B271-4E30-8530-F0FFC7508F3F}" presName="rootConnector" presStyleLbl="node3" presStyleIdx="12" presStyleCnt="36"/>
      <dgm:spPr/>
    </dgm:pt>
    <dgm:pt modelId="{4D242C7A-E775-4011-B353-68E6D193D297}" type="pres">
      <dgm:prSet presAssocID="{7DD9B6E2-B271-4E30-8530-F0FFC7508F3F}" presName="hierChild4" presStyleCnt="0"/>
      <dgm:spPr/>
    </dgm:pt>
    <dgm:pt modelId="{864A8151-C91F-4B19-8CA8-65447D47AC96}" type="pres">
      <dgm:prSet presAssocID="{7DD9B6E2-B271-4E30-8530-F0FFC7508F3F}" presName="hierChild5" presStyleCnt="0"/>
      <dgm:spPr/>
    </dgm:pt>
    <dgm:pt modelId="{ED94DFB4-543B-4805-8D2B-6695EC59E5AF}" type="pres">
      <dgm:prSet presAssocID="{B5FE1B7C-2D58-4AE8-96AF-581A3D339B6D}" presName="Name37" presStyleLbl="parChTrans1D3" presStyleIdx="13" presStyleCnt="36"/>
      <dgm:spPr/>
    </dgm:pt>
    <dgm:pt modelId="{AB9A0C88-A7A1-4224-9DB6-1220B771A881}" type="pres">
      <dgm:prSet presAssocID="{56758184-E51D-4231-A1FE-F35C27316928}" presName="hierRoot2" presStyleCnt="0">
        <dgm:presLayoutVars>
          <dgm:hierBranch val="init"/>
        </dgm:presLayoutVars>
      </dgm:prSet>
      <dgm:spPr/>
    </dgm:pt>
    <dgm:pt modelId="{270DE9D8-888B-4BB9-B0E6-9D449C7B0BEE}" type="pres">
      <dgm:prSet presAssocID="{56758184-E51D-4231-A1FE-F35C27316928}" presName="rootComposite" presStyleCnt="0"/>
      <dgm:spPr/>
    </dgm:pt>
    <dgm:pt modelId="{5451555C-535D-4995-B08E-92BDE4EE9F4E}" type="pres">
      <dgm:prSet presAssocID="{56758184-E51D-4231-A1FE-F35C27316928}" presName="rootText" presStyleLbl="node3" presStyleIdx="13" presStyleCnt="36" custAng="60000" custScaleX="207455" custScaleY="152507" custLinFactNeighborX="-6538">
        <dgm:presLayoutVars>
          <dgm:chPref val="3"/>
        </dgm:presLayoutVars>
      </dgm:prSet>
      <dgm:spPr/>
    </dgm:pt>
    <dgm:pt modelId="{98AB874C-9D50-49AD-A1E1-FECCB00C7FAA}" type="pres">
      <dgm:prSet presAssocID="{56758184-E51D-4231-A1FE-F35C27316928}" presName="rootConnector" presStyleLbl="node3" presStyleIdx="13" presStyleCnt="36"/>
      <dgm:spPr/>
    </dgm:pt>
    <dgm:pt modelId="{DF40D6F2-C7A3-4C3B-B06C-FFCFC3169665}" type="pres">
      <dgm:prSet presAssocID="{56758184-E51D-4231-A1FE-F35C27316928}" presName="hierChild4" presStyleCnt="0"/>
      <dgm:spPr/>
    </dgm:pt>
    <dgm:pt modelId="{E6D78B30-3EAD-4309-8DBC-744ABF9A9F04}" type="pres">
      <dgm:prSet presAssocID="{56758184-E51D-4231-A1FE-F35C27316928}" presName="hierChild5" presStyleCnt="0"/>
      <dgm:spPr/>
    </dgm:pt>
    <dgm:pt modelId="{0B8C700B-8527-409D-ADF9-BFF88DA7E80C}" type="pres">
      <dgm:prSet presAssocID="{39C5FE85-32DD-462E-8D23-03C3DDEA20B9}" presName="Name37" presStyleLbl="parChTrans1D3" presStyleIdx="14" presStyleCnt="36"/>
      <dgm:spPr/>
    </dgm:pt>
    <dgm:pt modelId="{A44EAD65-1180-474B-9932-864F69D248A2}" type="pres">
      <dgm:prSet presAssocID="{EA739FF8-B294-456B-B07A-B32298D14275}" presName="hierRoot2" presStyleCnt="0">
        <dgm:presLayoutVars>
          <dgm:hierBranch val="init"/>
        </dgm:presLayoutVars>
      </dgm:prSet>
      <dgm:spPr/>
    </dgm:pt>
    <dgm:pt modelId="{3D98EC16-D683-4773-9709-3132C2BA6BE0}" type="pres">
      <dgm:prSet presAssocID="{EA739FF8-B294-456B-B07A-B32298D14275}" presName="rootComposite" presStyleCnt="0"/>
      <dgm:spPr/>
    </dgm:pt>
    <dgm:pt modelId="{67112E2D-DA08-4C12-BA18-598F9B59C2DD}" type="pres">
      <dgm:prSet presAssocID="{EA739FF8-B294-456B-B07A-B32298D14275}" presName="rootText" presStyleLbl="node3" presStyleIdx="14" presStyleCnt="36" custAng="60000" custScaleX="207455" custScaleY="152507" custLinFactNeighborX="-6538">
        <dgm:presLayoutVars>
          <dgm:chPref val="3"/>
        </dgm:presLayoutVars>
      </dgm:prSet>
      <dgm:spPr/>
    </dgm:pt>
    <dgm:pt modelId="{12D47608-971A-4760-9862-9A137244C989}" type="pres">
      <dgm:prSet presAssocID="{EA739FF8-B294-456B-B07A-B32298D14275}" presName="rootConnector" presStyleLbl="node3" presStyleIdx="14" presStyleCnt="36"/>
      <dgm:spPr/>
    </dgm:pt>
    <dgm:pt modelId="{4AED43CD-31C5-4022-8320-197F7917098A}" type="pres">
      <dgm:prSet presAssocID="{EA739FF8-B294-456B-B07A-B32298D14275}" presName="hierChild4" presStyleCnt="0"/>
      <dgm:spPr/>
    </dgm:pt>
    <dgm:pt modelId="{7AF084A5-28F9-4954-B6C1-10F1AB251456}" type="pres">
      <dgm:prSet presAssocID="{EA739FF8-B294-456B-B07A-B32298D14275}" presName="hierChild5" presStyleCnt="0"/>
      <dgm:spPr/>
    </dgm:pt>
    <dgm:pt modelId="{7A5EFE90-79A7-45A5-998C-98AA3A25E535}" type="pres">
      <dgm:prSet presAssocID="{C6102B0F-7854-426C-92B3-2AE27B490B33}" presName="Name37" presStyleLbl="parChTrans1D3" presStyleIdx="15" presStyleCnt="36"/>
      <dgm:spPr/>
    </dgm:pt>
    <dgm:pt modelId="{D0915C85-8D46-47BF-A4EB-A9D5E2C03223}" type="pres">
      <dgm:prSet presAssocID="{DB7CACC7-5EC9-4B8D-96B4-EF600082F3F7}" presName="hierRoot2" presStyleCnt="0">
        <dgm:presLayoutVars>
          <dgm:hierBranch val="init"/>
        </dgm:presLayoutVars>
      </dgm:prSet>
      <dgm:spPr/>
    </dgm:pt>
    <dgm:pt modelId="{479631B7-3BC0-40CC-9C72-E67CB641C124}" type="pres">
      <dgm:prSet presAssocID="{DB7CACC7-5EC9-4B8D-96B4-EF600082F3F7}" presName="rootComposite" presStyleCnt="0"/>
      <dgm:spPr/>
    </dgm:pt>
    <dgm:pt modelId="{450069CF-7114-46AF-B948-B59BD7BD3248}" type="pres">
      <dgm:prSet presAssocID="{DB7CACC7-5EC9-4B8D-96B4-EF600082F3F7}" presName="rootText" presStyleLbl="node3" presStyleIdx="15" presStyleCnt="36" custAng="60000" custScaleX="207455" custScaleY="152507" custLinFactNeighborX="-6538">
        <dgm:presLayoutVars>
          <dgm:chPref val="3"/>
        </dgm:presLayoutVars>
      </dgm:prSet>
      <dgm:spPr/>
    </dgm:pt>
    <dgm:pt modelId="{DF59B64D-B8F5-4CBC-B522-C117940BEBC4}" type="pres">
      <dgm:prSet presAssocID="{DB7CACC7-5EC9-4B8D-96B4-EF600082F3F7}" presName="rootConnector" presStyleLbl="node3" presStyleIdx="15" presStyleCnt="36"/>
      <dgm:spPr/>
    </dgm:pt>
    <dgm:pt modelId="{6345127E-510B-45C4-A1EC-E1832DAFDCB4}" type="pres">
      <dgm:prSet presAssocID="{DB7CACC7-5EC9-4B8D-96B4-EF600082F3F7}" presName="hierChild4" presStyleCnt="0"/>
      <dgm:spPr/>
    </dgm:pt>
    <dgm:pt modelId="{CB40CC88-B9AA-4CF6-954A-09848908972D}" type="pres">
      <dgm:prSet presAssocID="{DB7CACC7-5EC9-4B8D-96B4-EF600082F3F7}" presName="hierChild5" presStyleCnt="0"/>
      <dgm:spPr/>
    </dgm:pt>
    <dgm:pt modelId="{49442FAC-B0E9-4BAD-861B-AEA4355561EE}" type="pres">
      <dgm:prSet presAssocID="{23FDE87F-8181-442A-B062-9B31B775BC56}" presName="Name37" presStyleLbl="parChTrans1D3" presStyleIdx="16" presStyleCnt="36"/>
      <dgm:spPr/>
    </dgm:pt>
    <dgm:pt modelId="{BE36E480-C167-4AD3-9D39-2BDDE28D2FCE}" type="pres">
      <dgm:prSet presAssocID="{A364AF1D-E42E-45AF-B842-6159BFA8C7B9}" presName="hierRoot2" presStyleCnt="0">
        <dgm:presLayoutVars>
          <dgm:hierBranch val="init"/>
        </dgm:presLayoutVars>
      </dgm:prSet>
      <dgm:spPr/>
    </dgm:pt>
    <dgm:pt modelId="{AE7A26D8-46C7-4B04-8483-C1BD2A7E3C14}" type="pres">
      <dgm:prSet presAssocID="{A364AF1D-E42E-45AF-B842-6159BFA8C7B9}" presName="rootComposite" presStyleCnt="0"/>
      <dgm:spPr/>
    </dgm:pt>
    <dgm:pt modelId="{0A0D7290-3BF8-4E1B-AF58-EEEFB663DEAB}" type="pres">
      <dgm:prSet presAssocID="{A364AF1D-E42E-45AF-B842-6159BFA8C7B9}" presName="rootText" presStyleLbl="node3" presStyleIdx="16" presStyleCnt="36" custAng="60000" custScaleX="207455" custScaleY="152507" custLinFactNeighborX="-604" custLinFactNeighborY="35604">
        <dgm:presLayoutVars>
          <dgm:chPref val="3"/>
        </dgm:presLayoutVars>
      </dgm:prSet>
      <dgm:spPr/>
    </dgm:pt>
    <dgm:pt modelId="{4CA1BCDE-C91A-4827-AD61-80C4BDB2B836}" type="pres">
      <dgm:prSet presAssocID="{A364AF1D-E42E-45AF-B842-6159BFA8C7B9}" presName="rootConnector" presStyleLbl="node3" presStyleIdx="16" presStyleCnt="36"/>
      <dgm:spPr/>
    </dgm:pt>
    <dgm:pt modelId="{F38F6212-48FF-463E-B9A7-FB0408902497}" type="pres">
      <dgm:prSet presAssocID="{A364AF1D-E42E-45AF-B842-6159BFA8C7B9}" presName="hierChild4" presStyleCnt="0"/>
      <dgm:spPr/>
    </dgm:pt>
    <dgm:pt modelId="{0D041C48-43CB-4E57-B84A-F832A4E0B4E1}" type="pres">
      <dgm:prSet presAssocID="{A364AF1D-E42E-45AF-B842-6159BFA8C7B9}" presName="hierChild5" presStyleCnt="0"/>
      <dgm:spPr/>
    </dgm:pt>
    <dgm:pt modelId="{BD64C209-A7B0-47B9-A859-89497615BB8D}" type="pres">
      <dgm:prSet presAssocID="{AC135556-31BF-44F2-8873-1191AAC5AD3E}" presName="Name37" presStyleLbl="parChTrans1D3" presStyleIdx="17" presStyleCnt="36"/>
      <dgm:spPr/>
    </dgm:pt>
    <dgm:pt modelId="{DC678C6B-A706-4E55-9339-2F82E726CF1A}" type="pres">
      <dgm:prSet presAssocID="{D38C2767-0E30-4FB6-A12F-96B1C5EC5ACD}" presName="hierRoot2" presStyleCnt="0">
        <dgm:presLayoutVars>
          <dgm:hierBranch val="init"/>
        </dgm:presLayoutVars>
      </dgm:prSet>
      <dgm:spPr/>
    </dgm:pt>
    <dgm:pt modelId="{754A9F5B-6B64-4FAA-9219-44D2BF6EF7D1}" type="pres">
      <dgm:prSet presAssocID="{D38C2767-0E30-4FB6-A12F-96B1C5EC5ACD}" presName="rootComposite" presStyleCnt="0"/>
      <dgm:spPr/>
    </dgm:pt>
    <dgm:pt modelId="{A9181D67-06C7-48A4-910B-0FB4C3B9B53D}" type="pres">
      <dgm:prSet presAssocID="{D38C2767-0E30-4FB6-A12F-96B1C5EC5ACD}" presName="rootText" presStyleLbl="node3" presStyleIdx="17" presStyleCnt="36" custScaleX="207455" custScaleY="152508" custLinFactNeighborX="13351" custLinFactNeighborY="86043">
        <dgm:presLayoutVars>
          <dgm:chPref val="3"/>
        </dgm:presLayoutVars>
      </dgm:prSet>
      <dgm:spPr/>
    </dgm:pt>
    <dgm:pt modelId="{3E7608C9-1BF5-4B36-AAAD-19D61152C89B}" type="pres">
      <dgm:prSet presAssocID="{D38C2767-0E30-4FB6-A12F-96B1C5EC5ACD}" presName="rootConnector" presStyleLbl="node3" presStyleIdx="17" presStyleCnt="36"/>
      <dgm:spPr/>
    </dgm:pt>
    <dgm:pt modelId="{54FA8ABD-8EE2-4C8E-AF0F-E6E5C06705FC}" type="pres">
      <dgm:prSet presAssocID="{D38C2767-0E30-4FB6-A12F-96B1C5EC5ACD}" presName="hierChild4" presStyleCnt="0"/>
      <dgm:spPr/>
    </dgm:pt>
    <dgm:pt modelId="{E6ED8DE2-CF4D-47A4-9B88-6C9B0BFD0B80}" type="pres">
      <dgm:prSet presAssocID="{D38C2767-0E30-4FB6-A12F-96B1C5EC5ACD}" presName="hierChild5" presStyleCnt="0"/>
      <dgm:spPr/>
    </dgm:pt>
    <dgm:pt modelId="{6A072BC7-B881-493B-AD0D-CDD56EE18CBB}" type="pres">
      <dgm:prSet presAssocID="{3F3357F7-4B5D-4628-A1A8-7502CC353783}" presName="hierChild5" presStyleCnt="0"/>
      <dgm:spPr/>
    </dgm:pt>
    <dgm:pt modelId="{4B4A3709-AA75-4971-921B-CAC4A33225CC}" type="pres">
      <dgm:prSet presAssocID="{1EDA062A-9AE5-4A51-90C7-F5F58C4180FE}" presName="Name37" presStyleLbl="parChTrans1D2" presStyleIdx="3" presStyleCnt="6"/>
      <dgm:spPr/>
    </dgm:pt>
    <dgm:pt modelId="{47D8AAF7-3DE1-4F00-8587-467D065E780E}" type="pres">
      <dgm:prSet presAssocID="{12769DC2-3E6F-47DC-8299-CD864B2ADFD6}" presName="hierRoot2" presStyleCnt="0">
        <dgm:presLayoutVars>
          <dgm:hierBranch val="init"/>
        </dgm:presLayoutVars>
      </dgm:prSet>
      <dgm:spPr/>
    </dgm:pt>
    <dgm:pt modelId="{29CBCBA3-9A84-4E67-AE65-EEE179EEC833}" type="pres">
      <dgm:prSet presAssocID="{12769DC2-3E6F-47DC-8299-CD864B2ADFD6}" presName="rootComposite" presStyleCnt="0"/>
      <dgm:spPr/>
    </dgm:pt>
    <dgm:pt modelId="{EBDC4F41-BB02-4045-BB2C-0F561DCA0C10}" type="pres">
      <dgm:prSet presAssocID="{12769DC2-3E6F-47DC-8299-CD864B2ADFD6}" presName="rootText" presStyleLbl="node2" presStyleIdx="3" presStyleCnt="6" custScaleX="245210" custScaleY="168520">
        <dgm:presLayoutVars>
          <dgm:chPref val="3"/>
        </dgm:presLayoutVars>
      </dgm:prSet>
      <dgm:spPr/>
    </dgm:pt>
    <dgm:pt modelId="{7BCBB919-E96F-42D4-BA5F-2446C6D9C71A}" type="pres">
      <dgm:prSet presAssocID="{12769DC2-3E6F-47DC-8299-CD864B2ADFD6}" presName="rootConnector" presStyleLbl="node2" presStyleIdx="3" presStyleCnt="6"/>
      <dgm:spPr/>
    </dgm:pt>
    <dgm:pt modelId="{43280E03-1FB3-4E9D-B52E-EA740400CD98}" type="pres">
      <dgm:prSet presAssocID="{12769DC2-3E6F-47DC-8299-CD864B2ADFD6}" presName="hierChild4" presStyleCnt="0"/>
      <dgm:spPr/>
    </dgm:pt>
    <dgm:pt modelId="{96BFC465-8166-421C-9903-E801C6A495F4}" type="pres">
      <dgm:prSet presAssocID="{9D236FE8-B5DB-42B2-83A0-8A85E57D18D6}" presName="Name37" presStyleLbl="parChTrans1D3" presStyleIdx="18" presStyleCnt="36"/>
      <dgm:spPr/>
    </dgm:pt>
    <dgm:pt modelId="{9FE58E93-0DB9-444A-BC5D-7057BA79A88D}" type="pres">
      <dgm:prSet presAssocID="{AB76204E-2E1E-4483-B659-02F8E8BD8E3A}" presName="hierRoot2" presStyleCnt="0">
        <dgm:presLayoutVars>
          <dgm:hierBranch val="init"/>
        </dgm:presLayoutVars>
      </dgm:prSet>
      <dgm:spPr/>
    </dgm:pt>
    <dgm:pt modelId="{565A487E-9E09-4ED1-9070-3D2C30FC8F80}" type="pres">
      <dgm:prSet presAssocID="{AB76204E-2E1E-4483-B659-02F8E8BD8E3A}" presName="rootComposite" presStyleCnt="0"/>
      <dgm:spPr/>
    </dgm:pt>
    <dgm:pt modelId="{647420B5-B7F6-41E1-AC34-55D8867088E7}" type="pres">
      <dgm:prSet presAssocID="{AB76204E-2E1E-4483-B659-02F8E8BD8E3A}" presName="rootText" presStyleLbl="node3" presStyleIdx="18" presStyleCnt="36" custScaleX="207455" custScaleY="152507" custLinFactNeighborX="-10988" custLinFactNeighborY="17802">
        <dgm:presLayoutVars>
          <dgm:chPref val="3"/>
        </dgm:presLayoutVars>
      </dgm:prSet>
      <dgm:spPr/>
    </dgm:pt>
    <dgm:pt modelId="{2AA0D326-14A0-4FFF-AA6C-042CD260C778}" type="pres">
      <dgm:prSet presAssocID="{AB76204E-2E1E-4483-B659-02F8E8BD8E3A}" presName="rootConnector" presStyleLbl="node3" presStyleIdx="18" presStyleCnt="36"/>
      <dgm:spPr/>
    </dgm:pt>
    <dgm:pt modelId="{C16A6238-679E-4BA6-B31F-76D0DF27624F}" type="pres">
      <dgm:prSet presAssocID="{AB76204E-2E1E-4483-B659-02F8E8BD8E3A}" presName="hierChild4" presStyleCnt="0"/>
      <dgm:spPr/>
    </dgm:pt>
    <dgm:pt modelId="{9FDA9C82-B287-452D-804B-E818F8F1B6D7}" type="pres">
      <dgm:prSet presAssocID="{AB76204E-2E1E-4483-B659-02F8E8BD8E3A}" presName="hierChild5" presStyleCnt="0"/>
      <dgm:spPr/>
    </dgm:pt>
    <dgm:pt modelId="{EF40F13B-2C5A-41A4-9FFF-CA4653B01B3B}" type="pres">
      <dgm:prSet presAssocID="{4E92F089-AA5E-42E6-8F33-FE692A0C9628}" presName="Name37" presStyleLbl="parChTrans1D3" presStyleIdx="19" presStyleCnt="36"/>
      <dgm:spPr/>
    </dgm:pt>
    <dgm:pt modelId="{687001A3-D3CC-4AB1-84C4-16CB10BD9A2C}" type="pres">
      <dgm:prSet presAssocID="{A2EEF95F-6FCB-462B-A18E-D01951D1EB2D}" presName="hierRoot2" presStyleCnt="0">
        <dgm:presLayoutVars>
          <dgm:hierBranch val="init"/>
        </dgm:presLayoutVars>
      </dgm:prSet>
      <dgm:spPr/>
    </dgm:pt>
    <dgm:pt modelId="{2640AFD9-A105-4927-8D49-A4911DAEB8A6}" type="pres">
      <dgm:prSet presAssocID="{A2EEF95F-6FCB-462B-A18E-D01951D1EB2D}" presName="rootComposite" presStyleCnt="0"/>
      <dgm:spPr/>
    </dgm:pt>
    <dgm:pt modelId="{ABC7BB64-A90A-4CB7-9105-0A2AC9805564}" type="pres">
      <dgm:prSet presAssocID="{A2EEF95F-6FCB-462B-A18E-D01951D1EB2D}" presName="rootText" presStyleLbl="node3" presStyleIdx="19" presStyleCnt="36" custScaleX="207455" custScaleY="152507" custLinFactNeighborX="-9505" custLinFactNeighborY="17802">
        <dgm:presLayoutVars>
          <dgm:chPref val="3"/>
        </dgm:presLayoutVars>
      </dgm:prSet>
      <dgm:spPr/>
    </dgm:pt>
    <dgm:pt modelId="{FF3F3098-1EE8-47DE-A756-7FCF6D81535A}" type="pres">
      <dgm:prSet presAssocID="{A2EEF95F-6FCB-462B-A18E-D01951D1EB2D}" presName="rootConnector" presStyleLbl="node3" presStyleIdx="19" presStyleCnt="36"/>
      <dgm:spPr/>
    </dgm:pt>
    <dgm:pt modelId="{B21E56AF-F838-42B0-B06B-68B9B29854D0}" type="pres">
      <dgm:prSet presAssocID="{A2EEF95F-6FCB-462B-A18E-D01951D1EB2D}" presName="hierChild4" presStyleCnt="0"/>
      <dgm:spPr/>
    </dgm:pt>
    <dgm:pt modelId="{296DDADC-4797-42A4-AEEE-50AD6B51ED36}" type="pres">
      <dgm:prSet presAssocID="{A2EEF95F-6FCB-462B-A18E-D01951D1EB2D}" presName="hierChild5" presStyleCnt="0"/>
      <dgm:spPr/>
    </dgm:pt>
    <dgm:pt modelId="{F8DF4927-B0E2-4A18-B576-0CEAC6685F51}" type="pres">
      <dgm:prSet presAssocID="{D78B9227-C856-4685-9B63-ED38AD2B7C9E}" presName="Name37" presStyleLbl="parChTrans1D3" presStyleIdx="20" presStyleCnt="36"/>
      <dgm:spPr/>
    </dgm:pt>
    <dgm:pt modelId="{6CA202BA-0547-482E-BDB3-FA2EF0455FAC}" type="pres">
      <dgm:prSet presAssocID="{BB19C4C0-C836-4CD8-A7C4-A0225D3257FB}" presName="hierRoot2" presStyleCnt="0">
        <dgm:presLayoutVars>
          <dgm:hierBranch val="init"/>
        </dgm:presLayoutVars>
      </dgm:prSet>
      <dgm:spPr/>
    </dgm:pt>
    <dgm:pt modelId="{8555C65F-DEC2-4828-BA48-3DC0D3ECE78E}" type="pres">
      <dgm:prSet presAssocID="{BB19C4C0-C836-4CD8-A7C4-A0225D3257FB}" presName="rootComposite" presStyleCnt="0"/>
      <dgm:spPr/>
    </dgm:pt>
    <dgm:pt modelId="{AD7D396D-70EB-4F3A-AC22-78E8462178A0}" type="pres">
      <dgm:prSet presAssocID="{BB19C4C0-C836-4CD8-A7C4-A0225D3257FB}" presName="rootText" presStyleLbl="node3" presStyleIdx="20" presStyleCnt="36" custScaleX="207455" custScaleY="152507" custLinFactNeighborX="-6538" custLinFactNeighborY="11868">
        <dgm:presLayoutVars>
          <dgm:chPref val="3"/>
        </dgm:presLayoutVars>
      </dgm:prSet>
      <dgm:spPr/>
    </dgm:pt>
    <dgm:pt modelId="{E8EB7F20-D728-4C93-81BC-AECA407EEA56}" type="pres">
      <dgm:prSet presAssocID="{BB19C4C0-C836-4CD8-A7C4-A0225D3257FB}" presName="rootConnector" presStyleLbl="node3" presStyleIdx="20" presStyleCnt="36"/>
      <dgm:spPr/>
    </dgm:pt>
    <dgm:pt modelId="{73215CC5-9FC6-4D32-8095-2F8C1CDF19D5}" type="pres">
      <dgm:prSet presAssocID="{BB19C4C0-C836-4CD8-A7C4-A0225D3257FB}" presName="hierChild4" presStyleCnt="0"/>
      <dgm:spPr/>
    </dgm:pt>
    <dgm:pt modelId="{804A5EFD-3256-46F4-A920-47AD6128D0B1}" type="pres">
      <dgm:prSet presAssocID="{BB19C4C0-C836-4CD8-A7C4-A0225D3257FB}" presName="hierChild5" presStyleCnt="0"/>
      <dgm:spPr/>
    </dgm:pt>
    <dgm:pt modelId="{F7E5F2CE-0C8A-4AD2-8503-9E5CEAC34879}" type="pres">
      <dgm:prSet presAssocID="{56B05BB8-D9BC-48CC-8340-36DFDDF4319A}" presName="Name37" presStyleLbl="parChTrans1D3" presStyleIdx="21" presStyleCnt="36"/>
      <dgm:spPr/>
    </dgm:pt>
    <dgm:pt modelId="{4F2AEEF9-EDA3-4E3E-B002-537E5DD32D88}" type="pres">
      <dgm:prSet presAssocID="{763329BB-BA95-4CCB-A946-57F154F16083}" presName="hierRoot2" presStyleCnt="0">
        <dgm:presLayoutVars>
          <dgm:hierBranch val="init"/>
        </dgm:presLayoutVars>
      </dgm:prSet>
      <dgm:spPr/>
    </dgm:pt>
    <dgm:pt modelId="{4ECD40FA-F322-4346-AA5A-4A751A4677AA}" type="pres">
      <dgm:prSet presAssocID="{763329BB-BA95-4CCB-A946-57F154F16083}" presName="rootComposite" presStyleCnt="0"/>
      <dgm:spPr/>
    </dgm:pt>
    <dgm:pt modelId="{39B8E77F-B22C-4656-8B22-473C50CE438F}" type="pres">
      <dgm:prSet presAssocID="{763329BB-BA95-4CCB-A946-57F154F16083}" presName="rootText" presStyleLbl="node3" presStyleIdx="21" presStyleCnt="36" custScaleX="207455" custScaleY="152507" custLinFactNeighborX="-6538">
        <dgm:presLayoutVars>
          <dgm:chPref val="3"/>
        </dgm:presLayoutVars>
      </dgm:prSet>
      <dgm:spPr/>
    </dgm:pt>
    <dgm:pt modelId="{A69B6F19-D601-4E1F-A30B-92D7339CEC15}" type="pres">
      <dgm:prSet presAssocID="{763329BB-BA95-4CCB-A946-57F154F16083}" presName="rootConnector" presStyleLbl="node3" presStyleIdx="21" presStyleCnt="36"/>
      <dgm:spPr/>
    </dgm:pt>
    <dgm:pt modelId="{CB957512-36BE-4415-B4CF-2844E268DBC9}" type="pres">
      <dgm:prSet presAssocID="{763329BB-BA95-4CCB-A946-57F154F16083}" presName="hierChild4" presStyleCnt="0"/>
      <dgm:spPr/>
    </dgm:pt>
    <dgm:pt modelId="{8BC8AA20-D366-48FE-8A79-B07CEC24E33A}" type="pres">
      <dgm:prSet presAssocID="{763329BB-BA95-4CCB-A946-57F154F16083}" presName="hierChild5" presStyleCnt="0"/>
      <dgm:spPr/>
    </dgm:pt>
    <dgm:pt modelId="{528E5FC3-D11A-4F89-9B14-660DA30A5BD9}" type="pres">
      <dgm:prSet presAssocID="{D5CF3F1D-4FFA-44B5-84B3-977AD131F177}" presName="Name37" presStyleLbl="parChTrans1D3" presStyleIdx="22" presStyleCnt="36"/>
      <dgm:spPr/>
    </dgm:pt>
    <dgm:pt modelId="{12062A6B-A75C-4D48-B92C-B675952729DB}" type="pres">
      <dgm:prSet presAssocID="{BF100430-0928-4BA1-B2C3-DCBB59BE2FBC}" presName="hierRoot2" presStyleCnt="0">
        <dgm:presLayoutVars>
          <dgm:hierBranch val="init"/>
        </dgm:presLayoutVars>
      </dgm:prSet>
      <dgm:spPr/>
    </dgm:pt>
    <dgm:pt modelId="{30E9CCB3-D19D-4DB7-BC88-FB00CD9E218F}" type="pres">
      <dgm:prSet presAssocID="{BF100430-0928-4BA1-B2C3-DCBB59BE2FBC}" presName="rootComposite" presStyleCnt="0"/>
      <dgm:spPr/>
    </dgm:pt>
    <dgm:pt modelId="{DE90A0AF-EF96-426B-BDC2-9EE119692A07}" type="pres">
      <dgm:prSet presAssocID="{BF100430-0928-4BA1-B2C3-DCBB59BE2FBC}" presName="rootText" presStyleLbl="node3" presStyleIdx="22" presStyleCnt="36" custScaleX="207455" custScaleY="152507" custLinFactNeighborX="-3572" custLinFactNeighborY="38571">
        <dgm:presLayoutVars>
          <dgm:chPref val="3"/>
        </dgm:presLayoutVars>
      </dgm:prSet>
      <dgm:spPr/>
    </dgm:pt>
    <dgm:pt modelId="{F75DB207-43BF-488C-BEA8-CD8796287353}" type="pres">
      <dgm:prSet presAssocID="{BF100430-0928-4BA1-B2C3-DCBB59BE2FBC}" presName="rootConnector" presStyleLbl="node3" presStyleIdx="22" presStyleCnt="36"/>
      <dgm:spPr/>
    </dgm:pt>
    <dgm:pt modelId="{6418E0AA-405F-42EF-9349-0AD5D6EAB063}" type="pres">
      <dgm:prSet presAssocID="{BF100430-0928-4BA1-B2C3-DCBB59BE2FBC}" presName="hierChild4" presStyleCnt="0"/>
      <dgm:spPr/>
    </dgm:pt>
    <dgm:pt modelId="{B1B17F1D-BD38-43E7-83FF-66C9397AAE58}" type="pres">
      <dgm:prSet presAssocID="{BF100430-0928-4BA1-B2C3-DCBB59BE2FBC}" presName="hierChild5" presStyleCnt="0"/>
      <dgm:spPr/>
    </dgm:pt>
    <dgm:pt modelId="{59C04252-CCFB-4CC8-BA77-20FD222490E8}" type="pres">
      <dgm:prSet presAssocID="{3D53F137-37DF-4C23-9AFE-E21B731FCD13}" presName="Name37" presStyleLbl="parChTrans1D3" presStyleIdx="23" presStyleCnt="36"/>
      <dgm:spPr/>
    </dgm:pt>
    <dgm:pt modelId="{A1D1C9F3-0143-44EB-B646-474015DEF2F5}" type="pres">
      <dgm:prSet presAssocID="{6D5DB864-02A4-46BE-8545-ED7E486F40B1}" presName="hierRoot2" presStyleCnt="0">
        <dgm:presLayoutVars>
          <dgm:hierBranch val="init"/>
        </dgm:presLayoutVars>
      </dgm:prSet>
      <dgm:spPr/>
    </dgm:pt>
    <dgm:pt modelId="{5030E857-2B75-42B6-8DF1-6EAD3BCFEC87}" type="pres">
      <dgm:prSet presAssocID="{6D5DB864-02A4-46BE-8545-ED7E486F40B1}" presName="rootComposite" presStyleCnt="0"/>
      <dgm:spPr/>
    </dgm:pt>
    <dgm:pt modelId="{0119EEB9-9A38-430C-8605-8FF3F804544F}" type="pres">
      <dgm:prSet presAssocID="{6D5DB864-02A4-46BE-8545-ED7E486F40B1}" presName="rootText" presStyleLbl="node3" presStyleIdx="23" presStyleCnt="36" custScaleX="207455" custScaleY="152508" custLinFactNeighborX="4450" custLinFactNeighborY="74174">
        <dgm:presLayoutVars>
          <dgm:chPref val="3"/>
        </dgm:presLayoutVars>
      </dgm:prSet>
      <dgm:spPr/>
    </dgm:pt>
    <dgm:pt modelId="{E2D3DBFC-8378-439D-8EA2-F88586179F5F}" type="pres">
      <dgm:prSet presAssocID="{6D5DB864-02A4-46BE-8545-ED7E486F40B1}" presName="rootConnector" presStyleLbl="node3" presStyleIdx="23" presStyleCnt="36"/>
      <dgm:spPr/>
    </dgm:pt>
    <dgm:pt modelId="{2CC031BB-80CE-4A34-B076-97E9EA6BF3C3}" type="pres">
      <dgm:prSet presAssocID="{6D5DB864-02A4-46BE-8545-ED7E486F40B1}" presName="hierChild4" presStyleCnt="0"/>
      <dgm:spPr/>
    </dgm:pt>
    <dgm:pt modelId="{964B1D07-7B38-46DF-B184-5EF2F7CA3EAC}" type="pres">
      <dgm:prSet presAssocID="{6D5DB864-02A4-46BE-8545-ED7E486F40B1}" presName="hierChild5" presStyleCnt="0"/>
      <dgm:spPr/>
    </dgm:pt>
    <dgm:pt modelId="{0E4756FC-7C91-46C9-A0DD-FAE4704C34AA}" type="pres">
      <dgm:prSet presAssocID="{12769DC2-3E6F-47DC-8299-CD864B2ADFD6}" presName="hierChild5" presStyleCnt="0"/>
      <dgm:spPr/>
    </dgm:pt>
    <dgm:pt modelId="{F1EE7129-9CBE-42CE-9EE3-3684DAE78A6A}" type="pres">
      <dgm:prSet presAssocID="{700EB8B3-EC84-483A-8486-DA03EEAAFDAC}" presName="Name37" presStyleLbl="parChTrans1D2" presStyleIdx="4" presStyleCnt="6"/>
      <dgm:spPr/>
    </dgm:pt>
    <dgm:pt modelId="{1AC2E66A-2A2E-4A3B-AEC8-DF1D34B03365}" type="pres">
      <dgm:prSet presAssocID="{50288868-FEEE-470B-9B6E-3B8DBAE6D908}" presName="hierRoot2" presStyleCnt="0">
        <dgm:presLayoutVars>
          <dgm:hierBranch val="init"/>
        </dgm:presLayoutVars>
      </dgm:prSet>
      <dgm:spPr/>
    </dgm:pt>
    <dgm:pt modelId="{40535A9C-B148-4F64-A1A0-A8CC7945C730}" type="pres">
      <dgm:prSet presAssocID="{50288868-FEEE-470B-9B6E-3B8DBAE6D908}" presName="rootComposite" presStyleCnt="0"/>
      <dgm:spPr/>
    </dgm:pt>
    <dgm:pt modelId="{A258BD13-7871-4C9C-B418-43BE12BFB3E9}" type="pres">
      <dgm:prSet presAssocID="{50288868-FEEE-470B-9B6E-3B8DBAE6D908}" presName="rootText" presStyleLbl="node2" presStyleIdx="4" presStyleCnt="6" custScaleX="245210" custScaleY="168520">
        <dgm:presLayoutVars>
          <dgm:chPref val="3"/>
        </dgm:presLayoutVars>
      </dgm:prSet>
      <dgm:spPr/>
    </dgm:pt>
    <dgm:pt modelId="{377DAAC8-B64C-4B18-908A-1890A133AEFC}" type="pres">
      <dgm:prSet presAssocID="{50288868-FEEE-470B-9B6E-3B8DBAE6D908}" presName="rootConnector" presStyleLbl="node2" presStyleIdx="4" presStyleCnt="6"/>
      <dgm:spPr/>
    </dgm:pt>
    <dgm:pt modelId="{314C482C-65BB-47D4-915A-6F0C3441E503}" type="pres">
      <dgm:prSet presAssocID="{50288868-FEEE-470B-9B6E-3B8DBAE6D908}" presName="hierChild4" presStyleCnt="0"/>
      <dgm:spPr/>
    </dgm:pt>
    <dgm:pt modelId="{2F7B221D-5030-40CE-B2C2-68153A0F97EC}" type="pres">
      <dgm:prSet presAssocID="{FD1DE0E6-FA2F-44F6-B53A-BD88042663B5}" presName="Name37" presStyleLbl="parChTrans1D3" presStyleIdx="24" presStyleCnt="36"/>
      <dgm:spPr/>
    </dgm:pt>
    <dgm:pt modelId="{9FB25C77-0C0A-4FB2-89FE-7175A2B094F9}" type="pres">
      <dgm:prSet presAssocID="{ECA12779-181B-4C07-9D00-63CBA88654AE}" presName="hierRoot2" presStyleCnt="0">
        <dgm:presLayoutVars>
          <dgm:hierBranch val="init"/>
        </dgm:presLayoutVars>
      </dgm:prSet>
      <dgm:spPr/>
    </dgm:pt>
    <dgm:pt modelId="{CB680E1F-EBAE-4062-A071-AB7C08232403}" type="pres">
      <dgm:prSet presAssocID="{ECA12779-181B-4C07-9D00-63CBA88654AE}" presName="rootComposite" presStyleCnt="0"/>
      <dgm:spPr/>
    </dgm:pt>
    <dgm:pt modelId="{FED6595E-1570-4891-AE46-CD4AC1DEF9EA}" type="pres">
      <dgm:prSet presAssocID="{ECA12779-181B-4C07-9D00-63CBA88654AE}" presName="rootText" presStyleLbl="node3" presStyleIdx="24" presStyleCnt="36" custScaleX="201848" custScaleY="152507" custLinFactNeighborX="-6538">
        <dgm:presLayoutVars>
          <dgm:chPref val="3"/>
        </dgm:presLayoutVars>
      </dgm:prSet>
      <dgm:spPr/>
    </dgm:pt>
    <dgm:pt modelId="{4A3DC27F-8DE4-48A4-9352-6E19ED89BD37}" type="pres">
      <dgm:prSet presAssocID="{ECA12779-181B-4C07-9D00-63CBA88654AE}" presName="rootConnector" presStyleLbl="node3" presStyleIdx="24" presStyleCnt="36"/>
      <dgm:spPr/>
    </dgm:pt>
    <dgm:pt modelId="{DFA8D785-E1E1-4A77-B992-17A55C3F2717}" type="pres">
      <dgm:prSet presAssocID="{ECA12779-181B-4C07-9D00-63CBA88654AE}" presName="hierChild4" presStyleCnt="0"/>
      <dgm:spPr/>
    </dgm:pt>
    <dgm:pt modelId="{6D7E8D45-4C51-4D9C-A331-6B04C0832A8B}" type="pres">
      <dgm:prSet presAssocID="{ECA12779-181B-4C07-9D00-63CBA88654AE}" presName="hierChild5" presStyleCnt="0"/>
      <dgm:spPr/>
    </dgm:pt>
    <dgm:pt modelId="{FD540605-6F96-4B99-9FEF-8CEAB4571FB4}" type="pres">
      <dgm:prSet presAssocID="{1CD7D42E-8C56-458F-8322-E22926EA09CE}" presName="Name37" presStyleLbl="parChTrans1D3" presStyleIdx="25" presStyleCnt="36"/>
      <dgm:spPr/>
    </dgm:pt>
    <dgm:pt modelId="{3611DE11-DCD5-4EE0-BB96-595CF39417D6}" type="pres">
      <dgm:prSet presAssocID="{12351F76-C54E-43F8-A657-363EC9E932E1}" presName="hierRoot2" presStyleCnt="0">
        <dgm:presLayoutVars>
          <dgm:hierBranch val="init"/>
        </dgm:presLayoutVars>
      </dgm:prSet>
      <dgm:spPr/>
    </dgm:pt>
    <dgm:pt modelId="{543E833C-7B9C-410F-911B-FAF9A6E38FF7}" type="pres">
      <dgm:prSet presAssocID="{12351F76-C54E-43F8-A657-363EC9E932E1}" presName="rootComposite" presStyleCnt="0"/>
      <dgm:spPr/>
    </dgm:pt>
    <dgm:pt modelId="{7F8EFDBA-900F-4273-A7B0-E6FE5E02840D}" type="pres">
      <dgm:prSet presAssocID="{12351F76-C54E-43F8-A657-363EC9E932E1}" presName="rootText" presStyleLbl="node3" presStyleIdx="25" presStyleCnt="36" custScaleX="201848" custScaleY="152507" custLinFactNeighborX="-6538">
        <dgm:presLayoutVars>
          <dgm:chPref val="3"/>
        </dgm:presLayoutVars>
      </dgm:prSet>
      <dgm:spPr/>
    </dgm:pt>
    <dgm:pt modelId="{04201401-4837-4B30-AFFF-9998EB8BCE29}" type="pres">
      <dgm:prSet presAssocID="{12351F76-C54E-43F8-A657-363EC9E932E1}" presName="rootConnector" presStyleLbl="node3" presStyleIdx="25" presStyleCnt="36"/>
      <dgm:spPr/>
    </dgm:pt>
    <dgm:pt modelId="{DB6740BE-9238-45AF-9A9D-36FB72CBF9E7}" type="pres">
      <dgm:prSet presAssocID="{12351F76-C54E-43F8-A657-363EC9E932E1}" presName="hierChild4" presStyleCnt="0"/>
      <dgm:spPr/>
    </dgm:pt>
    <dgm:pt modelId="{2E3B18E5-0669-407E-95D9-025A23E008F6}" type="pres">
      <dgm:prSet presAssocID="{12351F76-C54E-43F8-A657-363EC9E932E1}" presName="hierChild5" presStyleCnt="0"/>
      <dgm:spPr/>
    </dgm:pt>
    <dgm:pt modelId="{B5210DB0-CB29-4557-B327-60029655B293}" type="pres">
      <dgm:prSet presAssocID="{EC779102-338A-4658-805D-ADA27F85C532}" presName="Name37" presStyleLbl="parChTrans1D3" presStyleIdx="26" presStyleCnt="36"/>
      <dgm:spPr/>
    </dgm:pt>
    <dgm:pt modelId="{19822EA0-112B-4594-9EA3-4509F040EAF2}" type="pres">
      <dgm:prSet presAssocID="{ACFB9295-1466-40DD-AC28-3F5FD1714F64}" presName="hierRoot2" presStyleCnt="0">
        <dgm:presLayoutVars>
          <dgm:hierBranch val="init"/>
        </dgm:presLayoutVars>
      </dgm:prSet>
      <dgm:spPr/>
    </dgm:pt>
    <dgm:pt modelId="{6BB299F7-B8F6-4EDD-9D61-126308858751}" type="pres">
      <dgm:prSet presAssocID="{ACFB9295-1466-40DD-AC28-3F5FD1714F64}" presName="rootComposite" presStyleCnt="0"/>
      <dgm:spPr/>
    </dgm:pt>
    <dgm:pt modelId="{E140C6C5-E4A1-49E2-8B34-B36A9E45F7A0}" type="pres">
      <dgm:prSet presAssocID="{ACFB9295-1466-40DD-AC28-3F5FD1714F64}" presName="rootText" presStyleLbl="node3" presStyleIdx="26" presStyleCnt="36" custScaleX="201848" custScaleY="152507" custLinFactNeighborX="-6538">
        <dgm:presLayoutVars>
          <dgm:chPref val="3"/>
        </dgm:presLayoutVars>
      </dgm:prSet>
      <dgm:spPr/>
    </dgm:pt>
    <dgm:pt modelId="{69D06E7D-A6C7-4A80-AB80-BC479557C42C}" type="pres">
      <dgm:prSet presAssocID="{ACFB9295-1466-40DD-AC28-3F5FD1714F64}" presName="rootConnector" presStyleLbl="node3" presStyleIdx="26" presStyleCnt="36"/>
      <dgm:spPr/>
    </dgm:pt>
    <dgm:pt modelId="{CBC26D4C-93C3-4000-AAAA-5007190E8675}" type="pres">
      <dgm:prSet presAssocID="{ACFB9295-1466-40DD-AC28-3F5FD1714F64}" presName="hierChild4" presStyleCnt="0"/>
      <dgm:spPr/>
    </dgm:pt>
    <dgm:pt modelId="{1207FA07-C74A-4FD8-A9CB-D00848890C0B}" type="pres">
      <dgm:prSet presAssocID="{ACFB9295-1466-40DD-AC28-3F5FD1714F64}" presName="hierChild5" presStyleCnt="0"/>
      <dgm:spPr/>
    </dgm:pt>
    <dgm:pt modelId="{A45E8E60-357C-4447-B545-DCEEB69E444E}" type="pres">
      <dgm:prSet presAssocID="{449CAF59-51BF-4A91-99DD-F8581AEF1EC4}" presName="Name37" presStyleLbl="parChTrans1D3" presStyleIdx="27" presStyleCnt="36"/>
      <dgm:spPr/>
    </dgm:pt>
    <dgm:pt modelId="{71554BB3-0A6B-433E-B932-4D92DA806144}" type="pres">
      <dgm:prSet presAssocID="{70EFDBF8-CA80-43EB-AF09-A11A22991EC0}" presName="hierRoot2" presStyleCnt="0">
        <dgm:presLayoutVars>
          <dgm:hierBranch val="init"/>
        </dgm:presLayoutVars>
      </dgm:prSet>
      <dgm:spPr/>
    </dgm:pt>
    <dgm:pt modelId="{66136D05-A777-4D84-A3EC-B7B165A311E6}" type="pres">
      <dgm:prSet presAssocID="{70EFDBF8-CA80-43EB-AF09-A11A22991EC0}" presName="rootComposite" presStyleCnt="0"/>
      <dgm:spPr/>
    </dgm:pt>
    <dgm:pt modelId="{2915E1C8-90EE-4D3E-80C4-5A095B94CCE7}" type="pres">
      <dgm:prSet presAssocID="{70EFDBF8-CA80-43EB-AF09-A11A22991EC0}" presName="rootText" presStyleLbl="node3" presStyleIdx="27" presStyleCnt="36" custScaleX="201848" custScaleY="152507" custLinFactNeighborX="-6538">
        <dgm:presLayoutVars>
          <dgm:chPref val="3"/>
        </dgm:presLayoutVars>
      </dgm:prSet>
      <dgm:spPr/>
    </dgm:pt>
    <dgm:pt modelId="{A5DD968A-911F-4376-BCC3-EEACDFED13C5}" type="pres">
      <dgm:prSet presAssocID="{70EFDBF8-CA80-43EB-AF09-A11A22991EC0}" presName="rootConnector" presStyleLbl="node3" presStyleIdx="27" presStyleCnt="36"/>
      <dgm:spPr/>
    </dgm:pt>
    <dgm:pt modelId="{DD42EDC6-12EC-45E7-84BE-1028245A3764}" type="pres">
      <dgm:prSet presAssocID="{70EFDBF8-CA80-43EB-AF09-A11A22991EC0}" presName="hierChild4" presStyleCnt="0"/>
      <dgm:spPr/>
    </dgm:pt>
    <dgm:pt modelId="{29900E30-4D3D-4599-BA5A-15C533165D49}" type="pres">
      <dgm:prSet presAssocID="{70EFDBF8-CA80-43EB-AF09-A11A22991EC0}" presName="hierChild5" presStyleCnt="0"/>
      <dgm:spPr/>
    </dgm:pt>
    <dgm:pt modelId="{C3F18813-D545-4307-9554-61938D010D7E}" type="pres">
      <dgm:prSet presAssocID="{63736F2C-1899-4FBF-B28B-4B7CE5269305}" presName="Name37" presStyleLbl="parChTrans1D3" presStyleIdx="28" presStyleCnt="36"/>
      <dgm:spPr/>
    </dgm:pt>
    <dgm:pt modelId="{3AE6D5F4-54A9-4176-A41A-6515BF526430}" type="pres">
      <dgm:prSet presAssocID="{B3363645-6E47-4702-9387-06C510C570CB}" presName="hierRoot2" presStyleCnt="0">
        <dgm:presLayoutVars>
          <dgm:hierBranch val="init"/>
        </dgm:presLayoutVars>
      </dgm:prSet>
      <dgm:spPr/>
    </dgm:pt>
    <dgm:pt modelId="{3A350310-DA5E-442E-9361-1546903969AD}" type="pres">
      <dgm:prSet presAssocID="{B3363645-6E47-4702-9387-06C510C570CB}" presName="rootComposite" presStyleCnt="0"/>
      <dgm:spPr/>
    </dgm:pt>
    <dgm:pt modelId="{8F6DC081-6798-4216-A738-17F2FC92AADF}" type="pres">
      <dgm:prSet presAssocID="{B3363645-6E47-4702-9387-06C510C570CB}" presName="rootText" presStyleLbl="node3" presStyleIdx="28" presStyleCnt="36" custScaleX="201848" custScaleY="152507" custLinFactNeighborX="-6538">
        <dgm:presLayoutVars>
          <dgm:chPref val="3"/>
        </dgm:presLayoutVars>
      </dgm:prSet>
      <dgm:spPr/>
    </dgm:pt>
    <dgm:pt modelId="{A4F37D24-B226-43D8-A06C-75DCA05AFFD9}" type="pres">
      <dgm:prSet presAssocID="{B3363645-6E47-4702-9387-06C510C570CB}" presName="rootConnector" presStyleLbl="node3" presStyleIdx="28" presStyleCnt="36"/>
      <dgm:spPr/>
    </dgm:pt>
    <dgm:pt modelId="{67B154CC-D158-4BBE-86E2-975FB6B91EA3}" type="pres">
      <dgm:prSet presAssocID="{B3363645-6E47-4702-9387-06C510C570CB}" presName="hierChild4" presStyleCnt="0"/>
      <dgm:spPr/>
    </dgm:pt>
    <dgm:pt modelId="{7E9C417D-3442-4B69-831D-C70C07CB4B29}" type="pres">
      <dgm:prSet presAssocID="{B3363645-6E47-4702-9387-06C510C570CB}" presName="hierChild5" presStyleCnt="0"/>
      <dgm:spPr/>
    </dgm:pt>
    <dgm:pt modelId="{921844B0-3CBD-4834-9F7D-209A988EEE2F}" type="pres">
      <dgm:prSet presAssocID="{685F3026-EBCD-4FC6-A94B-FA0402247107}" presName="Name37" presStyleLbl="parChTrans1D3" presStyleIdx="29" presStyleCnt="36"/>
      <dgm:spPr/>
    </dgm:pt>
    <dgm:pt modelId="{181B7682-06BB-46F9-B405-3552964A6CC8}" type="pres">
      <dgm:prSet presAssocID="{BD1A52BE-D10C-4C60-A5CA-97E1F3C6F7BC}" presName="hierRoot2" presStyleCnt="0">
        <dgm:presLayoutVars>
          <dgm:hierBranch val="init"/>
        </dgm:presLayoutVars>
      </dgm:prSet>
      <dgm:spPr/>
    </dgm:pt>
    <dgm:pt modelId="{0E5ECB81-315B-4B46-85AA-9D0AECDC4371}" type="pres">
      <dgm:prSet presAssocID="{BD1A52BE-D10C-4C60-A5CA-97E1F3C6F7BC}" presName="rootComposite" presStyleCnt="0"/>
      <dgm:spPr/>
    </dgm:pt>
    <dgm:pt modelId="{334CBDC0-DC60-49FB-BE4F-5DC6001401F6}" type="pres">
      <dgm:prSet presAssocID="{BD1A52BE-D10C-4C60-A5CA-97E1F3C6F7BC}" presName="rootText" presStyleLbl="node3" presStyleIdx="29" presStyleCnt="36" custScaleX="207455" custScaleY="152508" custLinFactNeighborX="-2615" custLinFactNeighborY="68042">
        <dgm:presLayoutVars>
          <dgm:chPref val="3"/>
        </dgm:presLayoutVars>
      </dgm:prSet>
      <dgm:spPr/>
    </dgm:pt>
    <dgm:pt modelId="{35E07A3F-BFBB-420C-AA9E-724B4CCB2AAF}" type="pres">
      <dgm:prSet presAssocID="{BD1A52BE-D10C-4C60-A5CA-97E1F3C6F7BC}" presName="rootConnector" presStyleLbl="node3" presStyleIdx="29" presStyleCnt="36"/>
      <dgm:spPr/>
    </dgm:pt>
    <dgm:pt modelId="{20D248A5-DFC2-47FE-8BDD-76A986407FBF}" type="pres">
      <dgm:prSet presAssocID="{BD1A52BE-D10C-4C60-A5CA-97E1F3C6F7BC}" presName="hierChild4" presStyleCnt="0"/>
      <dgm:spPr/>
    </dgm:pt>
    <dgm:pt modelId="{C1A3A537-6CD6-4A63-8FAB-99189E0DC2E3}" type="pres">
      <dgm:prSet presAssocID="{BD1A52BE-D10C-4C60-A5CA-97E1F3C6F7BC}" presName="hierChild5" presStyleCnt="0"/>
      <dgm:spPr/>
    </dgm:pt>
    <dgm:pt modelId="{2EAF0351-BC6A-4491-B99D-6B8BE81BE34F}" type="pres">
      <dgm:prSet presAssocID="{50288868-FEEE-470B-9B6E-3B8DBAE6D908}" presName="hierChild5" presStyleCnt="0"/>
      <dgm:spPr/>
    </dgm:pt>
    <dgm:pt modelId="{D774376C-5B5F-4165-B817-51060CD11209}" type="pres">
      <dgm:prSet presAssocID="{7B1C4966-1262-47C2-A22C-A1A9518F5A79}" presName="Name37" presStyleLbl="parChTrans1D2" presStyleIdx="5" presStyleCnt="6"/>
      <dgm:spPr/>
    </dgm:pt>
    <dgm:pt modelId="{F022E032-1615-4A3C-B78C-E80384BF95D1}" type="pres">
      <dgm:prSet presAssocID="{AD57D6F8-1E1D-4C08-B8E1-F743CC4D8618}" presName="hierRoot2" presStyleCnt="0">
        <dgm:presLayoutVars>
          <dgm:hierBranch val="init"/>
        </dgm:presLayoutVars>
      </dgm:prSet>
      <dgm:spPr/>
    </dgm:pt>
    <dgm:pt modelId="{34941A6D-E8C1-43ED-AFA8-0FCCF9379EFD}" type="pres">
      <dgm:prSet presAssocID="{AD57D6F8-1E1D-4C08-B8E1-F743CC4D8618}" presName="rootComposite" presStyleCnt="0"/>
      <dgm:spPr/>
    </dgm:pt>
    <dgm:pt modelId="{735EB318-83B9-45F6-B3F9-31895D8D9C62}" type="pres">
      <dgm:prSet presAssocID="{AD57D6F8-1E1D-4C08-B8E1-F743CC4D8618}" presName="rootText" presStyleLbl="node2" presStyleIdx="5" presStyleCnt="6" custScaleX="199316" custScaleY="172712">
        <dgm:presLayoutVars>
          <dgm:chPref val="3"/>
        </dgm:presLayoutVars>
      </dgm:prSet>
      <dgm:spPr/>
    </dgm:pt>
    <dgm:pt modelId="{5A2DA114-1867-4140-9A0C-7DDD23CDAE7D}" type="pres">
      <dgm:prSet presAssocID="{AD57D6F8-1E1D-4C08-B8E1-F743CC4D8618}" presName="rootConnector" presStyleLbl="node2" presStyleIdx="5" presStyleCnt="6"/>
      <dgm:spPr/>
    </dgm:pt>
    <dgm:pt modelId="{73A21EB1-59CF-4E01-BE22-D6F921AC84FD}" type="pres">
      <dgm:prSet presAssocID="{AD57D6F8-1E1D-4C08-B8E1-F743CC4D8618}" presName="hierChild4" presStyleCnt="0"/>
      <dgm:spPr/>
    </dgm:pt>
    <dgm:pt modelId="{6E60B9C7-0F06-4460-B10D-685FDA048881}" type="pres">
      <dgm:prSet presAssocID="{E5B5055F-BDE8-4C1F-8169-963DD004C33F}" presName="Name37" presStyleLbl="parChTrans1D3" presStyleIdx="30" presStyleCnt="36"/>
      <dgm:spPr/>
    </dgm:pt>
    <dgm:pt modelId="{7E6AC4EF-8FA7-449E-AAC0-F686359CDEB7}" type="pres">
      <dgm:prSet presAssocID="{1E3D188D-1C38-4FF2-ADAD-687EE27716D1}" presName="hierRoot2" presStyleCnt="0">
        <dgm:presLayoutVars>
          <dgm:hierBranch val="init"/>
        </dgm:presLayoutVars>
      </dgm:prSet>
      <dgm:spPr/>
    </dgm:pt>
    <dgm:pt modelId="{4C3142A5-494B-488F-BB09-C13A10BE0975}" type="pres">
      <dgm:prSet presAssocID="{1E3D188D-1C38-4FF2-ADAD-687EE27716D1}" presName="rootComposite" presStyleCnt="0"/>
      <dgm:spPr/>
    </dgm:pt>
    <dgm:pt modelId="{EB76186E-B8DD-4C2B-A16E-3DCCAC24AD9E}" type="pres">
      <dgm:prSet presAssocID="{1E3D188D-1C38-4FF2-ADAD-687EE27716D1}" presName="rootText" presStyleLbl="node3" presStyleIdx="30" presStyleCnt="36" custScaleX="207455" custScaleY="145779" custLinFactNeighborX="-6538">
        <dgm:presLayoutVars>
          <dgm:chPref val="3"/>
        </dgm:presLayoutVars>
      </dgm:prSet>
      <dgm:spPr/>
    </dgm:pt>
    <dgm:pt modelId="{47B93D21-0A65-46D5-86FF-01807AEA3AE7}" type="pres">
      <dgm:prSet presAssocID="{1E3D188D-1C38-4FF2-ADAD-687EE27716D1}" presName="rootConnector" presStyleLbl="node3" presStyleIdx="30" presStyleCnt="36"/>
      <dgm:spPr/>
    </dgm:pt>
    <dgm:pt modelId="{C1EC5CF3-5B2C-4141-A7BA-E0A191CE739F}" type="pres">
      <dgm:prSet presAssocID="{1E3D188D-1C38-4FF2-ADAD-687EE27716D1}" presName="hierChild4" presStyleCnt="0"/>
      <dgm:spPr/>
    </dgm:pt>
    <dgm:pt modelId="{5B8EAAE4-C7A6-4B46-AD01-2B78A6466CDD}" type="pres">
      <dgm:prSet presAssocID="{1E3D188D-1C38-4FF2-ADAD-687EE27716D1}" presName="hierChild5" presStyleCnt="0"/>
      <dgm:spPr/>
    </dgm:pt>
    <dgm:pt modelId="{AF2EBD80-CD02-4D6E-9BF5-2352F4BE2354}" type="pres">
      <dgm:prSet presAssocID="{10B2F529-C227-4AFA-9869-F1C5F93B7411}" presName="Name37" presStyleLbl="parChTrans1D3" presStyleIdx="31" presStyleCnt="36"/>
      <dgm:spPr/>
    </dgm:pt>
    <dgm:pt modelId="{972733B7-6B51-4663-82D9-0372088553AB}" type="pres">
      <dgm:prSet presAssocID="{472A6B0E-9B61-4834-A11A-8167EB7251E1}" presName="hierRoot2" presStyleCnt="0">
        <dgm:presLayoutVars>
          <dgm:hierBranch val="init"/>
        </dgm:presLayoutVars>
      </dgm:prSet>
      <dgm:spPr/>
    </dgm:pt>
    <dgm:pt modelId="{198351ED-B849-48FF-9C7F-1FCF4F185394}" type="pres">
      <dgm:prSet presAssocID="{472A6B0E-9B61-4834-A11A-8167EB7251E1}" presName="rootComposite" presStyleCnt="0"/>
      <dgm:spPr/>
    </dgm:pt>
    <dgm:pt modelId="{94EA12D3-04D9-47DF-8815-13B679B7C734}" type="pres">
      <dgm:prSet presAssocID="{472A6B0E-9B61-4834-A11A-8167EB7251E1}" presName="rootText" presStyleLbl="node3" presStyleIdx="31" presStyleCnt="36" custScaleX="207455" custScaleY="145779" custLinFactNeighborX="-6538">
        <dgm:presLayoutVars>
          <dgm:chPref val="3"/>
        </dgm:presLayoutVars>
      </dgm:prSet>
      <dgm:spPr/>
    </dgm:pt>
    <dgm:pt modelId="{98978DF8-E78C-45F1-AFBA-94A10B012F83}" type="pres">
      <dgm:prSet presAssocID="{472A6B0E-9B61-4834-A11A-8167EB7251E1}" presName="rootConnector" presStyleLbl="node3" presStyleIdx="31" presStyleCnt="36"/>
      <dgm:spPr/>
    </dgm:pt>
    <dgm:pt modelId="{60E89A05-E1D0-417F-A593-AA66612D687C}" type="pres">
      <dgm:prSet presAssocID="{472A6B0E-9B61-4834-A11A-8167EB7251E1}" presName="hierChild4" presStyleCnt="0"/>
      <dgm:spPr/>
    </dgm:pt>
    <dgm:pt modelId="{2A8E7DA9-7D62-4448-BBEE-6AA257DDCF8E}" type="pres">
      <dgm:prSet presAssocID="{472A6B0E-9B61-4834-A11A-8167EB7251E1}" presName="hierChild5" presStyleCnt="0"/>
      <dgm:spPr/>
    </dgm:pt>
    <dgm:pt modelId="{2136166C-C192-4F23-BD15-061DD6C9F076}" type="pres">
      <dgm:prSet presAssocID="{E804B64F-8B56-4A4C-A418-4BB3F4ED6989}" presName="Name37" presStyleLbl="parChTrans1D3" presStyleIdx="32" presStyleCnt="36"/>
      <dgm:spPr/>
    </dgm:pt>
    <dgm:pt modelId="{3030D531-D74B-4A22-B8C8-E18F7811D864}" type="pres">
      <dgm:prSet presAssocID="{058BAF66-FEE2-4B3A-8EE6-25FBFC3671F8}" presName="hierRoot2" presStyleCnt="0">
        <dgm:presLayoutVars>
          <dgm:hierBranch val="init"/>
        </dgm:presLayoutVars>
      </dgm:prSet>
      <dgm:spPr/>
    </dgm:pt>
    <dgm:pt modelId="{0A0F2D75-049C-4A1A-864A-BD2FF069C52C}" type="pres">
      <dgm:prSet presAssocID="{058BAF66-FEE2-4B3A-8EE6-25FBFC3671F8}" presName="rootComposite" presStyleCnt="0"/>
      <dgm:spPr/>
    </dgm:pt>
    <dgm:pt modelId="{388559F6-A377-4E6B-8AFD-045922C575A5}" type="pres">
      <dgm:prSet presAssocID="{058BAF66-FEE2-4B3A-8EE6-25FBFC3671F8}" presName="rootText" presStyleLbl="node3" presStyleIdx="32" presStyleCnt="36" custScaleX="207455" custScaleY="145779" custLinFactNeighborX="-6538">
        <dgm:presLayoutVars>
          <dgm:chPref val="3"/>
        </dgm:presLayoutVars>
      </dgm:prSet>
      <dgm:spPr/>
    </dgm:pt>
    <dgm:pt modelId="{87C406E2-5A90-409E-A6F8-B797D7521526}" type="pres">
      <dgm:prSet presAssocID="{058BAF66-FEE2-4B3A-8EE6-25FBFC3671F8}" presName="rootConnector" presStyleLbl="node3" presStyleIdx="32" presStyleCnt="36"/>
      <dgm:spPr/>
    </dgm:pt>
    <dgm:pt modelId="{D4B9FBCD-C9E7-40C1-AC02-0A05E30767E3}" type="pres">
      <dgm:prSet presAssocID="{058BAF66-FEE2-4B3A-8EE6-25FBFC3671F8}" presName="hierChild4" presStyleCnt="0"/>
      <dgm:spPr/>
    </dgm:pt>
    <dgm:pt modelId="{F2B51A48-5BFD-45BC-95A3-69FEA211721A}" type="pres">
      <dgm:prSet presAssocID="{058BAF66-FEE2-4B3A-8EE6-25FBFC3671F8}" presName="hierChild5" presStyleCnt="0"/>
      <dgm:spPr/>
    </dgm:pt>
    <dgm:pt modelId="{5C123960-3F75-4914-87F6-AD648CCBE3E0}" type="pres">
      <dgm:prSet presAssocID="{4C225E30-36A4-4BE6-ADB9-85A3B29271E0}" presName="Name37" presStyleLbl="parChTrans1D3" presStyleIdx="33" presStyleCnt="36"/>
      <dgm:spPr/>
    </dgm:pt>
    <dgm:pt modelId="{F96476E5-9D0E-4A4E-8331-B75F1458411B}" type="pres">
      <dgm:prSet presAssocID="{CFAC0D8A-84E8-4DBA-8190-A3C763E23FEE}" presName="hierRoot2" presStyleCnt="0">
        <dgm:presLayoutVars>
          <dgm:hierBranch val="init"/>
        </dgm:presLayoutVars>
      </dgm:prSet>
      <dgm:spPr/>
    </dgm:pt>
    <dgm:pt modelId="{CE7E90F7-F930-49B5-AC35-15622066B5BE}" type="pres">
      <dgm:prSet presAssocID="{CFAC0D8A-84E8-4DBA-8190-A3C763E23FEE}" presName="rootComposite" presStyleCnt="0"/>
      <dgm:spPr/>
    </dgm:pt>
    <dgm:pt modelId="{343E1092-F522-4487-A030-10090F0AF3AB}" type="pres">
      <dgm:prSet presAssocID="{CFAC0D8A-84E8-4DBA-8190-A3C763E23FEE}" presName="rootText" presStyleLbl="node3" presStyleIdx="33" presStyleCnt="36" custScaleX="207455" custScaleY="145779" custLinFactNeighborX="-7846" custLinFactNeighborY="36613">
        <dgm:presLayoutVars>
          <dgm:chPref val="3"/>
        </dgm:presLayoutVars>
      </dgm:prSet>
      <dgm:spPr/>
    </dgm:pt>
    <dgm:pt modelId="{3D8051FC-9840-43DE-B8A8-0A2DB5BDC50C}" type="pres">
      <dgm:prSet presAssocID="{CFAC0D8A-84E8-4DBA-8190-A3C763E23FEE}" presName="rootConnector" presStyleLbl="node3" presStyleIdx="33" presStyleCnt="36"/>
      <dgm:spPr/>
    </dgm:pt>
    <dgm:pt modelId="{6EA2AAF7-0819-4794-B668-B434A0B69997}" type="pres">
      <dgm:prSet presAssocID="{CFAC0D8A-84E8-4DBA-8190-A3C763E23FEE}" presName="hierChild4" presStyleCnt="0"/>
      <dgm:spPr/>
    </dgm:pt>
    <dgm:pt modelId="{42F6E8FF-3D67-46E2-A15D-865395B668A2}" type="pres">
      <dgm:prSet presAssocID="{CFAC0D8A-84E8-4DBA-8190-A3C763E23FEE}" presName="hierChild5" presStyleCnt="0"/>
      <dgm:spPr/>
    </dgm:pt>
    <dgm:pt modelId="{42707F8B-9C5E-4525-95F3-F1CEBC2FA133}" type="pres">
      <dgm:prSet presAssocID="{EE0A0574-2CD4-4A8E-8B58-75434BAC3266}" presName="Name37" presStyleLbl="parChTrans1D3" presStyleIdx="34" presStyleCnt="36"/>
      <dgm:spPr/>
    </dgm:pt>
    <dgm:pt modelId="{44E6D9BD-8772-4999-9DEF-7489312E3E4F}" type="pres">
      <dgm:prSet presAssocID="{92CBA82E-8C23-4886-9478-50470E71E84A}" presName="hierRoot2" presStyleCnt="0">
        <dgm:presLayoutVars>
          <dgm:hierBranch val="init"/>
        </dgm:presLayoutVars>
      </dgm:prSet>
      <dgm:spPr/>
    </dgm:pt>
    <dgm:pt modelId="{6B45A76F-A134-49EB-B38B-0BCE63F77E74}" type="pres">
      <dgm:prSet presAssocID="{92CBA82E-8C23-4886-9478-50470E71E84A}" presName="rootComposite" presStyleCnt="0"/>
      <dgm:spPr/>
    </dgm:pt>
    <dgm:pt modelId="{2314AD4C-5552-4E80-A3D0-6A7B329E2BF2}" type="pres">
      <dgm:prSet presAssocID="{92CBA82E-8C23-4886-9478-50470E71E84A}" presName="rootText" presStyleLbl="node3" presStyleIdx="34" presStyleCnt="36" custScaleX="207455" custScaleY="145779" custLinFactNeighborX="-6538" custLinFactNeighborY="26152">
        <dgm:presLayoutVars>
          <dgm:chPref val="3"/>
        </dgm:presLayoutVars>
      </dgm:prSet>
      <dgm:spPr/>
    </dgm:pt>
    <dgm:pt modelId="{077FA3D0-19CB-4A85-85AD-EB8CC3314E25}" type="pres">
      <dgm:prSet presAssocID="{92CBA82E-8C23-4886-9478-50470E71E84A}" presName="rootConnector" presStyleLbl="node3" presStyleIdx="34" presStyleCnt="36"/>
      <dgm:spPr/>
    </dgm:pt>
    <dgm:pt modelId="{DB8E5205-AE38-47ED-A721-AA31951036E7}" type="pres">
      <dgm:prSet presAssocID="{92CBA82E-8C23-4886-9478-50470E71E84A}" presName="hierChild4" presStyleCnt="0"/>
      <dgm:spPr/>
    </dgm:pt>
    <dgm:pt modelId="{5F33E928-FAB6-42B5-A3BD-4F03365C2947}" type="pres">
      <dgm:prSet presAssocID="{92CBA82E-8C23-4886-9478-50470E71E84A}" presName="hierChild5" presStyleCnt="0"/>
      <dgm:spPr/>
    </dgm:pt>
    <dgm:pt modelId="{35F73487-B376-410E-B7A2-0265DAB6A683}" type="pres">
      <dgm:prSet presAssocID="{2EF179D9-C18F-4A06-AEA9-5D6426FE68A5}" presName="Name37" presStyleLbl="parChTrans1D3" presStyleIdx="35" presStyleCnt="36"/>
      <dgm:spPr/>
    </dgm:pt>
    <dgm:pt modelId="{5D88878A-C848-494D-BE7B-95FCAF4DEB17}" type="pres">
      <dgm:prSet presAssocID="{F133B79B-C8B9-45C1-8C69-0DC643D51D92}" presName="hierRoot2" presStyleCnt="0">
        <dgm:presLayoutVars>
          <dgm:hierBranch val="init"/>
        </dgm:presLayoutVars>
      </dgm:prSet>
      <dgm:spPr/>
    </dgm:pt>
    <dgm:pt modelId="{DE84DD05-C612-45BA-B815-5A7C718F0596}" type="pres">
      <dgm:prSet presAssocID="{F133B79B-C8B9-45C1-8C69-0DC643D51D92}" presName="rootComposite" presStyleCnt="0"/>
      <dgm:spPr/>
    </dgm:pt>
    <dgm:pt modelId="{DD5B3579-7DBE-4F3D-99DF-2C002955CF6D}" type="pres">
      <dgm:prSet presAssocID="{F133B79B-C8B9-45C1-8C69-0DC643D51D92}" presName="rootText" presStyleLbl="node3" presStyleIdx="35" presStyleCnt="36" custScaleX="207455" custScaleY="145779" custLinFactNeighborX="-13076" custLinFactNeighborY="88918">
        <dgm:presLayoutVars>
          <dgm:chPref val="3"/>
        </dgm:presLayoutVars>
      </dgm:prSet>
      <dgm:spPr/>
    </dgm:pt>
    <dgm:pt modelId="{521DA9D7-18AA-4A62-A973-7FAE96D5D548}" type="pres">
      <dgm:prSet presAssocID="{F133B79B-C8B9-45C1-8C69-0DC643D51D92}" presName="rootConnector" presStyleLbl="node3" presStyleIdx="35" presStyleCnt="36"/>
      <dgm:spPr/>
    </dgm:pt>
    <dgm:pt modelId="{0561CA30-0267-42FE-A3FA-4E10A1503EA5}" type="pres">
      <dgm:prSet presAssocID="{F133B79B-C8B9-45C1-8C69-0DC643D51D92}" presName="hierChild4" presStyleCnt="0"/>
      <dgm:spPr/>
    </dgm:pt>
    <dgm:pt modelId="{90691529-D95D-43A6-80CB-0CDE80CEE4EC}" type="pres">
      <dgm:prSet presAssocID="{F133B79B-C8B9-45C1-8C69-0DC643D51D92}" presName="hierChild5" presStyleCnt="0"/>
      <dgm:spPr/>
    </dgm:pt>
    <dgm:pt modelId="{CB1A6616-553A-4DA1-88EA-86425D9AB1AB}" type="pres">
      <dgm:prSet presAssocID="{AD57D6F8-1E1D-4C08-B8E1-F743CC4D8618}" presName="hierChild5" presStyleCnt="0"/>
      <dgm:spPr/>
    </dgm:pt>
    <dgm:pt modelId="{7763BE78-8E9C-404C-8E6F-A395B43F26D7}" type="pres">
      <dgm:prSet presAssocID="{0D19CEF6-7028-42D2-A7FA-9A9CE24E0D3E}" presName="hierChild3" presStyleCnt="0"/>
      <dgm:spPr/>
    </dgm:pt>
  </dgm:ptLst>
  <dgm:cxnLst>
    <dgm:cxn modelId="{49F9DB03-840A-4EF4-8031-623548AD93E0}" type="presOf" srcId="{2EF179D9-C18F-4A06-AEA9-5D6426FE68A5}" destId="{35F73487-B376-410E-B7A2-0265DAB6A683}" srcOrd="0" destOrd="0" presId="urn:microsoft.com/office/officeart/2005/8/layout/orgChart1"/>
    <dgm:cxn modelId="{2E6E2D04-61FC-4749-A7CB-46EB0F4AB814}" type="presOf" srcId="{6D5DB864-02A4-46BE-8545-ED7E486F40B1}" destId="{E2D3DBFC-8378-439D-8EA2-F88586179F5F}" srcOrd="1" destOrd="0" presId="urn:microsoft.com/office/officeart/2005/8/layout/orgChart1"/>
    <dgm:cxn modelId="{E9848A04-7295-4A24-BA52-113ECFBEB042}" type="presOf" srcId="{058BAF66-FEE2-4B3A-8EE6-25FBFC3671F8}" destId="{388559F6-A377-4E6B-8AFD-045922C575A5}" srcOrd="0" destOrd="0" presId="urn:microsoft.com/office/officeart/2005/8/layout/orgChart1"/>
    <dgm:cxn modelId="{4061FE04-A66A-4AFD-B8C3-39A06F45FFE7}" type="presOf" srcId="{50288868-FEEE-470B-9B6E-3B8DBAE6D908}" destId="{377DAAC8-B64C-4B18-908A-1890A133AEFC}" srcOrd="1" destOrd="0" presId="urn:microsoft.com/office/officeart/2005/8/layout/orgChart1"/>
    <dgm:cxn modelId="{B2FACA05-9345-4287-9D13-1E33073F60AA}" type="presOf" srcId="{ACFB9295-1466-40DD-AC28-3F5FD1714F64}" destId="{E140C6C5-E4A1-49E2-8B34-B36A9E45F7A0}" srcOrd="0" destOrd="0" presId="urn:microsoft.com/office/officeart/2005/8/layout/orgChart1"/>
    <dgm:cxn modelId="{B7E83D0D-9F75-458B-8A63-2DF04880CB53}" type="presOf" srcId="{1E3D188D-1C38-4FF2-ADAD-687EE27716D1}" destId="{EB76186E-B8DD-4C2B-A16E-3DCCAC24AD9E}" srcOrd="0" destOrd="0" presId="urn:microsoft.com/office/officeart/2005/8/layout/orgChart1"/>
    <dgm:cxn modelId="{F5963910-8E50-49C0-8BBF-C785429CE9CB}" type="presOf" srcId="{BF100430-0928-4BA1-B2C3-DCBB59BE2FBC}" destId="{DE90A0AF-EF96-426B-BDC2-9EE119692A07}" srcOrd="0" destOrd="0" presId="urn:microsoft.com/office/officeart/2005/8/layout/orgChart1"/>
    <dgm:cxn modelId="{8DEE2214-BCE3-497F-8070-944429AB3707}" type="presOf" srcId="{92CBA82E-8C23-4886-9478-50470E71E84A}" destId="{077FA3D0-19CB-4A85-85AD-EB8CC3314E25}" srcOrd="1" destOrd="0" presId="urn:microsoft.com/office/officeart/2005/8/layout/orgChart1"/>
    <dgm:cxn modelId="{01346F14-4279-4952-88B6-C07477DA22E0}" type="presOf" srcId="{E5B5055F-BDE8-4C1F-8169-963DD004C33F}" destId="{6E60B9C7-0F06-4460-B10D-685FDA048881}" srcOrd="0" destOrd="0" presId="urn:microsoft.com/office/officeart/2005/8/layout/orgChart1"/>
    <dgm:cxn modelId="{32CA9A15-7B73-4295-AD20-E3C4CD15FD86}" type="presOf" srcId="{BD1A52BE-D10C-4C60-A5CA-97E1F3C6F7BC}" destId="{334CBDC0-DC60-49FB-BE4F-5DC6001401F6}" srcOrd="0" destOrd="0" presId="urn:microsoft.com/office/officeart/2005/8/layout/orgChart1"/>
    <dgm:cxn modelId="{44734F1A-88A9-4C68-A494-37CE02D26531}" type="presOf" srcId="{ABED396A-E93F-4365-BB41-2CCF9C939201}" destId="{D2802FED-9B21-4357-BE79-5F7955BAB013}" srcOrd="0" destOrd="0" presId="urn:microsoft.com/office/officeart/2005/8/layout/orgChart1"/>
    <dgm:cxn modelId="{2B56871B-1633-44A9-A6F5-BF8630FE9CDD}" srcId="{50288868-FEEE-470B-9B6E-3B8DBAE6D908}" destId="{70EFDBF8-CA80-43EB-AF09-A11A22991EC0}" srcOrd="3" destOrd="0" parTransId="{449CAF59-51BF-4A91-99DD-F8581AEF1EC4}" sibTransId="{24DE2231-1041-48EE-BB8A-F8A29BC5A066}"/>
    <dgm:cxn modelId="{EDCDD11E-B365-4DA8-98E7-E75E9386D593}" type="presOf" srcId="{A364AF1D-E42E-45AF-B842-6159BFA8C7B9}" destId="{4CA1BCDE-C91A-4827-AD61-80C4BDB2B836}" srcOrd="1" destOrd="0" presId="urn:microsoft.com/office/officeart/2005/8/layout/orgChart1"/>
    <dgm:cxn modelId="{A4B55820-FD6D-4DE5-9F40-12D85BF74C0E}" type="presOf" srcId="{99E08339-17FA-41F2-B4C9-036DC2F6E0C9}" destId="{26AFA3A5-1E4B-4A67-9D21-AFAE2916FDB8}" srcOrd="0" destOrd="0" presId="urn:microsoft.com/office/officeart/2005/8/layout/orgChart1"/>
    <dgm:cxn modelId="{D0FB8A22-8F49-4C94-8A06-DFEAA8164D6D}" type="presOf" srcId="{15422A0F-7BCA-484C-B057-F62059D58FAA}" destId="{B8710126-C736-487F-A3BB-9B4531A059E9}" srcOrd="1" destOrd="0" presId="urn:microsoft.com/office/officeart/2005/8/layout/orgChart1"/>
    <dgm:cxn modelId="{C064F423-42DD-4A89-949D-393FB33DA354}" type="presOf" srcId="{0D19CEF6-7028-42D2-A7FA-9A9CE24E0D3E}" destId="{5C8C398D-1F82-4B8E-87E2-540D1B2A40A0}" srcOrd="0" destOrd="0" presId="urn:microsoft.com/office/officeart/2005/8/layout/orgChart1"/>
    <dgm:cxn modelId="{C2D34624-970B-402C-9103-C7A69F09996F}" type="presOf" srcId="{685F3026-EBCD-4FC6-A94B-FA0402247107}" destId="{921844B0-3CBD-4834-9F7D-209A988EEE2F}" srcOrd="0" destOrd="0" presId="urn:microsoft.com/office/officeart/2005/8/layout/orgChart1"/>
    <dgm:cxn modelId="{AF709824-2CFD-4DA0-80DD-F96742756E69}" type="presOf" srcId="{19A46F26-59B1-4C5A-BF18-0E767311EBF1}" destId="{43BA9691-70A2-49E9-901A-2FCF27528D5D}" srcOrd="0" destOrd="0" presId="urn:microsoft.com/office/officeart/2005/8/layout/orgChart1"/>
    <dgm:cxn modelId="{9C8D1225-22C7-4C99-8D22-A0F394223E1C}" srcId="{AD57D6F8-1E1D-4C08-B8E1-F743CC4D8618}" destId="{1E3D188D-1C38-4FF2-ADAD-687EE27716D1}" srcOrd="0" destOrd="0" parTransId="{E5B5055F-BDE8-4C1F-8169-963DD004C33F}" sibTransId="{1DA6D785-1867-4555-AF0F-2C53A17CA252}"/>
    <dgm:cxn modelId="{BCE0F127-C485-41BE-B38E-9BDEF8908866}" srcId="{50288868-FEEE-470B-9B6E-3B8DBAE6D908}" destId="{ACFB9295-1466-40DD-AC28-3F5FD1714F64}" srcOrd="2" destOrd="0" parTransId="{EC779102-338A-4658-805D-ADA27F85C532}" sibTransId="{D034D896-F381-4B90-9C52-BBB59FC21309}"/>
    <dgm:cxn modelId="{5DB4BE28-E201-41DA-8084-AFAB81C086B1}" srcId="{30A75C1B-28C6-4B8D-9C12-C405753EA701}" destId="{0AF8697D-AC9F-4005-8FD9-6DCBA79179B5}" srcOrd="5" destOrd="0" parTransId="{A6ECC484-C5B3-4E5A-B7E0-750C177CFF69}" sibTransId="{A92A7263-63F3-4042-9937-EBDB57A98149}"/>
    <dgm:cxn modelId="{F242D529-A2F9-42AF-8DCC-B30BACC88A8B}" type="presOf" srcId="{AC135556-31BF-44F2-8873-1191AAC5AD3E}" destId="{BD64C209-A7B0-47B9-A859-89497615BB8D}" srcOrd="0" destOrd="0" presId="urn:microsoft.com/office/officeart/2005/8/layout/orgChart1"/>
    <dgm:cxn modelId="{F84BFA29-AC45-4711-B302-1ABFA8183EFC}" type="presOf" srcId="{ECA12779-181B-4C07-9D00-63CBA88654AE}" destId="{FED6595E-1570-4891-AE46-CD4AC1DEF9EA}" srcOrd="0" destOrd="0" presId="urn:microsoft.com/office/officeart/2005/8/layout/orgChart1"/>
    <dgm:cxn modelId="{A4D8122A-1142-4D35-AE13-AC643480D764}" type="presOf" srcId="{A15614BF-5CEB-4D67-B306-D3314BE68D26}" destId="{4B8036C8-82F6-4CAC-9705-E438507AC395}" srcOrd="0" destOrd="0" presId="urn:microsoft.com/office/officeart/2005/8/layout/orgChart1"/>
    <dgm:cxn modelId="{394E3C2A-153B-47F6-A0DE-B57B8E21A736}" srcId="{3F3357F7-4B5D-4628-A1A8-7502CC353783}" destId="{DB7CACC7-5EC9-4B8D-96B4-EF600082F3F7}" srcOrd="3" destOrd="0" parTransId="{C6102B0F-7854-426C-92B3-2AE27B490B33}" sibTransId="{A4F133C6-8A42-4E4B-B122-99CF348208F6}"/>
    <dgm:cxn modelId="{A0404C2A-220B-4EA9-AE5D-6A2BE0310FA5}" type="presOf" srcId="{C5F0B96A-A575-48A3-988A-96868B3842FF}" destId="{1B70E28B-3F55-4A34-B864-28329F2EE997}" srcOrd="0" destOrd="0" presId="urn:microsoft.com/office/officeart/2005/8/layout/orgChart1"/>
    <dgm:cxn modelId="{AD759D2D-7DF6-45E0-974F-CB038647CD3F}" type="presOf" srcId="{472A6B0E-9B61-4834-A11A-8167EB7251E1}" destId="{94EA12D3-04D9-47DF-8815-13B679B7C734}" srcOrd="0" destOrd="0" presId="urn:microsoft.com/office/officeart/2005/8/layout/orgChart1"/>
    <dgm:cxn modelId="{AC1B0D2E-E667-4007-BA66-D9057D10975F}" srcId="{12769DC2-3E6F-47DC-8299-CD864B2ADFD6}" destId="{6D5DB864-02A4-46BE-8545-ED7E486F40B1}" srcOrd="5" destOrd="0" parTransId="{3D53F137-37DF-4C23-9AFE-E21B731FCD13}" sibTransId="{5FD9881E-A1CD-4AF0-A128-252B78B6BC46}"/>
    <dgm:cxn modelId="{502AA02E-C778-4F4D-81E7-173D8CC0A2C2}" type="presOf" srcId="{39C5FE85-32DD-462E-8D23-03C3DDEA20B9}" destId="{0B8C700B-8527-409D-ADF9-BFF88DA7E80C}" srcOrd="0" destOrd="0" presId="urn:microsoft.com/office/officeart/2005/8/layout/orgChart1"/>
    <dgm:cxn modelId="{77E69C30-A8B8-4C60-A679-AF2569E5D332}" srcId="{AD57D6F8-1E1D-4C08-B8E1-F743CC4D8618}" destId="{CFAC0D8A-84E8-4DBA-8190-A3C763E23FEE}" srcOrd="3" destOrd="0" parTransId="{4C225E30-36A4-4BE6-ADB9-85A3B29271E0}" sibTransId="{2BAD2124-834B-4C41-8988-1E3F81028152}"/>
    <dgm:cxn modelId="{1F664331-4881-4C84-A050-BEF5874BF073}" type="presOf" srcId="{658E3A9E-66A2-4346-BCEC-4375FA80156E}" destId="{4D7DA46E-0BF2-4295-9AD5-E7231B6FBE5D}" srcOrd="0" destOrd="0" presId="urn:microsoft.com/office/officeart/2005/8/layout/orgChart1"/>
    <dgm:cxn modelId="{C9DD5532-33C7-4F5F-807E-9ABC6AED4C8D}" type="presOf" srcId="{A2EEF95F-6FCB-462B-A18E-D01951D1EB2D}" destId="{FF3F3098-1EE8-47DE-A756-7FCF6D81535A}" srcOrd="1" destOrd="0" presId="urn:microsoft.com/office/officeart/2005/8/layout/orgChart1"/>
    <dgm:cxn modelId="{00634A34-C822-4640-B59A-93AC921A671B}" type="presOf" srcId="{7B1C4966-1262-47C2-A22C-A1A9518F5A79}" destId="{D774376C-5B5F-4165-B817-51060CD11209}" srcOrd="0" destOrd="0" presId="urn:microsoft.com/office/officeart/2005/8/layout/orgChart1"/>
    <dgm:cxn modelId="{D41F1937-8FBD-4F1F-A49E-11B176BC25C9}" srcId="{30A75C1B-28C6-4B8D-9C12-C405753EA701}" destId="{83A882C9-CED3-4DBB-B5D7-A9BC33A0CB1E}" srcOrd="3" destOrd="0" parTransId="{68F8F16B-F0F9-4668-BE26-B49FDC6CE9C8}" sibTransId="{3448586C-7F18-4FD2-9D81-69E3111EDB46}"/>
    <dgm:cxn modelId="{D5545437-A83B-46CB-903C-CC8665020628}" type="presOf" srcId="{B3363645-6E47-4702-9387-06C510C570CB}" destId="{A4F37D24-B226-43D8-A06C-75DCA05AFFD9}" srcOrd="1" destOrd="0" presId="urn:microsoft.com/office/officeart/2005/8/layout/orgChart1"/>
    <dgm:cxn modelId="{1A8D213B-DB59-4EC4-84B8-E170271E03F6}" type="presOf" srcId="{9FC7468C-17A0-4FD1-82F6-1994C9AA5866}" destId="{A8BB2A2D-2837-4904-B835-E6E594DCE55B}" srcOrd="1" destOrd="0" presId="urn:microsoft.com/office/officeart/2005/8/layout/orgChart1"/>
    <dgm:cxn modelId="{F5110D40-14A4-45A5-AD6A-BCF16CEED3FC}" srcId="{E2075C35-04A8-466E-AEED-5D3277B5A90A}" destId="{A15614BF-5CEB-4D67-B306-D3314BE68D26}" srcOrd="4" destOrd="0" parTransId="{3940DA0E-41B9-4888-B3E7-28214BCF8D9B}" sibTransId="{D49F71C9-CEDD-4CA7-8F47-A656E1FB3BFF}"/>
    <dgm:cxn modelId="{B1F23E5C-200E-4819-81E0-AE2B046708A1}" type="presOf" srcId="{8F85FD1E-8136-4C8A-AF31-DF34731BE3BC}" destId="{1BBE8EE2-F237-45F9-A383-197C8C6F4123}" srcOrd="0" destOrd="0" presId="urn:microsoft.com/office/officeart/2005/8/layout/orgChart1"/>
    <dgm:cxn modelId="{69F5975D-690D-4573-BBD1-FE2212DC4401}" srcId="{50288868-FEEE-470B-9B6E-3B8DBAE6D908}" destId="{BD1A52BE-D10C-4C60-A5CA-97E1F3C6F7BC}" srcOrd="5" destOrd="0" parTransId="{685F3026-EBCD-4FC6-A94B-FA0402247107}" sibTransId="{A4DC726A-E32C-4C3E-882A-18D0DB85A508}"/>
    <dgm:cxn modelId="{1CF16B5F-2891-404C-913F-1CC43419ABDC}" type="presOf" srcId="{FD1DE0E6-FA2F-44F6-B53A-BD88042663B5}" destId="{2F7B221D-5030-40CE-B2C2-68153A0F97EC}" srcOrd="0" destOrd="0" presId="urn:microsoft.com/office/officeart/2005/8/layout/orgChart1"/>
    <dgm:cxn modelId="{45636860-DAD8-4181-A790-84D1E1C3B599}" type="presOf" srcId="{EA739FF8-B294-456B-B07A-B32298D14275}" destId="{67112E2D-DA08-4C12-BA18-598F9B59C2DD}" srcOrd="0" destOrd="0" presId="urn:microsoft.com/office/officeart/2005/8/layout/orgChart1"/>
    <dgm:cxn modelId="{3F228761-04AC-4489-9A68-909409E98AF0}" srcId="{30A75C1B-28C6-4B8D-9C12-C405753EA701}" destId="{ECF03B94-C7AD-4DF3-B508-62E701087C6F}" srcOrd="2" destOrd="0" parTransId="{19A46F26-59B1-4C5A-BF18-0E767311EBF1}" sibTransId="{3C1B98AE-1EE8-4E73-BF14-192288902B63}"/>
    <dgm:cxn modelId="{86909741-1138-406C-B4D0-BE6532EA3539}" type="presOf" srcId="{10B2F529-C227-4AFA-9869-F1C5F93B7411}" destId="{AF2EBD80-CD02-4D6E-9BF5-2352F4BE2354}" srcOrd="0" destOrd="0" presId="urn:microsoft.com/office/officeart/2005/8/layout/orgChart1"/>
    <dgm:cxn modelId="{CE732743-EE07-45A9-A191-7CDE8C1EF3FB}" srcId="{AD57D6F8-1E1D-4C08-B8E1-F743CC4D8618}" destId="{058BAF66-FEE2-4B3A-8EE6-25FBFC3671F8}" srcOrd="2" destOrd="0" parTransId="{E804B64F-8B56-4A4C-A418-4BB3F4ED6989}" sibTransId="{2950B48C-8A63-4EE8-992E-FE5529DA3D84}"/>
    <dgm:cxn modelId="{67273C63-B413-44C4-B26B-1180D201D4CD}" type="presOf" srcId="{30A75C1B-28C6-4B8D-9C12-C405753EA701}" destId="{22A73B9D-D4EE-45F4-950A-257DEF58E397}" srcOrd="1" destOrd="0" presId="urn:microsoft.com/office/officeart/2005/8/layout/orgChart1"/>
    <dgm:cxn modelId="{CEB78763-F530-43DF-BB2F-9E7750C1ABBC}" type="presOf" srcId="{92CBA82E-8C23-4886-9478-50470E71E84A}" destId="{2314AD4C-5552-4E80-A3D0-6A7B329E2BF2}" srcOrd="0" destOrd="0" presId="urn:microsoft.com/office/officeart/2005/8/layout/orgChart1"/>
    <dgm:cxn modelId="{75D39245-7D31-4FC1-9B1D-64800C17C3AF}" srcId="{12769DC2-3E6F-47DC-8299-CD864B2ADFD6}" destId="{BF100430-0928-4BA1-B2C3-DCBB59BE2FBC}" srcOrd="4" destOrd="0" parTransId="{D5CF3F1D-4FFA-44B5-84B3-977AD131F177}" sibTransId="{2A9D3097-E7D2-4F49-8DA5-B231360A3C19}"/>
    <dgm:cxn modelId="{7ECFE366-6100-4A1F-8009-3B85E1261D12}" type="presOf" srcId="{AD57D6F8-1E1D-4C08-B8E1-F743CC4D8618}" destId="{735EB318-83B9-45F6-B3F9-31895D8D9C62}" srcOrd="0" destOrd="0" presId="urn:microsoft.com/office/officeart/2005/8/layout/orgChart1"/>
    <dgm:cxn modelId="{8D58C247-3387-4042-9DA1-6B29904A57D7}" srcId="{AD57D6F8-1E1D-4C08-B8E1-F743CC4D8618}" destId="{92CBA82E-8C23-4886-9478-50470E71E84A}" srcOrd="4" destOrd="0" parTransId="{EE0A0574-2CD4-4A8E-8B58-75434BAC3266}" sibTransId="{3739894D-5D17-4D06-BD0C-F96C8E68D34F}"/>
    <dgm:cxn modelId="{2FD3CE48-95C2-4CFC-8F14-8B35EA7630C8}" type="presOf" srcId="{4E92F089-AA5E-42E6-8F33-FE692A0C9628}" destId="{EF40F13B-2C5A-41A4-9FFF-CA4653B01B3B}" srcOrd="0" destOrd="0" presId="urn:microsoft.com/office/officeart/2005/8/layout/orgChart1"/>
    <dgm:cxn modelId="{F0E1EE68-5B84-4C5A-90FB-4161911C7562}" type="presOf" srcId="{E2075C35-04A8-466E-AEED-5D3277B5A90A}" destId="{A93E9E9D-8284-47DB-90D4-BE1DFF93A8F2}" srcOrd="0" destOrd="0" presId="urn:microsoft.com/office/officeart/2005/8/layout/orgChart1"/>
    <dgm:cxn modelId="{A0050B69-EE5C-4417-8506-2975869160CF}" type="presOf" srcId="{A2B11AD8-E2B9-4F53-9825-E09DEC18CD35}" destId="{8DEFE2F6-F03E-4E75-8B42-5AD6EA54AB63}" srcOrd="0" destOrd="0" presId="urn:microsoft.com/office/officeart/2005/8/layout/orgChart1"/>
    <dgm:cxn modelId="{F393606A-2885-46F0-8C64-F877975F21B3}" type="presOf" srcId="{CFAC0D8A-84E8-4DBA-8190-A3C763E23FEE}" destId="{3D8051FC-9840-43DE-B8A8-0A2DB5BDC50C}" srcOrd="1" destOrd="0" presId="urn:microsoft.com/office/officeart/2005/8/layout/orgChart1"/>
    <dgm:cxn modelId="{145BF26B-A168-4388-8E5B-3AC00594A09A}" type="presOf" srcId="{3940DA0E-41B9-4888-B3E7-28214BCF8D9B}" destId="{A4416B43-F3A4-4973-A232-A705A548F85A}" srcOrd="0" destOrd="0" presId="urn:microsoft.com/office/officeart/2005/8/layout/orgChart1"/>
    <dgm:cxn modelId="{B5CF034C-8C67-47F1-AD51-C5F509BAC271}" type="presOf" srcId="{21707E9C-756F-49C7-8A2B-CFCBD71737BB}" destId="{50B422BA-925B-42BF-9337-3D961FB7C327}" srcOrd="1" destOrd="0" presId="urn:microsoft.com/office/officeart/2005/8/layout/orgChart1"/>
    <dgm:cxn modelId="{F730974C-D312-4361-BFC2-807B858E754D}" type="presOf" srcId="{56B05BB8-D9BC-48CC-8340-36DFDDF4319A}" destId="{F7E5F2CE-0C8A-4AD2-8503-9E5CEAC34879}" srcOrd="0" destOrd="0" presId="urn:microsoft.com/office/officeart/2005/8/layout/orgChart1"/>
    <dgm:cxn modelId="{B1F5984C-C737-4C26-810D-23008393B35A}" type="presOf" srcId="{3F3357F7-4B5D-4628-A1A8-7502CC353783}" destId="{14ECF5AB-F12D-4C1A-9BDE-E5F8D27CC289}" srcOrd="1" destOrd="0" presId="urn:microsoft.com/office/officeart/2005/8/layout/orgChart1"/>
    <dgm:cxn modelId="{DACA716E-F787-49DE-95CB-DF6D0740753A}" type="presOf" srcId="{763329BB-BA95-4CCB-A946-57F154F16083}" destId="{A69B6F19-D601-4E1F-A30B-92D7339CEC15}" srcOrd="1" destOrd="0" presId="urn:microsoft.com/office/officeart/2005/8/layout/orgChart1"/>
    <dgm:cxn modelId="{B92F3851-0CDE-42DA-8AFC-779C97E2F82C}" srcId="{E2075C35-04A8-466E-AEED-5D3277B5A90A}" destId="{FBC789F5-9F9D-4FCB-98BD-A3E208DAB147}" srcOrd="3" destOrd="0" parTransId="{F23F9B4E-084A-4AAC-AACF-8F26CD335DF5}" sibTransId="{69A37540-D5B4-4BCA-9831-F17E0BF0CABF}"/>
    <dgm:cxn modelId="{F3741072-F9E0-4EF4-B982-C9059007EF1E}" type="presOf" srcId="{7DD9B6E2-B271-4E30-8530-F0FFC7508F3F}" destId="{96518F74-4F11-437D-A2B6-A7469A744A9A}" srcOrd="1" destOrd="0" presId="urn:microsoft.com/office/officeart/2005/8/layout/orgChart1"/>
    <dgm:cxn modelId="{58DA2752-C49C-496C-93A2-2D5A7C3387E4}" type="presOf" srcId="{50288868-FEEE-470B-9B6E-3B8DBAE6D908}" destId="{A258BD13-7871-4C9C-B418-43BE12BFB3E9}" srcOrd="0" destOrd="0" presId="urn:microsoft.com/office/officeart/2005/8/layout/orgChart1"/>
    <dgm:cxn modelId="{006CBC72-9B5C-4DFF-BE2D-50EC163CEF70}" srcId="{3F3357F7-4B5D-4628-A1A8-7502CC353783}" destId="{56758184-E51D-4231-A1FE-F35C27316928}" srcOrd="1" destOrd="0" parTransId="{B5FE1B7C-2D58-4AE8-96AF-581A3D339B6D}" sibTransId="{79840B14-D186-4325-AE94-AF70BCF8700F}"/>
    <dgm:cxn modelId="{DA23C072-FD5F-4A73-9733-905787364F05}" srcId="{0D19CEF6-7028-42D2-A7FA-9A9CE24E0D3E}" destId="{E2075C35-04A8-466E-AEED-5D3277B5A90A}" srcOrd="1" destOrd="0" parTransId="{1AD6EFD4-8689-4711-870E-B8FCA71DC32C}" sibTransId="{37C1EA31-A108-48BE-8A1B-A8629701A5EC}"/>
    <dgm:cxn modelId="{0A281953-719D-4AF6-A7E7-94FA023E6AB7}" type="presOf" srcId="{BB19C4C0-C836-4CD8-A7C4-A0225D3257FB}" destId="{AD7D396D-70EB-4F3A-AC22-78E8462178A0}" srcOrd="0" destOrd="0" presId="urn:microsoft.com/office/officeart/2005/8/layout/orgChart1"/>
    <dgm:cxn modelId="{9B7C1474-1DE6-4DF4-99A2-DA70FB77CC72}" type="presOf" srcId="{70EFDBF8-CA80-43EB-AF09-A11A22991EC0}" destId="{A5DD968A-911F-4376-BCC3-EEACDFED13C5}" srcOrd="1" destOrd="0" presId="urn:microsoft.com/office/officeart/2005/8/layout/orgChart1"/>
    <dgm:cxn modelId="{A4116874-6DD5-45E1-BA10-3D05C823A60D}" type="presOf" srcId="{DB7CACC7-5EC9-4B8D-96B4-EF600082F3F7}" destId="{450069CF-7114-46AF-B948-B59BD7BD3248}" srcOrd="0" destOrd="0" presId="urn:microsoft.com/office/officeart/2005/8/layout/orgChart1"/>
    <dgm:cxn modelId="{32A9EF54-D955-4468-8678-A024CB7D28D7}" type="presOf" srcId="{BB19C4C0-C836-4CD8-A7C4-A0225D3257FB}" destId="{E8EB7F20-D728-4C93-81BC-AECA407EEA56}" srcOrd="1" destOrd="0" presId="urn:microsoft.com/office/officeart/2005/8/layout/orgChart1"/>
    <dgm:cxn modelId="{691D2256-2072-4676-B297-033E6049E8EC}" type="presOf" srcId="{7DD9B6E2-B271-4E30-8530-F0FFC7508F3F}" destId="{67BD0060-BFB1-4C4A-9D5B-6E6E87609C6C}" srcOrd="0" destOrd="0" presId="urn:microsoft.com/office/officeart/2005/8/layout/orgChart1"/>
    <dgm:cxn modelId="{42940657-AA6E-4F42-ACDC-3E09B6D048DE}" type="presOf" srcId="{E804B64F-8B56-4A4C-A418-4BB3F4ED6989}" destId="{2136166C-C192-4F23-BD15-061DD6C9F076}" srcOrd="0" destOrd="0" presId="urn:microsoft.com/office/officeart/2005/8/layout/orgChart1"/>
    <dgm:cxn modelId="{8CDC5277-E97E-43E6-A36F-C115536225F8}" type="presOf" srcId="{D38C2767-0E30-4FB6-A12F-96B1C5EC5ACD}" destId="{3E7608C9-1BF5-4B36-AAAD-19D61152C89B}" srcOrd="1" destOrd="0" presId="urn:microsoft.com/office/officeart/2005/8/layout/orgChart1"/>
    <dgm:cxn modelId="{A9D8E277-E1A1-4681-B7A5-650EE2B27FD2}" type="presOf" srcId="{AD57D6F8-1E1D-4C08-B8E1-F743CC4D8618}" destId="{5A2DA114-1867-4140-9A0C-7DDD23CDAE7D}" srcOrd="1" destOrd="0" presId="urn:microsoft.com/office/officeart/2005/8/layout/orgChart1"/>
    <dgm:cxn modelId="{C2A6935A-856A-486B-9269-B185ED4E897A}" type="presOf" srcId="{0AF8697D-AC9F-4005-8FD9-6DCBA79179B5}" destId="{87B9EBD0-8BEE-4198-81B7-89C4056E1059}" srcOrd="0" destOrd="0" presId="urn:microsoft.com/office/officeart/2005/8/layout/orgChart1"/>
    <dgm:cxn modelId="{01A0577E-407A-4AA6-A415-4776A00F116E}" type="presOf" srcId="{763329BB-BA95-4CCB-A946-57F154F16083}" destId="{39B8E77F-B22C-4656-8B22-473C50CE438F}" srcOrd="0" destOrd="0" presId="urn:microsoft.com/office/officeart/2005/8/layout/orgChart1"/>
    <dgm:cxn modelId="{73583A83-E64D-4F7D-886F-E29DE22FFDCF}" type="presOf" srcId="{D78B9227-C856-4685-9B63-ED38AD2B7C9E}" destId="{F8DF4927-B0E2-4A18-B576-0CEAC6685F51}" srcOrd="0" destOrd="0" presId="urn:microsoft.com/office/officeart/2005/8/layout/orgChart1"/>
    <dgm:cxn modelId="{62B9D284-4693-47EC-8CC3-4AF970218CD1}" type="presOf" srcId="{FBC789F5-9F9D-4FCB-98BD-A3E208DAB147}" destId="{8EFA38DB-7372-4EF3-94A9-14D2F01FACFE}" srcOrd="0" destOrd="0" presId="urn:microsoft.com/office/officeart/2005/8/layout/orgChart1"/>
    <dgm:cxn modelId="{53E65285-48DC-4376-9BA4-CC44F696EC53}" srcId="{3F3357F7-4B5D-4628-A1A8-7502CC353783}" destId="{7DD9B6E2-B271-4E30-8530-F0FFC7508F3F}" srcOrd="0" destOrd="0" parTransId="{AF3C95EC-2FD9-403C-A2F6-972AE545C6A9}" sibTransId="{2AE95C04-4BD2-4D20-B92A-21E4CA3B9E04}"/>
    <dgm:cxn modelId="{1F2A8385-CB6D-4D30-8CDE-C01F55ECCC50}" type="presOf" srcId="{058BAF66-FEE2-4B3A-8EE6-25FBFC3671F8}" destId="{87C406E2-5A90-409E-A6F8-B797D7521526}" srcOrd="1" destOrd="0" presId="urn:microsoft.com/office/officeart/2005/8/layout/orgChart1"/>
    <dgm:cxn modelId="{5D4AD686-A448-48D6-BE03-D809FB468B79}" type="presOf" srcId="{12769DC2-3E6F-47DC-8299-CD864B2ADFD6}" destId="{7BCBB919-E96F-42D4-BA5F-2446C6D9C71A}" srcOrd="1" destOrd="0" presId="urn:microsoft.com/office/officeart/2005/8/layout/orgChart1"/>
    <dgm:cxn modelId="{BF7E4987-F83A-4D17-90D1-D82370611207}" type="presOf" srcId="{A6ECC484-C5B3-4E5A-B7E0-750C177CFF69}" destId="{591A4806-A056-49FA-A807-3507349E025F}" srcOrd="0" destOrd="0" presId="urn:microsoft.com/office/officeart/2005/8/layout/orgChart1"/>
    <dgm:cxn modelId="{D6081B88-17DA-4FC2-8FAC-E43450CD57FF}" srcId="{E2075C35-04A8-466E-AEED-5D3277B5A90A}" destId="{C5F0B96A-A575-48A3-988A-96868B3842FF}" srcOrd="2" destOrd="0" parTransId="{ABED396A-E93F-4365-BB41-2CCF9C939201}" sibTransId="{CD1D148D-17B5-4C7B-B8E9-16327CA670DA}"/>
    <dgm:cxn modelId="{6899F288-868A-421D-9441-BA0C3CFEF45D}" type="presOf" srcId="{BF100430-0928-4BA1-B2C3-DCBB59BE2FBC}" destId="{F75DB207-43BF-488C-BEA8-CD8796287353}" srcOrd="1" destOrd="0" presId="urn:microsoft.com/office/officeart/2005/8/layout/orgChart1"/>
    <dgm:cxn modelId="{832A2A89-4450-42AE-82BC-FCDB349C3EC5}" type="presOf" srcId="{700EB8B3-EC84-483A-8486-DA03EEAAFDAC}" destId="{F1EE7129-9CBE-42CE-9EE3-3684DAE78A6A}" srcOrd="0" destOrd="0" presId="urn:microsoft.com/office/officeart/2005/8/layout/orgChart1"/>
    <dgm:cxn modelId="{72B48A89-A1F1-4D09-BEF0-37389F449EAA}" srcId="{50288868-FEEE-470B-9B6E-3B8DBAE6D908}" destId="{ECA12779-181B-4C07-9D00-63CBA88654AE}" srcOrd="0" destOrd="0" parTransId="{FD1DE0E6-FA2F-44F6-B53A-BD88042663B5}" sibTransId="{339A230E-D26D-4336-95B7-A30C85828F00}"/>
    <dgm:cxn modelId="{C7CEE389-B30D-43E6-B3E1-76ADE483071B}" srcId="{30A75C1B-28C6-4B8D-9C12-C405753EA701}" destId="{DE430EBC-9AEB-4AC5-8133-E102B3D8B235}" srcOrd="0" destOrd="0" parTransId="{82998A5A-8177-4BF4-B11A-85C450BCA0B9}" sibTransId="{89CC0D70-E04A-479A-8ABF-FBDFB8FC8D64}"/>
    <dgm:cxn modelId="{227D088A-4869-4C30-8C75-490F3BC8CFBA}" type="presOf" srcId="{ECF03B94-C7AD-4DF3-B508-62E701087C6F}" destId="{F83BC690-EFD5-4158-846D-4272C8D58421}" srcOrd="1" destOrd="0" presId="urn:microsoft.com/office/officeart/2005/8/layout/orgChart1"/>
    <dgm:cxn modelId="{81B9608E-0058-4BD9-A63F-72254426556D}" type="presOf" srcId="{6C08F2A6-164D-4776-851A-3C052221AD3E}" destId="{B0EBF5AF-CC42-4F77-830A-5EDB69B9E1FC}" srcOrd="0" destOrd="0" presId="urn:microsoft.com/office/officeart/2005/8/layout/orgChart1"/>
    <dgm:cxn modelId="{A24AD98E-9509-45A8-880A-2B2E1160CD62}" type="presOf" srcId="{44591BC8-1AE4-4203-B251-4BF042D57FB8}" destId="{A974865C-4AAC-4F63-8401-750EBF08F041}" srcOrd="0" destOrd="0" presId="urn:microsoft.com/office/officeart/2005/8/layout/orgChart1"/>
    <dgm:cxn modelId="{CFAD9E8F-B4A6-42D6-A004-1CBE9A727E56}" srcId="{0D19CEF6-7028-42D2-A7FA-9A9CE24E0D3E}" destId="{30A75C1B-28C6-4B8D-9C12-C405753EA701}" srcOrd="0" destOrd="0" parTransId="{888506E6-77BD-43A8-8E77-FA1FA2C75BB2}" sibTransId="{F8A17D73-68EA-4704-A740-E68B6A6A14A5}"/>
    <dgm:cxn modelId="{87D72890-5BF5-4371-9044-01FD06BEFE2C}" type="presOf" srcId="{AF3C95EC-2FD9-403C-A2F6-972AE545C6A9}" destId="{FC1C23FE-41C3-45AB-B919-B5AEFCF7E4A0}" srcOrd="0" destOrd="0" presId="urn:microsoft.com/office/officeart/2005/8/layout/orgChart1"/>
    <dgm:cxn modelId="{393BD690-F08C-4411-95CC-04C0BE824920}" type="presOf" srcId="{12351F76-C54E-43F8-A657-363EC9E932E1}" destId="{04201401-4837-4B30-AFFF-9998EB8BCE29}" srcOrd="1" destOrd="0" presId="urn:microsoft.com/office/officeart/2005/8/layout/orgChart1"/>
    <dgm:cxn modelId="{71AC5D91-1E95-41AF-84B1-523D580A8A2D}" type="presOf" srcId="{E2075C35-04A8-466E-AEED-5D3277B5A90A}" destId="{9DC0A2C5-954A-46FE-AAEA-4522F3158F81}" srcOrd="1" destOrd="0" presId="urn:microsoft.com/office/officeart/2005/8/layout/orgChart1"/>
    <dgm:cxn modelId="{5C94E791-CC47-4A1A-BEE4-2F93DB42515F}" type="presOf" srcId="{23FDE87F-8181-442A-B062-9B31B775BC56}" destId="{49442FAC-B0E9-4BAD-861B-AEA4355561EE}" srcOrd="0" destOrd="0" presId="urn:microsoft.com/office/officeart/2005/8/layout/orgChart1"/>
    <dgm:cxn modelId="{EB6EEB91-7C5B-4EF0-96BC-BDC5AA3F0FD9}" srcId="{AD57D6F8-1E1D-4C08-B8E1-F743CC4D8618}" destId="{F133B79B-C8B9-45C1-8C69-0DC643D51D92}" srcOrd="5" destOrd="0" parTransId="{2EF179D9-C18F-4A06-AEA9-5D6426FE68A5}" sibTransId="{8B4E6A5E-1239-4310-97A4-401A115924F6}"/>
    <dgm:cxn modelId="{34FDF191-F57A-4CA4-A29F-771E825A4BFA}" type="presOf" srcId="{D38C2767-0E30-4FB6-A12F-96B1C5EC5ACD}" destId="{A9181D67-06C7-48A4-910B-0FB4C3B9B53D}" srcOrd="0" destOrd="0" presId="urn:microsoft.com/office/officeart/2005/8/layout/orgChart1"/>
    <dgm:cxn modelId="{DBD6A492-9F9C-48A9-A65D-DDCAC2D930B9}" type="presOf" srcId="{A15614BF-5CEB-4D67-B306-D3314BE68D26}" destId="{4AF6D63D-FDCA-49E5-BB65-DF2D7246EF51}" srcOrd="1" destOrd="0" presId="urn:microsoft.com/office/officeart/2005/8/layout/orgChart1"/>
    <dgm:cxn modelId="{0CB1E992-943A-44DE-ADCB-A4E88CF44979}" type="presOf" srcId="{EA739FF8-B294-456B-B07A-B32298D14275}" destId="{12D47608-971A-4760-9862-9A137244C989}" srcOrd="1" destOrd="0" presId="urn:microsoft.com/office/officeart/2005/8/layout/orgChart1"/>
    <dgm:cxn modelId="{CD7B0D94-3F68-431D-80F1-D2AFCBDD0E19}" type="presOf" srcId="{1AD6EFD4-8689-4711-870E-B8FCA71DC32C}" destId="{E956C72C-0695-4AF5-8F1B-AF3CF911254E}" srcOrd="0" destOrd="0" presId="urn:microsoft.com/office/officeart/2005/8/layout/orgChart1"/>
    <dgm:cxn modelId="{0FB83A95-F4FE-4419-8FC2-CF83845C6E43}" type="presOf" srcId="{15422A0F-7BCA-484C-B057-F62059D58FAA}" destId="{E96B1214-A9E7-4181-8CA8-92FB713D4A14}" srcOrd="0" destOrd="0" presId="urn:microsoft.com/office/officeart/2005/8/layout/orgChart1"/>
    <dgm:cxn modelId="{8683A695-D271-47B4-908D-C1BEABA8CB57}" type="presOf" srcId="{ECF03B94-C7AD-4DF3-B508-62E701087C6F}" destId="{856CFF55-E4E6-40F3-9F14-FD1536F40E0B}" srcOrd="0" destOrd="0" presId="urn:microsoft.com/office/officeart/2005/8/layout/orgChart1"/>
    <dgm:cxn modelId="{1051A196-F568-4B7C-AB0C-EBC995E86FDC}" type="presOf" srcId="{ACFB9295-1466-40DD-AC28-3F5FD1714F64}" destId="{69D06E7D-A6C7-4A80-AB80-BC479557C42C}" srcOrd="1" destOrd="0" presId="urn:microsoft.com/office/officeart/2005/8/layout/orgChart1"/>
    <dgm:cxn modelId="{07F0D096-695E-4D0B-BACA-935B752CC4B8}" type="presOf" srcId="{CAB3C7F0-E5B8-433A-80EE-848BBB579EA1}" destId="{7074A187-D177-4CA7-8FAD-19086FA2F2A3}" srcOrd="0" destOrd="0" presId="urn:microsoft.com/office/officeart/2005/8/layout/orgChart1"/>
    <dgm:cxn modelId="{5D127597-EB1A-4657-8E63-AA98FFB3F432}" type="presOf" srcId="{1EDA062A-9AE5-4A51-90C7-F5F58C4180FE}" destId="{4B4A3709-AA75-4971-921B-CAC4A33225CC}" srcOrd="0" destOrd="0" presId="urn:microsoft.com/office/officeart/2005/8/layout/orgChart1"/>
    <dgm:cxn modelId="{2D5D2E98-6032-4A77-B328-99C3F182EC42}" type="presOf" srcId="{EE0A0574-2CD4-4A8E-8B58-75434BAC3266}" destId="{42707F8B-9C5E-4525-95F3-F1CEBC2FA133}" srcOrd="0" destOrd="0" presId="urn:microsoft.com/office/officeart/2005/8/layout/orgChart1"/>
    <dgm:cxn modelId="{B40D5C99-47CD-4B5C-BECA-2F3E16A61FF0}" srcId="{AD57D6F8-1E1D-4C08-B8E1-F743CC4D8618}" destId="{472A6B0E-9B61-4834-A11A-8167EB7251E1}" srcOrd="1" destOrd="0" parTransId="{10B2F529-C227-4AFA-9869-F1C5F93B7411}" sibTransId="{A45A06BF-27FB-4DFD-A66D-202CC0C7CB04}"/>
    <dgm:cxn modelId="{8DA7589A-1176-4098-BCD7-D7509D5DAF47}" type="presOf" srcId="{0AF8697D-AC9F-4005-8FD9-6DCBA79179B5}" destId="{2866293E-A1B4-4F6A-A920-9518F91B0520}" srcOrd="1" destOrd="0" presId="urn:microsoft.com/office/officeart/2005/8/layout/orgChart1"/>
    <dgm:cxn modelId="{49D3B79A-9742-4808-9A0E-650C4A49B5B6}" type="presOf" srcId="{DB7CACC7-5EC9-4B8D-96B4-EF600082F3F7}" destId="{DF59B64D-B8F5-4CBC-B522-C117940BEBC4}" srcOrd="1" destOrd="0" presId="urn:microsoft.com/office/officeart/2005/8/layout/orgChart1"/>
    <dgm:cxn modelId="{6A9A789C-B414-495B-9BF3-23B1DA60F874}" srcId="{50288868-FEEE-470B-9B6E-3B8DBAE6D908}" destId="{12351F76-C54E-43F8-A657-363EC9E932E1}" srcOrd="1" destOrd="0" parTransId="{1CD7D42E-8C56-458F-8322-E22926EA09CE}" sibTransId="{1B1406ED-048A-472B-AD36-574C7D6F9126}"/>
    <dgm:cxn modelId="{63754EA0-264A-41F7-A018-0D8CAEC714B5}" type="presOf" srcId="{888506E6-77BD-43A8-8E77-FA1FA2C75BB2}" destId="{6829BF15-4119-41AB-879E-0A03001B34CB}" srcOrd="0" destOrd="0" presId="urn:microsoft.com/office/officeart/2005/8/layout/orgChart1"/>
    <dgm:cxn modelId="{96D808A1-38C1-4257-AD78-7A218956AEAF}" type="presOf" srcId="{6C08F2A6-164D-4776-851A-3C052221AD3E}" destId="{267399EE-B55E-4476-A64E-CC4D84D4DD98}" srcOrd="1" destOrd="0" presId="urn:microsoft.com/office/officeart/2005/8/layout/orgChart1"/>
    <dgm:cxn modelId="{449EDEA5-6CBF-40B1-839B-3541BEFF93A5}" type="presOf" srcId="{A2EEF95F-6FCB-462B-A18E-D01951D1EB2D}" destId="{ABC7BB64-A90A-4CB7-9105-0A2AC9805564}" srcOrd="0" destOrd="0" presId="urn:microsoft.com/office/officeart/2005/8/layout/orgChart1"/>
    <dgm:cxn modelId="{F262E0A6-DAE2-4052-9BFC-76967577DBB2}" type="presOf" srcId="{EC779102-338A-4658-805D-ADA27F85C532}" destId="{B5210DB0-CB29-4557-B327-60029655B293}" srcOrd="0" destOrd="0" presId="urn:microsoft.com/office/officeart/2005/8/layout/orgChart1"/>
    <dgm:cxn modelId="{EA1E41A7-8379-47D0-8723-1ABF73A8EA47}" type="presOf" srcId="{83A882C9-CED3-4DBB-B5D7-A9BC33A0CB1E}" destId="{2490E369-58C0-4092-BC57-B6F9B7A8424A}" srcOrd="0" destOrd="0" presId="urn:microsoft.com/office/officeart/2005/8/layout/orgChart1"/>
    <dgm:cxn modelId="{731A4DA8-ED5E-46EF-A217-8196EE3BA93C}" type="presOf" srcId="{82998A5A-8177-4BF4-B11A-85C450BCA0B9}" destId="{2C29EF2C-4297-4C3B-9B35-26D15FB09F87}" srcOrd="0" destOrd="0" presId="urn:microsoft.com/office/officeart/2005/8/layout/orgChart1"/>
    <dgm:cxn modelId="{96E297A8-0406-4A26-9642-50B037DD0435}" srcId="{12769DC2-3E6F-47DC-8299-CD864B2ADFD6}" destId="{AB76204E-2E1E-4483-B659-02F8E8BD8E3A}" srcOrd="0" destOrd="0" parTransId="{9D236FE8-B5DB-42B2-83A0-8A85E57D18D6}" sibTransId="{24A5B341-C6D8-420A-B49A-C190618461F1}"/>
    <dgm:cxn modelId="{9ED470AA-50DB-44CE-ABBE-04BFFF8BB65D}" srcId="{30A75C1B-28C6-4B8D-9C12-C405753EA701}" destId="{CAB3C7F0-E5B8-433A-80EE-848BBB579EA1}" srcOrd="4" destOrd="0" parTransId="{99BCA385-66F1-4778-AC5F-322108555713}" sibTransId="{67E7AAB7-F758-452E-808A-F8A3AC7B5A85}"/>
    <dgm:cxn modelId="{3901FAAC-A1B1-4589-9A9C-59CA86DFF58C}" type="presOf" srcId="{56758184-E51D-4231-A1FE-F35C27316928}" destId="{5451555C-535D-4995-B08E-92BDE4EE9F4E}" srcOrd="0" destOrd="0" presId="urn:microsoft.com/office/officeart/2005/8/layout/orgChart1"/>
    <dgm:cxn modelId="{BA616BB5-1FAC-4D6E-83B5-305E0A4442E4}" type="presOf" srcId="{C41972CF-CFF7-4A0B-86FB-124A3C29C284}" destId="{7398580D-8EEC-44BA-940A-E4D9004A0CF0}" srcOrd="0" destOrd="0" presId="urn:microsoft.com/office/officeart/2005/8/layout/orgChart1"/>
    <dgm:cxn modelId="{3DEA44B8-A680-4A9C-B362-8D1E3C44FC40}" type="presOf" srcId="{68F8F16B-F0F9-4668-BE26-B49FDC6CE9C8}" destId="{59FDCD71-00D1-4CBF-9A31-1E489E856A40}" srcOrd="0" destOrd="0" presId="urn:microsoft.com/office/officeart/2005/8/layout/orgChart1"/>
    <dgm:cxn modelId="{ECBFD0B8-048D-47C8-82A4-6AAE4A80C230}" type="presOf" srcId="{ECA12779-181B-4C07-9D00-63CBA88654AE}" destId="{4A3DC27F-8DE4-48A4-9352-6E19ED89BD37}" srcOrd="1" destOrd="0" presId="urn:microsoft.com/office/officeart/2005/8/layout/orgChart1"/>
    <dgm:cxn modelId="{D6876EBA-F78B-4176-A056-663F2DC0019E}" srcId="{8F85FD1E-8136-4C8A-AF31-DF34731BE3BC}" destId="{0D19CEF6-7028-42D2-A7FA-9A9CE24E0D3E}" srcOrd="0" destOrd="0" parTransId="{BBBECFD6-43DC-47AE-B98A-23647B4C8016}" sibTransId="{247D7F4C-B6AA-453F-B6B1-CCB72362D25F}"/>
    <dgm:cxn modelId="{7C766FBB-EE4C-4FAF-B1A9-842A12604A21}" type="presOf" srcId="{AB76204E-2E1E-4483-B659-02F8E8BD8E3A}" destId="{647420B5-B7F6-41E1-AC34-55D8867088E7}" srcOrd="0" destOrd="0" presId="urn:microsoft.com/office/officeart/2005/8/layout/orgChart1"/>
    <dgm:cxn modelId="{E23E0DBC-05B6-42D8-8F2D-7174F19B4999}" srcId="{0D19CEF6-7028-42D2-A7FA-9A9CE24E0D3E}" destId="{50288868-FEEE-470B-9B6E-3B8DBAE6D908}" srcOrd="4" destOrd="0" parTransId="{700EB8B3-EC84-483A-8486-DA03EEAAFDAC}" sibTransId="{9A0B2F47-A2BB-4242-B28E-A678B4FBFAE2}"/>
    <dgm:cxn modelId="{D4F174BE-C618-49C1-8D83-A0E3F1FA0719}" srcId="{0D19CEF6-7028-42D2-A7FA-9A9CE24E0D3E}" destId="{AD57D6F8-1E1D-4C08-B8E1-F743CC4D8618}" srcOrd="5" destOrd="0" parTransId="{7B1C4966-1262-47C2-A22C-A1A9518F5A79}" sibTransId="{E3A71EE5-562D-48DB-A1C5-6CEB44716E34}"/>
    <dgm:cxn modelId="{77B8E4C0-A0AC-4BE2-8384-F974ADC49DA3}" srcId="{12769DC2-3E6F-47DC-8299-CD864B2ADFD6}" destId="{A2EEF95F-6FCB-462B-A18E-D01951D1EB2D}" srcOrd="1" destOrd="0" parTransId="{4E92F089-AA5E-42E6-8F33-FE692A0C9628}" sibTransId="{3DB9F778-7086-4387-A079-096207A246FE}"/>
    <dgm:cxn modelId="{D4CDB5C1-3514-4F87-BA98-B12881772400}" srcId="{E2075C35-04A8-466E-AEED-5D3277B5A90A}" destId="{21707E9C-756F-49C7-8A2B-CFCBD71737BB}" srcOrd="5" destOrd="0" parTransId="{658E3A9E-66A2-4346-BCEC-4375FA80156E}" sibTransId="{BD4CC336-0350-4DD6-A438-A1B6D215B4C8}"/>
    <dgm:cxn modelId="{60572FC4-BD26-4D07-93F8-91AC1FC88761}" type="presOf" srcId="{D5CF3F1D-4FFA-44B5-84B3-977AD131F177}" destId="{528E5FC3-D11A-4F89-9B14-660DA30A5BD9}" srcOrd="0" destOrd="0" presId="urn:microsoft.com/office/officeart/2005/8/layout/orgChart1"/>
    <dgm:cxn modelId="{31F32AC7-E16B-42A0-9EDC-24127D2D1E28}" type="presOf" srcId="{1CD7D42E-8C56-458F-8322-E22926EA09CE}" destId="{FD540605-6F96-4B99-9FEF-8CEAB4571FB4}" srcOrd="0" destOrd="0" presId="urn:microsoft.com/office/officeart/2005/8/layout/orgChart1"/>
    <dgm:cxn modelId="{C7AEB0C7-967B-4690-A418-EB9792882602}" type="presOf" srcId="{B3363645-6E47-4702-9387-06C510C570CB}" destId="{8F6DC081-6798-4216-A738-17F2FC92AADF}" srcOrd="0" destOrd="0" presId="urn:microsoft.com/office/officeart/2005/8/layout/orgChart1"/>
    <dgm:cxn modelId="{900E6AC8-FF25-4C6D-A323-CE992876DB34}" type="presOf" srcId="{9FC7468C-17A0-4FD1-82F6-1994C9AA5866}" destId="{1729CE0B-3838-48AD-B589-B372F2B0C771}" srcOrd="0" destOrd="0" presId="urn:microsoft.com/office/officeart/2005/8/layout/orgChart1"/>
    <dgm:cxn modelId="{2A9D33C9-B372-4771-BAA5-C1CB9F07A41E}" type="presOf" srcId="{F133B79B-C8B9-45C1-8C69-0DC643D51D92}" destId="{521DA9D7-18AA-4A62-A973-7FAE96D5D548}" srcOrd="1" destOrd="0" presId="urn:microsoft.com/office/officeart/2005/8/layout/orgChart1"/>
    <dgm:cxn modelId="{79D660C9-D21C-4FC7-8695-F77066748A2E}" srcId="{3F3357F7-4B5D-4628-A1A8-7502CC353783}" destId="{D38C2767-0E30-4FB6-A12F-96B1C5EC5ACD}" srcOrd="5" destOrd="0" parTransId="{AC135556-31BF-44F2-8873-1191AAC5AD3E}" sibTransId="{6C18CF87-B020-4223-B88A-5C47976CBFAE}"/>
    <dgm:cxn modelId="{4EBE3ACA-84C4-4C6B-89D0-191D7B9B73B5}" srcId="{30A75C1B-28C6-4B8D-9C12-C405753EA701}" destId="{15422A0F-7BCA-484C-B057-F62059D58FAA}" srcOrd="1" destOrd="0" parTransId="{C41972CF-CFF7-4A0B-86FB-124A3C29C284}" sibTransId="{DC1DF3B3-93D9-4FB5-8CEB-FEEA97B627D4}"/>
    <dgm:cxn modelId="{4B2D23CB-5977-4795-8612-E09099CD9B90}" srcId="{3F3357F7-4B5D-4628-A1A8-7502CC353783}" destId="{EA739FF8-B294-456B-B07A-B32298D14275}" srcOrd="2" destOrd="0" parTransId="{39C5FE85-32DD-462E-8D23-03C3DDEA20B9}" sibTransId="{7A8556ED-A3CA-4130-AE8E-183C74A85426}"/>
    <dgm:cxn modelId="{4B0C80CB-FDDF-4922-801F-F54BB3BAD837}" type="presOf" srcId="{9D236FE8-B5DB-42B2-83A0-8A85E57D18D6}" destId="{96BFC465-8166-421C-9903-E801C6A495F4}" srcOrd="0" destOrd="0" presId="urn:microsoft.com/office/officeart/2005/8/layout/orgChart1"/>
    <dgm:cxn modelId="{2D7425CD-93D8-4FAB-A8C4-E01C22FFAD6D}" type="presOf" srcId="{30A75C1B-28C6-4B8D-9C12-C405753EA701}" destId="{853FFB4D-1E55-4DDD-854F-C86298D938B0}" srcOrd="0" destOrd="0" presId="urn:microsoft.com/office/officeart/2005/8/layout/orgChart1"/>
    <dgm:cxn modelId="{3CFB60CE-2E69-46FD-9E4C-80E90F6A4176}" type="presOf" srcId="{3F3357F7-4B5D-4628-A1A8-7502CC353783}" destId="{18D7EB7E-5345-47F5-A003-6DAA02A6F959}" srcOrd="0" destOrd="0" presId="urn:microsoft.com/office/officeart/2005/8/layout/orgChart1"/>
    <dgm:cxn modelId="{25C861CE-B35C-4D2F-A37E-C28F40D6A72C}" type="presOf" srcId="{CAB3C7F0-E5B8-433A-80EE-848BBB579EA1}" destId="{925B500F-2D7C-454A-BB55-FDBCEEFBBE9A}" srcOrd="1" destOrd="0" presId="urn:microsoft.com/office/officeart/2005/8/layout/orgChart1"/>
    <dgm:cxn modelId="{C9B474CE-3750-4A7B-BC46-5F50F62C6E3A}" type="presOf" srcId="{C5F0B96A-A575-48A3-988A-96868B3842FF}" destId="{EE2E1F48-D8E2-4DBB-BEED-FC3ADD31836E}" srcOrd="1" destOrd="0" presId="urn:microsoft.com/office/officeart/2005/8/layout/orgChart1"/>
    <dgm:cxn modelId="{53EEFACF-1904-45A9-ACE9-09167DA6F143}" type="presOf" srcId="{12769DC2-3E6F-47DC-8299-CD864B2ADFD6}" destId="{EBDC4F41-BB02-4045-BB2C-0F561DCA0C10}" srcOrd="0" destOrd="0" presId="urn:microsoft.com/office/officeart/2005/8/layout/orgChart1"/>
    <dgm:cxn modelId="{518BBBD0-6DB7-4A6D-957E-0EA6D833F387}" srcId="{12769DC2-3E6F-47DC-8299-CD864B2ADFD6}" destId="{763329BB-BA95-4CCB-A946-57F154F16083}" srcOrd="3" destOrd="0" parTransId="{56B05BB8-D9BC-48CC-8340-36DFDDF4319A}" sibTransId="{C41D91DD-B930-4A1A-9EE1-AB29AD6DBECE}"/>
    <dgm:cxn modelId="{A4C139D1-B6E4-497C-8214-ED0B72116B90}" type="presOf" srcId="{B5FE1B7C-2D58-4AE8-96AF-581A3D339B6D}" destId="{ED94DFB4-543B-4805-8D2B-6695EC59E5AF}" srcOrd="0" destOrd="0" presId="urn:microsoft.com/office/officeart/2005/8/layout/orgChart1"/>
    <dgm:cxn modelId="{6D3FC2D1-A05F-45C1-AA3E-56A644F89545}" srcId="{0D19CEF6-7028-42D2-A7FA-9A9CE24E0D3E}" destId="{3F3357F7-4B5D-4628-A1A8-7502CC353783}" srcOrd="2" destOrd="0" parTransId="{44591BC8-1AE4-4203-B251-4BF042D57FB8}" sibTransId="{28D6021F-0685-4140-81B0-9CD9CAA08C85}"/>
    <dgm:cxn modelId="{E8BC39D2-48EF-439D-8345-5BBEFB3DE761}" type="presOf" srcId="{21707E9C-756F-49C7-8A2B-CFCBD71737BB}" destId="{4A3627A3-97A7-4455-998E-33BC47472C19}" srcOrd="0" destOrd="0" presId="urn:microsoft.com/office/officeart/2005/8/layout/orgChart1"/>
    <dgm:cxn modelId="{6B61AFD2-09B8-4F29-BD76-86C514C0E146}" type="presOf" srcId="{DE430EBC-9AEB-4AC5-8133-E102B3D8B235}" destId="{87C0B8B4-77B8-4E43-88C6-0FBC36C0E8AE}" srcOrd="1" destOrd="0" presId="urn:microsoft.com/office/officeart/2005/8/layout/orgChart1"/>
    <dgm:cxn modelId="{DE2F38D5-283E-444E-8B8B-873CD1169C91}" type="presOf" srcId="{BD1A52BE-D10C-4C60-A5CA-97E1F3C6F7BC}" destId="{35E07A3F-BFBB-420C-AA9E-724B4CCB2AAF}" srcOrd="1" destOrd="0" presId="urn:microsoft.com/office/officeart/2005/8/layout/orgChart1"/>
    <dgm:cxn modelId="{351DD1D5-5581-43DE-B143-4E2F25324C25}" type="presOf" srcId="{A364AF1D-E42E-45AF-B842-6159BFA8C7B9}" destId="{0A0D7290-3BF8-4E1B-AF58-EEEFB663DEAB}" srcOrd="0" destOrd="0" presId="urn:microsoft.com/office/officeart/2005/8/layout/orgChart1"/>
    <dgm:cxn modelId="{095492D6-17D8-4708-BFBB-97DFA5730C39}" type="presOf" srcId="{6D5DB864-02A4-46BE-8545-ED7E486F40B1}" destId="{0119EEB9-9A38-430C-8605-8FF3F804544F}" srcOrd="0" destOrd="0" presId="urn:microsoft.com/office/officeart/2005/8/layout/orgChart1"/>
    <dgm:cxn modelId="{F6E9B7D9-D226-4AFA-80DF-BDF78EA410C8}" type="presOf" srcId="{70EFDBF8-CA80-43EB-AF09-A11A22991EC0}" destId="{2915E1C8-90EE-4D3E-80C4-5A095B94CCE7}" srcOrd="0" destOrd="0" presId="urn:microsoft.com/office/officeart/2005/8/layout/orgChart1"/>
    <dgm:cxn modelId="{752EF8D9-64B4-45C8-8B3F-AEC5F7B5E0B3}" srcId="{E2075C35-04A8-466E-AEED-5D3277B5A90A}" destId="{6C08F2A6-164D-4776-851A-3C052221AD3E}" srcOrd="0" destOrd="0" parTransId="{A2B11AD8-E2B9-4F53-9825-E09DEC18CD35}" sibTransId="{83D61416-757E-415D-AC2D-56F8775EA0CC}"/>
    <dgm:cxn modelId="{B21A11DA-8901-4DFD-B490-0E9BF153D5D8}" type="presOf" srcId="{CFAC0D8A-84E8-4DBA-8190-A3C763E23FEE}" destId="{343E1092-F522-4487-A030-10090F0AF3AB}" srcOrd="0" destOrd="0" presId="urn:microsoft.com/office/officeart/2005/8/layout/orgChart1"/>
    <dgm:cxn modelId="{823376DE-6B22-4A6D-A45D-C496C0205BBB}" type="presOf" srcId="{472A6B0E-9B61-4834-A11A-8167EB7251E1}" destId="{98978DF8-E78C-45F1-AFBA-94A10B012F83}" srcOrd="1" destOrd="0" presId="urn:microsoft.com/office/officeart/2005/8/layout/orgChart1"/>
    <dgm:cxn modelId="{B9FDF8DE-9D88-4EBD-804F-A97DDD7AF7F0}" type="presOf" srcId="{AB76204E-2E1E-4483-B659-02F8E8BD8E3A}" destId="{2AA0D326-14A0-4FFF-AA6C-042CD260C778}" srcOrd="1" destOrd="0" presId="urn:microsoft.com/office/officeart/2005/8/layout/orgChart1"/>
    <dgm:cxn modelId="{B53F17DF-6FD1-495B-8591-EFAAFB3E5793}" type="presOf" srcId="{F133B79B-C8B9-45C1-8C69-0DC643D51D92}" destId="{DD5B3579-7DBE-4F3D-99DF-2C002955CF6D}" srcOrd="0" destOrd="0" presId="urn:microsoft.com/office/officeart/2005/8/layout/orgChart1"/>
    <dgm:cxn modelId="{742D0BE1-C09B-4D30-96CC-40F5F3FEA9A7}" type="presOf" srcId="{3D53F137-37DF-4C23-9AFE-E21B731FCD13}" destId="{59C04252-CCFB-4CC8-BA77-20FD222490E8}" srcOrd="0" destOrd="0" presId="urn:microsoft.com/office/officeart/2005/8/layout/orgChart1"/>
    <dgm:cxn modelId="{4F509DE2-5A3E-4AB9-9374-BF6C48AF9C71}" type="presOf" srcId="{63736F2C-1899-4FBF-B28B-4B7CE5269305}" destId="{C3F18813-D545-4307-9554-61938D010D7E}" srcOrd="0" destOrd="0" presId="urn:microsoft.com/office/officeart/2005/8/layout/orgChart1"/>
    <dgm:cxn modelId="{7716CCE3-F3BE-423F-AD32-785135C104A1}" type="presOf" srcId="{1E3D188D-1C38-4FF2-ADAD-687EE27716D1}" destId="{47B93D21-0A65-46D5-86FF-01807AEA3AE7}" srcOrd="1" destOrd="0" presId="urn:microsoft.com/office/officeart/2005/8/layout/orgChart1"/>
    <dgm:cxn modelId="{FCD9C6E4-10EC-429C-9B56-EDF6ACA5664C}" srcId="{12769DC2-3E6F-47DC-8299-CD864B2ADFD6}" destId="{BB19C4C0-C836-4CD8-A7C4-A0225D3257FB}" srcOrd="2" destOrd="0" parTransId="{D78B9227-C856-4685-9B63-ED38AD2B7C9E}" sibTransId="{A8B5BDC3-D275-4065-A98A-85859682AA6D}"/>
    <dgm:cxn modelId="{C14DCDE4-9DA3-4ECA-8DB4-B61D36BFE19F}" type="presOf" srcId="{12351F76-C54E-43F8-A657-363EC9E932E1}" destId="{7F8EFDBA-900F-4273-A7B0-E6FE5E02840D}" srcOrd="0" destOrd="0" presId="urn:microsoft.com/office/officeart/2005/8/layout/orgChart1"/>
    <dgm:cxn modelId="{DBBB20E7-8BBF-499E-A2BA-E89FAFD5D972}" type="presOf" srcId="{FBC789F5-9F9D-4FCB-98BD-A3E208DAB147}" destId="{F0FBC33A-0974-4CF3-961C-D01F841321DD}" srcOrd="1" destOrd="0" presId="urn:microsoft.com/office/officeart/2005/8/layout/orgChart1"/>
    <dgm:cxn modelId="{C8D476E9-4C2E-447A-93AF-13D5AA7DB124}" type="presOf" srcId="{F23F9B4E-084A-4AAC-AACF-8F26CD335DF5}" destId="{647F2A7F-A133-4193-BF37-41A98E9AE399}" srcOrd="0" destOrd="0" presId="urn:microsoft.com/office/officeart/2005/8/layout/orgChart1"/>
    <dgm:cxn modelId="{DCEE3DEA-8BAE-4CEE-B342-88B65C4DD116}" srcId="{E2075C35-04A8-466E-AEED-5D3277B5A90A}" destId="{9FC7468C-17A0-4FD1-82F6-1994C9AA5866}" srcOrd="1" destOrd="0" parTransId="{99E08339-17FA-41F2-B4C9-036DC2F6E0C9}" sibTransId="{8C8CDBAE-4CBF-4705-BF3E-E5658DA990A6}"/>
    <dgm:cxn modelId="{5670F8EB-79A3-4D73-89FB-99CBF33AC668}" srcId="{0D19CEF6-7028-42D2-A7FA-9A9CE24E0D3E}" destId="{12769DC2-3E6F-47DC-8299-CD864B2ADFD6}" srcOrd="3" destOrd="0" parTransId="{1EDA062A-9AE5-4A51-90C7-F5F58C4180FE}" sibTransId="{3B3C514D-B829-4206-A3C2-7FE25BEE7C48}"/>
    <dgm:cxn modelId="{431B78ED-0545-4623-8F27-A50D0430BCE9}" type="presOf" srcId="{C6102B0F-7854-426C-92B3-2AE27B490B33}" destId="{7A5EFE90-79A7-45A5-998C-98AA3A25E535}" srcOrd="0" destOrd="0" presId="urn:microsoft.com/office/officeart/2005/8/layout/orgChart1"/>
    <dgm:cxn modelId="{BF3FB4EE-4045-4FEE-9BEC-0525DD85E5E4}" type="presOf" srcId="{DE430EBC-9AEB-4AC5-8133-E102B3D8B235}" destId="{A15103E7-543E-4790-AE67-947E45BFBF80}" srcOrd="0" destOrd="0" presId="urn:microsoft.com/office/officeart/2005/8/layout/orgChart1"/>
    <dgm:cxn modelId="{B2CE66F3-CFF6-403C-9B02-83C34A431606}" type="presOf" srcId="{99BCA385-66F1-4778-AC5F-322108555713}" destId="{077EA319-D2C5-4551-A3AF-BBD742321036}" srcOrd="0" destOrd="0" presId="urn:microsoft.com/office/officeart/2005/8/layout/orgChart1"/>
    <dgm:cxn modelId="{B7ECDCF3-8798-4721-A009-BEF0DA75E3C1}" srcId="{3F3357F7-4B5D-4628-A1A8-7502CC353783}" destId="{A364AF1D-E42E-45AF-B842-6159BFA8C7B9}" srcOrd="4" destOrd="0" parTransId="{23FDE87F-8181-442A-B062-9B31B775BC56}" sibTransId="{4D7648AE-A25D-448A-895A-3A58D3F59F00}"/>
    <dgm:cxn modelId="{83D5B8F4-81B2-442A-9AE3-21F09004121A}" type="presOf" srcId="{4C225E30-36A4-4BE6-ADB9-85A3B29271E0}" destId="{5C123960-3F75-4914-87F6-AD648CCBE3E0}" srcOrd="0" destOrd="0" presId="urn:microsoft.com/office/officeart/2005/8/layout/orgChart1"/>
    <dgm:cxn modelId="{25A67EF5-A1D1-48B4-AF73-42720FD5D7ED}" type="presOf" srcId="{449CAF59-51BF-4A91-99DD-F8581AEF1EC4}" destId="{A45E8E60-357C-4447-B545-DCEEB69E444E}" srcOrd="0" destOrd="0" presId="urn:microsoft.com/office/officeart/2005/8/layout/orgChart1"/>
    <dgm:cxn modelId="{31F8B2F6-4C3A-4D69-BE47-03EF53F9F96D}" type="presOf" srcId="{0D19CEF6-7028-42D2-A7FA-9A9CE24E0D3E}" destId="{858DBEFF-8CA1-43A2-9BE0-996F85E3B245}" srcOrd="1" destOrd="0" presId="urn:microsoft.com/office/officeart/2005/8/layout/orgChart1"/>
    <dgm:cxn modelId="{E1E106F7-6E4F-43B8-96A4-D5CC3764DAF4}" type="presOf" srcId="{56758184-E51D-4231-A1FE-F35C27316928}" destId="{98AB874C-9D50-49AD-A1E1-FECCB00C7FAA}" srcOrd="1" destOrd="0" presId="urn:microsoft.com/office/officeart/2005/8/layout/orgChart1"/>
    <dgm:cxn modelId="{CAE491FC-A349-4B55-AF0E-6F00920955B7}" type="presOf" srcId="{83A882C9-CED3-4DBB-B5D7-A9BC33A0CB1E}" destId="{D5173406-90A0-430E-A257-C053CA506765}" srcOrd="1" destOrd="0" presId="urn:microsoft.com/office/officeart/2005/8/layout/orgChart1"/>
    <dgm:cxn modelId="{D26C66FE-F76A-4E6A-AE40-94465EA6B392}" srcId="{50288868-FEEE-470B-9B6E-3B8DBAE6D908}" destId="{B3363645-6E47-4702-9387-06C510C570CB}" srcOrd="4" destOrd="0" parTransId="{63736F2C-1899-4FBF-B28B-4B7CE5269305}" sibTransId="{4483FFA3-0535-4525-A2FA-4107CEE67BAE}"/>
    <dgm:cxn modelId="{9E0200B2-B116-4193-8003-5B0483F3737F}" type="presParOf" srcId="{1BBE8EE2-F237-45F9-A383-197C8C6F4123}" destId="{6D0F4103-5D56-4545-B004-2F3D27D4DC7E}" srcOrd="0" destOrd="0" presId="urn:microsoft.com/office/officeart/2005/8/layout/orgChart1"/>
    <dgm:cxn modelId="{79EE6BCC-EA48-4143-9AF4-C55085C9C459}" type="presParOf" srcId="{6D0F4103-5D56-4545-B004-2F3D27D4DC7E}" destId="{248FD803-CE5A-460B-BFC4-F07301AF4304}" srcOrd="0" destOrd="0" presId="urn:microsoft.com/office/officeart/2005/8/layout/orgChart1"/>
    <dgm:cxn modelId="{A2E8640F-6185-4393-BB38-D38087541155}" type="presParOf" srcId="{248FD803-CE5A-460B-BFC4-F07301AF4304}" destId="{5C8C398D-1F82-4B8E-87E2-540D1B2A40A0}" srcOrd="0" destOrd="0" presId="urn:microsoft.com/office/officeart/2005/8/layout/orgChart1"/>
    <dgm:cxn modelId="{6D15CC7E-19F6-4B21-B4F3-26BAE9EF13D2}" type="presParOf" srcId="{248FD803-CE5A-460B-BFC4-F07301AF4304}" destId="{858DBEFF-8CA1-43A2-9BE0-996F85E3B245}" srcOrd="1" destOrd="0" presId="urn:microsoft.com/office/officeart/2005/8/layout/orgChart1"/>
    <dgm:cxn modelId="{34A58196-7579-4AEA-8202-55B0119EC9F8}" type="presParOf" srcId="{6D0F4103-5D56-4545-B004-2F3D27D4DC7E}" destId="{14BD63D9-C141-4E9C-B724-F2CE1C6ECE3A}" srcOrd="1" destOrd="0" presId="urn:microsoft.com/office/officeart/2005/8/layout/orgChart1"/>
    <dgm:cxn modelId="{E4D3E286-C714-4102-8958-EA545E0141CE}" type="presParOf" srcId="{14BD63D9-C141-4E9C-B724-F2CE1C6ECE3A}" destId="{6829BF15-4119-41AB-879E-0A03001B34CB}" srcOrd="0" destOrd="0" presId="urn:microsoft.com/office/officeart/2005/8/layout/orgChart1"/>
    <dgm:cxn modelId="{4CD85F66-26A3-4F95-BBED-3CC4E766249E}" type="presParOf" srcId="{14BD63D9-C141-4E9C-B724-F2CE1C6ECE3A}" destId="{0AB02927-4D03-432B-B536-50E42C732E86}" srcOrd="1" destOrd="0" presId="urn:microsoft.com/office/officeart/2005/8/layout/orgChart1"/>
    <dgm:cxn modelId="{DE5E0607-EFC9-4821-8EAE-32E529C3472F}" type="presParOf" srcId="{0AB02927-4D03-432B-B536-50E42C732E86}" destId="{FDA37664-FE3C-4B36-8ED4-E7B713A9CA04}" srcOrd="0" destOrd="0" presId="urn:microsoft.com/office/officeart/2005/8/layout/orgChart1"/>
    <dgm:cxn modelId="{51CE91FD-1036-4169-874F-E57757F669A2}" type="presParOf" srcId="{FDA37664-FE3C-4B36-8ED4-E7B713A9CA04}" destId="{853FFB4D-1E55-4DDD-854F-C86298D938B0}" srcOrd="0" destOrd="0" presId="urn:microsoft.com/office/officeart/2005/8/layout/orgChart1"/>
    <dgm:cxn modelId="{79D2EF78-C2E7-42D2-BA92-C67053DEC08F}" type="presParOf" srcId="{FDA37664-FE3C-4B36-8ED4-E7B713A9CA04}" destId="{22A73B9D-D4EE-45F4-950A-257DEF58E397}" srcOrd="1" destOrd="0" presId="urn:microsoft.com/office/officeart/2005/8/layout/orgChart1"/>
    <dgm:cxn modelId="{B9B5DD22-7B93-4D36-BE46-EEDA559DD6D4}" type="presParOf" srcId="{0AB02927-4D03-432B-B536-50E42C732E86}" destId="{AAC3183A-DCEF-4665-AD87-238BF53C552A}" srcOrd="1" destOrd="0" presId="urn:microsoft.com/office/officeart/2005/8/layout/orgChart1"/>
    <dgm:cxn modelId="{FFF8C4C9-F093-4180-9598-ABF169975631}" type="presParOf" srcId="{AAC3183A-DCEF-4665-AD87-238BF53C552A}" destId="{2C29EF2C-4297-4C3B-9B35-26D15FB09F87}" srcOrd="0" destOrd="0" presId="urn:microsoft.com/office/officeart/2005/8/layout/orgChart1"/>
    <dgm:cxn modelId="{E13FD188-7BF3-4538-8577-2B95C35FB56A}" type="presParOf" srcId="{AAC3183A-DCEF-4665-AD87-238BF53C552A}" destId="{A115F367-0B3E-43DE-9071-DEE287BC6E21}" srcOrd="1" destOrd="0" presId="urn:microsoft.com/office/officeart/2005/8/layout/orgChart1"/>
    <dgm:cxn modelId="{580DCE51-303A-4589-BC17-C4C42BAD2222}" type="presParOf" srcId="{A115F367-0B3E-43DE-9071-DEE287BC6E21}" destId="{6C043EAF-2E1F-494A-8B78-7F8A3E97A5DF}" srcOrd="0" destOrd="0" presId="urn:microsoft.com/office/officeart/2005/8/layout/orgChart1"/>
    <dgm:cxn modelId="{153F08A2-DEC0-4DED-8135-419A0AD2E900}" type="presParOf" srcId="{6C043EAF-2E1F-494A-8B78-7F8A3E97A5DF}" destId="{A15103E7-543E-4790-AE67-947E45BFBF80}" srcOrd="0" destOrd="0" presId="urn:microsoft.com/office/officeart/2005/8/layout/orgChart1"/>
    <dgm:cxn modelId="{2010960E-3E4D-4382-938B-DB0AD6A5CBCD}" type="presParOf" srcId="{6C043EAF-2E1F-494A-8B78-7F8A3E97A5DF}" destId="{87C0B8B4-77B8-4E43-88C6-0FBC36C0E8AE}" srcOrd="1" destOrd="0" presId="urn:microsoft.com/office/officeart/2005/8/layout/orgChart1"/>
    <dgm:cxn modelId="{9F795977-18F3-42AD-A59A-D431810CD043}" type="presParOf" srcId="{A115F367-0B3E-43DE-9071-DEE287BC6E21}" destId="{BF01B791-B98C-4021-9AEB-AA06200B383E}" srcOrd="1" destOrd="0" presId="urn:microsoft.com/office/officeart/2005/8/layout/orgChart1"/>
    <dgm:cxn modelId="{5264D868-280C-4576-ACCC-A89F3434D29F}" type="presParOf" srcId="{A115F367-0B3E-43DE-9071-DEE287BC6E21}" destId="{957D3F0E-F6B3-4198-95F1-E7F4633DD8F7}" srcOrd="2" destOrd="0" presId="urn:microsoft.com/office/officeart/2005/8/layout/orgChart1"/>
    <dgm:cxn modelId="{9C3296D6-5C10-48B4-8B82-06BF1A1B1E5F}" type="presParOf" srcId="{AAC3183A-DCEF-4665-AD87-238BF53C552A}" destId="{7398580D-8EEC-44BA-940A-E4D9004A0CF0}" srcOrd="2" destOrd="0" presId="urn:microsoft.com/office/officeart/2005/8/layout/orgChart1"/>
    <dgm:cxn modelId="{33E8D081-9AE1-45FF-B47C-928CB3A239C8}" type="presParOf" srcId="{AAC3183A-DCEF-4665-AD87-238BF53C552A}" destId="{03DBE40F-FF98-444C-A7D5-3EBF0575BB02}" srcOrd="3" destOrd="0" presId="urn:microsoft.com/office/officeart/2005/8/layout/orgChart1"/>
    <dgm:cxn modelId="{2D218E41-2743-4751-BCF1-EE44CCF9BF54}" type="presParOf" srcId="{03DBE40F-FF98-444C-A7D5-3EBF0575BB02}" destId="{02C9CE59-BCDE-4DDD-BDE4-87B0C464539E}" srcOrd="0" destOrd="0" presId="urn:microsoft.com/office/officeart/2005/8/layout/orgChart1"/>
    <dgm:cxn modelId="{269048A5-1766-4976-B784-A65C1B3761A4}" type="presParOf" srcId="{02C9CE59-BCDE-4DDD-BDE4-87B0C464539E}" destId="{E96B1214-A9E7-4181-8CA8-92FB713D4A14}" srcOrd="0" destOrd="0" presId="urn:microsoft.com/office/officeart/2005/8/layout/orgChart1"/>
    <dgm:cxn modelId="{6793F79E-3CD9-4755-B7CA-D578A37C86D6}" type="presParOf" srcId="{02C9CE59-BCDE-4DDD-BDE4-87B0C464539E}" destId="{B8710126-C736-487F-A3BB-9B4531A059E9}" srcOrd="1" destOrd="0" presId="urn:microsoft.com/office/officeart/2005/8/layout/orgChart1"/>
    <dgm:cxn modelId="{76F83BD9-44EB-47B5-8C85-D3CD00478FC7}" type="presParOf" srcId="{03DBE40F-FF98-444C-A7D5-3EBF0575BB02}" destId="{A9508114-E7F9-4DBE-8329-1327BA724F97}" srcOrd="1" destOrd="0" presId="urn:microsoft.com/office/officeart/2005/8/layout/orgChart1"/>
    <dgm:cxn modelId="{B17708BC-B455-464C-A005-1DBC187534BF}" type="presParOf" srcId="{03DBE40F-FF98-444C-A7D5-3EBF0575BB02}" destId="{DAC7EED0-336F-4C94-8BC6-B18A3594F9C8}" srcOrd="2" destOrd="0" presId="urn:microsoft.com/office/officeart/2005/8/layout/orgChart1"/>
    <dgm:cxn modelId="{78019954-79E7-4D62-8332-8E692157AAEC}" type="presParOf" srcId="{AAC3183A-DCEF-4665-AD87-238BF53C552A}" destId="{43BA9691-70A2-49E9-901A-2FCF27528D5D}" srcOrd="4" destOrd="0" presId="urn:microsoft.com/office/officeart/2005/8/layout/orgChart1"/>
    <dgm:cxn modelId="{27FB3E37-CB10-4D0D-B5D1-6087CF932BC2}" type="presParOf" srcId="{AAC3183A-DCEF-4665-AD87-238BF53C552A}" destId="{5029BA54-005A-49AB-97FF-9FC9A373ADD2}" srcOrd="5" destOrd="0" presId="urn:microsoft.com/office/officeart/2005/8/layout/orgChart1"/>
    <dgm:cxn modelId="{FD6B478E-2570-4804-AF64-427AD4606A8C}" type="presParOf" srcId="{5029BA54-005A-49AB-97FF-9FC9A373ADD2}" destId="{A98BA154-E2FA-4146-9D15-A7107B688D5C}" srcOrd="0" destOrd="0" presId="urn:microsoft.com/office/officeart/2005/8/layout/orgChart1"/>
    <dgm:cxn modelId="{4E354FDB-8AE2-4588-B5C3-EFD6724BF849}" type="presParOf" srcId="{A98BA154-E2FA-4146-9D15-A7107B688D5C}" destId="{856CFF55-E4E6-40F3-9F14-FD1536F40E0B}" srcOrd="0" destOrd="0" presId="urn:microsoft.com/office/officeart/2005/8/layout/orgChart1"/>
    <dgm:cxn modelId="{66EF7E6F-AA4E-4FDC-94B0-795FCBC3FBC8}" type="presParOf" srcId="{A98BA154-E2FA-4146-9D15-A7107B688D5C}" destId="{F83BC690-EFD5-4158-846D-4272C8D58421}" srcOrd="1" destOrd="0" presId="urn:microsoft.com/office/officeart/2005/8/layout/orgChart1"/>
    <dgm:cxn modelId="{42CEB58D-DEB9-4A36-859A-40CF551A9AC8}" type="presParOf" srcId="{5029BA54-005A-49AB-97FF-9FC9A373ADD2}" destId="{8BEF0CE6-25E2-45C6-B31D-6615907E5150}" srcOrd="1" destOrd="0" presId="urn:microsoft.com/office/officeart/2005/8/layout/orgChart1"/>
    <dgm:cxn modelId="{629E1AB8-30C3-43F8-8C2F-978AF6C5DE70}" type="presParOf" srcId="{5029BA54-005A-49AB-97FF-9FC9A373ADD2}" destId="{0CCEBE28-D2D2-42E7-8497-A32E247F9332}" srcOrd="2" destOrd="0" presId="urn:microsoft.com/office/officeart/2005/8/layout/orgChart1"/>
    <dgm:cxn modelId="{F8AC85BE-AED3-4415-ACE3-808EFE9DD9CA}" type="presParOf" srcId="{AAC3183A-DCEF-4665-AD87-238BF53C552A}" destId="{59FDCD71-00D1-4CBF-9A31-1E489E856A40}" srcOrd="6" destOrd="0" presId="urn:microsoft.com/office/officeart/2005/8/layout/orgChart1"/>
    <dgm:cxn modelId="{70CB4D70-0152-41E1-9C5D-5967688897B2}" type="presParOf" srcId="{AAC3183A-DCEF-4665-AD87-238BF53C552A}" destId="{783D7969-5DD7-46E6-81AA-175ED2993BE9}" srcOrd="7" destOrd="0" presId="urn:microsoft.com/office/officeart/2005/8/layout/orgChart1"/>
    <dgm:cxn modelId="{74EC870F-E5EF-4701-9501-DDE0E872ED3E}" type="presParOf" srcId="{783D7969-5DD7-46E6-81AA-175ED2993BE9}" destId="{156D47D9-66DA-4B1B-87EA-22C3EBEEA027}" srcOrd="0" destOrd="0" presId="urn:microsoft.com/office/officeart/2005/8/layout/orgChart1"/>
    <dgm:cxn modelId="{FF48E400-0B85-4EB6-9E03-80531329D8E5}" type="presParOf" srcId="{156D47D9-66DA-4B1B-87EA-22C3EBEEA027}" destId="{2490E369-58C0-4092-BC57-B6F9B7A8424A}" srcOrd="0" destOrd="0" presId="urn:microsoft.com/office/officeart/2005/8/layout/orgChart1"/>
    <dgm:cxn modelId="{DE5341CB-1BC2-4514-AA59-45FE29529196}" type="presParOf" srcId="{156D47D9-66DA-4B1B-87EA-22C3EBEEA027}" destId="{D5173406-90A0-430E-A257-C053CA506765}" srcOrd="1" destOrd="0" presId="urn:microsoft.com/office/officeart/2005/8/layout/orgChart1"/>
    <dgm:cxn modelId="{6111F731-3DBB-47CD-ADBE-344B7680178D}" type="presParOf" srcId="{783D7969-5DD7-46E6-81AA-175ED2993BE9}" destId="{6F5EA6DD-026A-4E2C-BF23-89FA49EE2F78}" srcOrd="1" destOrd="0" presId="urn:microsoft.com/office/officeart/2005/8/layout/orgChart1"/>
    <dgm:cxn modelId="{A47F5D3C-9B83-497A-B3AB-4C810A1B690F}" type="presParOf" srcId="{783D7969-5DD7-46E6-81AA-175ED2993BE9}" destId="{1D7E1165-8116-4128-B4E6-C0B36CE8B661}" srcOrd="2" destOrd="0" presId="urn:microsoft.com/office/officeart/2005/8/layout/orgChart1"/>
    <dgm:cxn modelId="{8AC79B9F-40DB-46E3-9390-9EDF539050F6}" type="presParOf" srcId="{AAC3183A-DCEF-4665-AD87-238BF53C552A}" destId="{077EA319-D2C5-4551-A3AF-BBD742321036}" srcOrd="8" destOrd="0" presId="urn:microsoft.com/office/officeart/2005/8/layout/orgChart1"/>
    <dgm:cxn modelId="{C4575087-9747-44D8-B993-C8C1D4EE05B0}" type="presParOf" srcId="{AAC3183A-DCEF-4665-AD87-238BF53C552A}" destId="{7406020C-ABF0-4D0A-8928-4BCD57F20A88}" srcOrd="9" destOrd="0" presId="urn:microsoft.com/office/officeart/2005/8/layout/orgChart1"/>
    <dgm:cxn modelId="{9A4C1BCE-E057-41E6-A2A3-4FF644469B1C}" type="presParOf" srcId="{7406020C-ABF0-4D0A-8928-4BCD57F20A88}" destId="{11670C23-646E-4B95-B4DB-94E6868F4E68}" srcOrd="0" destOrd="0" presId="urn:microsoft.com/office/officeart/2005/8/layout/orgChart1"/>
    <dgm:cxn modelId="{5CD5B89E-425A-44DC-AA50-0377B41DB59E}" type="presParOf" srcId="{11670C23-646E-4B95-B4DB-94E6868F4E68}" destId="{7074A187-D177-4CA7-8FAD-19086FA2F2A3}" srcOrd="0" destOrd="0" presId="urn:microsoft.com/office/officeart/2005/8/layout/orgChart1"/>
    <dgm:cxn modelId="{85E0A056-2C02-4E1E-9CB2-0775BCB8AA78}" type="presParOf" srcId="{11670C23-646E-4B95-B4DB-94E6868F4E68}" destId="{925B500F-2D7C-454A-BB55-FDBCEEFBBE9A}" srcOrd="1" destOrd="0" presId="urn:microsoft.com/office/officeart/2005/8/layout/orgChart1"/>
    <dgm:cxn modelId="{A1135E37-D9AA-4AE6-8A24-EBE339C99976}" type="presParOf" srcId="{7406020C-ABF0-4D0A-8928-4BCD57F20A88}" destId="{AE7C3B8B-70FE-48C1-BA2C-3642AC5E9DBE}" srcOrd="1" destOrd="0" presId="urn:microsoft.com/office/officeart/2005/8/layout/orgChart1"/>
    <dgm:cxn modelId="{56AE0729-3D66-4B79-8624-3535BE01C842}" type="presParOf" srcId="{7406020C-ABF0-4D0A-8928-4BCD57F20A88}" destId="{67E5D55B-4E45-415B-A55F-6554AFB561D0}" srcOrd="2" destOrd="0" presId="urn:microsoft.com/office/officeart/2005/8/layout/orgChart1"/>
    <dgm:cxn modelId="{EE470F41-AA97-40FF-9A3E-A871B06E37A4}" type="presParOf" srcId="{AAC3183A-DCEF-4665-AD87-238BF53C552A}" destId="{591A4806-A056-49FA-A807-3507349E025F}" srcOrd="10" destOrd="0" presId="urn:microsoft.com/office/officeart/2005/8/layout/orgChart1"/>
    <dgm:cxn modelId="{CC7C114F-CDD1-4B2A-A256-D4669B2A5FA5}" type="presParOf" srcId="{AAC3183A-DCEF-4665-AD87-238BF53C552A}" destId="{96935911-C62F-433C-AE70-3687A1374045}" srcOrd="11" destOrd="0" presId="urn:microsoft.com/office/officeart/2005/8/layout/orgChart1"/>
    <dgm:cxn modelId="{5767D42C-13F4-4BB7-BE01-8579EEA70225}" type="presParOf" srcId="{96935911-C62F-433C-AE70-3687A1374045}" destId="{076F1FC8-A8E5-42C4-84A7-EAF7575AD21F}" srcOrd="0" destOrd="0" presId="urn:microsoft.com/office/officeart/2005/8/layout/orgChart1"/>
    <dgm:cxn modelId="{7E6A5279-86FD-468F-9FC3-B5E59C18199D}" type="presParOf" srcId="{076F1FC8-A8E5-42C4-84A7-EAF7575AD21F}" destId="{87B9EBD0-8BEE-4198-81B7-89C4056E1059}" srcOrd="0" destOrd="0" presId="urn:microsoft.com/office/officeart/2005/8/layout/orgChart1"/>
    <dgm:cxn modelId="{FD558D91-25DB-4759-9E07-344FF047AA4C}" type="presParOf" srcId="{076F1FC8-A8E5-42C4-84A7-EAF7575AD21F}" destId="{2866293E-A1B4-4F6A-A920-9518F91B0520}" srcOrd="1" destOrd="0" presId="urn:microsoft.com/office/officeart/2005/8/layout/orgChart1"/>
    <dgm:cxn modelId="{B9C73F44-7691-47DB-ACB0-5DCCBA34CC72}" type="presParOf" srcId="{96935911-C62F-433C-AE70-3687A1374045}" destId="{99207C7F-724B-46D3-814D-445C2CAE6893}" srcOrd="1" destOrd="0" presId="urn:microsoft.com/office/officeart/2005/8/layout/orgChart1"/>
    <dgm:cxn modelId="{76AA2A56-E1E9-45CA-88C7-0B981932975E}" type="presParOf" srcId="{96935911-C62F-433C-AE70-3687A1374045}" destId="{60FDCBB5-4A13-4815-BDA1-43BC74E14AA2}" srcOrd="2" destOrd="0" presId="urn:microsoft.com/office/officeart/2005/8/layout/orgChart1"/>
    <dgm:cxn modelId="{E0F93BBE-47BB-477D-9617-90948BFC872F}" type="presParOf" srcId="{0AB02927-4D03-432B-B536-50E42C732E86}" destId="{0B98BB91-97BD-481F-AB76-DC6CB8E05CDE}" srcOrd="2" destOrd="0" presId="urn:microsoft.com/office/officeart/2005/8/layout/orgChart1"/>
    <dgm:cxn modelId="{44BBAEB0-9E97-413F-A087-A4B812FEC7EF}" type="presParOf" srcId="{14BD63D9-C141-4E9C-B724-F2CE1C6ECE3A}" destId="{E956C72C-0695-4AF5-8F1B-AF3CF911254E}" srcOrd="2" destOrd="0" presId="urn:microsoft.com/office/officeart/2005/8/layout/orgChart1"/>
    <dgm:cxn modelId="{D255D225-EFD2-450B-9651-7F325EDC29FC}" type="presParOf" srcId="{14BD63D9-C141-4E9C-B724-F2CE1C6ECE3A}" destId="{D7620E44-AED8-4A1E-A9A7-4CDE6E28310A}" srcOrd="3" destOrd="0" presId="urn:microsoft.com/office/officeart/2005/8/layout/orgChart1"/>
    <dgm:cxn modelId="{FCAFDEB6-E5AE-4FEE-ABA7-35634DA15793}" type="presParOf" srcId="{D7620E44-AED8-4A1E-A9A7-4CDE6E28310A}" destId="{679A40AA-A499-4C07-BD23-A36908EDC486}" srcOrd="0" destOrd="0" presId="urn:microsoft.com/office/officeart/2005/8/layout/orgChart1"/>
    <dgm:cxn modelId="{00410B50-AA16-4A3A-B193-0AFD1B56B373}" type="presParOf" srcId="{679A40AA-A499-4C07-BD23-A36908EDC486}" destId="{A93E9E9D-8284-47DB-90D4-BE1DFF93A8F2}" srcOrd="0" destOrd="0" presId="urn:microsoft.com/office/officeart/2005/8/layout/orgChart1"/>
    <dgm:cxn modelId="{37A16B6E-1E3C-46D8-85AB-DAAD56C2ADE8}" type="presParOf" srcId="{679A40AA-A499-4C07-BD23-A36908EDC486}" destId="{9DC0A2C5-954A-46FE-AAEA-4522F3158F81}" srcOrd="1" destOrd="0" presId="urn:microsoft.com/office/officeart/2005/8/layout/orgChart1"/>
    <dgm:cxn modelId="{0EDC886D-FAE3-41F3-951B-5EEE7BA94ECE}" type="presParOf" srcId="{D7620E44-AED8-4A1E-A9A7-4CDE6E28310A}" destId="{C53ED865-57A2-4A86-A5F6-20FFFD70D8B8}" srcOrd="1" destOrd="0" presId="urn:microsoft.com/office/officeart/2005/8/layout/orgChart1"/>
    <dgm:cxn modelId="{BF3D0DD6-9A9E-46F9-B810-F29C398BAE00}" type="presParOf" srcId="{C53ED865-57A2-4A86-A5F6-20FFFD70D8B8}" destId="{8DEFE2F6-F03E-4E75-8B42-5AD6EA54AB63}" srcOrd="0" destOrd="0" presId="urn:microsoft.com/office/officeart/2005/8/layout/orgChart1"/>
    <dgm:cxn modelId="{DC9D1817-5592-4C68-A620-FCAC8F7E3D10}" type="presParOf" srcId="{C53ED865-57A2-4A86-A5F6-20FFFD70D8B8}" destId="{D9B01269-6547-4AD5-91E3-172CC78E7B49}" srcOrd="1" destOrd="0" presId="urn:microsoft.com/office/officeart/2005/8/layout/orgChart1"/>
    <dgm:cxn modelId="{9F404D20-EBF8-47BB-B965-D7473662336D}" type="presParOf" srcId="{D9B01269-6547-4AD5-91E3-172CC78E7B49}" destId="{97DEE372-4507-4F14-81B1-E199EB70B660}" srcOrd="0" destOrd="0" presId="urn:microsoft.com/office/officeart/2005/8/layout/orgChart1"/>
    <dgm:cxn modelId="{2FF5115C-D05B-4CFD-9573-ACF0DE22BDB4}" type="presParOf" srcId="{97DEE372-4507-4F14-81B1-E199EB70B660}" destId="{B0EBF5AF-CC42-4F77-830A-5EDB69B9E1FC}" srcOrd="0" destOrd="0" presId="urn:microsoft.com/office/officeart/2005/8/layout/orgChart1"/>
    <dgm:cxn modelId="{3BAD8277-D14C-41E6-B0E7-78C1521F07C7}" type="presParOf" srcId="{97DEE372-4507-4F14-81B1-E199EB70B660}" destId="{267399EE-B55E-4476-A64E-CC4D84D4DD98}" srcOrd="1" destOrd="0" presId="urn:microsoft.com/office/officeart/2005/8/layout/orgChart1"/>
    <dgm:cxn modelId="{24BEA7B8-BF1C-42BB-81C3-D7267660A750}" type="presParOf" srcId="{D9B01269-6547-4AD5-91E3-172CC78E7B49}" destId="{0C2FC601-8C0E-4474-B12B-45417123F40C}" srcOrd="1" destOrd="0" presId="urn:microsoft.com/office/officeart/2005/8/layout/orgChart1"/>
    <dgm:cxn modelId="{E3ACFA46-6E00-473D-A88F-376DBE5D7162}" type="presParOf" srcId="{D9B01269-6547-4AD5-91E3-172CC78E7B49}" destId="{B748F201-8D55-4FFE-A32D-99C4022F0082}" srcOrd="2" destOrd="0" presId="urn:microsoft.com/office/officeart/2005/8/layout/orgChart1"/>
    <dgm:cxn modelId="{9FBF2713-17FC-4207-B39D-4AD24607517B}" type="presParOf" srcId="{C53ED865-57A2-4A86-A5F6-20FFFD70D8B8}" destId="{26AFA3A5-1E4B-4A67-9D21-AFAE2916FDB8}" srcOrd="2" destOrd="0" presId="urn:microsoft.com/office/officeart/2005/8/layout/orgChart1"/>
    <dgm:cxn modelId="{102D7C68-3034-46FB-8C85-F74234419886}" type="presParOf" srcId="{C53ED865-57A2-4A86-A5F6-20FFFD70D8B8}" destId="{3C1DCA8E-EC54-45D1-9F73-EAD65A7ADEF1}" srcOrd="3" destOrd="0" presId="urn:microsoft.com/office/officeart/2005/8/layout/orgChart1"/>
    <dgm:cxn modelId="{650AF8BD-3199-49F0-9235-A9124503E1AB}" type="presParOf" srcId="{3C1DCA8E-EC54-45D1-9F73-EAD65A7ADEF1}" destId="{82D3828E-B1EA-430B-9868-976A9559B31E}" srcOrd="0" destOrd="0" presId="urn:microsoft.com/office/officeart/2005/8/layout/orgChart1"/>
    <dgm:cxn modelId="{7DDEEB17-8410-446B-AA34-EBAFAA654100}" type="presParOf" srcId="{82D3828E-B1EA-430B-9868-976A9559B31E}" destId="{1729CE0B-3838-48AD-B589-B372F2B0C771}" srcOrd="0" destOrd="0" presId="urn:microsoft.com/office/officeart/2005/8/layout/orgChart1"/>
    <dgm:cxn modelId="{9E7D030B-FBE1-4A09-8324-BA00C5D2D0A2}" type="presParOf" srcId="{82D3828E-B1EA-430B-9868-976A9559B31E}" destId="{A8BB2A2D-2837-4904-B835-E6E594DCE55B}" srcOrd="1" destOrd="0" presId="urn:microsoft.com/office/officeart/2005/8/layout/orgChart1"/>
    <dgm:cxn modelId="{03509B50-E655-4391-90AC-91507980D3AE}" type="presParOf" srcId="{3C1DCA8E-EC54-45D1-9F73-EAD65A7ADEF1}" destId="{1AC87E64-C07B-4202-B676-4B128FE25888}" srcOrd="1" destOrd="0" presId="urn:microsoft.com/office/officeart/2005/8/layout/orgChart1"/>
    <dgm:cxn modelId="{DDFCAD52-2F2E-4336-9719-E39BA343E8A9}" type="presParOf" srcId="{3C1DCA8E-EC54-45D1-9F73-EAD65A7ADEF1}" destId="{DD1D3571-263D-4FA2-8790-445C1AAB693F}" srcOrd="2" destOrd="0" presId="urn:microsoft.com/office/officeart/2005/8/layout/orgChart1"/>
    <dgm:cxn modelId="{A752B630-68FE-4991-9196-929EE0AC9D4D}" type="presParOf" srcId="{C53ED865-57A2-4A86-A5F6-20FFFD70D8B8}" destId="{D2802FED-9B21-4357-BE79-5F7955BAB013}" srcOrd="4" destOrd="0" presId="urn:microsoft.com/office/officeart/2005/8/layout/orgChart1"/>
    <dgm:cxn modelId="{94D92A71-4B42-45DF-BCF7-EF19B7CF9AEE}" type="presParOf" srcId="{C53ED865-57A2-4A86-A5F6-20FFFD70D8B8}" destId="{97614FB8-1A21-486C-B55B-9EF2C3E874BF}" srcOrd="5" destOrd="0" presId="urn:microsoft.com/office/officeart/2005/8/layout/orgChart1"/>
    <dgm:cxn modelId="{4D6384A8-0C48-4E07-9360-760E6CEAE0D8}" type="presParOf" srcId="{97614FB8-1A21-486C-B55B-9EF2C3E874BF}" destId="{621A6E13-D87B-47D3-957F-4D1EDD165C34}" srcOrd="0" destOrd="0" presId="urn:microsoft.com/office/officeart/2005/8/layout/orgChart1"/>
    <dgm:cxn modelId="{AA4D7B87-A4D1-409D-ADBE-E070C4E738AD}" type="presParOf" srcId="{621A6E13-D87B-47D3-957F-4D1EDD165C34}" destId="{1B70E28B-3F55-4A34-B864-28329F2EE997}" srcOrd="0" destOrd="0" presId="urn:microsoft.com/office/officeart/2005/8/layout/orgChart1"/>
    <dgm:cxn modelId="{06CBCE33-6638-448B-9D21-26F0BF57B27B}" type="presParOf" srcId="{621A6E13-D87B-47D3-957F-4D1EDD165C34}" destId="{EE2E1F48-D8E2-4DBB-BEED-FC3ADD31836E}" srcOrd="1" destOrd="0" presId="urn:microsoft.com/office/officeart/2005/8/layout/orgChart1"/>
    <dgm:cxn modelId="{9515A297-8110-4B73-9BB8-F395C30EBB33}" type="presParOf" srcId="{97614FB8-1A21-486C-B55B-9EF2C3E874BF}" destId="{B32A7BF6-63D6-4EE4-8111-A06540E7045C}" srcOrd="1" destOrd="0" presId="urn:microsoft.com/office/officeart/2005/8/layout/orgChart1"/>
    <dgm:cxn modelId="{79398CA7-10A8-4442-9EC8-59CEA32650BD}" type="presParOf" srcId="{97614FB8-1A21-486C-B55B-9EF2C3E874BF}" destId="{83460E33-FA34-4F0A-ABA7-E7C7BE373402}" srcOrd="2" destOrd="0" presId="urn:microsoft.com/office/officeart/2005/8/layout/orgChart1"/>
    <dgm:cxn modelId="{972CC595-3EAF-4CA1-8F47-60A15B9A8770}" type="presParOf" srcId="{C53ED865-57A2-4A86-A5F6-20FFFD70D8B8}" destId="{647F2A7F-A133-4193-BF37-41A98E9AE399}" srcOrd="6" destOrd="0" presId="urn:microsoft.com/office/officeart/2005/8/layout/orgChart1"/>
    <dgm:cxn modelId="{55EA21A3-9DCD-4756-8505-24FFD98CDBCE}" type="presParOf" srcId="{C53ED865-57A2-4A86-A5F6-20FFFD70D8B8}" destId="{31F4CBCD-8713-4E26-BBAA-7D0852DF8879}" srcOrd="7" destOrd="0" presId="urn:microsoft.com/office/officeart/2005/8/layout/orgChart1"/>
    <dgm:cxn modelId="{375F204D-2532-45BD-8D40-434BFA26E946}" type="presParOf" srcId="{31F4CBCD-8713-4E26-BBAA-7D0852DF8879}" destId="{431BA04E-D342-4AB5-AF2D-339A92F629CB}" srcOrd="0" destOrd="0" presId="urn:microsoft.com/office/officeart/2005/8/layout/orgChart1"/>
    <dgm:cxn modelId="{689860D5-66F3-4233-A964-4FF1DA11AC01}" type="presParOf" srcId="{431BA04E-D342-4AB5-AF2D-339A92F629CB}" destId="{8EFA38DB-7372-4EF3-94A9-14D2F01FACFE}" srcOrd="0" destOrd="0" presId="urn:microsoft.com/office/officeart/2005/8/layout/orgChart1"/>
    <dgm:cxn modelId="{9D185F02-A460-49E6-AADC-7CA1CBC3D730}" type="presParOf" srcId="{431BA04E-D342-4AB5-AF2D-339A92F629CB}" destId="{F0FBC33A-0974-4CF3-961C-D01F841321DD}" srcOrd="1" destOrd="0" presId="urn:microsoft.com/office/officeart/2005/8/layout/orgChart1"/>
    <dgm:cxn modelId="{5C9A1E1E-8B41-4E6B-8822-C6C32BA8985B}" type="presParOf" srcId="{31F4CBCD-8713-4E26-BBAA-7D0852DF8879}" destId="{613551DC-C035-4CE4-890A-3E64C592023D}" srcOrd="1" destOrd="0" presId="urn:microsoft.com/office/officeart/2005/8/layout/orgChart1"/>
    <dgm:cxn modelId="{B8AD299A-6731-402C-B94E-4F3418E03A1E}" type="presParOf" srcId="{31F4CBCD-8713-4E26-BBAA-7D0852DF8879}" destId="{DC7A5C71-5EA0-4FD2-886E-BA00FD792F31}" srcOrd="2" destOrd="0" presId="urn:microsoft.com/office/officeart/2005/8/layout/orgChart1"/>
    <dgm:cxn modelId="{4B5D0F57-C2DD-4356-A5C8-4CC26EF7638E}" type="presParOf" srcId="{C53ED865-57A2-4A86-A5F6-20FFFD70D8B8}" destId="{A4416B43-F3A4-4973-A232-A705A548F85A}" srcOrd="8" destOrd="0" presId="urn:microsoft.com/office/officeart/2005/8/layout/orgChart1"/>
    <dgm:cxn modelId="{0B998248-BE2F-4D10-BB24-690D35E2B78E}" type="presParOf" srcId="{C53ED865-57A2-4A86-A5F6-20FFFD70D8B8}" destId="{3F9C50BB-B39B-4AEA-A6B1-3DF347432C67}" srcOrd="9" destOrd="0" presId="urn:microsoft.com/office/officeart/2005/8/layout/orgChart1"/>
    <dgm:cxn modelId="{77ED63C5-18EE-493B-906D-029657182012}" type="presParOf" srcId="{3F9C50BB-B39B-4AEA-A6B1-3DF347432C67}" destId="{308376A6-3930-4807-AAE3-2A02D2D5268A}" srcOrd="0" destOrd="0" presId="urn:microsoft.com/office/officeart/2005/8/layout/orgChart1"/>
    <dgm:cxn modelId="{A50DA481-B3C6-4022-B99C-2692497315C8}" type="presParOf" srcId="{308376A6-3930-4807-AAE3-2A02D2D5268A}" destId="{4B8036C8-82F6-4CAC-9705-E438507AC395}" srcOrd="0" destOrd="0" presId="urn:microsoft.com/office/officeart/2005/8/layout/orgChart1"/>
    <dgm:cxn modelId="{FDEE285D-6C3C-4A94-A028-2A6E47A22989}" type="presParOf" srcId="{308376A6-3930-4807-AAE3-2A02D2D5268A}" destId="{4AF6D63D-FDCA-49E5-BB65-DF2D7246EF51}" srcOrd="1" destOrd="0" presId="urn:microsoft.com/office/officeart/2005/8/layout/orgChart1"/>
    <dgm:cxn modelId="{4770FEDA-43C6-4538-9961-DB428287863B}" type="presParOf" srcId="{3F9C50BB-B39B-4AEA-A6B1-3DF347432C67}" destId="{5C0384CC-B3B7-48B8-A011-FDCFCD06668E}" srcOrd="1" destOrd="0" presId="urn:microsoft.com/office/officeart/2005/8/layout/orgChart1"/>
    <dgm:cxn modelId="{61579D8B-DD16-4120-B1F8-2991568D0290}" type="presParOf" srcId="{3F9C50BB-B39B-4AEA-A6B1-3DF347432C67}" destId="{A449278A-E27D-4572-806E-1FC8F429B4EB}" srcOrd="2" destOrd="0" presId="urn:microsoft.com/office/officeart/2005/8/layout/orgChart1"/>
    <dgm:cxn modelId="{C672D458-4DD1-4EE5-BE2A-0DD4059DC799}" type="presParOf" srcId="{C53ED865-57A2-4A86-A5F6-20FFFD70D8B8}" destId="{4D7DA46E-0BF2-4295-9AD5-E7231B6FBE5D}" srcOrd="10" destOrd="0" presId="urn:microsoft.com/office/officeart/2005/8/layout/orgChart1"/>
    <dgm:cxn modelId="{C49B358C-D17F-437C-BBBB-53B04776343C}" type="presParOf" srcId="{C53ED865-57A2-4A86-A5F6-20FFFD70D8B8}" destId="{6BB6A107-FC1D-4323-ADE8-A2A4934A0E2B}" srcOrd="11" destOrd="0" presId="urn:microsoft.com/office/officeart/2005/8/layout/orgChart1"/>
    <dgm:cxn modelId="{9D4FF972-9269-4AAB-85A8-548FEC556289}" type="presParOf" srcId="{6BB6A107-FC1D-4323-ADE8-A2A4934A0E2B}" destId="{8E615908-5FA0-43F1-B382-A9FC6441C876}" srcOrd="0" destOrd="0" presId="urn:microsoft.com/office/officeart/2005/8/layout/orgChart1"/>
    <dgm:cxn modelId="{D1ECC80D-0A68-48DC-BFA1-893B7F8E18D8}" type="presParOf" srcId="{8E615908-5FA0-43F1-B382-A9FC6441C876}" destId="{4A3627A3-97A7-4455-998E-33BC47472C19}" srcOrd="0" destOrd="0" presId="urn:microsoft.com/office/officeart/2005/8/layout/orgChart1"/>
    <dgm:cxn modelId="{ECB6A37F-DFB2-42DF-B437-DF5326E47B21}" type="presParOf" srcId="{8E615908-5FA0-43F1-B382-A9FC6441C876}" destId="{50B422BA-925B-42BF-9337-3D961FB7C327}" srcOrd="1" destOrd="0" presId="urn:microsoft.com/office/officeart/2005/8/layout/orgChart1"/>
    <dgm:cxn modelId="{931F3CD7-BB91-4027-8595-8D68985099E2}" type="presParOf" srcId="{6BB6A107-FC1D-4323-ADE8-A2A4934A0E2B}" destId="{99E75F16-2E77-4339-A134-9220014A24EB}" srcOrd="1" destOrd="0" presId="urn:microsoft.com/office/officeart/2005/8/layout/orgChart1"/>
    <dgm:cxn modelId="{4D58A73B-2998-4A78-AD13-77F4A73EE9E8}" type="presParOf" srcId="{6BB6A107-FC1D-4323-ADE8-A2A4934A0E2B}" destId="{785C9942-3C01-48FB-B4DF-E5A4DA7090E7}" srcOrd="2" destOrd="0" presId="urn:microsoft.com/office/officeart/2005/8/layout/orgChart1"/>
    <dgm:cxn modelId="{144FCEDD-2A92-4F01-91A2-9B044D6953EB}" type="presParOf" srcId="{D7620E44-AED8-4A1E-A9A7-4CDE6E28310A}" destId="{FFB289A8-7FB7-4E72-8B87-1A9FC73E3A80}" srcOrd="2" destOrd="0" presId="urn:microsoft.com/office/officeart/2005/8/layout/orgChart1"/>
    <dgm:cxn modelId="{5B0CC52B-C6F4-478D-9480-2F82F4134815}" type="presParOf" srcId="{14BD63D9-C141-4E9C-B724-F2CE1C6ECE3A}" destId="{A974865C-4AAC-4F63-8401-750EBF08F041}" srcOrd="4" destOrd="0" presId="urn:microsoft.com/office/officeart/2005/8/layout/orgChart1"/>
    <dgm:cxn modelId="{C31A59A8-1BC0-4DC4-9D24-F18F24DFE4D8}" type="presParOf" srcId="{14BD63D9-C141-4E9C-B724-F2CE1C6ECE3A}" destId="{FEE0FA5E-00A4-41D8-AB1C-AA4586D37F11}" srcOrd="5" destOrd="0" presId="urn:microsoft.com/office/officeart/2005/8/layout/orgChart1"/>
    <dgm:cxn modelId="{128460BA-C963-4C3D-A131-BA0E991F2204}" type="presParOf" srcId="{FEE0FA5E-00A4-41D8-AB1C-AA4586D37F11}" destId="{0A5465EC-9D64-45D6-A634-820BA7B4AE2B}" srcOrd="0" destOrd="0" presId="urn:microsoft.com/office/officeart/2005/8/layout/orgChart1"/>
    <dgm:cxn modelId="{A886863B-5788-4495-A5C9-FB67A6C555AD}" type="presParOf" srcId="{0A5465EC-9D64-45D6-A634-820BA7B4AE2B}" destId="{18D7EB7E-5345-47F5-A003-6DAA02A6F959}" srcOrd="0" destOrd="0" presId="urn:microsoft.com/office/officeart/2005/8/layout/orgChart1"/>
    <dgm:cxn modelId="{43F740C5-9A2B-403E-AB5A-E7E5EA11392C}" type="presParOf" srcId="{0A5465EC-9D64-45D6-A634-820BA7B4AE2B}" destId="{14ECF5AB-F12D-4C1A-9BDE-E5F8D27CC289}" srcOrd="1" destOrd="0" presId="urn:microsoft.com/office/officeart/2005/8/layout/orgChart1"/>
    <dgm:cxn modelId="{995B158F-A130-4453-9A49-1FAFAC105954}" type="presParOf" srcId="{FEE0FA5E-00A4-41D8-AB1C-AA4586D37F11}" destId="{DBDCAAA8-C1BC-464F-9DDC-4F4DD51E07B8}" srcOrd="1" destOrd="0" presId="urn:microsoft.com/office/officeart/2005/8/layout/orgChart1"/>
    <dgm:cxn modelId="{0D7E18AF-165D-4E32-AD9C-5E7E75C24860}" type="presParOf" srcId="{DBDCAAA8-C1BC-464F-9DDC-4F4DD51E07B8}" destId="{FC1C23FE-41C3-45AB-B919-B5AEFCF7E4A0}" srcOrd="0" destOrd="0" presId="urn:microsoft.com/office/officeart/2005/8/layout/orgChart1"/>
    <dgm:cxn modelId="{A2A50B65-3577-4218-B06A-2ABAEB325E3E}" type="presParOf" srcId="{DBDCAAA8-C1BC-464F-9DDC-4F4DD51E07B8}" destId="{B07E5FBA-853A-4722-8233-6CF6E72C6F4D}" srcOrd="1" destOrd="0" presId="urn:microsoft.com/office/officeart/2005/8/layout/orgChart1"/>
    <dgm:cxn modelId="{09F87F3F-E3EA-4F92-9B1F-12D302D76744}" type="presParOf" srcId="{B07E5FBA-853A-4722-8233-6CF6E72C6F4D}" destId="{85F8D879-F237-47AF-B3E9-86F453639ABB}" srcOrd="0" destOrd="0" presId="urn:microsoft.com/office/officeart/2005/8/layout/orgChart1"/>
    <dgm:cxn modelId="{C4E0E4C7-0BBD-4344-90E3-4C4A2864BB59}" type="presParOf" srcId="{85F8D879-F237-47AF-B3E9-86F453639ABB}" destId="{67BD0060-BFB1-4C4A-9D5B-6E6E87609C6C}" srcOrd="0" destOrd="0" presId="urn:microsoft.com/office/officeart/2005/8/layout/orgChart1"/>
    <dgm:cxn modelId="{BF404F13-9970-4358-B34A-8C3D1A788CA7}" type="presParOf" srcId="{85F8D879-F237-47AF-B3E9-86F453639ABB}" destId="{96518F74-4F11-437D-A2B6-A7469A744A9A}" srcOrd="1" destOrd="0" presId="urn:microsoft.com/office/officeart/2005/8/layout/orgChart1"/>
    <dgm:cxn modelId="{C7AF72F8-9DC2-4DB1-946E-FC1BA1493CC2}" type="presParOf" srcId="{B07E5FBA-853A-4722-8233-6CF6E72C6F4D}" destId="{4D242C7A-E775-4011-B353-68E6D193D297}" srcOrd="1" destOrd="0" presId="urn:microsoft.com/office/officeart/2005/8/layout/orgChart1"/>
    <dgm:cxn modelId="{25890F56-24DA-45E7-A3AD-73E5060443CD}" type="presParOf" srcId="{B07E5FBA-853A-4722-8233-6CF6E72C6F4D}" destId="{864A8151-C91F-4B19-8CA8-65447D47AC96}" srcOrd="2" destOrd="0" presId="urn:microsoft.com/office/officeart/2005/8/layout/orgChart1"/>
    <dgm:cxn modelId="{4A50C63F-ED19-460D-A2A1-58648C239434}" type="presParOf" srcId="{DBDCAAA8-C1BC-464F-9DDC-4F4DD51E07B8}" destId="{ED94DFB4-543B-4805-8D2B-6695EC59E5AF}" srcOrd="2" destOrd="0" presId="urn:microsoft.com/office/officeart/2005/8/layout/orgChart1"/>
    <dgm:cxn modelId="{8B76DE38-950C-4122-B8B5-3FCAF402E5C1}" type="presParOf" srcId="{DBDCAAA8-C1BC-464F-9DDC-4F4DD51E07B8}" destId="{AB9A0C88-A7A1-4224-9DB6-1220B771A881}" srcOrd="3" destOrd="0" presId="urn:microsoft.com/office/officeart/2005/8/layout/orgChart1"/>
    <dgm:cxn modelId="{97232F6A-9D14-4309-9A2C-6F7047788E0E}" type="presParOf" srcId="{AB9A0C88-A7A1-4224-9DB6-1220B771A881}" destId="{270DE9D8-888B-4BB9-B0E6-9D449C7B0BEE}" srcOrd="0" destOrd="0" presId="urn:microsoft.com/office/officeart/2005/8/layout/orgChart1"/>
    <dgm:cxn modelId="{A73BE2BF-4B40-47EB-972E-F96DD72397ED}" type="presParOf" srcId="{270DE9D8-888B-4BB9-B0E6-9D449C7B0BEE}" destId="{5451555C-535D-4995-B08E-92BDE4EE9F4E}" srcOrd="0" destOrd="0" presId="urn:microsoft.com/office/officeart/2005/8/layout/orgChart1"/>
    <dgm:cxn modelId="{4DBA9AE6-A20E-414E-A58B-B7AF33CCD11C}" type="presParOf" srcId="{270DE9D8-888B-4BB9-B0E6-9D449C7B0BEE}" destId="{98AB874C-9D50-49AD-A1E1-FECCB00C7FAA}" srcOrd="1" destOrd="0" presId="urn:microsoft.com/office/officeart/2005/8/layout/orgChart1"/>
    <dgm:cxn modelId="{75724C84-B7E5-488E-82E5-2CC563BB532C}" type="presParOf" srcId="{AB9A0C88-A7A1-4224-9DB6-1220B771A881}" destId="{DF40D6F2-C7A3-4C3B-B06C-FFCFC3169665}" srcOrd="1" destOrd="0" presId="urn:microsoft.com/office/officeart/2005/8/layout/orgChart1"/>
    <dgm:cxn modelId="{B4A7B9F4-5E79-4D4A-AB81-B5CD8749F374}" type="presParOf" srcId="{AB9A0C88-A7A1-4224-9DB6-1220B771A881}" destId="{E6D78B30-3EAD-4309-8DBC-744ABF9A9F04}" srcOrd="2" destOrd="0" presId="urn:microsoft.com/office/officeart/2005/8/layout/orgChart1"/>
    <dgm:cxn modelId="{CC36B45F-7CC0-4457-8DA2-BFE5EC0CF229}" type="presParOf" srcId="{DBDCAAA8-C1BC-464F-9DDC-4F4DD51E07B8}" destId="{0B8C700B-8527-409D-ADF9-BFF88DA7E80C}" srcOrd="4" destOrd="0" presId="urn:microsoft.com/office/officeart/2005/8/layout/orgChart1"/>
    <dgm:cxn modelId="{F0D2B8B5-3C34-4712-8C0E-2D0976B66ED7}" type="presParOf" srcId="{DBDCAAA8-C1BC-464F-9DDC-4F4DD51E07B8}" destId="{A44EAD65-1180-474B-9932-864F69D248A2}" srcOrd="5" destOrd="0" presId="urn:microsoft.com/office/officeart/2005/8/layout/orgChart1"/>
    <dgm:cxn modelId="{8F30379D-D50A-47AB-9FF3-BD094BDD43D1}" type="presParOf" srcId="{A44EAD65-1180-474B-9932-864F69D248A2}" destId="{3D98EC16-D683-4773-9709-3132C2BA6BE0}" srcOrd="0" destOrd="0" presId="urn:microsoft.com/office/officeart/2005/8/layout/orgChart1"/>
    <dgm:cxn modelId="{68F6EAE5-772D-4F09-8AD3-EBA87D9DA2BF}" type="presParOf" srcId="{3D98EC16-D683-4773-9709-3132C2BA6BE0}" destId="{67112E2D-DA08-4C12-BA18-598F9B59C2DD}" srcOrd="0" destOrd="0" presId="urn:microsoft.com/office/officeart/2005/8/layout/orgChart1"/>
    <dgm:cxn modelId="{9789D945-1577-4C73-80FF-78DCD08210FD}" type="presParOf" srcId="{3D98EC16-D683-4773-9709-3132C2BA6BE0}" destId="{12D47608-971A-4760-9862-9A137244C989}" srcOrd="1" destOrd="0" presId="urn:microsoft.com/office/officeart/2005/8/layout/orgChart1"/>
    <dgm:cxn modelId="{97E40180-A4E5-4420-A257-506660C91218}" type="presParOf" srcId="{A44EAD65-1180-474B-9932-864F69D248A2}" destId="{4AED43CD-31C5-4022-8320-197F7917098A}" srcOrd="1" destOrd="0" presId="urn:microsoft.com/office/officeart/2005/8/layout/orgChart1"/>
    <dgm:cxn modelId="{8AE93CA7-208A-45BD-A4C9-3B9A4F8E7986}" type="presParOf" srcId="{A44EAD65-1180-474B-9932-864F69D248A2}" destId="{7AF084A5-28F9-4954-B6C1-10F1AB251456}" srcOrd="2" destOrd="0" presId="urn:microsoft.com/office/officeart/2005/8/layout/orgChart1"/>
    <dgm:cxn modelId="{B3B09572-2B83-401D-B257-1542D6C7E378}" type="presParOf" srcId="{DBDCAAA8-C1BC-464F-9DDC-4F4DD51E07B8}" destId="{7A5EFE90-79A7-45A5-998C-98AA3A25E535}" srcOrd="6" destOrd="0" presId="urn:microsoft.com/office/officeart/2005/8/layout/orgChart1"/>
    <dgm:cxn modelId="{3C4721A0-8A73-46EC-9BEC-E4BBB2B6336A}" type="presParOf" srcId="{DBDCAAA8-C1BC-464F-9DDC-4F4DD51E07B8}" destId="{D0915C85-8D46-47BF-A4EB-A9D5E2C03223}" srcOrd="7" destOrd="0" presId="urn:microsoft.com/office/officeart/2005/8/layout/orgChart1"/>
    <dgm:cxn modelId="{D0DDE1BC-7843-4F2E-8845-EA9DC6BEC6BE}" type="presParOf" srcId="{D0915C85-8D46-47BF-A4EB-A9D5E2C03223}" destId="{479631B7-3BC0-40CC-9C72-E67CB641C124}" srcOrd="0" destOrd="0" presId="urn:microsoft.com/office/officeart/2005/8/layout/orgChart1"/>
    <dgm:cxn modelId="{607BDA23-996F-479A-9EA6-E63A249B0A9D}" type="presParOf" srcId="{479631B7-3BC0-40CC-9C72-E67CB641C124}" destId="{450069CF-7114-46AF-B948-B59BD7BD3248}" srcOrd="0" destOrd="0" presId="urn:microsoft.com/office/officeart/2005/8/layout/orgChart1"/>
    <dgm:cxn modelId="{36501132-44A4-406F-B671-A038E78BCDF1}" type="presParOf" srcId="{479631B7-3BC0-40CC-9C72-E67CB641C124}" destId="{DF59B64D-B8F5-4CBC-B522-C117940BEBC4}" srcOrd="1" destOrd="0" presId="urn:microsoft.com/office/officeart/2005/8/layout/orgChart1"/>
    <dgm:cxn modelId="{FE6126DA-2786-4224-AE93-6E0372551B70}" type="presParOf" srcId="{D0915C85-8D46-47BF-A4EB-A9D5E2C03223}" destId="{6345127E-510B-45C4-A1EC-E1832DAFDCB4}" srcOrd="1" destOrd="0" presId="urn:microsoft.com/office/officeart/2005/8/layout/orgChart1"/>
    <dgm:cxn modelId="{A1479E4E-72B0-4726-A92C-E3E5EA712ADC}" type="presParOf" srcId="{D0915C85-8D46-47BF-A4EB-A9D5E2C03223}" destId="{CB40CC88-B9AA-4CF6-954A-09848908972D}" srcOrd="2" destOrd="0" presId="urn:microsoft.com/office/officeart/2005/8/layout/orgChart1"/>
    <dgm:cxn modelId="{102943F4-FD8E-4041-9821-BDC5B13B6863}" type="presParOf" srcId="{DBDCAAA8-C1BC-464F-9DDC-4F4DD51E07B8}" destId="{49442FAC-B0E9-4BAD-861B-AEA4355561EE}" srcOrd="8" destOrd="0" presId="urn:microsoft.com/office/officeart/2005/8/layout/orgChart1"/>
    <dgm:cxn modelId="{CA024236-DA21-411E-B832-829DACAFB6A9}" type="presParOf" srcId="{DBDCAAA8-C1BC-464F-9DDC-4F4DD51E07B8}" destId="{BE36E480-C167-4AD3-9D39-2BDDE28D2FCE}" srcOrd="9" destOrd="0" presId="urn:microsoft.com/office/officeart/2005/8/layout/orgChart1"/>
    <dgm:cxn modelId="{E0552681-600E-48C7-B5E6-0A2A608730F0}" type="presParOf" srcId="{BE36E480-C167-4AD3-9D39-2BDDE28D2FCE}" destId="{AE7A26D8-46C7-4B04-8483-C1BD2A7E3C14}" srcOrd="0" destOrd="0" presId="urn:microsoft.com/office/officeart/2005/8/layout/orgChart1"/>
    <dgm:cxn modelId="{8278DA01-EA76-4B96-A078-DD00990EC5CB}" type="presParOf" srcId="{AE7A26D8-46C7-4B04-8483-C1BD2A7E3C14}" destId="{0A0D7290-3BF8-4E1B-AF58-EEEFB663DEAB}" srcOrd="0" destOrd="0" presId="urn:microsoft.com/office/officeart/2005/8/layout/orgChart1"/>
    <dgm:cxn modelId="{BF2E4401-7743-4E8E-8671-BE1F36ED104B}" type="presParOf" srcId="{AE7A26D8-46C7-4B04-8483-C1BD2A7E3C14}" destId="{4CA1BCDE-C91A-4827-AD61-80C4BDB2B836}" srcOrd="1" destOrd="0" presId="urn:microsoft.com/office/officeart/2005/8/layout/orgChart1"/>
    <dgm:cxn modelId="{1C10457C-EAB9-42D3-B977-AF7AB9783E72}" type="presParOf" srcId="{BE36E480-C167-4AD3-9D39-2BDDE28D2FCE}" destId="{F38F6212-48FF-463E-B9A7-FB0408902497}" srcOrd="1" destOrd="0" presId="urn:microsoft.com/office/officeart/2005/8/layout/orgChart1"/>
    <dgm:cxn modelId="{092A05E8-3CEA-4347-8C10-406C38FCE565}" type="presParOf" srcId="{BE36E480-C167-4AD3-9D39-2BDDE28D2FCE}" destId="{0D041C48-43CB-4E57-B84A-F832A4E0B4E1}" srcOrd="2" destOrd="0" presId="urn:microsoft.com/office/officeart/2005/8/layout/orgChart1"/>
    <dgm:cxn modelId="{C9B3F06A-48A6-4CD0-9E2E-733ED94C7D59}" type="presParOf" srcId="{DBDCAAA8-C1BC-464F-9DDC-4F4DD51E07B8}" destId="{BD64C209-A7B0-47B9-A859-89497615BB8D}" srcOrd="10" destOrd="0" presId="urn:microsoft.com/office/officeart/2005/8/layout/orgChart1"/>
    <dgm:cxn modelId="{378E6516-8904-4035-A2FC-F6A11D3DE185}" type="presParOf" srcId="{DBDCAAA8-C1BC-464F-9DDC-4F4DD51E07B8}" destId="{DC678C6B-A706-4E55-9339-2F82E726CF1A}" srcOrd="11" destOrd="0" presId="urn:microsoft.com/office/officeart/2005/8/layout/orgChart1"/>
    <dgm:cxn modelId="{C2D6B0DF-9029-4AD4-B83E-B33D8BA234DA}" type="presParOf" srcId="{DC678C6B-A706-4E55-9339-2F82E726CF1A}" destId="{754A9F5B-6B64-4FAA-9219-44D2BF6EF7D1}" srcOrd="0" destOrd="0" presId="urn:microsoft.com/office/officeart/2005/8/layout/orgChart1"/>
    <dgm:cxn modelId="{9B245A97-8C16-4F91-9797-4DBBF6F58239}" type="presParOf" srcId="{754A9F5B-6B64-4FAA-9219-44D2BF6EF7D1}" destId="{A9181D67-06C7-48A4-910B-0FB4C3B9B53D}" srcOrd="0" destOrd="0" presId="urn:microsoft.com/office/officeart/2005/8/layout/orgChart1"/>
    <dgm:cxn modelId="{AD9ED67F-E463-495B-98C4-A62925828109}" type="presParOf" srcId="{754A9F5B-6B64-4FAA-9219-44D2BF6EF7D1}" destId="{3E7608C9-1BF5-4B36-AAAD-19D61152C89B}" srcOrd="1" destOrd="0" presId="urn:microsoft.com/office/officeart/2005/8/layout/orgChart1"/>
    <dgm:cxn modelId="{634C2FA0-1B2A-4925-9DA9-CF2A0E6C5922}" type="presParOf" srcId="{DC678C6B-A706-4E55-9339-2F82E726CF1A}" destId="{54FA8ABD-8EE2-4C8E-AF0F-E6E5C06705FC}" srcOrd="1" destOrd="0" presId="urn:microsoft.com/office/officeart/2005/8/layout/orgChart1"/>
    <dgm:cxn modelId="{8E927E69-697A-4050-BF13-B0E9E747012A}" type="presParOf" srcId="{DC678C6B-A706-4E55-9339-2F82E726CF1A}" destId="{E6ED8DE2-CF4D-47A4-9B88-6C9B0BFD0B80}" srcOrd="2" destOrd="0" presId="urn:microsoft.com/office/officeart/2005/8/layout/orgChart1"/>
    <dgm:cxn modelId="{C123D5CF-78D8-46CE-B9C3-F53227D92FE3}" type="presParOf" srcId="{FEE0FA5E-00A4-41D8-AB1C-AA4586D37F11}" destId="{6A072BC7-B881-493B-AD0D-CDD56EE18CBB}" srcOrd="2" destOrd="0" presId="urn:microsoft.com/office/officeart/2005/8/layout/orgChart1"/>
    <dgm:cxn modelId="{64805519-56ED-443C-8289-820ACED27D4C}" type="presParOf" srcId="{14BD63D9-C141-4E9C-B724-F2CE1C6ECE3A}" destId="{4B4A3709-AA75-4971-921B-CAC4A33225CC}" srcOrd="6" destOrd="0" presId="urn:microsoft.com/office/officeart/2005/8/layout/orgChart1"/>
    <dgm:cxn modelId="{E9B1529B-FF2F-415B-A699-9613460257EC}" type="presParOf" srcId="{14BD63D9-C141-4E9C-B724-F2CE1C6ECE3A}" destId="{47D8AAF7-3DE1-4F00-8587-467D065E780E}" srcOrd="7" destOrd="0" presId="urn:microsoft.com/office/officeart/2005/8/layout/orgChart1"/>
    <dgm:cxn modelId="{22E853FC-D1FF-4937-BB55-3FC42C11B4F8}" type="presParOf" srcId="{47D8AAF7-3DE1-4F00-8587-467D065E780E}" destId="{29CBCBA3-9A84-4E67-AE65-EEE179EEC833}" srcOrd="0" destOrd="0" presId="urn:microsoft.com/office/officeart/2005/8/layout/orgChart1"/>
    <dgm:cxn modelId="{4C14ACDA-5FD3-4D75-808F-04169386AE7D}" type="presParOf" srcId="{29CBCBA3-9A84-4E67-AE65-EEE179EEC833}" destId="{EBDC4F41-BB02-4045-BB2C-0F561DCA0C10}" srcOrd="0" destOrd="0" presId="urn:microsoft.com/office/officeart/2005/8/layout/orgChart1"/>
    <dgm:cxn modelId="{0F155082-1085-4EFD-ACBA-6D21BCDA181D}" type="presParOf" srcId="{29CBCBA3-9A84-4E67-AE65-EEE179EEC833}" destId="{7BCBB919-E96F-42D4-BA5F-2446C6D9C71A}" srcOrd="1" destOrd="0" presId="urn:microsoft.com/office/officeart/2005/8/layout/orgChart1"/>
    <dgm:cxn modelId="{5AFFB923-9E3D-4165-B5AB-93C916D485D6}" type="presParOf" srcId="{47D8AAF7-3DE1-4F00-8587-467D065E780E}" destId="{43280E03-1FB3-4E9D-B52E-EA740400CD98}" srcOrd="1" destOrd="0" presId="urn:microsoft.com/office/officeart/2005/8/layout/orgChart1"/>
    <dgm:cxn modelId="{DCF1EF43-CBF0-47BA-BDBC-93849B4E425D}" type="presParOf" srcId="{43280E03-1FB3-4E9D-B52E-EA740400CD98}" destId="{96BFC465-8166-421C-9903-E801C6A495F4}" srcOrd="0" destOrd="0" presId="urn:microsoft.com/office/officeart/2005/8/layout/orgChart1"/>
    <dgm:cxn modelId="{151DFF2B-8CF3-4AFE-BA8A-413DBDA066C4}" type="presParOf" srcId="{43280E03-1FB3-4E9D-B52E-EA740400CD98}" destId="{9FE58E93-0DB9-444A-BC5D-7057BA79A88D}" srcOrd="1" destOrd="0" presId="urn:microsoft.com/office/officeart/2005/8/layout/orgChart1"/>
    <dgm:cxn modelId="{2CEC0060-9557-4158-8F40-402957313CFE}" type="presParOf" srcId="{9FE58E93-0DB9-444A-BC5D-7057BA79A88D}" destId="{565A487E-9E09-4ED1-9070-3D2C30FC8F80}" srcOrd="0" destOrd="0" presId="urn:microsoft.com/office/officeart/2005/8/layout/orgChart1"/>
    <dgm:cxn modelId="{98112BCD-9A31-49A4-937A-3BA902C11513}" type="presParOf" srcId="{565A487E-9E09-4ED1-9070-3D2C30FC8F80}" destId="{647420B5-B7F6-41E1-AC34-55D8867088E7}" srcOrd="0" destOrd="0" presId="urn:microsoft.com/office/officeart/2005/8/layout/orgChart1"/>
    <dgm:cxn modelId="{694B95D2-FCD2-4A80-8773-CDBC4B15C5AB}" type="presParOf" srcId="{565A487E-9E09-4ED1-9070-3D2C30FC8F80}" destId="{2AA0D326-14A0-4FFF-AA6C-042CD260C778}" srcOrd="1" destOrd="0" presId="urn:microsoft.com/office/officeart/2005/8/layout/orgChart1"/>
    <dgm:cxn modelId="{D083AFCB-54CA-4DDE-8F52-3F1EAF4C4983}" type="presParOf" srcId="{9FE58E93-0DB9-444A-BC5D-7057BA79A88D}" destId="{C16A6238-679E-4BA6-B31F-76D0DF27624F}" srcOrd="1" destOrd="0" presId="urn:microsoft.com/office/officeart/2005/8/layout/orgChart1"/>
    <dgm:cxn modelId="{1218AF5A-2220-4DC4-9499-E9649DD5F2C7}" type="presParOf" srcId="{9FE58E93-0DB9-444A-BC5D-7057BA79A88D}" destId="{9FDA9C82-B287-452D-804B-E818F8F1B6D7}" srcOrd="2" destOrd="0" presId="urn:microsoft.com/office/officeart/2005/8/layout/orgChart1"/>
    <dgm:cxn modelId="{4B5C12E6-1EFB-4AB9-9A05-4EE2C9BB8F41}" type="presParOf" srcId="{43280E03-1FB3-4E9D-B52E-EA740400CD98}" destId="{EF40F13B-2C5A-41A4-9FFF-CA4653B01B3B}" srcOrd="2" destOrd="0" presId="urn:microsoft.com/office/officeart/2005/8/layout/orgChart1"/>
    <dgm:cxn modelId="{29CA16A0-0931-4985-A343-763F5B714E98}" type="presParOf" srcId="{43280E03-1FB3-4E9D-B52E-EA740400CD98}" destId="{687001A3-D3CC-4AB1-84C4-16CB10BD9A2C}" srcOrd="3" destOrd="0" presId="urn:microsoft.com/office/officeart/2005/8/layout/orgChart1"/>
    <dgm:cxn modelId="{AB621D04-AA37-4F10-AB35-1B2A1238E86A}" type="presParOf" srcId="{687001A3-D3CC-4AB1-84C4-16CB10BD9A2C}" destId="{2640AFD9-A105-4927-8D49-A4911DAEB8A6}" srcOrd="0" destOrd="0" presId="urn:microsoft.com/office/officeart/2005/8/layout/orgChart1"/>
    <dgm:cxn modelId="{7590CE4B-49F5-468F-833F-BACFD8D9DFC2}" type="presParOf" srcId="{2640AFD9-A105-4927-8D49-A4911DAEB8A6}" destId="{ABC7BB64-A90A-4CB7-9105-0A2AC9805564}" srcOrd="0" destOrd="0" presId="urn:microsoft.com/office/officeart/2005/8/layout/orgChart1"/>
    <dgm:cxn modelId="{85612891-EFAD-4E66-BDB7-7F4A54B314D9}" type="presParOf" srcId="{2640AFD9-A105-4927-8D49-A4911DAEB8A6}" destId="{FF3F3098-1EE8-47DE-A756-7FCF6D81535A}" srcOrd="1" destOrd="0" presId="urn:microsoft.com/office/officeart/2005/8/layout/orgChart1"/>
    <dgm:cxn modelId="{1721754D-93E3-4BC7-8532-2A57D330D7FC}" type="presParOf" srcId="{687001A3-D3CC-4AB1-84C4-16CB10BD9A2C}" destId="{B21E56AF-F838-42B0-B06B-68B9B29854D0}" srcOrd="1" destOrd="0" presId="urn:microsoft.com/office/officeart/2005/8/layout/orgChart1"/>
    <dgm:cxn modelId="{A8B83F55-6A73-45A6-BB10-370A06C70C57}" type="presParOf" srcId="{687001A3-D3CC-4AB1-84C4-16CB10BD9A2C}" destId="{296DDADC-4797-42A4-AEEE-50AD6B51ED36}" srcOrd="2" destOrd="0" presId="urn:microsoft.com/office/officeart/2005/8/layout/orgChart1"/>
    <dgm:cxn modelId="{DA3D6551-9434-4A5C-A549-2D6078BD936E}" type="presParOf" srcId="{43280E03-1FB3-4E9D-B52E-EA740400CD98}" destId="{F8DF4927-B0E2-4A18-B576-0CEAC6685F51}" srcOrd="4" destOrd="0" presId="urn:microsoft.com/office/officeart/2005/8/layout/orgChart1"/>
    <dgm:cxn modelId="{C3CE59DC-837D-41B3-B753-00A2F1642598}" type="presParOf" srcId="{43280E03-1FB3-4E9D-B52E-EA740400CD98}" destId="{6CA202BA-0547-482E-BDB3-FA2EF0455FAC}" srcOrd="5" destOrd="0" presId="urn:microsoft.com/office/officeart/2005/8/layout/orgChart1"/>
    <dgm:cxn modelId="{B59EDC1F-358F-42F8-8634-291B73D5E861}" type="presParOf" srcId="{6CA202BA-0547-482E-BDB3-FA2EF0455FAC}" destId="{8555C65F-DEC2-4828-BA48-3DC0D3ECE78E}" srcOrd="0" destOrd="0" presId="urn:microsoft.com/office/officeart/2005/8/layout/orgChart1"/>
    <dgm:cxn modelId="{412D4C61-CC00-4320-B7FF-B07A1A207A43}" type="presParOf" srcId="{8555C65F-DEC2-4828-BA48-3DC0D3ECE78E}" destId="{AD7D396D-70EB-4F3A-AC22-78E8462178A0}" srcOrd="0" destOrd="0" presId="urn:microsoft.com/office/officeart/2005/8/layout/orgChart1"/>
    <dgm:cxn modelId="{927AF5B6-4318-4C51-A538-46DD1F67B4E6}" type="presParOf" srcId="{8555C65F-DEC2-4828-BA48-3DC0D3ECE78E}" destId="{E8EB7F20-D728-4C93-81BC-AECA407EEA56}" srcOrd="1" destOrd="0" presId="urn:microsoft.com/office/officeart/2005/8/layout/orgChart1"/>
    <dgm:cxn modelId="{9AC22216-1CC0-4FC2-9228-3638C466401B}" type="presParOf" srcId="{6CA202BA-0547-482E-BDB3-FA2EF0455FAC}" destId="{73215CC5-9FC6-4D32-8095-2F8C1CDF19D5}" srcOrd="1" destOrd="0" presId="urn:microsoft.com/office/officeart/2005/8/layout/orgChart1"/>
    <dgm:cxn modelId="{A99C5B42-543D-4012-B17E-A1B060EBCF73}" type="presParOf" srcId="{6CA202BA-0547-482E-BDB3-FA2EF0455FAC}" destId="{804A5EFD-3256-46F4-A920-47AD6128D0B1}" srcOrd="2" destOrd="0" presId="urn:microsoft.com/office/officeart/2005/8/layout/orgChart1"/>
    <dgm:cxn modelId="{1BB8B42B-5F34-408B-9A3A-D4EB9258D91D}" type="presParOf" srcId="{43280E03-1FB3-4E9D-B52E-EA740400CD98}" destId="{F7E5F2CE-0C8A-4AD2-8503-9E5CEAC34879}" srcOrd="6" destOrd="0" presId="urn:microsoft.com/office/officeart/2005/8/layout/orgChart1"/>
    <dgm:cxn modelId="{3498A3E2-99A7-4E2F-A3D5-D25D554424D6}" type="presParOf" srcId="{43280E03-1FB3-4E9D-B52E-EA740400CD98}" destId="{4F2AEEF9-EDA3-4E3E-B002-537E5DD32D88}" srcOrd="7" destOrd="0" presId="urn:microsoft.com/office/officeart/2005/8/layout/orgChart1"/>
    <dgm:cxn modelId="{CE843B9C-1B40-4AEB-B780-827AB324D9A9}" type="presParOf" srcId="{4F2AEEF9-EDA3-4E3E-B002-537E5DD32D88}" destId="{4ECD40FA-F322-4346-AA5A-4A751A4677AA}" srcOrd="0" destOrd="0" presId="urn:microsoft.com/office/officeart/2005/8/layout/orgChart1"/>
    <dgm:cxn modelId="{A1C3DF81-C438-436B-B744-5A4D012D53AB}" type="presParOf" srcId="{4ECD40FA-F322-4346-AA5A-4A751A4677AA}" destId="{39B8E77F-B22C-4656-8B22-473C50CE438F}" srcOrd="0" destOrd="0" presId="urn:microsoft.com/office/officeart/2005/8/layout/orgChart1"/>
    <dgm:cxn modelId="{EE7210FB-C1F5-44FE-A139-1CDDDB73203A}" type="presParOf" srcId="{4ECD40FA-F322-4346-AA5A-4A751A4677AA}" destId="{A69B6F19-D601-4E1F-A30B-92D7339CEC15}" srcOrd="1" destOrd="0" presId="urn:microsoft.com/office/officeart/2005/8/layout/orgChart1"/>
    <dgm:cxn modelId="{7C99DB1C-0297-4859-97D2-F536689DD122}" type="presParOf" srcId="{4F2AEEF9-EDA3-4E3E-B002-537E5DD32D88}" destId="{CB957512-36BE-4415-B4CF-2844E268DBC9}" srcOrd="1" destOrd="0" presId="urn:microsoft.com/office/officeart/2005/8/layout/orgChart1"/>
    <dgm:cxn modelId="{284F3723-272F-40DA-9F8C-667341F95DBA}" type="presParOf" srcId="{4F2AEEF9-EDA3-4E3E-B002-537E5DD32D88}" destId="{8BC8AA20-D366-48FE-8A79-B07CEC24E33A}" srcOrd="2" destOrd="0" presId="urn:microsoft.com/office/officeart/2005/8/layout/orgChart1"/>
    <dgm:cxn modelId="{CDDD3EB2-851E-4B38-AF4F-6F7AEB6E956A}" type="presParOf" srcId="{43280E03-1FB3-4E9D-B52E-EA740400CD98}" destId="{528E5FC3-D11A-4F89-9B14-660DA30A5BD9}" srcOrd="8" destOrd="0" presId="urn:microsoft.com/office/officeart/2005/8/layout/orgChart1"/>
    <dgm:cxn modelId="{8AEEFC14-AB88-4D8E-8DE8-36655C50E7F9}" type="presParOf" srcId="{43280E03-1FB3-4E9D-B52E-EA740400CD98}" destId="{12062A6B-A75C-4D48-B92C-B675952729DB}" srcOrd="9" destOrd="0" presId="urn:microsoft.com/office/officeart/2005/8/layout/orgChart1"/>
    <dgm:cxn modelId="{62567538-C87B-4B25-AC94-8C453294F8C0}" type="presParOf" srcId="{12062A6B-A75C-4D48-B92C-B675952729DB}" destId="{30E9CCB3-D19D-4DB7-BC88-FB00CD9E218F}" srcOrd="0" destOrd="0" presId="urn:microsoft.com/office/officeart/2005/8/layout/orgChart1"/>
    <dgm:cxn modelId="{06113589-95E3-4BF5-972D-78D6E4476EA0}" type="presParOf" srcId="{30E9CCB3-D19D-4DB7-BC88-FB00CD9E218F}" destId="{DE90A0AF-EF96-426B-BDC2-9EE119692A07}" srcOrd="0" destOrd="0" presId="urn:microsoft.com/office/officeart/2005/8/layout/orgChart1"/>
    <dgm:cxn modelId="{06B9FD66-7E7F-4A6D-A0BB-B800C7FCC859}" type="presParOf" srcId="{30E9CCB3-D19D-4DB7-BC88-FB00CD9E218F}" destId="{F75DB207-43BF-488C-BEA8-CD8796287353}" srcOrd="1" destOrd="0" presId="urn:microsoft.com/office/officeart/2005/8/layout/orgChart1"/>
    <dgm:cxn modelId="{2CE0DA20-2223-4B94-93C8-E6C951DFFD51}" type="presParOf" srcId="{12062A6B-A75C-4D48-B92C-B675952729DB}" destId="{6418E0AA-405F-42EF-9349-0AD5D6EAB063}" srcOrd="1" destOrd="0" presId="urn:microsoft.com/office/officeart/2005/8/layout/orgChart1"/>
    <dgm:cxn modelId="{EF5B1575-CCDD-4035-83CA-725BAF691569}" type="presParOf" srcId="{12062A6B-A75C-4D48-B92C-B675952729DB}" destId="{B1B17F1D-BD38-43E7-83FF-66C9397AAE58}" srcOrd="2" destOrd="0" presId="urn:microsoft.com/office/officeart/2005/8/layout/orgChart1"/>
    <dgm:cxn modelId="{4F9DC0A5-D2B1-4732-93DF-DCA324C609E9}" type="presParOf" srcId="{43280E03-1FB3-4E9D-B52E-EA740400CD98}" destId="{59C04252-CCFB-4CC8-BA77-20FD222490E8}" srcOrd="10" destOrd="0" presId="urn:microsoft.com/office/officeart/2005/8/layout/orgChart1"/>
    <dgm:cxn modelId="{12BF3A4C-07CA-4B86-9A7C-A208B6883F03}" type="presParOf" srcId="{43280E03-1FB3-4E9D-B52E-EA740400CD98}" destId="{A1D1C9F3-0143-44EB-B646-474015DEF2F5}" srcOrd="11" destOrd="0" presId="urn:microsoft.com/office/officeart/2005/8/layout/orgChart1"/>
    <dgm:cxn modelId="{1C60A34E-A11D-42DB-A5A6-82ECF8493537}" type="presParOf" srcId="{A1D1C9F3-0143-44EB-B646-474015DEF2F5}" destId="{5030E857-2B75-42B6-8DF1-6EAD3BCFEC87}" srcOrd="0" destOrd="0" presId="urn:microsoft.com/office/officeart/2005/8/layout/orgChart1"/>
    <dgm:cxn modelId="{E5368034-3128-497D-9FEC-7D74D18B1D02}" type="presParOf" srcId="{5030E857-2B75-42B6-8DF1-6EAD3BCFEC87}" destId="{0119EEB9-9A38-430C-8605-8FF3F804544F}" srcOrd="0" destOrd="0" presId="urn:microsoft.com/office/officeart/2005/8/layout/orgChart1"/>
    <dgm:cxn modelId="{AEF1D014-A2D0-486B-908D-A1F105FD9E87}" type="presParOf" srcId="{5030E857-2B75-42B6-8DF1-6EAD3BCFEC87}" destId="{E2D3DBFC-8378-439D-8EA2-F88586179F5F}" srcOrd="1" destOrd="0" presId="urn:microsoft.com/office/officeart/2005/8/layout/orgChart1"/>
    <dgm:cxn modelId="{BD18F5BD-0DB7-4C24-8319-F1B6DB99F8FF}" type="presParOf" srcId="{A1D1C9F3-0143-44EB-B646-474015DEF2F5}" destId="{2CC031BB-80CE-4A34-B076-97E9EA6BF3C3}" srcOrd="1" destOrd="0" presId="urn:microsoft.com/office/officeart/2005/8/layout/orgChart1"/>
    <dgm:cxn modelId="{A3233A7B-1D9D-4875-9AB8-FEE9D991A7AE}" type="presParOf" srcId="{A1D1C9F3-0143-44EB-B646-474015DEF2F5}" destId="{964B1D07-7B38-46DF-B184-5EF2F7CA3EAC}" srcOrd="2" destOrd="0" presId="urn:microsoft.com/office/officeart/2005/8/layout/orgChart1"/>
    <dgm:cxn modelId="{B1ABFBED-D0C0-4564-B031-DEF4AB8CCB7B}" type="presParOf" srcId="{47D8AAF7-3DE1-4F00-8587-467D065E780E}" destId="{0E4756FC-7C91-46C9-A0DD-FAE4704C34AA}" srcOrd="2" destOrd="0" presId="urn:microsoft.com/office/officeart/2005/8/layout/orgChart1"/>
    <dgm:cxn modelId="{F8294044-588A-4704-BAD1-B1D37E4877C8}" type="presParOf" srcId="{14BD63D9-C141-4E9C-B724-F2CE1C6ECE3A}" destId="{F1EE7129-9CBE-42CE-9EE3-3684DAE78A6A}" srcOrd="8" destOrd="0" presId="urn:microsoft.com/office/officeart/2005/8/layout/orgChart1"/>
    <dgm:cxn modelId="{33C1F114-E806-40EA-9777-A1CB5A9C0757}" type="presParOf" srcId="{14BD63D9-C141-4E9C-B724-F2CE1C6ECE3A}" destId="{1AC2E66A-2A2E-4A3B-AEC8-DF1D34B03365}" srcOrd="9" destOrd="0" presId="urn:microsoft.com/office/officeart/2005/8/layout/orgChart1"/>
    <dgm:cxn modelId="{45D546DB-8C1F-45A1-8B8E-E187691552BB}" type="presParOf" srcId="{1AC2E66A-2A2E-4A3B-AEC8-DF1D34B03365}" destId="{40535A9C-B148-4F64-A1A0-A8CC7945C730}" srcOrd="0" destOrd="0" presId="urn:microsoft.com/office/officeart/2005/8/layout/orgChart1"/>
    <dgm:cxn modelId="{6C100D4D-E985-4A33-B316-FA7588AAD8F0}" type="presParOf" srcId="{40535A9C-B148-4F64-A1A0-A8CC7945C730}" destId="{A258BD13-7871-4C9C-B418-43BE12BFB3E9}" srcOrd="0" destOrd="0" presId="urn:microsoft.com/office/officeart/2005/8/layout/orgChart1"/>
    <dgm:cxn modelId="{936FA9A8-9B5E-4CBE-B403-CC2EEAF24278}" type="presParOf" srcId="{40535A9C-B148-4F64-A1A0-A8CC7945C730}" destId="{377DAAC8-B64C-4B18-908A-1890A133AEFC}" srcOrd="1" destOrd="0" presId="urn:microsoft.com/office/officeart/2005/8/layout/orgChart1"/>
    <dgm:cxn modelId="{B75CDC5A-F682-4ECF-B925-39A3176CC6CB}" type="presParOf" srcId="{1AC2E66A-2A2E-4A3B-AEC8-DF1D34B03365}" destId="{314C482C-65BB-47D4-915A-6F0C3441E503}" srcOrd="1" destOrd="0" presId="urn:microsoft.com/office/officeart/2005/8/layout/orgChart1"/>
    <dgm:cxn modelId="{55B0F3B0-983C-4A7F-BA1B-53D4414D37F9}" type="presParOf" srcId="{314C482C-65BB-47D4-915A-6F0C3441E503}" destId="{2F7B221D-5030-40CE-B2C2-68153A0F97EC}" srcOrd="0" destOrd="0" presId="urn:microsoft.com/office/officeart/2005/8/layout/orgChart1"/>
    <dgm:cxn modelId="{9D7AFB09-6262-4F2F-8F22-4E7E8F828426}" type="presParOf" srcId="{314C482C-65BB-47D4-915A-6F0C3441E503}" destId="{9FB25C77-0C0A-4FB2-89FE-7175A2B094F9}" srcOrd="1" destOrd="0" presId="urn:microsoft.com/office/officeart/2005/8/layout/orgChart1"/>
    <dgm:cxn modelId="{9583D0BC-9176-4997-8ECB-6985E8761F36}" type="presParOf" srcId="{9FB25C77-0C0A-4FB2-89FE-7175A2B094F9}" destId="{CB680E1F-EBAE-4062-A071-AB7C08232403}" srcOrd="0" destOrd="0" presId="urn:microsoft.com/office/officeart/2005/8/layout/orgChart1"/>
    <dgm:cxn modelId="{628F28EA-1AC4-46A5-A13C-C87CC4F32764}" type="presParOf" srcId="{CB680E1F-EBAE-4062-A071-AB7C08232403}" destId="{FED6595E-1570-4891-AE46-CD4AC1DEF9EA}" srcOrd="0" destOrd="0" presId="urn:microsoft.com/office/officeart/2005/8/layout/orgChart1"/>
    <dgm:cxn modelId="{B867269F-730E-4A91-9B61-09320907D9D9}" type="presParOf" srcId="{CB680E1F-EBAE-4062-A071-AB7C08232403}" destId="{4A3DC27F-8DE4-48A4-9352-6E19ED89BD37}" srcOrd="1" destOrd="0" presId="urn:microsoft.com/office/officeart/2005/8/layout/orgChart1"/>
    <dgm:cxn modelId="{FA618AF7-4068-437A-85DE-EEE4E8DABF07}" type="presParOf" srcId="{9FB25C77-0C0A-4FB2-89FE-7175A2B094F9}" destId="{DFA8D785-E1E1-4A77-B992-17A55C3F2717}" srcOrd="1" destOrd="0" presId="urn:microsoft.com/office/officeart/2005/8/layout/orgChart1"/>
    <dgm:cxn modelId="{05BCAE30-8B31-42BA-B530-6923102127D6}" type="presParOf" srcId="{9FB25C77-0C0A-4FB2-89FE-7175A2B094F9}" destId="{6D7E8D45-4C51-4D9C-A331-6B04C0832A8B}" srcOrd="2" destOrd="0" presId="urn:microsoft.com/office/officeart/2005/8/layout/orgChart1"/>
    <dgm:cxn modelId="{66E2AAC7-4F6B-4041-9CC4-82F1E64F7C50}" type="presParOf" srcId="{314C482C-65BB-47D4-915A-6F0C3441E503}" destId="{FD540605-6F96-4B99-9FEF-8CEAB4571FB4}" srcOrd="2" destOrd="0" presId="urn:microsoft.com/office/officeart/2005/8/layout/orgChart1"/>
    <dgm:cxn modelId="{9956EDBF-B018-4A01-9840-173465058820}" type="presParOf" srcId="{314C482C-65BB-47D4-915A-6F0C3441E503}" destId="{3611DE11-DCD5-4EE0-BB96-595CF39417D6}" srcOrd="3" destOrd="0" presId="urn:microsoft.com/office/officeart/2005/8/layout/orgChart1"/>
    <dgm:cxn modelId="{7FB0EDB3-A758-4E60-8B88-6857246B482F}" type="presParOf" srcId="{3611DE11-DCD5-4EE0-BB96-595CF39417D6}" destId="{543E833C-7B9C-410F-911B-FAF9A6E38FF7}" srcOrd="0" destOrd="0" presId="urn:microsoft.com/office/officeart/2005/8/layout/orgChart1"/>
    <dgm:cxn modelId="{2F16D306-8A53-4558-B868-DF99E272D014}" type="presParOf" srcId="{543E833C-7B9C-410F-911B-FAF9A6E38FF7}" destId="{7F8EFDBA-900F-4273-A7B0-E6FE5E02840D}" srcOrd="0" destOrd="0" presId="urn:microsoft.com/office/officeart/2005/8/layout/orgChart1"/>
    <dgm:cxn modelId="{F11E3F90-AFD2-4CB4-86EE-325B52D5AE56}" type="presParOf" srcId="{543E833C-7B9C-410F-911B-FAF9A6E38FF7}" destId="{04201401-4837-4B30-AFFF-9998EB8BCE29}" srcOrd="1" destOrd="0" presId="urn:microsoft.com/office/officeart/2005/8/layout/orgChart1"/>
    <dgm:cxn modelId="{615EE113-196D-41F1-83B5-1EBD5EDD60CC}" type="presParOf" srcId="{3611DE11-DCD5-4EE0-BB96-595CF39417D6}" destId="{DB6740BE-9238-45AF-9A9D-36FB72CBF9E7}" srcOrd="1" destOrd="0" presId="urn:microsoft.com/office/officeart/2005/8/layout/orgChart1"/>
    <dgm:cxn modelId="{9D12D937-6862-41A7-B1A7-2664517AE652}" type="presParOf" srcId="{3611DE11-DCD5-4EE0-BB96-595CF39417D6}" destId="{2E3B18E5-0669-407E-95D9-025A23E008F6}" srcOrd="2" destOrd="0" presId="urn:microsoft.com/office/officeart/2005/8/layout/orgChart1"/>
    <dgm:cxn modelId="{1D112DB4-555A-4039-88E5-0A49BB24B482}" type="presParOf" srcId="{314C482C-65BB-47D4-915A-6F0C3441E503}" destId="{B5210DB0-CB29-4557-B327-60029655B293}" srcOrd="4" destOrd="0" presId="urn:microsoft.com/office/officeart/2005/8/layout/orgChart1"/>
    <dgm:cxn modelId="{5EA629F2-41CF-4B60-A352-3FD84B4E52F0}" type="presParOf" srcId="{314C482C-65BB-47D4-915A-6F0C3441E503}" destId="{19822EA0-112B-4594-9EA3-4509F040EAF2}" srcOrd="5" destOrd="0" presId="urn:microsoft.com/office/officeart/2005/8/layout/orgChart1"/>
    <dgm:cxn modelId="{F4B38B64-B5FE-4A62-BB45-20BF389E8361}" type="presParOf" srcId="{19822EA0-112B-4594-9EA3-4509F040EAF2}" destId="{6BB299F7-B8F6-4EDD-9D61-126308858751}" srcOrd="0" destOrd="0" presId="urn:microsoft.com/office/officeart/2005/8/layout/orgChart1"/>
    <dgm:cxn modelId="{72C01C1B-0BF1-492D-AD85-3417A085DA54}" type="presParOf" srcId="{6BB299F7-B8F6-4EDD-9D61-126308858751}" destId="{E140C6C5-E4A1-49E2-8B34-B36A9E45F7A0}" srcOrd="0" destOrd="0" presId="urn:microsoft.com/office/officeart/2005/8/layout/orgChart1"/>
    <dgm:cxn modelId="{E1063253-5B42-44A3-8C12-AE1E1AD3CF6D}" type="presParOf" srcId="{6BB299F7-B8F6-4EDD-9D61-126308858751}" destId="{69D06E7D-A6C7-4A80-AB80-BC479557C42C}" srcOrd="1" destOrd="0" presId="urn:microsoft.com/office/officeart/2005/8/layout/orgChart1"/>
    <dgm:cxn modelId="{2922D712-A476-4738-8D16-A91E10E5B55B}" type="presParOf" srcId="{19822EA0-112B-4594-9EA3-4509F040EAF2}" destId="{CBC26D4C-93C3-4000-AAAA-5007190E8675}" srcOrd="1" destOrd="0" presId="urn:microsoft.com/office/officeart/2005/8/layout/orgChart1"/>
    <dgm:cxn modelId="{9DF4D806-F71B-4C1A-A065-40A31CFAF907}" type="presParOf" srcId="{19822EA0-112B-4594-9EA3-4509F040EAF2}" destId="{1207FA07-C74A-4FD8-A9CB-D00848890C0B}" srcOrd="2" destOrd="0" presId="urn:microsoft.com/office/officeart/2005/8/layout/orgChart1"/>
    <dgm:cxn modelId="{B120C6E5-EF02-4A43-801E-EEB9A18C8B4E}" type="presParOf" srcId="{314C482C-65BB-47D4-915A-6F0C3441E503}" destId="{A45E8E60-357C-4447-B545-DCEEB69E444E}" srcOrd="6" destOrd="0" presId="urn:microsoft.com/office/officeart/2005/8/layout/orgChart1"/>
    <dgm:cxn modelId="{3BDF962D-563C-421B-A69B-D1DB14038A03}" type="presParOf" srcId="{314C482C-65BB-47D4-915A-6F0C3441E503}" destId="{71554BB3-0A6B-433E-B932-4D92DA806144}" srcOrd="7" destOrd="0" presId="urn:microsoft.com/office/officeart/2005/8/layout/orgChart1"/>
    <dgm:cxn modelId="{02851F58-5BA5-41C5-9914-91667EBD81E0}" type="presParOf" srcId="{71554BB3-0A6B-433E-B932-4D92DA806144}" destId="{66136D05-A777-4D84-A3EC-B7B165A311E6}" srcOrd="0" destOrd="0" presId="urn:microsoft.com/office/officeart/2005/8/layout/orgChart1"/>
    <dgm:cxn modelId="{5E9B9ABA-208B-4050-8DC2-1481E0BA1D14}" type="presParOf" srcId="{66136D05-A777-4D84-A3EC-B7B165A311E6}" destId="{2915E1C8-90EE-4D3E-80C4-5A095B94CCE7}" srcOrd="0" destOrd="0" presId="urn:microsoft.com/office/officeart/2005/8/layout/orgChart1"/>
    <dgm:cxn modelId="{CAA2E082-2284-46DE-BAA8-78B7E62D02E9}" type="presParOf" srcId="{66136D05-A777-4D84-A3EC-B7B165A311E6}" destId="{A5DD968A-911F-4376-BCC3-EEACDFED13C5}" srcOrd="1" destOrd="0" presId="urn:microsoft.com/office/officeart/2005/8/layout/orgChart1"/>
    <dgm:cxn modelId="{018479C6-5D88-4019-B9CF-1EFA85EFFA89}" type="presParOf" srcId="{71554BB3-0A6B-433E-B932-4D92DA806144}" destId="{DD42EDC6-12EC-45E7-84BE-1028245A3764}" srcOrd="1" destOrd="0" presId="urn:microsoft.com/office/officeart/2005/8/layout/orgChart1"/>
    <dgm:cxn modelId="{4B8A8583-6182-4D42-91A8-F3898F0B802B}" type="presParOf" srcId="{71554BB3-0A6B-433E-B932-4D92DA806144}" destId="{29900E30-4D3D-4599-BA5A-15C533165D49}" srcOrd="2" destOrd="0" presId="urn:microsoft.com/office/officeart/2005/8/layout/orgChart1"/>
    <dgm:cxn modelId="{346F9FFA-7416-4B3C-95AB-DD338E81DDAB}" type="presParOf" srcId="{314C482C-65BB-47D4-915A-6F0C3441E503}" destId="{C3F18813-D545-4307-9554-61938D010D7E}" srcOrd="8" destOrd="0" presId="urn:microsoft.com/office/officeart/2005/8/layout/orgChart1"/>
    <dgm:cxn modelId="{BCB9AFB8-408A-45CF-8077-9240EAB20D85}" type="presParOf" srcId="{314C482C-65BB-47D4-915A-6F0C3441E503}" destId="{3AE6D5F4-54A9-4176-A41A-6515BF526430}" srcOrd="9" destOrd="0" presId="urn:microsoft.com/office/officeart/2005/8/layout/orgChart1"/>
    <dgm:cxn modelId="{FB5827A8-4529-474B-9BF1-62022836F36C}" type="presParOf" srcId="{3AE6D5F4-54A9-4176-A41A-6515BF526430}" destId="{3A350310-DA5E-442E-9361-1546903969AD}" srcOrd="0" destOrd="0" presId="urn:microsoft.com/office/officeart/2005/8/layout/orgChart1"/>
    <dgm:cxn modelId="{7B602EF3-131F-4659-9D4B-6ECADD412FCD}" type="presParOf" srcId="{3A350310-DA5E-442E-9361-1546903969AD}" destId="{8F6DC081-6798-4216-A738-17F2FC92AADF}" srcOrd="0" destOrd="0" presId="urn:microsoft.com/office/officeart/2005/8/layout/orgChart1"/>
    <dgm:cxn modelId="{F9E969F4-BE5F-42DD-A76F-F49E7E3E8DAA}" type="presParOf" srcId="{3A350310-DA5E-442E-9361-1546903969AD}" destId="{A4F37D24-B226-43D8-A06C-75DCA05AFFD9}" srcOrd="1" destOrd="0" presId="urn:microsoft.com/office/officeart/2005/8/layout/orgChart1"/>
    <dgm:cxn modelId="{C3940EDB-8132-48C4-9F7E-E5A9C8350D64}" type="presParOf" srcId="{3AE6D5F4-54A9-4176-A41A-6515BF526430}" destId="{67B154CC-D158-4BBE-86E2-975FB6B91EA3}" srcOrd="1" destOrd="0" presId="urn:microsoft.com/office/officeart/2005/8/layout/orgChart1"/>
    <dgm:cxn modelId="{B2E0814D-D234-4A73-AD1C-942F39932BAD}" type="presParOf" srcId="{3AE6D5F4-54A9-4176-A41A-6515BF526430}" destId="{7E9C417D-3442-4B69-831D-C70C07CB4B29}" srcOrd="2" destOrd="0" presId="urn:microsoft.com/office/officeart/2005/8/layout/orgChart1"/>
    <dgm:cxn modelId="{0E8CC715-4153-45E3-A355-6B3242C30B15}" type="presParOf" srcId="{314C482C-65BB-47D4-915A-6F0C3441E503}" destId="{921844B0-3CBD-4834-9F7D-209A988EEE2F}" srcOrd="10" destOrd="0" presId="urn:microsoft.com/office/officeart/2005/8/layout/orgChart1"/>
    <dgm:cxn modelId="{74CABCBE-95C7-4D63-97F1-5204D69463C1}" type="presParOf" srcId="{314C482C-65BB-47D4-915A-6F0C3441E503}" destId="{181B7682-06BB-46F9-B405-3552964A6CC8}" srcOrd="11" destOrd="0" presId="urn:microsoft.com/office/officeart/2005/8/layout/orgChart1"/>
    <dgm:cxn modelId="{83B2A804-E8FF-4198-8416-21AC58190976}" type="presParOf" srcId="{181B7682-06BB-46F9-B405-3552964A6CC8}" destId="{0E5ECB81-315B-4B46-85AA-9D0AECDC4371}" srcOrd="0" destOrd="0" presId="urn:microsoft.com/office/officeart/2005/8/layout/orgChart1"/>
    <dgm:cxn modelId="{9CF10349-605D-46BB-9E65-85661AA9A09D}" type="presParOf" srcId="{0E5ECB81-315B-4B46-85AA-9D0AECDC4371}" destId="{334CBDC0-DC60-49FB-BE4F-5DC6001401F6}" srcOrd="0" destOrd="0" presId="urn:microsoft.com/office/officeart/2005/8/layout/orgChart1"/>
    <dgm:cxn modelId="{EA110267-EDF2-4FAC-9ED6-323D69814D2B}" type="presParOf" srcId="{0E5ECB81-315B-4B46-85AA-9D0AECDC4371}" destId="{35E07A3F-BFBB-420C-AA9E-724B4CCB2AAF}" srcOrd="1" destOrd="0" presId="urn:microsoft.com/office/officeart/2005/8/layout/orgChart1"/>
    <dgm:cxn modelId="{C2090804-BC43-4E79-BFAE-8791A3656572}" type="presParOf" srcId="{181B7682-06BB-46F9-B405-3552964A6CC8}" destId="{20D248A5-DFC2-47FE-8BDD-76A986407FBF}" srcOrd="1" destOrd="0" presId="urn:microsoft.com/office/officeart/2005/8/layout/orgChart1"/>
    <dgm:cxn modelId="{9274CEDD-8CEB-4B3B-B61E-5E8F7694110D}" type="presParOf" srcId="{181B7682-06BB-46F9-B405-3552964A6CC8}" destId="{C1A3A537-6CD6-4A63-8FAB-99189E0DC2E3}" srcOrd="2" destOrd="0" presId="urn:microsoft.com/office/officeart/2005/8/layout/orgChart1"/>
    <dgm:cxn modelId="{01CEAC6E-E0DE-4357-9F37-6AC1F34F5BAC}" type="presParOf" srcId="{1AC2E66A-2A2E-4A3B-AEC8-DF1D34B03365}" destId="{2EAF0351-BC6A-4491-B99D-6B8BE81BE34F}" srcOrd="2" destOrd="0" presId="urn:microsoft.com/office/officeart/2005/8/layout/orgChart1"/>
    <dgm:cxn modelId="{6567F074-36B4-4EEF-991C-8326C742EC99}" type="presParOf" srcId="{14BD63D9-C141-4E9C-B724-F2CE1C6ECE3A}" destId="{D774376C-5B5F-4165-B817-51060CD11209}" srcOrd="10" destOrd="0" presId="urn:microsoft.com/office/officeart/2005/8/layout/orgChart1"/>
    <dgm:cxn modelId="{BB4E86F4-06DA-49E3-8B6C-1807EA5684F6}" type="presParOf" srcId="{14BD63D9-C141-4E9C-B724-F2CE1C6ECE3A}" destId="{F022E032-1615-4A3C-B78C-E80384BF95D1}" srcOrd="11" destOrd="0" presId="urn:microsoft.com/office/officeart/2005/8/layout/orgChart1"/>
    <dgm:cxn modelId="{A08B1E9C-E54E-4264-AA0A-A1D245B6D895}" type="presParOf" srcId="{F022E032-1615-4A3C-B78C-E80384BF95D1}" destId="{34941A6D-E8C1-43ED-AFA8-0FCCF9379EFD}" srcOrd="0" destOrd="0" presId="urn:microsoft.com/office/officeart/2005/8/layout/orgChart1"/>
    <dgm:cxn modelId="{7E363400-B802-462E-A091-578FC2419550}" type="presParOf" srcId="{34941A6D-E8C1-43ED-AFA8-0FCCF9379EFD}" destId="{735EB318-83B9-45F6-B3F9-31895D8D9C62}" srcOrd="0" destOrd="0" presId="urn:microsoft.com/office/officeart/2005/8/layout/orgChart1"/>
    <dgm:cxn modelId="{950E5FC1-F7D2-44D6-8E2D-FCE38734CC1F}" type="presParOf" srcId="{34941A6D-E8C1-43ED-AFA8-0FCCF9379EFD}" destId="{5A2DA114-1867-4140-9A0C-7DDD23CDAE7D}" srcOrd="1" destOrd="0" presId="urn:microsoft.com/office/officeart/2005/8/layout/orgChart1"/>
    <dgm:cxn modelId="{163BF820-5FE4-4220-9F7D-82719A07F3B1}" type="presParOf" srcId="{F022E032-1615-4A3C-B78C-E80384BF95D1}" destId="{73A21EB1-59CF-4E01-BE22-D6F921AC84FD}" srcOrd="1" destOrd="0" presId="urn:microsoft.com/office/officeart/2005/8/layout/orgChart1"/>
    <dgm:cxn modelId="{EA9BF972-600A-47B1-9AB2-D58C35FCC923}" type="presParOf" srcId="{73A21EB1-59CF-4E01-BE22-D6F921AC84FD}" destId="{6E60B9C7-0F06-4460-B10D-685FDA048881}" srcOrd="0" destOrd="0" presId="urn:microsoft.com/office/officeart/2005/8/layout/orgChart1"/>
    <dgm:cxn modelId="{6518792B-CF72-49C5-A77F-79BA46BDDD48}" type="presParOf" srcId="{73A21EB1-59CF-4E01-BE22-D6F921AC84FD}" destId="{7E6AC4EF-8FA7-449E-AAC0-F686359CDEB7}" srcOrd="1" destOrd="0" presId="urn:microsoft.com/office/officeart/2005/8/layout/orgChart1"/>
    <dgm:cxn modelId="{CDA8F13F-F847-4655-BEF9-1EDE44C9C65F}" type="presParOf" srcId="{7E6AC4EF-8FA7-449E-AAC0-F686359CDEB7}" destId="{4C3142A5-494B-488F-BB09-C13A10BE0975}" srcOrd="0" destOrd="0" presId="urn:microsoft.com/office/officeart/2005/8/layout/orgChart1"/>
    <dgm:cxn modelId="{F23732C6-6AE7-4E1E-AE66-3868DEF056F2}" type="presParOf" srcId="{4C3142A5-494B-488F-BB09-C13A10BE0975}" destId="{EB76186E-B8DD-4C2B-A16E-3DCCAC24AD9E}" srcOrd="0" destOrd="0" presId="urn:microsoft.com/office/officeart/2005/8/layout/orgChart1"/>
    <dgm:cxn modelId="{EA8F8B14-6842-410E-B075-1DC52F4AF5DE}" type="presParOf" srcId="{4C3142A5-494B-488F-BB09-C13A10BE0975}" destId="{47B93D21-0A65-46D5-86FF-01807AEA3AE7}" srcOrd="1" destOrd="0" presId="urn:microsoft.com/office/officeart/2005/8/layout/orgChart1"/>
    <dgm:cxn modelId="{BD9EB1C3-2ECB-48C0-8F23-F1CA9092C3E7}" type="presParOf" srcId="{7E6AC4EF-8FA7-449E-AAC0-F686359CDEB7}" destId="{C1EC5CF3-5B2C-4141-A7BA-E0A191CE739F}" srcOrd="1" destOrd="0" presId="urn:microsoft.com/office/officeart/2005/8/layout/orgChart1"/>
    <dgm:cxn modelId="{1556BF43-D76D-4DB2-B4D7-E8E1F436BB10}" type="presParOf" srcId="{7E6AC4EF-8FA7-449E-AAC0-F686359CDEB7}" destId="{5B8EAAE4-C7A6-4B46-AD01-2B78A6466CDD}" srcOrd="2" destOrd="0" presId="urn:microsoft.com/office/officeart/2005/8/layout/orgChart1"/>
    <dgm:cxn modelId="{E4740C3F-2014-40C5-9C65-67EED5CECB4A}" type="presParOf" srcId="{73A21EB1-59CF-4E01-BE22-D6F921AC84FD}" destId="{AF2EBD80-CD02-4D6E-9BF5-2352F4BE2354}" srcOrd="2" destOrd="0" presId="urn:microsoft.com/office/officeart/2005/8/layout/orgChart1"/>
    <dgm:cxn modelId="{787134B6-AACF-4F58-8ACB-21102B0D25F0}" type="presParOf" srcId="{73A21EB1-59CF-4E01-BE22-D6F921AC84FD}" destId="{972733B7-6B51-4663-82D9-0372088553AB}" srcOrd="3" destOrd="0" presId="urn:microsoft.com/office/officeart/2005/8/layout/orgChart1"/>
    <dgm:cxn modelId="{EBA75507-E0B7-4B5B-95B1-7495C6C9B50D}" type="presParOf" srcId="{972733B7-6B51-4663-82D9-0372088553AB}" destId="{198351ED-B849-48FF-9C7F-1FCF4F185394}" srcOrd="0" destOrd="0" presId="urn:microsoft.com/office/officeart/2005/8/layout/orgChart1"/>
    <dgm:cxn modelId="{ECC5404A-BF43-45BC-86A7-FD180A930988}" type="presParOf" srcId="{198351ED-B849-48FF-9C7F-1FCF4F185394}" destId="{94EA12D3-04D9-47DF-8815-13B679B7C734}" srcOrd="0" destOrd="0" presId="urn:microsoft.com/office/officeart/2005/8/layout/orgChart1"/>
    <dgm:cxn modelId="{A8109219-A401-429E-A612-CBF8B36FB7B6}" type="presParOf" srcId="{198351ED-B849-48FF-9C7F-1FCF4F185394}" destId="{98978DF8-E78C-45F1-AFBA-94A10B012F83}" srcOrd="1" destOrd="0" presId="urn:microsoft.com/office/officeart/2005/8/layout/orgChart1"/>
    <dgm:cxn modelId="{2E5EBED6-1A2B-45F3-86DF-7E69939D47A0}" type="presParOf" srcId="{972733B7-6B51-4663-82D9-0372088553AB}" destId="{60E89A05-E1D0-417F-A593-AA66612D687C}" srcOrd="1" destOrd="0" presId="urn:microsoft.com/office/officeart/2005/8/layout/orgChart1"/>
    <dgm:cxn modelId="{A391FE49-99B3-4EAF-BC16-09BD3F7EB688}" type="presParOf" srcId="{972733B7-6B51-4663-82D9-0372088553AB}" destId="{2A8E7DA9-7D62-4448-BBEE-6AA257DDCF8E}" srcOrd="2" destOrd="0" presId="urn:microsoft.com/office/officeart/2005/8/layout/orgChart1"/>
    <dgm:cxn modelId="{3ECE791C-1335-4E41-8F1E-29F90EBD030A}" type="presParOf" srcId="{73A21EB1-59CF-4E01-BE22-D6F921AC84FD}" destId="{2136166C-C192-4F23-BD15-061DD6C9F076}" srcOrd="4" destOrd="0" presId="urn:microsoft.com/office/officeart/2005/8/layout/orgChart1"/>
    <dgm:cxn modelId="{62202FA1-0A94-4686-8938-F0D06A8EF3DD}" type="presParOf" srcId="{73A21EB1-59CF-4E01-BE22-D6F921AC84FD}" destId="{3030D531-D74B-4A22-B8C8-E18F7811D864}" srcOrd="5" destOrd="0" presId="urn:microsoft.com/office/officeart/2005/8/layout/orgChart1"/>
    <dgm:cxn modelId="{E21D2E28-8B7D-4C35-9F2E-B4C55F1B0DA7}" type="presParOf" srcId="{3030D531-D74B-4A22-B8C8-E18F7811D864}" destId="{0A0F2D75-049C-4A1A-864A-BD2FF069C52C}" srcOrd="0" destOrd="0" presId="urn:microsoft.com/office/officeart/2005/8/layout/orgChart1"/>
    <dgm:cxn modelId="{FB53DE86-4ECF-4BD7-8FE4-7C4B64CFC9AC}" type="presParOf" srcId="{0A0F2D75-049C-4A1A-864A-BD2FF069C52C}" destId="{388559F6-A377-4E6B-8AFD-045922C575A5}" srcOrd="0" destOrd="0" presId="urn:microsoft.com/office/officeart/2005/8/layout/orgChart1"/>
    <dgm:cxn modelId="{D38DF294-509A-4C12-A61C-531A5357F21F}" type="presParOf" srcId="{0A0F2D75-049C-4A1A-864A-BD2FF069C52C}" destId="{87C406E2-5A90-409E-A6F8-B797D7521526}" srcOrd="1" destOrd="0" presId="urn:microsoft.com/office/officeart/2005/8/layout/orgChart1"/>
    <dgm:cxn modelId="{33E4BD5C-340C-41F8-9064-98516A9FA101}" type="presParOf" srcId="{3030D531-D74B-4A22-B8C8-E18F7811D864}" destId="{D4B9FBCD-C9E7-40C1-AC02-0A05E30767E3}" srcOrd="1" destOrd="0" presId="urn:microsoft.com/office/officeart/2005/8/layout/orgChart1"/>
    <dgm:cxn modelId="{9C77D4DB-A3E8-4913-8929-BDDB0D56ECF5}" type="presParOf" srcId="{3030D531-D74B-4A22-B8C8-E18F7811D864}" destId="{F2B51A48-5BFD-45BC-95A3-69FEA211721A}" srcOrd="2" destOrd="0" presId="urn:microsoft.com/office/officeart/2005/8/layout/orgChart1"/>
    <dgm:cxn modelId="{3D7E1222-5EED-4CCC-BB72-9A80DFD63327}" type="presParOf" srcId="{73A21EB1-59CF-4E01-BE22-D6F921AC84FD}" destId="{5C123960-3F75-4914-87F6-AD648CCBE3E0}" srcOrd="6" destOrd="0" presId="urn:microsoft.com/office/officeart/2005/8/layout/orgChart1"/>
    <dgm:cxn modelId="{693C9CAB-08B1-4939-9FED-E2166BA14B16}" type="presParOf" srcId="{73A21EB1-59CF-4E01-BE22-D6F921AC84FD}" destId="{F96476E5-9D0E-4A4E-8331-B75F1458411B}" srcOrd="7" destOrd="0" presId="urn:microsoft.com/office/officeart/2005/8/layout/orgChart1"/>
    <dgm:cxn modelId="{F9A96D20-73F9-42C3-8C9A-1EAE6479ABE8}" type="presParOf" srcId="{F96476E5-9D0E-4A4E-8331-B75F1458411B}" destId="{CE7E90F7-F930-49B5-AC35-15622066B5BE}" srcOrd="0" destOrd="0" presId="urn:microsoft.com/office/officeart/2005/8/layout/orgChart1"/>
    <dgm:cxn modelId="{29C24A7C-041D-4B7F-A9C0-256A8E7FD718}" type="presParOf" srcId="{CE7E90F7-F930-49B5-AC35-15622066B5BE}" destId="{343E1092-F522-4487-A030-10090F0AF3AB}" srcOrd="0" destOrd="0" presId="urn:microsoft.com/office/officeart/2005/8/layout/orgChart1"/>
    <dgm:cxn modelId="{854A595E-BF3C-40D0-8CC0-9897DE681037}" type="presParOf" srcId="{CE7E90F7-F930-49B5-AC35-15622066B5BE}" destId="{3D8051FC-9840-43DE-B8A8-0A2DB5BDC50C}" srcOrd="1" destOrd="0" presId="urn:microsoft.com/office/officeart/2005/8/layout/orgChart1"/>
    <dgm:cxn modelId="{83355CE1-426F-4762-B2E3-32799E56E297}" type="presParOf" srcId="{F96476E5-9D0E-4A4E-8331-B75F1458411B}" destId="{6EA2AAF7-0819-4794-B668-B434A0B69997}" srcOrd="1" destOrd="0" presId="urn:microsoft.com/office/officeart/2005/8/layout/orgChart1"/>
    <dgm:cxn modelId="{0E48EA0B-51E2-411A-8936-CF7534CE6E44}" type="presParOf" srcId="{F96476E5-9D0E-4A4E-8331-B75F1458411B}" destId="{42F6E8FF-3D67-46E2-A15D-865395B668A2}" srcOrd="2" destOrd="0" presId="urn:microsoft.com/office/officeart/2005/8/layout/orgChart1"/>
    <dgm:cxn modelId="{5D9D4CC4-07A5-4F42-9CB3-84485C4548B7}" type="presParOf" srcId="{73A21EB1-59CF-4E01-BE22-D6F921AC84FD}" destId="{42707F8B-9C5E-4525-95F3-F1CEBC2FA133}" srcOrd="8" destOrd="0" presId="urn:microsoft.com/office/officeart/2005/8/layout/orgChart1"/>
    <dgm:cxn modelId="{25B7B2BF-ADB1-40EE-917C-2AE88808F683}" type="presParOf" srcId="{73A21EB1-59CF-4E01-BE22-D6F921AC84FD}" destId="{44E6D9BD-8772-4999-9DEF-7489312E3E4F}" srcOrd="9" destOrd="0" presId="urn:microsoft.com/office/officeart/2005/8/layout/orgChart1"/>
    <dgm:cxn modelId="{209A33CD-4AD4-40E2-92B7-D78CE252641D}" type="presParOf" srcId="{44E6D9BD-8772-4999-9DEF-7489312E3E4F}" destId="{6B45A76F-A134-49EB-B38B-0BCE63F77E74}" srcOrd="0" destOrd="0" presId="urn:microsoft.com/office/officeart/2005/8/layout/orgChart1"/>
    <dgm:cxn modelId="{7215E440-8AB9-426E-8525-FA4ADF4AE9B1}" type="presParOf" srcId="{6B45A76F-A134-49EB-B38B-0BCE63F77E74}" destId="{2314AD4C-5552-4E80-A3D0-6A7B329E2BF2}" srcOrd="0" destOrd="0" presId="urn:microsoft.com/office/officeart/2005/8/layout/orgChart1"/>
    <dgm:cxn modelId="{30226F83-9B3E-4674-A900-991FCAA51EC8}" type="presParOf" srcId="{6B45A76F-A134-49EB-B38B-0BCE63F77E74}" destId="{077FA3D0-19CB-4A85-85AD-EB8CC3314E25}" srcOrd="1" destOrd="0" presId="urn:microsoft.com/office/officeart/2005/8/layout/orgChart1"/>
    <dgm:cxn modelId="{B069920C-482B-44F2-B3CB-C794FA5B4C8E}" type="presParOf" srcId="{44E6D9BD-8772-4999-9DEF-7489312E3E4F}" destId="{DB8E5205-AE38-47ED-A721-AA31951036E7}" srcOrd="1" destOrd="0" presId="urn:microsoft.com/office/officeart/2005/8/layout/orgChart1"/>
    <dgm:cxn modelId="{53E8BC4E-D9A3-4ED2-8269-504EA4EDA377}" type="presParOf" srcId="{44E6D9BD-8772-4999-9DEF-7489312E3E4F}" destId="{5F33E928-FAB6-42B5-A3BD-4F03365C2947}" srcOrd="2" destOrd="0" presId="urn:microsoft.com/office/officeart/2005/8/layout/orgChart1"/>
    <dgm:cxn modelId="{CB8A3C70-02B4-45B1-926C-D358B6051DFF}" type="presParOf" srcId="{73A21EB1-59CF-4E01-BE22-D6F921AC84FD}" destId="{35F73487-B376-410E-B7A2-0265DAB6A683}" srcOrd="10" destOrd="0" presId="urn:microsoft.com/office/officeart/2005/8/layout/orgChart1"/>
    <dgm:cxn modelId="{ACAE9C0C-15B2-4552-AE5A-2513460263C6}" type="presParOf" srcId="{73A21EB1-59CF-4E01-BE22-D6F921AC84FD}" destId="{5D88878A-C848-494D-BE7B-95FCAF4DEB17}" srcOrd="11" destOrd="0" presId="urn:microsoft.com/office/officeart/2005/8/layout/orgChart1"/>
    <dgm:cxn modelId="{E04351CF-35EB-4261-B32B-8685EF8314CF}" type="presParOf" srcId="{5D88878A-C848-494D-BE7B-95FCAF4DEB17}" destId="{DE84DD05-C612-45BA-B815-5A7C718F0596}" srcOrd="0" destOrd="0" presId="urn:microsoft.com/office/officeart/2005/8/layout/orgChart1"/>
    <dgm:cxn modelId="{65634721-37D4-4BC7-8B8D-F94425B1DC5A}" type="presParOf" srcId="{DE84DD05-C612-45BA-B815-5A7C718F0596}" destId="{DD5B3579-7DBE-4F3D-99DF-2C002955CF6D}" srcOrd="0" destOrd="0" presId="urn:microsoft.com/office/officeart/2005/8/layout/orgChart1"/>
    <dgm:cxn modelId="{F4FF260C-B5B8-41A5-ACA1-9EC3A11B8CE6}" type="presParOf" srcId="{DE84DD05-C612-45BA-B815-5A7C718F0596}" destId="{521DA9D7-18AA-4A62-A973-7FAE96D5D548}" srcOrd="1" destOrd="0" presId="urn:microsoft.com/office/officeart/2005/8/layout/orgChart1"/>
    <dgm:cxn modelId="{EADCF076-6801-4A4A-82AA-5E396F4F9DB5}" type="presParOf" srcId="{5D88878A-C848-494D-BE7B-95FCAF4DEB17}" destId="{0561CA30-0267-42FE-A3FA-4E10A1503EA5}" srcOrd="1" destOrd="0" presId="urn:microsoft.com/office/officeart/2005/8/layout/orgChart1"/>
    <dgm:cxn modelId="{AA397CE8-2C97-49E6-8D8F-8210F7209ABB}" type="presParOf" srcId="{5D88878A-C848-494D-BE7B-95FCAF4DEB17}" destId="{90691529-D95D-43A6-80CB-0CDE80CEE4EC}" srcOrd="2" destOrd="0" presId="urn:microsoft.com/office/officeart/2005/8/layout/orgChart1"/>
    <dgm:cxn modelId="{DE237715-857C-4661-A652-0D86894F9082}" type="presParOf" srcId="{F022E032-1615-4A3C-B78C-E80384BF95D1}" destId="{CB1A6616-553A-4DA1-88EA-86425D9AB1AB}" srcOrd="2" destOrd="0" presId="urn:microsoft.com/office/officeart/2005/8/layout/orgChart1"/>
    <dgm:cxn modelId="{A68420A6-2F7D-4296-91B4-55EFFC22CB2D}" type="presParOf" srcId="{6D0F4103-5D56-4545-B004-2F3D27D4DC7E}" destId="{7763BE78-8E9C-404C-8E6F-A395B43F26D7}" srcOrd="2" destOrd="0" presId="urn:microsoft.com/office/officeart/2005/8/layout/orgChart1"/>
  </dgm:cxnLst>
  <dgm:bg>
    <a:gradFill>
      <a:gsLst>
        <a:gs pos="0">
          <a:schemeClr val="accent1">
            <a:lumMod val="20000"/>
            <a:lumOff val="80000"/>
          </a:schemeClr>
        </a:gs>
        <a:gs pos="0">
          <a:schemeClr val="tx2">
            <a:lumMod val="40000"/>
            <a:lumOff val="60000"/>
          </a:schemeClr>
        </a:gs>
        <a:gs pos="100000">
          <a:schemeClr val="accent3">
            <a:lumMod val="60000"/>
            <a:lumOff val="40000"/>
          </a:schemeClr>
        </a:gs>
      </a:gsLst>
      <a:path path="circle">
        <a:fillToRect l="100000" t="100000"/>
      </a:path>
    </a:gradFill>
  </dgm:bg>
  <dgm:whole/>
  <dgm:extLst>
    <a:ext uri="http://schemas.microsoft.com/office/drawing/2008/diagram">
      <dsp:dataModelExt xmlns:dsp="http://schemas.microsoft.com/office/drawing/2008/diagram" relId="rId5"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8F85FD1E-8136-4C8A-AF31-DF34731BE3BC}" type="doc">
      <dgm:prSet loTypeId="urn:microsoft.com/office/officeart/2005/8/layout/orgChart1" loCatId="hierarchy" qsTypeId="urn:microsoft.com/office/officeart/2005/8/quickstyle/3d1" qsCatId="3D" csTypeId="urn:microsoft.com/office/officeart/2005/8/colors/accent1_2" csCatId="accent1" phldr="1"/>
      <dgm:spPr/>
      <dgm:t>
        <a:bodyPr/>
        <a:lstStyle/>
        <a:p>
          <a:endParaRPr lang="en-IN"/>
        </a:p>
      </dgm:t>
    </dgm:pt>
    <dgm:pt modelId="{0D19CEF6-7028-42D2-A7FA-9A9CE24E0D3E}">
      <dgm:prSet phldrT="[Text]" custT="1"/>
      <dgm: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dgm:spPr>
      <dgm:t>
        <a:bodyPr/>
        <a:lstStyle/>
        <a:p>
          <a:pPr algn="l"/>
          <a:r>
            <a:rPr lang="en-IN" sz="700" b="1">
              <a:solidFill>
                <a:srgbClr val="FFFF00"/>
              </a:solidFill>
            </a:rPr>
            <a:t>Improve Productivity and Cost Efficiency</a:t>
          </a:r>
        </a:p>
        <a:p>
          <a:pPr algn="l"/>
          <a:r>
            <a:rPr lang="en-IN" sz="800"/>
            <a:t>Effort Variance</a:t>
          </a:r>
        </a:p>
      </dgm:t>
    </dgm:pt>
    <dgm:pt modelId="{BBBECFD6-43DC-47AE-B98A-23647B4C8016}" type="parTrans" cxnId="{D6876EBA-F78B-4176-A056-663F2DC0019E}">
      <dgm:prSet/>
      <dgm:spPr/>
      <dgm:t>
        <a:bodyPr/>
        <a:lstStyle/>
        <a:p>
          <a:endParaRPr lang="en-IN"/>
        </a:p>
      </dgm:t>
    </dgm:pt>
    <dgm:pt modelId="{247D7F4C-B6AA-453F-B6B1-CCB72362D25F}" type="sibTrans" cxnId="{D6876EBA-F78B-4176-A056-663F2DC0019E}">
      <dgm:prSet/>
      <dgm:spPr/>
      <dgm:t>
        <a:bodyPr/>
        <a:lstStyle/>
        <a:p>
          <a:endParaRPr lang="en-IN"/>
        </a:p>
      </dgm:t>
    </dgm:pt>
    <dgm:pt modelId="{30A75C1B-28C6-4B8D-9C12-C405753EA701}">
      <dgm:prSet phldrT="[Text]" custT="1"/>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r>
            <a:rPr lang="en-IN" sz="700" b="1">
              <a:solidFill>
                <a:srgbClr val="FFFF00"/>
              </a:solidFill>
            </a:rPr>
            <a:t>Improve Quality of Delivery</a:t>
          </a:r>
        </a:p>
        <a:p>
          <a:pPr algn="l"/>
          <a:r>
            <a:rPr lang="en-IN" sz="800"/>
            <a:t>Delivered Defect Density</a:t>
          </a:r>
        </a:p>
      </dgm:t>
    </dgm:pt>
    <dgm:pt modelId="{888506E6-77BD-43A8-8E77-FA1FA2C75BB2}" type="parTrans" cxnId="{CFAD9E8F-B4A6-42D6-A004-1CBE9A727E56}">
      <dgm:prSet/>
      <dgm:spPr/>
      <dgm:t>
        <a:bodyPr/>
        <a:lstStyle/>
        <a:p>
          <a:endParaRPr lang="en-IN"/>
        </a:p>
      </dgm:t>
    </dgm:pt>
    <dgm:pt modelId="{F8A17D73-68EA-4704-A740-E68B6A6A14A5}" type="sibTrans" cxnId="{CFAD9E8F-B4A6-42D6-A004-1CBE9A727E56}">
      <dgm:prSet/>
      <dgm:spPr/>
      <dgm:t>
        <a:bodyPr/>
        <a:lstStyle/>
        <a:p>
          <a:endParaRPr lang="en-IN"/>
        </a:p>
      </dgm:t>
    </dgm:pt>
    <dgm:pt modelId="{E2075C35-04A8-466E-AEED-5D3277B5A90A}">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AD6EFD4-8689-4711-870E-B8FCA71DC32C}" type="parTrans" cxnId="{DA23C072-FD5F-4A73-9733-905787364F05}">
      <dgm:prSet/>
      <dgm:spPr/>
      <dgm:t>
        <a:bodyPr/>
        <a:lstStyle/>
        <a:p>
          <a:endParaRPr lang="en-IN"/>
        </a:p>
      </dgm:t>
    </dgm:pt>
    <dgm:pt modelId="{37C1EA31-A108-48BE-8A1B-A8629701A5EC}" type="sibTrans" cxnId="{DA23C072-FD5F-4A73-9733-905787364F05}">
      <dgm:prSet/>
      <dgm:spPr/>
      <dgm:t>
        <a:bodyPr/>
        <a:lstStyle/>
        <a:p>
          <a:endParaRPr lang="en-IN"/>
        </a:p>
      </dgm:t>
    </dgm:pt>
    <dgm:pt modelId="{3F3357F7-4B5D-4628-A1A8-7502CC353783}">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44591BC8-1AE4-4203-B251-4BF042D57FB8}" type="parTrans" cxnId="{6D3FC2D1-A05F-45C1-AA3E-56A644F89545}">
      <dgm:prSet/>
      <dgm:spPr/>
      <dgm:t>
        <a:bodyPr/>
        <a:lstStyle/>
        <a:p>
          <a:endParaRPr lang="en-IN"/>
        </a:p>
      </dgm:t>
    </dgm:pt>
    <dgm:pt modelId="{28D6021F-0685-4140-81B0-9CD9CAA08C85}" type="sibTrans" cxnId="{6D3FC2D1-A05F-45C1-AA3E-56A644F89545}">
      <dgm:prSet/>
      <dgm:spPr/>
      <dgm:t>
        <a:bodyPr/>
        <a:lstStyle/>
        <a:p>
          <a:endParaRPr lang="en-IN"/>
        </a:p>
      </dgm:t>
    </dgm:pt>
    <dgm:pt modelId="{12769DC2-3E6F-47DC-8299-CD864B2ADFD6}">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1EDA062A-9AE5-4A51-90C7-F5F58C4180FE}" type="parTrans" cxnId="{5670F8EB-79A3-4D73-89FB-99CBF33AC668}">
      <dgm:prSet/>
      <dgm:spPr/>
      <dgm:t>
        <a:bodyPr/>
        <a:lstStyle/>
        <a:p>
          <a:endParaRPr lang="en-IN"/>
        </a:p>
      </dgm:t>
    </dgm:pt>
    <dgm:pt modelId="{3B3C514D-B829-4206-A3C2-7FE25BEE7C48}" type="sibTrans" cxnId="{5670F8EB-79A3-4D73-89FB-99CBF33AC668}">
      <dgm:prSet/>
      <dgm:spPr/>
      <dgm:t>
        <a:bodyPr/>
        <a:lstStyle/>
        <a:p>
          <a:endParaRPr lang="en-IN"/>
        </a:p>
      </dgm:t>
    </dgm:pt>
    <dgm:pt modelId="{50288868-FEEE-470B-9B6E-3B8DBAE6D90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00EB8B3-EC84-483A-8486-DA03EEAAFDAC}" type="parTrans" cxnId="{E23E0DBC-05B6-42D8-8F2D-7174F19B4999}">
      <dgm:prSet/>
      <dgm:spPr/>
      <dgm:t>
        <a:bodyPr/>
        <a:lstStyle/>
        <a:p>
          <a:endParaRPr lang="en-IN"/>
        </a:p>
      </dgm:t>
    </dgm:pt>
    <dgm:pt modelId="{9A0B2F47-A2BB-4242-B28E-A678B4FBFAE2}" type="sibTrans" cxnId="{E23E0DBC-05B6-42D8-8F2D-7174F19B4999}">
      <dgm:prSet/>
      <dgm:spPr/>
      <dgm:t>
        <a:bodyPr/>
        <a:lstStyle/>
        <a:p>
          <a:endParaRPr lang="en-IN"/>
        </a:p>
      </dgm:t>
    </dgm:pt>
    <dgm:pt modelId="{DE430EBC-9AEB-4AC5-8133-E102B3D8B235}">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82998A5A-8177-4BF4-B11A-85C450BCA0B9}" type="parTrans" cxnId="{C7CEE389-B30D-43E6-B3E1-76ADE483071B}">
      <dgm:prSet/>
      <dgm:spPr/>
      <dgm:t>
        <a:bodyPr/>
        <a:lstStyle/>
        <a:p>
          <a:endParaRPr lang="en-IN"/>
        </a:p>
      </dgm:t>
    </dgm:pt>
    <dgm:pt modelId="{89CC0D70-E04A-479A-8ABF-FBDFB8FC8D64}" type="sibTrans" cxnId="{C7CEE389-B30D-43E6-B3E1-76ADE483071B}">
      <dgm:prSet/>
      <dgm:spPr/>
      <dgm:t>
        <a:bodyPr/>
        <a:lstStyle/>
        <a:p>
          <a:endParaRPr lang="en-IN"/>
        </a:p>
      </dgm:t>
    </dgm:pt>
    <dgm:pt modelId="{15422A0F-7BCA-484C-B057-F62059D58FA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41972CF-CFF7-4A0B-86FB-124A3C29C284}" type="parTrans" cxnId="{4EBE3ACA-84C4-4C6B-89D0-191D7B9B73B5}">
      <dgm:prSet/>
      <dgm:spPr/>
      <dgm:t>
        <a:bodyPr/>
        <a:lstStyle/>
        <a:p>
          <a:endParaRPr lang="en-IN"/>
        </a:p>
      </dgm:t>
    </dgm:pt>
    <dgm:pt modelId="{DC1DF3B3-93D9-4FB5-8CEB-FEEA97B627D4}" type="sibTrans" cxnId="{4EBE3ACA-84C4-4C6B-89D0-191D7B9B73B5}">
      <dgm:prSet/>
      <dgm:spPr/>
      <dgm:t>
        <a:bodyPr/>
        <a:lstStyle/>
        <a:p>
          <a:endParaRPr lang="en-IN"/>
        </a:p>
      </dgm:t>
    </dgm:pt>
    <dgm:pt modelId="{ECF03B94-C7AD-4DF3-B508-62E701087C6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9A46F26-59B1-4C5A-BF18-0E767311EBF1}" type="parTrans" cxnId="{3F228761-04AC-4489-9A68-909409E98AF0}">
      <dgm:prSet/>
      <dgm:spPr/>
      <dgm:t>
        <a:bodyPr/>
        <a:lstStyle/>
        <a:p>
          <a:endParaRPr lang="en-IN"/>
        </a:p>
      </dgm:t>
    </dgm:pt>
    <dgm:pt modelId="{3C1B98AE-1EE8-4E73-BF14-192288902B63}" type="sibTrans" cxnId="{3F228761-04AC-4489-9A68-909409E98AF0}">
      <dgm:prSet/>
      <dgm:spPr/>
      <dgm:t>
        <a:bodyPr/>
        <a:lstStyle/>
        <a:p>
          <a:endParaRPr lang="en-IN"/>
        </a:p>
      </dgm:t>
    </dgm:pt>
    <dgm:pt modelId="{83A882C9-CED3-4DBB-B5D7-A9BC33A0CB1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F8F16B-F0F9-4668-BE26-B49FDC6CE9C8}" type="parTrans" cxnId="{D41F1937-8FBD-4F1F-A49E-11B176BC25C9}">
      <dgm:prSet/>
      <dgm:spPr/>
      <dgm:t>
        <a:bodyPr/>
        <a:lstStyle/>
        <a:p>
          <a:endParaRPr lang="en-IN"/>
        </a:p>
      </dgm:t>
    </dgm:pt>
    <dgm:pt modelId="{3448586C-7F18-4FD2-9D81-69E3111EDB46}" type="sibTrans" cxnId="{D41F1937-8FBD-4F1F-A49E-11B176BC25C9}">
      <dgm:prSet/>
      <dgm:spPr/>
      <dgm:t>
        <a:bodyPr/>
        <a:lstStyle/>
        <a:p>
          <a:endParaRPr lang="en-IN"/>
        </a:p>
      </dgm:t>
    </dgm:pt>
    <dgm:pt modelId="{CAB3C7F0-E5B8-433A-80EE-848BBB579EA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BCA385-66F1-4778-AC5F-322108555713}" type="parTrans" cxnId="{9ED470AA-50DB-44CE-ABBE-04BFFF8BB65D}">
      <dgm:prSet/>
      <dgm:spPr/>
      <dgm:t>
        <a:bodyPr/>
        <a:lstStyle/>
        <a:p>
          <a:endParaRPr lang="en-IN"/>
        </a:p>
      </dgm:t>
    </dgm:pt>
    <dgm:pt modelId="{67E7AAB7-F758-452E-808A-F8A3AC7B5A85}" type="sibTrans" cxnId="{9ED470AA-50DB-44CE-ABBE-04BFFF8BB65D}">
      <dgm:prSet/>
      <dgm:spPr/>
      <dgm:t>
        <a:bodyPr/>
        <a:lstStyle/>
        <a:p>
          <a:endParaRPr lang="en-IN"/>
        </a:p>
      </dgm:t>
    </dgm:pt>
    <dgm:pt modelId="{0AF8697D-AC9F-4005-8FD9-6DCBA79179B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6ECC484-C5B3-4E5A-B7E0-750C177CFF69}" type="parTrans" cxnId="{5DB4BE28-E201-41DA-8084-AFAB81C086B1}">
      <dgm:prSet/>
      <dgm:spPr/>
      <dgm:t>
        <a:bodyPr/>
        <a:lstStyle/>
        <a:p>
          <a:endParaRPr lang="en-IN"/>
        </a:p>
      </dgm:t>
    </dgm:pt>
    <dgm:pt modelId="{A92A7263-63F3-4042-9937-EBDB57A98149}" type="sibTrans" cxnId="{5DB4BE28-E201-41DA-8084-AFAB81C086B1}">
      <dgm:prSet/>
      <dgm:spPr/>
      <dgm:t>
        <a:bodyPr/>
        <a:lstStyle/>
        <a:p>
          <a:endParaRPr lang="en-IN"/>
        </a:p>
      </dgm:t>
    </dgm:pt>
    <dgm:pt modelId="{6C08F2A6-164D-4776-851A-3C052221AD3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2B11AD8-E2B9-4F53-9825-E09DEC18CD35}" type="parTrans" cxnId="{752EF8D9-64B4-45C8-8B3F-AEC5F7B5E0B3}">
      <dgm:prSet/>
      <dgm:spPr/>
      <dgm:t>
        <a:bodyPr/>
        <a:lstStyle/>
        <a:p>
          <a:endParaRPr lang="en-IN"/>
        </a:p>
      </dgm:t>
    </dgm:pt>
    <dgm:pt modelId="{83D61416-757E-415D-AC2D-56F8775EA0CC}" type="sibTrans" cxnId="{752EF8D9-64B4-45C8-8B3F-AEC5F7B5E0B3}">
      <dgm:prSet/>
      <dgm:spPr/>
      <dgm:t>
        <a:bodyPr/>
        <a:lstStyle/>
        <a:p>
          <a:endParaRPr lang="en-IN"/>
        </a:p>
      </dgm:t>
    </dgm:pt>
    <dgm:pt modelId="{9FC7468C-17A0-4FD1-82F6-1994C9AA586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9E08339-17FA-41F2-B4C9-036DC2F6E0C9}" type="parTrans" cxnId="{DCEE3DEA-8BAE-4CEE-B342-88B65C4DD116}">
      <dgm:prSet/>
      <dgm:spPr/>
      <dgm:t>
        <a:bodyPr/>
        <a:lstStyle/>
        <a:p>
          <a:endParaRPr lang="en-IN"/>
        </a:p>
      </dgm:t>
    </dgm:pt>
    <dgm:pt modelId="{8C8CDBAE-4CBF-4705-BF3E-E5658DA990A6}" type="sibTrans" cxnId="{DCEE3DEA-8BAE-4CEE-B342-88B65C4DD116}">
      <dgm:prSet/>
      <dgm:spPr/>
      <dgm:t>
        <a:bodyPr/>
        <a:lstStyle/>
        <a:p>
          <a:endParaRPr lang="en-IN"/>
        </a:p>
      </dgm:t>
    </dgm:pt>
    <dgm:pt modelId="{C5F0B96A-A575-48A3-988A-96868B3842FF}">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BED396A-E93F-4365-BB41-2CCF9C939201}" type="parTrans" cxnId="{D6081B88-17DA-4FC2-8FAC-E43450CD57FF}">
      <dgm:prSet/>
      <dgm:spPr/>
      <dgm:t>
        <a:bodyPr/>
        <a:lstStyle/>
        <a:p>
          <a:endParaRPr lang="en-IN"/>
        </a:p>
      </dgm:t>
    </dgm:pt>
    <dgm:pt modelId="{CD1D148D-17B5-4C7B-B8E9-16327CA670DA}" type="sibTrans" cxnId="{D6081B88-17DA-4FC2-8FAC-E43450CD57FF}">
      <dgm:prSet/>
      <dgm:spPr/>
      <dgm:t>
        <a:bodyPr/>
        <a:lstStyle/>
        <a:p>
          <a:endParaRPr lang="en-IN"/>
        </a:p>
      </dgm:t>
    </dgm:pt>
    <dgm:pt modelId="{FBC789F5-9F9D-4FCB-98BD-A3E208DAB14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23F9B4E-084A-4AAC-AACF-8F26CD335DF5}" type="parTrans" cxnId="{B92F3851-0CDE-42DA-8AFC-779C97E2F82C}">
      <dgm:prSet/>
      <dgm:spPr/>
      <dgm:t>
        <a:bodyPr/>
        <a:lstStyle/>
        <a:p>
          <a:endParaRPr lang="en-IN"/>
        </a:p>
      </dgm:t>
    </dgm:pt>
    <dgm:pt modelId="{69A37540-D5B4-4BCA-9831-F17E0BF0CABF}" type="sibTrans" cxnId="{B92F3851-0CDE-42DA-8AFC-779C97E2F82C}">
      <dgm:prSet/>
      <dgm:spPr/>
      <dgm:t>
        <a:bodyPr/>
        <a:lstStyle/>
        <a:p>
          <a:endParaRPr lang="en-IN"/>
        </a:p>
      </dgm:t>
    </dgm:pt>
    <dgm:pt modelId="{A15614BF-5CEB-4D67-B306-D3314BE68D26}">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40DA0E-41B9-4888-B3E7-28214BCF8D9B}" type="parTrans" cxnId="{F5110D40-14A4-45A5-AD6A-BCF16CEED3FC}">
      <dgm:prSet/>
      <dgm:spPr/>
      <dgm:t>
        <a:bodyPr/>
        <a:lstStyle/>
        <a:p>
          <a:endParaRPr lang="en-IN"/>
        </a:p>
      </dgm:t>
    </dgm:pt>
    <dgm:pt modelId="{D49F71C9-CEDD-4CA7-8F47-A656E1FB3BFF}" type="sibTrans" cxnId="{F5110D40-14A4-45A5-AD6A-BCF16CEED3FC}">
      <dgm:prSet/>
      <dgm:spPr/>
      <dgm:t>
        <a:bodyPr/>
        <a:lstStyle/>
        <a:p>
          <a:endParaRPr lang="en-IN"/>
        </a:p>
      </dgm:t>
    </dgm:pt>
    <dgm:pt modelId="{7DD9B6E2-B271-4E30-8530-F0FFC7508F3F}">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F3C95EC-2FD9-403C-A2F6-972AE545C6A9}" type="parTrans" cxnId="{53E65285-48DC-4376-9BA4-CC44F696EC53}">
      <dgm:prSet/>
      <dgm:spPr/>
      <dgm:t>
        <a:bodyPr/>
        <a:lstStyle/>
        <a:p>
          <a:endParaRPr lang="en-IN"/>
        </a:p>
      </dgm:t>
    </dgm:pt>
    <dgm:pt modelId="{2AE95C04-4BD2-4D20-B92A-21E4CA3B9E04}" type="sibTrans" cxnId="{53E65285-48DC-4376-9BA4-CC44F696EC53}">
      <dgm:prSet/>
      <dgm:spPr/>
      <dgm:t>
        <a:bodyPr/>
        <a:lstStyle/>
        <a:p>
          <a:endParaRPr lang="en-IN"/>
        </a:p>
      </dgm:t>
    </dgm:pt>
    <dgm:pt modelId="{56758184-E51D-4231-A1FE-F35C2731692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B5FE1B7C-2D58-4AE8-96AF-581A3D339B6D}" type="parTrans" cxnId="{006CBC72-9B5C-4DFF-BE2D-50EC163CEF70}">
      <dgm:prSet/>
      <dgm:spPr/>
      <dgm:t>
        <a:bodyPr/>
        <a:lstStyle/>
        <a:p>
          <a:endParaRPr lang="en-IN"/>
        </a:p>
      </dgm:t>
    </dgm:pt>
    <dgm:pt modelId="{79840B14-D186-4325-AE94-AF70BCF8700F}" type="sibTrans" cxnId="{006CBC72-9B5C-4DFF-BE2D-50EC163CEF70}">
      <dgm:prSet/>
      <dgm:spPr/>
      <dgm:t>
        <a:bodyPr/>
        <a:lstStyle/>
        <a:p>
          <a:endParaRPr lang="en-IN"/>
        </a:p>
      </dgm:t>
    </dgm:pt>
    <dgm:pt modelId="{EA739FF8-B294-456B-B07A-B32298D14275}">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9C5FE85-32DD-462E-8D23-03C3DDEA20B9}" type="parTrans" cxnId="{4B2D23CB-5977-4795-8612-E09099CD9B90}">
      <dgm:prSet/>
      <dgm:spPr/>
      <dgm:t>
        <a:bodyPr/>
        <a:lstStyle/>
        <a:p>
          <a:endParaRPr lang="en-IN"/>
        </a:p>
      </dgm:t>
    </dgm:pt>
    <dgm:pt modelId="{7A8556ED-A3CA-4130-AE8E-183C74A85426}" type="sibTrans" cxnId="{4B2D23CB-5977-4795-8612-E09099CD9B90}">
      <dgm:prSet/>
      <dgm:spPr/>
      <dgm:t>
        <a:bodyPr/>
        <a:lstStyle/>
        <a:p>
          <a:endParaRPr lang="en-IN"/>
        </a:p>
      </dgm:t>
    </dgm:pt>
    <dgm:pt modelId="{DB7CACC7-5EC9-4B8D-96B4-EF600082F3F7}">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C6102B0F-7854-426C-92B3-2AE27B490B33}" type="parTrans" cxnId="{394E3C2A-153B-47F6-A0DE-B57B8E21A736}">
      <dgm:prSet/>
      <dgm:spPr/>
      <dgm:t>
        <a:bodyPr/>
        <a:lstStyle/>
        <a:p>
          <a:endParaRPr lang="en-IN"/>
        </a:p>
      </dgm:t>
    </dgm:pt>
    <dgm:pt modelId="{A4F133C6-8A42-4E4B-B122-99CF348208F6}" type="sibTrans" cxnId="{394E3C2A-153B-47F6-A0DE-B57B8E21A736}">
      <dgm:prSet/>
      <dgm:spPr/>
      <dgm:t>
        <a:bodyPr/>
        <a:lstStyle/>
        <a:p>
          <a:endParaRPr lang="en-IN"/>
        </a:p>
      </dgm:t>
    </dgm:pt>
    <dgm:pt modelId="{A364AF1D-E42E-45AF-B842-6159BFA8C7B9}">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3FDE87F-8181-442A-B062-9B31B775BC56}" type="parTrans" cxnId="{B7ECDCF3-8798-4721-A009-BEF0DA75E3C1}">
      <dgm:prSet/>
      <dgm:spPr/>
      <dgm:t>
        <a:bodyPr/>
        <a:lstStyle/>
        <a:p>
          <a:endParaRPr lang="en-IN"/>
        </a:p>
      </dgm:t>
    </dgm:pt>
    <dgm:pt modelId="{4D7648AE-A25D-448A-895A-3A58D3F59F00}" type="sibTrans" cxnId="{B7ECDCF3-8798-4721-A009-BEF0DA75E3C1}">
      <dgm:prSet/>
      <dgm:spPr/>
      <dgm:t>
        <a:bodyPr/>
        <a:lstStyle/>
        <a:p>
          <a:endParaRPr lang="en-IN"/>
        </a:p>
      </dgm:t>
    </dgm:pt>
    <dgm:pt modelId="{AD57D6F8-1E1D-4C08-B8E1-F743CC4D8618}">
      <dgm:prSet phldrT="[Text]"/>
      <dgm:spPr>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dgm:spPr>
      <dgm:t>
        <a:bodyPr/>
        <a:lstStyle/>
        <a:p>
          <a:pPr algn="l"/>
          <a:endParaRPr lang="en-IN"/>
        </a:p>
      </dgm:t>
    </dgm:pt>
    <dgm:pt modelId="{7B1C4966-1262-47C2-A22C-A1A9518F5A79}" type="parTrans" cxnId="{D4F174BE-C618-49C1-8D83-A0E3F1FA0719}">
      <dgm:prSet/>
      <dgm:spPr/>
      <dgm:t>
        <a:bodyPr/>
        <a:lstStyle/>
        <a:p>
          <a:endParaRPr lang="en-IN"/>
        </a:p>
      </dgm:t>
    </dgm:pt>
    <dgm:pt modelId="{E3A71EE5-562D-48DB-A1C5-6CEB44716E34}" type="sibTrans" cxnId="{D4F174BE-C618-49C1-8D83-A0E3F1FA0719}">
      <dgm:prSet/>
      <dgm:spPr/>
      <dgm:t>
        <a:bodyPr/>
        <a:lstStyle/>
        <a:p>
          <a:endParaRPr lang="en-IN"/>
        </a:p>
      </dgm:t>
    </dgm:pt>
    <dgm:pt modelId="{AB76204E-2E1E-4483-B659-02F8E8BD8E3A}">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9D236FE8-B5DB-42B2-83A0-8A85E57D18D6}" type="parTrans" cxnId="{96E297A8-0406-4A26-9642-50B037DD0435}">
      <dgm:prSet/>
      <dgm:spPr/>
      <dgm:t>
        <a:bodyPr/>
        <a:lstStyle/>
        <a:p>
          <a:endParaRPr lang="en-IN"/>
        </a:p>
      </dgm:t>
    </dgm:pt>
    <dgm:pt modelId="{24A5B341-C6D8-420A-B49A-C190618461F1}" type="sibTrans" cxnId="{96E297A8-0406-4A26-9642-50B037DD0435}">
      <dgm:prSet/>
      <dgm:spPr/>
      <dgm:t>
        <a:bodyPr/>
        <a:lstStyle/>
        <a:p>
          <a:endParaRPr lang="en-IN"/>
        </a:p>
      </dgm:t>
    </dgm:pt>
    <dgm:pt modelId="{A2EEF95F-6FCB-462B-A18E-D01951D1EB2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E92F089-AA5E-42E6-8F33-FE692A0C9628}" type="parTrans" cxnId="{77B8E4C0-A0AC-4BE2-8384-F974ADC49DA3}">
      <dgm:prSet/>
      <dgm:spPr/>
      <dgm:t>
        <a:bodyPr/>
        <a:lstStyle/>
        <a:p>
          <a:endParaRPr lang="en-IN"/>
        </a:p>
      </dgm:t>
    </dgm:pt>
    <dgm:pt modelId="{3DB9F778-7086-4387-A079-096207A246FE}" type="sibTrans" cxnId="{77B8E4C0-A0AC-4BE2-8384-F974ADC49DA3}">
      <dgm:prSet/>
      <dgm:spPr/>
      <dgm:t>
        <a:bodyPr/>
        <a:lstStyle/>
        <a:p>
          <a:endParaRPr lang="en-IN"/>
        </a:p>
      </dgm:t>
    </dgm:pt>
    <dgm:pt modelId="{BB19C4C0-C836-4CD8-A7C4-A0225D3257F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78B9227-C856-4685-9B63-ED38AD2B7C9E}" type="parTrans" cxnId="{FCD9C6E4-10EC-429C-9B56-EDF6ACA5664C}">
      <dgm:prSet/>
      <dgm:spPr/>
      <dgm:t>
        <a:bodyPr/>
        <a:lstStyle/>
        <a:p>
          <a:endParaRPr lang="en-IN"/>
        </a:p>
      </dgm:t>
    </dgm:pt>
    <dgm:pt modelId="{A8B5BDC3-D275-4065-A98A-85859682AA6D}" type="sibTrans" cxnId="{FCD9C6E4-10EC-429C-9B56-EDF6ACA5664C}">
      <dgm:prSet/>
      <dgm:spPr/>
      <dgm:t>
        <a:bodyPr/>
        <a:lstStyle/>
        <a:p>
          <a:endParaRPr lang="en-IN"/>
        </a:p>
      </dgm:t>
    </dgm:pt>
    <dgm:pt modelId="{763329BB-BA95-4CCB-A946-57F154F16083}">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56B05BB8-D9BC-48CC-8340-36DFDDF4319A}" type="parTrans" cxnId="{518BBBD0-6DB7-4A6D-957E-0EA6D833F387}">
      <dgm:prSet/>
      <dgm:spPr/>
      <dgm:t>
        <a:bodyPr/>
        <a:lstStyle/>
        <a:p>
          <a:endParaRPr lang="en-IN"/>
        </a:p>
      </dgm:t>
    </dgm:pt>
    <dgm:pt modelId="{C41D91DD-B930-4A1A-9EE1-AB29AD6DBECE}" type="sibTrans" cxnId="{518BBBD0-6DB7-4A6D-957E-0EA6D833F387}">
      <dgm:prSet/>
      <dgm:spPr/>
      <dgm:t>
        <a:bodyPr/>
        <a:lstStyle/>
        <a:p>
          <a:endParaRPr lang="en-IN"/>
        </a:p>
      </dgm:t>
    </dgm:pt>
    <dgm:pt modelId="{BF100430-0928-4BA1-B2C3-DCBB59BE2F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D5CF3F1D-4FFA-44B5-84B3-977AD131F177}" type="parTrans" cxnId="{75D39245-7D31-4FC1-9B1D-64800C17C3AF}">
      <dgm:prSet/>
      <dgm:spPr/>
      <dgm:t>
        <a:bodyPr/>
        <a:lstStyle/>
        <a:p>
          <a:endParaRPr lang="en-IN"/>
        </a:p>
      </dgm:t>
    </dgm:pt>
    <dgm:pt modelId="{2A9D3097-E7D2-4F49-8DA5-B231360A3C19}" type="sibTrans" cxnId="{75D39245-7D31-4FC1-9B1D-64800C17C3AF}">
      <dgm:prSet/>
      <dgm:spPr/>
      <dgm:t>
        <a:bodyPr/>
        <a:lstStyle/>
        <a:p>
          <a:endParaRPr lang="en-IN"/>
        </a:p>
      </dgm:t>
    </dgm:pt>
    <dgm:pt modelId="{ECA12779-181B-4C07-9D00-63CBA88654AE}">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FD1DE0E6-FA2F-44F6-B53A-BD88042663B5}" type="parTrans" cxnId="{72B48A89-A1F1-4D09-BEF0-37389F449EAA}">
      <dgm:prSet/>
      <dgm:spPr/>
      <dgm:t>
        <a:bodyPr/>
        <a:lstStyle/>
        <a:p>
          <a:endParaRPr lang="en-IN"/>
        </a:p>
      </dgm:t>
    </dgm:pt>
    <dgm:pt modelId="{339A230E-D26D-4336-95B7-A30C85828F00}" type="sibTrans" cxnId="{72B48A89-A1F1-4D09-BEF0-37389F449EAA}">
      <dgm:prSet/>
      <dgm:spPr/>
      <dgm:t>
        <a:bodyPr/>
        <a:lstStyle/>
        <a:p>
          <a:endParaRPr lang="en-IN"/>
        </a:p>
      </dgm:t>
    </dgm:pt>
    <dgm:pt modelId="{12351F76-C54E-43F8-A657-363EC9E932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CD7D42E-8C56-458F-8322-E22926EA09CE}" type="parTrans" cxnId="{6A9A789C-B414-495B-9BF3-23B1DA60F874}">
      <dgm:prSet/>
      <dgm:spPr/>
      <dgm:t>
        <a:bodyPr/>
        <a:lstStyle/>
        <a:p>
          <a:endParaRPr lang="en-IN"/>
        </a:p>
      </dgm:t>
    </dgm:pt>
    <dgm:pt modelId="{1B1406ED-048A-472B-AD36-574C7D6F9126}" type="sibTrans" cxnId="{6A9A789C-B414-495B-9BF3-23B1DA60F874}">
      <dgm:prSet/>
      <dgm:spPr/>
      <dgm:t>
        <a:bodyPr/>
        <a:lstStyle/>
        <a:p>
          <a:endParaRPr lang="en-IN"/>
        </a:p>
      </dgm:t>
    </dgm:pt>
    <dgm:pt modelId="{ACFB9295-1466-40DD-AC28-3F5FD1714F64}">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C779102-338A-4658-805D-ADA27F85C532}" type="parTrans" cxnId="{BCE0F127-C485-41BE-B38E-9BDEF8908866}">
      <dgm:prSet/>
      <dgm:spPr/>
      <dgm:t>
        <a:bodyPr/>
        <a:lstStyle/>
        <a:p>
          <a:endParaRPr lang="en-IN"/>
        </a:p>
      </dgm:t>
    </dgm:pt>
    <dgm:pt modelId="{D034D896-F381-4B90-9C52-BBB59FC21309}" type="sibTrans" cxnId="{BCE0F127-C485-41BE-B38E-9BDEF8908866}">
      <dgm:prSet/>
      <dgm:spPr/>
      <dgm:t>
        <a:bodyPr/>
        <a:lstStyle/>
        <a:p>
          <a:endParaRPr lang="en-IN"/>
        </a:p>
      </dgm:t>
    </dgm:pt>
    <dgm:pt modelId="{70EFDBF8-CA80-43EB-AF09-A11A22991EC0}">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49CAF59-51BF-4A91-99DD-F8581AEF1EC4}" type="parTrans" cxnId="{2B56871B-1633-44A9-A6F5-BF8630FE9CDD}">
      <dgm:prSet/>
      <dgm:spPr/>
      <dgm:t>
        <a:bodyPr/>
        <a:lstStyle/>
        <a:p>
          <a:endParaRPr lang="en-IN"/>
        </a:p>
      </dgm:t>
    </dgm:pt>
    <dgm:pt modelId="{24DE2231-1041-48EE-BB8A-F8A29BC5A066}" type="sibTrans" cxnId="{2B56871B-1633-44A9-A6F5-BF8630FE9CDD}">
      <dgm:prSet/>
      <dgm:spPr/>
      <dgm:t>
        <a:bodyPr/>
        <a:lstStyle/>
        <a:p>
          <a:endParaRPr lang="en-IN"/>
        </a:p>
      </dgm:t>
    </dgm:pt>
    <dgm:pt modelId="{B3363645-6E47-4702-9387-06C510C570CB}">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3736F2C-1899-4FBF-B28B-4B7CE5269305}" type="parTrans" cxnId="{D26C66FE-F76A-4E6A-AE40-94465EA6B392}">
      <dgm:prSet/>
      <dgm:spPr/>
      <dgm:t>
        <a:bodyPr/>
        <a:lstStyle/>
        <a:p>
          <a:endParaRPr lang="en-IN"/>
        </a:p>
      </dgm:t>
    </dgm:pt>
    <dgm:pt modelId="{4483FFA3-0535-4525-A2FA-4107CEE67BAE}" type="sibTrans" cxnId="{D26C66FE-F76A-4E6A-AE40-94465EA6B392}">
      <dgm:prSet/>
      <dgm:spPr/>
      <dgm:t>
        <a:bodyPr/>
        <a:lstStyle/>
        <a:p>
          <a:endParaRPr lang="en-IN"/>
        </a:p>
      </dgm:t>
    </dgm:pt>
    <dgm:pt modelId="{1E3D188D-1C38-4FF2-ADAD-687EE27716D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5B5055F-BDE8-4C1F-8169-963DD004C33F}" type="parTrans" cxnId="{9C8D1225-22C7-4C99-8D22-A0F394223E1C}">
      <dgm:prSet/>
      <dgm:spPr/>
      <dgm:t>
        <a:bodyPr/>
        <a:lstStyle/>
        <a:p>
          <a:endParaRPr lang="en-IN"/>
        </a:p>
      </dgm:t>
    </dgm:pt>
    <dgm:pt modelId="{1DA6D785-1867-4555-AF0F-2C53A17CA252}" type="sibTrans" cxnId="{9C8D1225-22C7-4C99-8D22-A0F394223E1C}">
      <dgm:prSet/>
      <dgm:spPr/>
      <dgm:t>
        <a:bodyPr/>
        <a:lstStyle/>
        <a:p>
          <a:endParaRPr lang="en-IN"/>
        </a:p>
      </dgm:t>
    </dgm:pt>
    <dgm:pt modelId="{472A6B0E-9B61-4834-A11A-8167EB7251E1}">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10B2F529-C227-4AFA-9869-F1C5F93B7411}" type="parTrans" cxnId="{B40D5C99-47CD-4B5C-BECA-2F3E16A61FF0}">
      <dgm:prSet/>
      <dgm:spPr/>
      <dgm:t>
        <a:bodyPr/>
        <a:lstStyle/>
        <a:p>
          <a:endParaRPr lang="en-IN"/>
        </a:p>
      </dgm:t>
    </dgm:pt>
    <dgm:pt modelId="{A45A06BF-27FB-4DFD-A66D-202CC0C7CB04}" type="sibTrans" cxnId="{B40D5C99-47CD-4B5C-BECA-2F3E16A61FF0}">
      <dgm:prSet/>
      <dgm:spPr/>
      <dgm:t>
        <a:bodyPr/>
        <a:lstStyle/>
        <a:p>
          <a:endParaRPr lang="en-IN"/>
        </a:p>
      </dgm:t>
    </dgm:pt>
    <dgm:pt modelId="{058BAF66-FEE2-4B3A-8EE6-25FBFC3671F8}">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804B64F-8B56-4A4C-A418-4BB3F4ED6989}" type="parTrans" cxnId="{CE732743-EE07-45A9-A191-7CDE8C1EF3FB}">
      <dgm:prSet/>
      <dgm:spPr/>
      <dgm:t>
        <a:bodyPr/>
        <a:lstStyle/>
        <a:p>
          <a:endParaRPr lang="en-IN"/>
        </a:p>
      </dgm:t>
    </dgm:pt>
    <dgm:pt modelId="{2950B48C-8A63-4EE8-992E-FE5529DA3D84}" type="sibTrans" cxnId="{CE732743-EE07-45A9-A191-7CDE8C1EF3FB}">
      <dgm:prSet/>
      <dgm:spPr/>
      <dgm:t>
        <a:bodyPr/>
        <a:lstStyle/>
        <a:p>
          <a:endParaRPr lang="en-IN"/>
        </a:p>
      </dgm:t>
    </dgm:pt>
    <dgm:pt modelId="{CFAC0D8A-84E8-4DBA-8190-A3C763E23FEE}">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4C225E30-36A4-4BE6-ADB9-85A3B29271E0}" type="parTrans" cxnId="{77E69C30-A8B8-4C60-A679-AF2569E5D332}">
      <dgm:prSet/>
      <dgm:spPr/>
      <dgm:t>
        <a:bodyPr/>
        <a:lstStyle/>
        <a:p>
          <a:endParaRPr lang="en-IN"/>
        </a:p>
      </dgm:t>
    </dgm:pt>
    <dgm:pt modelId="{2BAD2124-834B-4C41-8988-1E3F81028152}" type="sibTrans" cxnId="{77E69C30-A8B8-4C60-A679-AF2569E5D332}">
      <dgm:prSet/>
      <dgm:spPr/>
      <dgm:t>
        <a:bodyPr/>
        <a:lstStyle/>
        <a:p>
          <a:endParaRPr lang="en-IN"/>
        </a:p>
      </dgm:t>
    </dgm:pt>
    <dgm:pt modelId="{92CBA82E-8C23-4886-9478-50470E71E84A}">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EE0A0574-2CD4-4A8E-8B58-75434BAC3266}" type="parTrans" cxnId="{8D58C247-3387-4042-9DA1-6B29904A57D7}">
      <dgm:prSet/>
      <dgm:spPr/>
      <dgm:t>
        <a:bodyPr/>
        <a:lstStyle/>
        <a:p>
          <a:endParaRPr lang="en-IN"/>
        </a:p>
      </dgm:t>
    </dgm:pt>
    <dgm:pt modelId="{3739894D-5D17-4D06-BD0C-F96C8E68D34F}" type="sibTrans" cxnId="{8D58C247-3387-4042-9DA1-6B29904A57D7}">
      <dgm:prSet/>
      <dgm:spPr/>
      <dgm:t>
        <a:bodyPr/>
        <a:lstStyle/>
        <a:p>
          <a:endParaRPr lang="en-IN"/>
        </a:p>
      </dgm:t>
    </dgm:pt>
    <dgm:pt modelId="{F133B79B-C8B9-45C1-8C69-0DC643D51D92}">
      <dgm:prSet phldrT="[Tex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2EF179D9-C18F-4A06-AEA9-5D6426FE68A5}" type="parTrans" cxnId="{EB6EEB91-7C5B-4EF0-96BC-BDC5AA3F0FD9}">
      <dgm:prSet/>
      <dgm:spPr/>
      <dgm:t>
        <a:bodyPr/>
        <a:lstStyle/>
        <a:p>
          <a:endParaRPr lang="en-IN"/>
        </a:p>
      </dgm:t>
    </dgm:pt>
    <dgm:pt modelId="{8B4E6A5E-1239-4310-97A4-401A115924F6}" type="sibTrans" cxnId="{EB6EEB91-7C5B-4EF0-96BC-BDC5AA3F0FD9}">
      <dgm:prSet/>
      <dgm:spPr/>
      <dgm:t>
        <a:bodyPr/>
        <a:lstStyle/>
        <a:p>
          <a:endParaRPr lang="en-IN"/>
        </a:p>
      </dgm:t>
    </dgm:pt>
    <dgm:pt modelId="{21707E9C-756F-49C7-8A2B-CFCBD71737BB}">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58E3A9E-66A2-4346-BCEC-4375FA80156E}" type="parTrans" cxnId="{D4CDB5C1-3514-4F87-BA98-B12881772400}">
      <dgm:prSet/>
      <dgm:spPr/>
      <dgm:t>
        <a:bodyPr/>
        <a:lstStyle/>
        <a:p>
          <a:endParaRPr lang="en-IN"/>
        </a:p>
      </dgm:t>
    </dgm:pt>
    <dgm:pt modelId="{BD4CC336-0350-4DD6-A438-A1B6D215B4C8}" type="sibTrans" cxnId="{D4CDB5C1-3514-4F87-BA98-B12881772400}">
      <dgm:prSet/>
      <dgm:spPr/>
      <dgm:t>
        <a:bodyPr/>
        <a:lstStyle/>
        <a:p>
          <a:endParaRPr lang="en-IN"/>
        </a:p>
      </dgm:t>
    </dgm:pt>
    <dgm:pt modelId="{D38C2767-0E30-4FB6-A12F-96B1C5EC5ACD}">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AC135556-31BF-44F2-8873-1191AAC5AD3E}" type="parTrans" cxnId="{79D660C9-D21C-4FC7-8695-F77066748A2E}">
      <dgm:prSet/>
      <dgm:spPr/>
      <dgm:t>
        <a:bodyPr/>
        <a:lstStyle/>
        <a:p>
          <a:endParaRPr lang="en-IN"/>
        </a:p>
      </dgm:t>
    </dgm:pt>
    <dgm:pt modelId="{6C18CF87-B020-4223-B88A-5C47976CBFAE}" type="sibTrans" cxnId="{79D660C9-D21C-4FC7-8695-F77066748A2E}">
      <dgm:prSet/>
      <dgm:spPr/>
      <dgm:t>
        <a:bodyPr/>
        <a:lstStyle/>
        <a:p>
          <a:endParaRPr lang="en-IN"/>
        </a:p>
      </dgm:t>
    </dgm:pt>
    <dgm:pt modelId="{6D5DB864-02A4-46BE-8545-ED7E486F40B1}">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3D53F137-37DF-4C23-9AFE-E21B731FCD13}" type="parTrans" cxnId="{AC1B0D2E-E667-4007-BA66-D9057D10975F}">
      <dgm:prSet/>
      <dgm:spPr/>
      <dgm:t>
        <a:bodyPr/>
        <a:lstStyle/>
        <a:p>
          <a:endParaRPr lang="en-IN"/>
        </a:p>
      </dgm:t>
    </dgm:pt>
    <dgm:pt modelId="{5FD9881E-A1CD-4AF0-A128-252B78B6BC46}" type="sibTrans" cxnId="{AC1B0D2E-E667-4007-BA66-D9057D10975F}">
      <dgm:prSet/>
      <dgm:spPr/>
      <dgm:t>
        <a:bodyPr/>
        <a:lstStyle/>
        <a:p>
          <a:endParaRPr lang="en-IN"/>
        </a:p>
      </dgm:t>
    </dgm:pt>
    <dgm:pt modelId="{BD1A52BE-D10C-4C60-A5CA-97E1F3C6F7BC}">
      <dgm:prSet/>
      <dgm:spPr>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dgm:spPr>
      <dgm:t>
        <a:bodyPr/>
        <a:lstStyle/>
        <a:p>
          <a:pPr algn="l"/>
          <a:endParaRPr lang="en-IN"/>
        </a:p>
      </dgm:t>
    </dgm:pt>
    <dgm:pt modelId="{685F3026-EBCD-4FC6-A94B-FA0402247107}" type="parTrans" cxnId="{69F5975D-690D-4573-BBD1-FE2212DC4401}">
      <dgm:prSet/>
      <dgm:spPr/>
      <dgm:t>
        <a:bodyPr/>
        <a:lstStyle/>
        <a:p>
          <a:endParaRPr lang="en-IN"/>
        </a:p>
      </dgm:t>
    </dgm:pt>
    <dgm:pt modelId="{A4DC726A-E32C-4C3E-882A-18D0DB85A508}" type="sibTrans" cxnId="{69F5975D-690D-4573-BBD1-FE2212DC4401}">
      <dgm:prSet/>
      <dgm:spPr/>
      <dgm:t>
        <a:bodyPr/>
        <a:lstStyle/>
        <a:p>
          <a:endParaRPr lang="en-IN"/>
        </a:p>
      </dgm:t>
    </dgm:pt>
    <dgm:pt modelId="{1BBE8EE2-F237-45F9-A383-197C8C6F4123}" type="pres">
      <dgm:prSet presAssocID="{8F85FD1E-8136-4C8A-AF31-DF34731BE3BC}" presName="hierChild1" presStyleCnt="0">
        <dgm:presLayoutVars>
          <dgm:orgChart val="1"/>
          <dgm:chPref val="1"/>
          <dgm:dir/>
          <dgm:animOne val="branch"/>
          <dgm:animLvl val="lvl"/>
          <dgm:resizeHandles/>
        </dgm:presLayoutVars>
      </dgm:prSet>
      <dgm:spPr/>
    </dgm:pt>
    <dgm:pt modelId="{6D0F4103-5D56-4545-B004-2F3D27D4DC7E}" type="pres">
      <dgm:prSet presAssocID="{0D19CEF6-7028-42D2-A7FA-9A9CE24E0D3E}" presName="hierRoot1" presStyleCnt="0">
        <dgm:presLayoutVars>
          <dgm:hierBranch val="init"/>
        </dgm:presLayoutVars>
      </dgm:prSet>
      <dgm:spPr/>
    </dgm:pt>
    <dgm:pt modelId="{248FD803-CE5A-460B-BFC4-F07301AF4304}" type="pres">
      <dgm:prSet presAssocID="{0D19CEF6-7028-42D2-A7FA-9A9CE24E0D3E}" presName="rootComposite1" presStyleCnt="0"/>
      <dgm:spPr/>
    </dgm:pt>
    <dgm:pt modelId="{5C8C398D-1F82-4B8E-87E2-540D1B2A40A0}" type="pres">
      <dgm:prSet presAssocID="{0D19CEF6-7028-42D2-A7FA-9A9CE24E0D3E}" presName="rootText1" presStyleLbl="node0" presStyleIdx="0" presStyleCnt="1" custScaleX="287667" custScaleY="168520" custLinFactNeighborX="-3167" custLinFactNeighborY="-53842">
        <dgm:presLayoutVars>
          <dgm:chPref val="3"/>
        </dgm:presLayoutVars>
      </dgm:prSet>
      <dgm:spPr/>
    </dgm:pt>
    <dgm:pt modelId="{858DBEFF-8CA1-43A2-9BE0-996F85E3B245}" type="pres">
      <dgm:prSet presAssocID="{0D19CEF6-7028-42D2-A7FA-9A9CE24E0D3E}" presName="rootConnector1" presStyleLbl="node1" presStyleIdx="0" presStyleCnt="0"/>
      <dgm:spPr/>
    </dgm:pt>
    <dgm:pt modelId="{14BD63D9-C141-4E9C-B724-F2CE1C6ECE3A}" type="pres">
      <dgm:prSet presAssocID="{0D19CEF6-7028-42D2-A7FA-9A9CE24E0D3E}" presName="hierChild2" presStyleCnt="0"/>
      <dgm:spPr/>
    </dgm:pt>
    <dgm:pt modelId="{6829BF15-4119-41AB-879E-0A03001B34CB}" type="pres">
      <dgm:prSet presAssocID="{888506E6-77BD-43A8-8E77-FA1FA2C75BB2}" presName="Name37" presStyleLbl="parChTrans1D2" presStyleIdx="0" presStyleCnt="6"/>
      <dgm:spPr/>
    </dgm:pt>
    <dgm:pt modelId="{0AB02927-4D03-432B-B536-50E42C732E86}" type="pres">
      <dgm:prSet presAssocID="{30A75C1B-28C6-4B8D-9C12-C405753EA701}" presName="hierRoot2" presStyleCnt="0">
        <dgm:presLayoutVars>
          <dgm:hierBranch val="init"/>
        </dgm:presLayoutVars>
      </dgm:prSet>
      <dgm:spPr/>
    </dgm:pt>
    <dgm:pt modelId="{FDA37664-FE3C-4B36-8ED4-E7B713A9CA04}" type="pres">
      <dgm:prSet presAssocID="{30A75C1B-28C6-4B8D-9C12-C405753EA701}" presName="rootComposite" presStyleCnt="0"/>
      <dgm:spPr/>
    </dgm:pt>
    <dgm:pt modelId="{853FFB4D-1E55-4DDD-854F-C86298D938B0}" type="pres">
      <dgm:prSet presAssocID="{30A75C1B-28C6-4B8D-9C12-C405753EA701}" presName="rootText" presStyleLbl="node2" presStyleIdx="0" presStyleCnt="6" custScaleX="269731" custScaleY="185372">
        <dgm:presLayoutVars>
          <dgm:chPref val="3"/>
        </dgm:presLayoutVars>
      </dgm:prSet>
      <dgm:spPr/>
    </dgm:pt>
    <dgm:pt modelId="{22A73B9D-D4EE-45F4-950A-257DEF58E397}" type="pres">
      <dgm:prSet presAssocID="{30A75C1B-28C6-4B8D-9C12-C405753EA701}" presName="rootConnector" presStyleLbl="node2" presStyleIdx="0" presStyleCnt="6"/>
      <dgm:spPr/>
    </dgm:pt>
    <dgm:pt modelId="{AAC3183A-DCEF-4665-AD87-238BF53C552A}" type="pres">
      <dgm:prSet presAssocID="{30A75C1B-28C6-4B8D-9C12-C405753EA701}" presName="hierChild4" presStyleCnt="0"/>
      <dgm:spPr/>
    </dgm:pt>
    <dgm:pt modelId="{2C29EF2C-4297-4C3B-9B35-26D15FB09F87}" type="pres">
      <dgm:prSet presAssocID="{82998A5A-8177-4BF4-B11A-85C450BCA0B9}" presName="Name37" presStyleLbl="parChTrans1D3" presStyleIdx="0" presStyleCnt="36"/>
      <dgm:spPr/>
    </dgm:pt>
    <dgm:pt modelId="{A115F367-0B3E-43DE-9071-DEE287BC6E21}" type="pres">
      <dgm:prSet presAssocID="{DE430EBC-9AEB-4AC5-8133-E102B3D8B235}" presName="hierRoot2" presStyleCnt="0">
        <dgm:presLayoutVars>
          <dgm:hierBranch val="init"/>
        </dgm:presLayoutVars>
      </dgm:prSet>
      <dgm:spPr/>
    </dgm:pt>
    <dgm:pt modelId="{6C043EAF-2E1F-494A-8B78-7F8A3E97A5DF}" type="pres">
      <dgm:prSet presAssocID="{DE430EBC-9AEB-4AC5-8133-E102B3D8B235}" presName="rootComposite" presStyleCnt="0"/>
      <dgm:spPr/>
    </dgm:pt>
    <dgm:pt modelId="{A15103E7-543E-4790-AE67-947E45BFBF80}" type="pres">
      <dgm:prSet presAssocID="{DE430EBC-9AEB-4AC5-8133-E102B3D8B235}" presName="rootText" presStyleLbl="node3" presStyleIdx="0" presStyleCnt="36" custScaleX="207455" custScaleY="152168" custLinFactNeighborX="-4300" custLinFactNeighborY="22686">
        <dgm:presLayoutVars>
          <dgm:chPref val="3"/>
        </dgm:presLayoutVars>
      </dgm:prSet>
      <dgm:spPr/>
    </dgm:pt>
    <dgm:pt modelId="{87C0B8B4-77B8-4E43-88C6-0FBC36C0E8AE}" type="pres">
      <dgm:prSet presAssocID="{DE430EBC-9AEB-4AC5-8133-E102B3D8B235}" presName="rootConnector" presStyleLbl="node3" presStyleIdx="0" presStyleCnt="36"/>
      <dgm:spPr/>
    </dgm:pt>
    <dgm:pt modelId="{BF01B791-B98C-4021-9AEB-AA06200B383E}" type="pres">
      <dgm:prSet presAssocID="{DE430EBC-9AEB-4AC5-8133-E102B3D8B235}" presName="hierChild4" presStyleCnt="0"/>
      <dgm:spPr/>
    </dgm:pt>
    <dgm:pt modelId="{957D3F0E-F6B3-4198-95F1-E7F4633DD8F7}" type="pres">
      <dgm:prSet presAssocID="{DE430EBC-9AEB-4AC5-8133-E102B3D8B235}" presName="hierChild5" presStyleCnt="0"/>
      <dgm:spPr/>
    </dgm:pt>
    <dgm:pt modelId="{7398580D-8EEC-44BA-940A-E4D9004A0CF0}" type="pres">
      <dgm:prSet presAssocID="{C41972CF-CFF7-4A0B-86FB-124A3C29C284}" presName="Name37" presStyleLbl="parChTrans1D3" presStyleIdx="1" presStyleCnt="36"/>
      <dgm:spPr/>
    </dgm:pt>
    <dgm:pt modelId="{03DBE40F-FF98-444C-A7D5-3EBF0575BB02}" type="pres">
      <dgm:prSet presAssocID="{15422A0F-7BCA-484C-B057-F62059D58FAA}" presName="hierRoot2" presStyleCnt="0">
        <dgm:presLayoutVars>
          <dgm:hierBranch val="init"/>
        </dgm:presLayoutVars>
      </dgm:prSet>
      <dgm:spPr/>
    </dgm:pt>
    <dgm:pt modelId="{02C9CE59-BCDE-4DDD-BDE4-87B0C464539E}" type="pres">
      <dgm:prSet presAssocID="{15422A0F-7BCA-484C-B057-F62059D58FAA}" presName="rootComposite" presStyleCnt="0"/>
      <dgm:spPr/>
    </dgm:pt>
    <dgm:pt modelId="{E96B1214-A9E7-4181-8CA8-92FB713D4A14}" type="pres">
      <dgm:prSet presAssocID="{15422A0F-7BCA-484C-B057-F62059D58FAA}" presName="rootText" presStyleLbl="node3" presStyleIdx="1" presStyleCnt="36" custScaleX="207455" custScaleY="158876" custLinFactNeighborX="-6538">
        <dgm:presLayoutVars>
          <dgm:chPref val="3"/>
        </dgm:presLayoutVars>
      </dgm:prSet>
      <dgm:spPr/>
    </dgm:pt>
    <dgm:pt modelId="{B8710126-C736-487F-A3BB-9B4531A059E9}" type="pres">
      <dgm:prSet presAssocID="{15422A0F-7BCA-484C-B057-F62059D58FAA}" presName="rootConnector" presStyleLbl="node3" presStyleIdx="1" presStyleCnt="36"/>
      <dgm:spPr/>
    </dgm:pt>
    <dgm:pt modelId="{A9508114-E7F9-4DBE-8329-1327BA724F97}" type="pres">
      <dgm:prSet presAssocID="{15422A0F-7BCA-484C-B057-F62059D58FAA}" presName="hierChild4" presStyleCnt="0"/>
      <dgm:spPr/>
    </dgm:pt>
    <dgm:pt modelId="{DAC7EED0-336F-4C94-8BC6-B18A3594F9C8}" type="pres">
      <dgm:prSet presAssocID="{15422A0F-7BCA-484C-B057-F62059D58FAA}" presName="hierChild5" presStyleCnt="0"/>
      <dgm:spPr/>
    </dgm:pt>
    <dgm:pt modelId="{43BA9691-70A2-49E9-901A-2FCF27528D5D}" type="pres">
      <dgm:prSet presAssocID="{19A46F26-59B1-4C5A-BF18-0E767311EBF1}" presName="Name37" presStyleLbl="parChTrans1D3" presStyleIdx="2" presStyleCnt="36"/>
      <dgm:spPr/>
    </dgm:pt>
    <dgm:pt modelId="{5029BA54-005A-49AB-97FF-9FC9A373ADD2}" type="pres">
      <dgm:prSet presAssocID="{ECF03B94-C7AD-4DF3-B508-62E701087C6F}" presName="hierRoot2" presStyleCnt="0">
        <dgm:presLayoutVars>
          <dgm:hierBranch val="init"/>
        </dgm:presLayoutVars>
      </dgm:prSet>
      <dgm:spPr/>
    </dgm:pt>
    <dgm:pt modelId="{A98BA154-E2FA-4146-9D15-A7107B688D5C}" type="pres">
      <dgm:prSet presAssocID="{ECF03B94-C7AD-4DF3-B508-62E701087C6F}" presName="rootComposite" presStyleCnt="0"/>
      <dgm:spPr/>
    </dgm:pt>
    <dgm:pt modelId="{856CFF55-E4E6-40F3-9F14-FD1536F40E0B}" type="pres">
      <dgm:prSet presAssocID="{ECF03B94-C7AD-4DF3-B508-62E701087C6F}" presName="rootText" presStyleLbl="node3" presStyleIdx="2" presStyleCnt="36" custScaleX="207455" custScaleY="173545" custLinFactNeighborX="-6538">
        <dgm:presLayoutVars>
          <dgm:chPref val="3"/>
        </dgm:presLayoutVars>
      </dgm:prSet>
      <dgm:spPr/>
    </dgm:pt>
    <dgm:pt modelId="{F83BC690-EFD5-4158-846D-4272C8D58421}" type="pres">
      <dgm:prSet presAssocID="{ECF03B94-C7AD-4DF3-B508-62E701087C6F}" presName="rootConnector" presStyleLbl="node3" presStyleIdx="2" presStyleCnt="36"/>
      <dgm:spPr/>
    </dgm:pt>
    <dgm:pt modelId="{8BEF0CE6-25E2-45C6-B31D-6615907E5150}" type="pres">
      <dgm:prSet presAssocID="{ECF03B94-C7AD-4DF3-B508-62E701087C6F}" presName="hierChild4" presStyleCnt="0"/>
      <dgm:spPr/>
    </dgm:pt>
    <dgm:pt modelId="{0CCEBE28-D2D2-42E7-8497-A32E247F9332}" type="pres">
      <dgm:prSet presAssocID="{ECF03B94-C7AD-4DF3-B508-62E701087C6F}" presName="hierChild5" presStyleCnt="0"/>
      <dgm:spPr/>
    </dgm:pt>
    <dgm:pt modelId="{59FDCD71-00D1-4CBF-9A31-1E489E856A40}" type="pres">
      <dgm:prSet presAssocID="{68F8F16B-F0F9-4668-BE26-B49FDC6CE9C8}" presName="Name37" presStyleLbl="parChTrans1D3" presStyleIdx="3" presStyleCnt="36"/>
      <dgm:spPr/>
    </dgm:pt>
    <dgm:pt modelId="{783D7969-5DD7-46E6-81AA-175ED2993BE9}" type="pres">
      <dgm:prSet presAssocID="{83A882C9-CED3-4DBB-B5D7-A9BC33A0CB1E}" presName="hierRoot2" presStyleCnt="0">
        <dgm:presLayoutVars>
          <dgm:hierBranch val="init"/>
        </dgm:presLayoutVars>
      </dgm:prSet>
      <dgm:spPr/>
    </dgm:pt>
    <dgm:pt modelId="{156D47D9-66DA-4B1B-87EA-22C3EBEEA027}" type="pres">
      <dgm:prSet presAssocID="{83A882C9-CED3-4DBB-B5D7-A9BC33A0CB1E}" presName="rootComposite" presStyleCnt="0"/>
      <dgm:spPr/>
    </dgm:pt>
    <dgm:pt modelId="{2490E369-58C0-4092-BC57-B6F9B7A8424A}" type="pres">
      <dgm:prSet presAssocID="{83A882C9-CED3-4DBB-B5D7-A9BC33A0CB1E}" presName="rootText" presStyleLbl="node3" presStyleIdx="3" presStyleCnt="36" custScaleX="207455" custScaleY="173545" custLinFactNeighborX="-6538">
        <dgm:presLayoutVars>
          <dgm:chPref val="3"/>
        </dgm:presLayoutVars>
      </dgm:prSet>
      <dgm:spPr/>
    </dgm:pt>
    <dgm:pt modelId="{D5173406-90A0-430E-A257-C053CA506765}" type="pres">
      <dgm:prSet presAssocID="{83A882C9-CED3-4DBB-B5D7-A9BC33A0CB1E}" presName="rootConnector" presStyleLbl="node3" presStyleIdx="3" presStyleCnt="36"/>
      <dgm:spPr/>
    </dgm:pt>
    <dgm:pt modelId="{6F5EA6DD-026A-4E2C-BF23-89FA49EE2F78}" type="pres">
      <dgm:prSet presAssocID="{83A882C9-CED3-4DBB-B5D7-A9BC33A0CB1E}" presName="hierChild4" presStyleCnt="0"/>
      <dgm:spPr/>
    </dgm:pt>
    <dgm:pt modelId="{1D7E1165-8116-4128-B4E6-C0B36CE8B661}" type="pres">
      <dgm:prSet presAssocID="{83A882C9-CED3-4DBB-B5D7-A9BC33A0CB1E}" presName="hierChild5" presStyleCnt="0"/>
      <dgm:spPr/>
    </dgm:pt>
    <dgm:pt modelId="{077EA319-D2C5-4551-A3AF-BBD742321036}" type="pres">
      <dgm:prSet presAssocID="{99BCA385-66F1-4778-AC5F-322108555713}" presName="Name37" presStyleLbl="parChTrans1D3" presStyleIdx="4" presStyleCnt="36"/>
      <dgm:spPr/>
    </dgm:pt>
    <dgm:pt modelId="{7406020C-ABF0-4D0A-8928-4BCD57F20A88}" type="pres">
      <dgm:prSet presAssocID="{CAB3C7F0-E5B8-433A-80EE-848BBB579EA1}" presName="hierRoot2" presStyleCnt="0">
        <dgm:presLayoutVars>
          <dgm:hierBranch val="init"/>
        </dgm:presLayoutVars>
      </dgm:prSet>
      <dgm:spPr/>
    </dgm:pt>
    <dgm:pt modelId="{11670C23-646E-4B95-B4DB-94E6868F4E68}" type="pres">
      <dgm:prSet presAssocID="{CAB3C7F0-E5B8-433A-80EE-848BBB579EA1}" presName="rootComposite" presStyleCnt="0"/>
      <dgm:spPr/>
    </dgm:pt>
    <dgm:pt modelId="{7074A187-D177-4CA7-8FAD-19086FA2F2A3}" type="pres">
      <dgm:prSet presAssocID="{CAB3C7F0-E5B8-433A-80EE-848BBB579EA1}" presName="rootText" presStyleLbl="node3" presStyleIdx="4" presStyleCnt="36" custScaleX="207455" custScaleY="173545" custLinFactNeighborX="-6538">
        <dgm:presLayoutVars>
          <dgm:chPref val="3"/>
        </dgm:presLayoutVars>
      </dgm:prSet>
      <dgm:spPr/>
    </dgm:pt>
    <dgm:pt modelId="{925B500F-2D7C-454A-BB55-FDBCEEFBBE9A}" type="pres">
      <dgm:prSet presAssocID="{CAB3C7F0-E5B8-433A-80EE-848BBB579EA1}" presName="rootConnector" presStyleLbl="node3" presStyleIdx="4" presStyleCnt="36"/>
      <dgm:spPr/>
    </dgm:pt>
    <dgm:pt modelId="{AE7C3B8B-70FE-48C1-BA2C-3642AC5E9DBE}" type="pres">
      <dgm:prSet presAssocID="{CAB3C7F0-E5B8-433A-80EE-848BBB579EA1}" presName="hierChild4" presStyleCnt="0"/>
      <dgm:spPr/>
    </dgm:pt>
    <dgm:pt modelId="{67E5D55B-4E45-415B-A55F-6554AFB561D0}" type="pres">
      <dgm:prSet presAssocID="{CAB3C7F0-E5B8-433A-80EE-848BBB579EA1}" presName="hierChild5" presStyleCnt="0"/>
      <dgm:spPr/>
    </dgm:pt>
    <dgm:pt modelId="{591A4806-A056-49FA-A807-3507349E025F}" type="pres">
      <dgm:prSet presAssocID="{A6ECC484-C5B3-4E5A-B7E0-750C177CFF69}" presName="Name37" presStyleLbl="parChTrans1D3" presStyleIdx="5" presStyleCnt="36"/>
      <dgm:spPr/>
    </dgm:pt>
    <dgm:pt modelId="{96935911-C62F-433C-AE70-3687A1374045}" type="pres">
      <dgm:prSet presAssocID="{0AF8697D-AC9F-4005-8FD9-6DCBA79179B5}" presName="hierRoot2" presStyleCnt="0">
        <dgm:presLayoutVars>
          <dgm:hierBranch val="init"/>
        </dgm:presLayoutVars>
      </dgm:prSet>
      <dgm:spPr/>
    </dgm:pt>
    <dgm:pt modelId="{076F1FC8-A8E5-42C4-84A7-EAF7575AD21F}" type="pres">
      <dgm:prSet presAssocID="{0AF8697D-AC9F-4005-8FD9-6DCBA79179B5}" presName="rootComposite" presStyleCnt="0"/>
      <dgm:spPr/>
    </dgm:pt>
    <dgm:pt modelId="{87B9EBD0-8BEE-4198-81B7-89C4056E1059}" type="pres">
      <dgm:prSet presAssocID="{0AF8697D-AC9F-4005-8FD9-6DCBA79179B5}" presName="rootText" presStyleLbl="node3" presStyleIdx="5" presStyleCnt="36" custScaleX="207455" custScaleY="173545">
        <dgm:presLayoutVars>
          <dgm:chPref val="3"/>
        </dgm:presLayoutVars>
      </dgm:prSet>
      <dgm:spPr/>
    </dgm:pt>
    <dgm:pt modelId="{2866293E-A1B4-4F6A-A920-9518F91B0520}" type="pres">
      <dgm:prSet presAssocID="{0AF8697D-AC9F-4005-8FD9-6DCBA79179B5}" presName="rootConnector" presStyleLbl="node3" presStyleIdx="5" presStyleCnt="36"/>
      <dgm:spPr/>
    </dgm:pt>
    <dgm:pt modelId="{99207C7F-724B-46D3-814D-445C2CAE6893}" type="pres">
      <dgm:prSet presAssocID="{0AF8697D-AC9F-4005-8FD9-6DCBA79179B5}" presName="hierChild4" presStyleCnt="0"/>
      <dgm:spPr/>
    </dgm:pt>
    <dgm:pt modelId="{60FDCBB5-4A13-4815-BDA1-43BC74E14AA2}" type="pres">
      <dgm:prSet presAssocID="{0AF8697D-AC9F-4005-8FD9-6DCBA79179B5}" presName="hierChild5" presStyleCnt="0"/>
      <dgm:spPr/>
    </dgm:pt>
    <dgm:pt modelId="{0B98BB91-97BD-481F-AB76-DC6CB8E05CDE}" type="pres">
      <dgm:prSet presAssocID="{30A75C1B-28C6-4B8D-9C12-C405753EA701}" presName="hierChild5" presStyleCnt="0"/>
      <dgm:spPr/>
    </dgm:pt>
    <dgm:pt modelId="{E956C72C-0695-4AF5-8F1B-AF3CF911254E}" type="pres">
      <dgm:prSet presAssocID="{1AD6EFD4-8689-4711-870E-B8FCA71DC32C}" presName="Name37" presStyleLbl="parChTrans1D2" presStyleIdx="1" presStyleCnt="6"/>
      <dgm:spPr/>
    </dgm:pt>
    <dgm:pt modelId="{D7620E44-AED8-4A1E-A9A7-4CDE6E28310A}" type="pres">
      <dgm:prSet presAssocID="{E2075C35-04A8-466E-AEED-5D3277B5A90A}" presName="hierRoot2" presStyleCnt="0">
        <dgm:presLayoutVars>
          <dgm:hierBranch val="init"/>
        </dgm:presLayoutVars>
      </dgm:prSet>
      <dgm:spPr/>
    </dgm:pt>
    <dgm:pt modelId="{679A40AA-A499-4C07-BD23-A36908EDC486}" type="pres">
      <dgm:prSet presAssocID="{E2075C35-04A8-466E-AEED-5D3277B5A90A}" presName="rootComposite" presStyleCnt="0"/>
      <dgm:spPr/>
    </dgm:pt>
    <dgm:pt modelId="{A93E9E9D-8284-47DB-90D4-BE1DFF93A8F2}" type="pres">
      <dgm:prSet presAssocID="{E2075C35-04A8-466E-AEED-5D3277B5A90A}" presName="rootText" presStyleLbl="node2" presStyleIdx="1" presStyleCnt="6" custScaleX="245210" custScaleY="168520">
        <dgm:presLayoutVars>
          <dgm:chPref val="3"/>
        </dgm:presLayoutVars>
      </dgm:prSet>
      <dgm:spPr/>
    </dgm:pt>
    <dgm:pt modelId="{9DC0A2C5-954A-46FE-AAEA-4522F3158F81}" type="pres">
      <dgm:prSet presAssocID="{E2075C35-04A8-466E-AEED-5D3277B5A90A}" presName="rootConnector" presStyleLbl="node2" presStyleIdx="1" presStyleCnt="6"/>
      <dgm:spPr/>
    </dgm:pt>
    <dgm:pt modelId="{C53ED865-57A2-4A86-A5F6-20FFFD70D8B8}" type="pres">
      <dgm:prSet presAssocID="{E2075C35-04A8-466E-AEED-5D3277B5A90A}" presName="hierChild4" presStyleCnt="0"/>
      <dgm:spPr/>
    </dgm:pt>
    <dgm:pt modelId="{8DEFE2F6-F03E-4E75-8B42-5AD6EA54AB63}" type="pres">
      <dgm:prSet presAssocID="{A2B11AD8-E2B9-4F53-9825-E09DEC18CD35}" presName="Name37" presStyleLbl="parChTrans1D3" presStyleIdx="6" presStyleCnt="36"/>
      <dgm:spPr/>
    </dgm:pt>
    <dgm:pt modelId="{D9B01269-6547-4AD5-91E3-172CC78E7B49}" type="pres">
      <dgm:prSet presAssocID="{6C08F2A6-164D-4776-851A-3C052221AD3E}" presName="hierRoot2" presStyleCnt="0">
        <dgm:presLayoutVars>
          <dgm:hierBranch val="init"/>
        </dgm:presLayoutVars>
      </dgm:prSet>
      <dgm:spPr/>
    </dgm:pt>
    <dgm:pt modelId="{97DEE372-4507-4F14-81B1-E199EB70B660}" type="pres">
      <dgm:prSet presAssocID="{6C08F2A6-164D-4776-851A-3C052221AD3E}" presName="rootComposite" presStyleCnt="0"/>
      <dgm:spPr/>
    </dgm:pt>
    <dgm:pt modelId="{B0EBF5AF-CC42-4F77-830A-5EDB69B9E1FC}" type="pres">
      <dgm:prSet presAssocID="{6C08F2A6-164D-4776-851A-3C052221AD3E}" presName="rootText" presStyleLbl="node3" presStyleIdx="6" presStyleCnt="36" custScaleX="207455" custScaleY="152507" custLinFactNeighborX="-9132" custLinFactNeighborY="21139">
        <dgm:presLayoutVars>
          <dgm:chPref val="3"/>
        </dgm:presLayoutVars>
      </dgm:prSet>
      <dgm:spPr/>
    </dgm:pt>
    <dgm:pt modelId="{267399EE-B55E-4476-A64E-CC4D84D4DD98}" type="pres">
      <dgm:prSet presAssocID="{6C08F2A6-164D-4776-851A-3C052221AD3E}" presName="rootConnector" presStyleLbl="node3" presStyleIdx="6" presStyleCnt="36"/>
      <dgm:spPr/>
    </dgm:pt>
    <dgm:pt modelId="{0C2FC601-8C0E-4474-B12B-45417123F40C}" type="pres">
      <dgm:prSet presAssocID="{6C08F2A6-164D-4776-851A-3C052221AD3E}" presName="hierChild4" presStyleCnt="0"/>
      <dgm:spPr/>
    </dgm:pt>
    <dgm:pt modelId="{B748F201-8D55-4FFE-A32D-99C4022F0082}" type="pres">
      <dgm:prSet presAssocID="{6C08F2A6-164D-4776-851A-3C052221AD3E}" presName="hierChild5" presStyleCnt="0"/>
      <dgm:spPr/>
    </dgm:pt>
    <dgm:pt modelId="{26AFA3A5-1E4B-4A67-9D21-AFAE2916FDB8}" type="pres">
      <dgm:prSet presAssocID="{99E08339-17FA-41F2-B4C9-036DC2F6E0C9}" presName="Name37" presStyleLbl="parChTrans1D3" presStyleIdx="7" presStyleCnt="36"/>
      <dgm:spPr/>
    </dgm:pt>
    <dgm:pt modelId="{3C1DCA8E-EC54-45D1-9F73-EAD65A7ADEF1}" type="pres">
      <dgm:prSet presAssocID="{9FC7468C-17A0-4FD1-82F6-1994C9AA5866}" presName="hierRoot2" presStyleCnt="0">
        <dgm:presLayoutVars>
          <dgm:hierBranch val="init"/>
        </dgm:presLayoutVars>
      </dgm:prSet>
      <dgm:spPr/>
    </dgm:pt>
    <dgm:pt modelId="{82D3828E-B1EA-430B-9868-976A9559B31E}" type="pres">
      <dgm:prSet presAssocID="{9FC7468C-17A0-4FD1-82F6-1994C9AA5866}" presName="rootComposite" presStyleCnt="0"/>
      <dgm:spPr/>
    </dgm:pt>
    <dgm:pt modelId="{1729CE0B-3838-48AD-B589-B372F2B0C771}" type="pres">
      <dgm:prSet presAssocID="{9FC7468C-17A0-4FD1-82F6-1994C9AA5866}" presName="rootText" presStyleLbl="node3" presStyleIdx="7" presStyleCnt="36" custScaleX="207455" custScaleY="152507" custLinFactNeighborX="-6538">
        <dgm:presLayoutVars>
          <dgm:chPref val="3"/>
        </dgm:presLayoutVars>
      </dgm:prSet>
      <dgm:spPr/>
    </dgm:pt>
    <dgm:pt modelId="{A8BB2A2D-2837-4904-B835-E6E594DCE55B}" type="pres">
      <dgm:prSet presAssocID="{9FC7468C-17A0-4FD1-82F6-1994C9AA5866}" presName="rootConnector" presStyleLbl="node3" presStyleIdx="7" presStyleCnt="36"/>
      <dgm:spPr/>
    </dgm:pt>
    <dgm:pt modelId="{1AC87E64-C07B-4202-B676-4B128FE25888}" type="pres">
      <dgm:prSet presAssocID="{9FC7468C-17A0-4FD1-82F6-1994C9AA5866}" presName="hierChild4" presStyleCnt="0"/>
      <dgm:spPr/>
    </dgm:pt>
    <dgm:pt modelId="{DD1D3571-263D-4FA2-8790-445C1AAB693F}" type="pres">
      <dgm:prSet presAssocID="{9FC7468C-17A0-4FD1-82F6-1994C9AA5866}" presName="hierChild5" presStyleCnt="0"/>
      <dgm:spPr/>
    </dgm:pt>
    <dgm:pt modelId="{D2802FED-9B21-4357-BE79-5F7955BAB013}" type="pres">
      <dgm:prSet presAssocID="{ABED396A-E93F-4365-BB41-2CCF9C939201}" presName="Name37" presStyleLbl="parChTrans1D3" presStyleIdx="8" presStyleCnt="36"/>
      <dgm:spPr/>
    </dgm:pt>
    <dgm:pt modelId="{97614FB8-1A21-486C-B55B-9EF2C3E874BF}" type="pres">
      <dgm:prSet presAssocID="{C5F0B96A-A575-48A3-988A-96868B3842FF}" presName="hierRoot2" presStyleCnt="0">
        <dgm:presLayoutVars>
          <dgm:hierBranch val="init"/>
        </dgm:presLayoutVars>
      </dgm:prSet>
      <dgm:spPr/>
    </dgm:pt>
    <dgm:pt modelId="{621A6E13-D87B-47D3-957F-4D1EDD165C34}" type="pres">
      <dgm:prSet presAssocID="{C5F0B96A-A575-48A3-988A-96868B3842FF}" presName="rootComposite" presStyleCnt="0"/>
      <dgm:spPr/>
    </dgm:pt>
    <dgm:pt modelId="{1B70E28B-3F55-4A34-B864-28329F2EE997}" type="pres">
      <dgm:prSet presAssocID="{C5F0B96A-A575-48A3-988A-96868B3842FF}" presName="rootText" presStyleLbl="node3" presStyleIdx="8" presStyleCnt="36" custScaleX="207455" custScaleY="152507" custLinFactNeighborX="-8021" custLinFactNeighborY="29670">
        <dgm:presLayoutVars>
          <dgm:chPref val="3"/>
        </dgm:presLayoutVars>
      </dgm:prSet>
      <dgm:spPr/>
    </dgm:pt>
    <dgm:pt modelId="{EE2E1F48-D8E2-4DBB-BEED-FC3ADD31836E}" type="pres">
      <dgm:prSet presAssocID="{C5F0B96A-A575-48A3-988A-96868B3842FF}" presName="rootConnector" presStyleLbl="node3" presStyleIdx="8" presStyleCnt="36"/>
      <dgm:spPr/>
    </dgm:pt>
    <dgm:pt modelId="{B32A7BF6-63D6-4EE4-8111-A06540E7045C}" type="pres">
      <dgm:prSet presAssocID="{C5F0B96A-A575-48A3-988A-96868B3842FF}" presName="hierChild4" presStyleCnt="0"/>
      <dgm:spPr/>
    </dgm:pt>
    <dgm:pt modelId="{83460E33-FA34-4F0A-ABA7-E7C7BE373402}" type="pres">
      <dgm:prSet presAssocID="{C5F0B96A-A575-48A3-988A-96868B3842FF}" presName="hierChild5" presStyleCnt="0"/>
      <dgm:spPr/>
    </dgm:pt>
    <dgm:pt modelId="{647F2A7F-A133-4193-BF37-41A98E9AE399}" type="pres">
      <dgm:prSet presAssocID="{F23F9B4E-084A-4AAC-AACF-8F26CD335DF5}" presName="Name37" presStyleLbl="parChTrans1D3" presStyleIdx="9" presStyleCnt="36"/>
      <dgm:spPr/>
    </dgm:pt>
    <dgm:pt modelId="{31F4CBCD-8713-4E26-BBAA-7D0852DF8879}" type="pres">
      <dgm:prSet presAssocID="{FBC789F5-9F9D-4FCB-98BD-A3E208DAB147}" presName="hierRoot2" presStyleCnt="0">
        <dgm:presLayoutVars>
          <dgm:hierBranch val="init"/>
        </dgm:presLayoutVars>
      </dgm:prSet>
      <dgm:spPr/>
    </dgm:pt>
    <dgm:pt modelId="{431BA04E-D342-4AB5-AF2D-339A92F629CB}" type="pres">
      <dgm:prSet presAssocID="{FBC789F5-9F9D-4FCB-98BD-A3E208DAB147}" presName="rootComposite" presStyleCnt="0"/>
      <dgm:spPr/>
    </dgm:pt>
    <dgm:pt modelId="{8EFA38DB-7372-4EF3-94A9-14D2F01FACFE}" type="pres">
      <dgm:prSet presAssocID="{FBC789F5-9F9D-4FCB-98BD-A3E208DAB147}" presName="rootText" presStyleLbl="node3" presStyleIdx="9" presStyleCnt="36" custScaleX="207455" custScaleY="152507" custLinFactNeighborX="-8021" custLinFactNeighborY="35604">
        <dgm:presLayoutVars>
          <dgm:chPref val="3"/>
        </dgm:presLayoutVars>
      </dgm:prSet>
      <dgm:spPr/>
    </dgm:pt>
    <dgm:pt modelId="{F0FBC33A-0974-4CF3-961C-D01F841321DD}" type="pres">
      <dgm:prSet presAssocID="{FBC789F5-9F9D-4FCB-98BD-A3E208DAB147}" presName="rootConnector" presStyleLbl="node3" presStyleIdx="9" presStyleCnt="36"/>
      <dgm:spPr/>
    </dgm:pt>
    <dgm:pt modelId="{613551DC-C035-4CE4-890A-3E64C592023D}" type="pres">
      <dgm:prSet presAssocID="{FBC789F5-9F9D-4FCB-98BD-A3E208DAB147}" presName="hierChild4" presStyleCnt="0"/>
      <dgm:spPr/>
    </dgm:pt>
    <dgm:pt modelId="{DC7A5C71-5EA0-4FD2-886E-BA00FD792F31}" type="pres">
      <dgm:prSet presAssocID="{FBC789F5-9F9D-4FCB-98BD-A3E208DAB147}" presName="hierChild5" presStyleCnt="0"/>
      <dgm:spPr/>
    </dgm:pt>
    <dgm:pt modelId="{A4416B43-F3A4-4973-A232-A705A548F85A}" type="pres">
      <dgm:prSet presAssocID="{3940DA0E-41B9-4888-B3E7-28214BCF8D9B}" presName="Name37" presStyleLbl="parChTrans1D3" presStyleIdx="10" presStyleCnt="36"/>
      <dgm:spPr/>
    </dgm:pt>
    <dgm:pt modelId="{3F9C50BB-B39B-4AEA-A6B1-3DF347432C67}" type="pres">
      <dgm:prSet presAssocID="{A15614BF-5CEB-4D67-B306-D3314BE68D26}" presName="hierRoot2" presStyleCnt="0">
        <dgm:presLayoutVars>
          <dgm:hierBranch val="init"/>
        </dgm:presLayoutVars>
      </dgm:prSet>
      <dgm:spPr/>
    </dgm:pt>
    <dgm:pt modelId="{308376A6-3930-4807-AAE3-2A02D2D5268A}" type="pres">
      <dgm:prSet presAssocID="{A15614BF-5CEB-4D67-B306-D3314BE68D26}" presName="rootComposite" presStyleCnt="0"/>
      <dgm:spPr/>
    </dgm:pt>
    <dgm:pt modelId="{4B8036C8-82F6-4CAC-9705-E438507AC395}" type="pres">
      <dgm:prSet presAssocID="{A15614BF-5CEB-4D67-B306-D3314BE68D26}" presName="rootText" presStyleLbl="node3" presStyleIdx="10" presStyleCnt="36" custScaleX="207455" custScaleY="152507" custLinFactNeighborX="-5055" custLinFactNeighborY="47472">
        <dgm:presLayoutVars>
          <dgm:chPref val="3"/>
        </dgm:presLayoutVars>
      </dgm:prSet>
      <dgm:spPr/>
    </dgm:pt>
    <dgm:pt modelId="{4AF6D63D-FDCA-49E5-BB65-DF2D7246EF51}" type="pres">
      <dgm:prSet presAssocID="{A15614BF-5CEB-4D67-B306-D3314BE68D26}" presName="rootConnector" presStyleLbl="node3" presStyleIdx="10" presStyleCnt="36"/>
      <dgm:spPr/>
    </dgm:pt>
    <dgm:pt modelId="{5C0384CC-B3B7-48B8-A011-FDCFCD06668E}" type="pres">
      <dgm:prSet presAssocID="{A15614BF-5CEB-4D67-B306-D3314BE68D26}" presName="hierChild4" presStyleCnt="0"/>
      <dgm:spPr/>
    </dgm:pt>
    <dgm:pt modelId="{A449278A-E27D-4572-806E-1FC8F429B4EB}" type="pres">
      <dgm:prSet presAssocID="{A15614BF-5CEB-4D67-B306-D3314BE68D26}" presName="hierChild5" presStyleCnt="0"/>
      <dgm:spPr/>
    </dgm:pt>
    <dgm:pt modelId="{4D7DA46E-0BF2-4295-9AD5-E7231B6FBE5D}" type="pres">
      <dgm:prSet presAssocID="{658E3A9E-66A2-4346-BCEC-4375FA80156E}" presName="Name37" presStyleLbl="parChTrans1D3" presStyleIdx="11" presStyleCnt="36"/>
      <dgm:spPr/>
    </dgm:pt>
    <dgm:pt modelId="{6BB6A107-FC1D-4323-ADE8-A2A4934A0E2B}" type="pres">
      <dgm:prSet presAssocID="{21707E9C-756F-49C7-8A2B-CFCBD71737BB}" presName="hierRoot2" presStyleCnt="0">
        <dgm:presLayoutVars>
          <dgm:hierBranch val="init"/>
        </dgm:presLayoutVars>
      </dgm:prSet>
      <dgm:spPr/>
    </dgm:pt>
    <dgm:pt modelId="{8E615908-5FA0-43F1-B382-A9FC6441C876}" type="pres">
      <dgm:prSet presAssocID="{21707E9C-756F-49C7-8A2B-CFCBD71737BB}" presName="rootComposite" presStyleCnt="0"/>
      <dgm:spPr/>
    </dgm:pt>
    <dgm:pt modelId="{4A3627A3-97A7-4455-998E-33BC47472C19}" type="pres">
      <dgm:prSet presAssocID="{21707E9C-756F-49C7-8A2B-CFCBD71737BB}" presName="rootText" presStyleLbl="node3" presStyleIdx="11" presStyleCnt="36" custScaleX="207455" custScaleY="152507" custLinFactNeighborX="4450" custLinFactNeighborY="80108">
        <dgm:presLayoutVars>
          <dgm:chPref val="3"/>
        </dgm:presLayoutVars>
      </dgm:prSet>
      <dgm:spPr/>
    </dgm:pt>
    <dgm:pt modelId="{50B422BA-925B-42BF-9337-3D961FB7C327}" type="pres">
      <dgm:prSet presAssocID="{21707E9C-756F-49C7-8A2B-CFCBD71737BB}" presName="rootConnector" presStyleLbl="node3" presStyleIdx="11" presStyleCnt="36"/>
      <dgm:spPr/>
    </dgm:pt>
    <dgm:pt modelId="{99E75F16-2E77-4339-A134-9220014A24EB}" type="pres">
      <dgm:prSet presAssocID="{21707E9C-756F-49C7-8A2B-CFCBD71737BB}" presName="hierChild4" presStyleCnt="0"/>
      <dgm:spPr/>
    </dgm:pt>
    <dgm:pt modelId="{785C9942-3C01-48FB-B4DF-E5A4DA7090E7}" type="pres">
      <dgm:prSet presAssocID="{21707E9C-756F-49C7-8A2B-CFCBD71737BB}" presName="hierChild5" presStyleCnt="0"/>
      <dgm:spPr/>
    </dgm:pt>
    <dgm:pt modelId="{FFB289A8-7FB7-4E72-8B87-1A9FC73E3A80}" type="pres">
      <dgm:prSet presAssocID="{E2075C35-04A8-466E-AEED-5D3277B5A90A}" presName="hierChild5" presStyleCnt="0"/>
      <dgm:spPr/>
    </dgm:pt>
    <dgm:pt modelId="{A974865C-4AAC-4F63-8401-750EBF08F041}" type="pres">
      <dgm:prSet presAssocID="{44591BC8-1AE4-4203-B251-4BF042D57FB8}" presName="Name37" presStyleLbl="parChTrans1D2" presStyleIdx="2" presStyleCnt="6"/>
      <dgm:spPr/>
    </dgm:pt>
    <dgm:pt modelId="{FEE0FA5E-00A4-41D8-AB1C-AA4586D37F11}" type="pres">
      <dgm:prSet presAssocID="{3F3357F7-4B5D-4628-A1A8-7502CC353783}" presName="hierRoot2" presStyleCnt="0">
        <dgm:presLayoutVars>
          <dgm:hierBranch val="init"/>
        </dgm:presLayoutVars>
      </dgm:prSet>
      <dgm:spPr/>
    </dgm:pt>
    <dgm:pt modelId="{0A5465EC-9D64-45D6-A634-820BA7B4AE2B}" type="pres">
      <dgm:prSet presAssocID="{3F3357F7-4B5D-4628-A1A8-7502CC353783}" presName="rootComposite" presStyleCnt="0"/>
      <dgm:spPr/>
    </dgm:pt>
    <dgm:pt modelId="{18D7EB7E-5345-47F5-A003-6DAA02A6F959}" type="pres">
      <dgm:prSet presAssocID="{3F3357F7-4B5D-4628-A1A8-7502CC353783}" presName="rootText" presStyleLbl="node2" presStyleIdx="2" presStyleCnt="6" custScaleX="245210" custScaleY="168520">
        <dgm:presLayoutVars>
          <dgm:chPref val="3"/>
        </dgm:presLayoutVars>
      </dgm:prSet>
      <dgm:spPr/>
    </dgm:pt>
    <dgm:pt modelId="{14ECF5AB-F12D-4C1A-9BDE-E5F8D27CC289}" type="pres">
      <dgm:prSet presAssocID="{3F3357F7-4B5D-4628-A1A8-7502CC353783}" presName="rootConnector" presStyleLbl="node2" presStyleIdx="2" presStyleCnt="6"/>
      <dgm:spPr/>
    </dgm:pt>
    <dgm:pt modelId="{DBDCAAA8-C1BC-464F-9DDC-4F4DD51E07B8}" type="pres">
      <dgm:prSet presAssocID="{3F3357F7-4B5D-4628-A1A8-7502CC353783}" presName="hierChild4" presStyleCnt="0"/>
      <dgm:spPr/>
    </dgm:pt>
    <dgm:pt modelId="{FC1C23FE-41C3-45AB-B919-B5AEFCF7E4A0}" type="pres">
      <dgm:prSet presAssocID="{AF3C95EC-2FD9-403C-A2F6-972AE545C6A9}" presName="Name37" presStyleLbl="parChTrans1D3" presStyleIdx="12" presStyleCnt="36"/>
      <dgm:spPr/>
    </dgm:pt>
    <dgm:pt modelId="{B07E5FBA-853A-4722-8233-6CF6E72C6F4D}" type="pres">
      <dgm:prSet presAssocID="{7DD9B6E2-B271-4E30-8530-F0FFC7508F3F}" presName="hierRoot2" presStyleCnt="0">
        <dgm:presLayoutVars>
          <dgm:hierBranch val="init"/>
        </dgm:presLayoutVars>
      </dgm:prSet>
      <dgm:spPr/>
    </dgm:pt>
    <dgm:pt modelId="{85F8D879-F237-47AF-B3E9-86F453639ABB}" type="pres">
      <dgm:prSet presAssocID="{7DD9B6E2-B271-4E30-8530-F0FFC7508F3F}" presName="rootComposite" presStyleCnt="0"/>
      <dgm:spPr/>
    </dgm:pt>
    <dgm:pt modelId="{67BD0060-BFB1-4C4A-9D5B-6E6E87609C6C}" type="pres">
      <dgm:prSet presAssocID="{7DD9B6E2-B271-4E30-8530-F0FFC7508F3F}" presName="rootText" presStyleLbl="node3" presStyleIdx="12" presStyleCnt="36" custAng="60000" custScaleX="207455" custScaleY="152507" custLinFactNeighborX="-12472" custLinFactNeighborY="20769">
        <dgm:presLayoutVars>
          <dgm:chPref val="3"/>
        </dgm:presLayoutVars>
      </dgm:prSet>
      <dgm:spPr/>
    </dgm:pt>
    <dgm:pt modelId="{96518F74-4F11-437D-A2B6-A7469A744A9A}" type="pres">
      <dgm:prSet presAssocID="{7DD9B6E2-B271-4E30-8530-F0FFC7508F3F}" presName="rootConnector" presStyleLbl="node3" presStyleIdx="12" presStyleCnt="36"/>
      <dgm:spPr/>
    </dgm:pt>
    <dgm:pt modelId="{4D242C7A-E775-4011-B353-68E6D193D297}" type="pres">
      <dgm:prSet presAssocID="{7DD9B6E2-B271-4E30-8530-F0FFC7508F3F}" presName="hierChild4" presStyleCnt="0"/>
      <dgm:spPr/>
    </dgm:pt>
    <dgm:pt modelId="{864A8151-C91F-4B19-8CA8-65447D47AC96}" type="pres">
      <dgm:prSet presAssocID="{7DD9B6E2-B271-4E30-8530-F0FFC7508F3F}" presName="hierChild5" presStyleCnt="0"/>
      <dgm:spPr/>
    </dgm:pt>
    <dgm:pt modelId="{ED94DFB4-543B-4805-8D2B-6695EC59E5AF}" type="pres">
      <dgm:prSet presAssocID="{B5FE1B7C-2D58-4AE8-96AF-581A3D339B6D}" presName="Name37" presStyleLbl="parChTrans1D3" presStyleIdx="13" presStyleCnt="36"/>
      <dgm:spPr/>
    </dgm:pt>
    <dgm:pt modelId="{AB9A0C88-A7A1-4224-9DB6-1220B771A881}" type="pres">
      <dgm:prSet presAssocID="{56758184-E51D-4231-A1FE-F35C27316928}" presName="hierRoot2" presStyleCnt="0">
        <dgm:presLayoutVars>
          <dgm:hierBranch val="init"/>
        </dgm:presLayoutVars>
      </dgm:prSet>
      <dgm:spPr/>
    </dgm:pt>
    <dgm:pt modelId="{270DE9D8-888B-4BB9-B0E6-9D449C7B0BEE}" type="pres">
      <dgm:prSet presAssocID="{56758184-E51D-4231-A1FE-F35C27316928}" presName="rootComposite" presStyleCnt="0"/>
      <dgm:spPr/>
    </dgm:pt>
    <dgm:pt modelId="{5451555C-535D-4995-B08E-92BDE4EE9F4E}" type="pres">
      <dgm:prSet presAssocID="{56758184-E51D-4231-A1FE-F35C27316928}" presName="rootText" presStyleLbl="node3" presStyleIdx="13" presStyleCnt="36" custAng="60000" custScaleX="207455" custScaleY="152507" custLinFactNeighborX="-6538">
        <dgm:presLayoutVars>
          <dgm:chPref val="3"/>
        </dgm:presLayoutVars>
      </dgm:prSet>
      <dgm:spPr/>
    </dgm:pt>
    <dgm:pt modelId="{98AB874C-9D50-49AD-A1E1-FECCB00C7FAA}" type="pres">
      <dgm:prSet presAssocID="{56758184-E51D-4231-A1FE-F35C27316928}" presName="rootConnector" presStyleLbl="node3" presStyleIdx="13" presStyleCnt="36"/>
      <dgm:spPr/>
    </dgm:pt>
    <dgm:pt modelId="{DF40D6F2-C7A3-4C3B-B06C-FFCFC3169665}" type="pres">
      <dgm:prSet presAssocID="{56758184-E51D-4231-A1FE-F35C27316928}" presName="hierChild4" presStyleCnt="0"/>
      <dgm:spPr/>
    </dgm:pt>
    <dgm:pt modelId="{E6D78B30-3EAD-4309-8DBC-744ABF9A9F04}" type="pres">
      <dgm:prSet presAssocID="{56758184-E51D-4231-A1FE-F35C27316928}" presName="hierChild5" presStyleCnt="0"/>
      <dgm:spPr/>
    </dgm:pt>
    <dgm:pt modelId="{0B8C700B-8527-409D-ADF9-BFF88DA7E80C}" type="pres">
      <dgm:prSet presAssocID="{39C5FE85-32DD-462E-8D23-03C3DDEA20B9}" presName="Name37" presStyleLbl="parChTrans1D3" presStyleIdx="14" presStyleCnt="36"/>
      <dgm:spPr/>
    </dgm:pt>
    <dgm:pt modelId="{A44EAD65-1180-474B-9932-864F69D248A2}" type="pres">
      <dgm:prSet presAssocID="{EA739FF8-B294-456B-B07A-B32298D14275}" presName="hierRoot2" presStyleCnt="0">
        <dgm:presLayoutVars>
          <dgm:hierBranch val="init"/>
        </dgm:presLayoutVars>
      </dgm:prSet>
      <dgm:spPr/>
    </dgm:pt>
    <dgm:pt modelId="{3D98EC16-D683-4773-9709-3132C2BA6BE0}" type="pres">
      <dgm:prSet presAssocID="{EA739FF8-B294-456B-B07A-B32298D14275}" presName="rootComposite" presStyleCnt="0"/>
      <dgm:spPr/>
    </dgm:pt>
    <dgm:pt modelId="{67112E2D-DA08-4C12-BA18-598F9B59C2DD}" type="pres">
      <dgm:prSet presAssocID="{EA739FF8-B294-456B-B07A-B32298D14275}" presName="rootText" presStyleLbl="node3" presStyleIdx="14" presStyleCnt="36" custAng="60000" custScaleX="207455" custScaleY="152507" custLinFactNeighborX="-6538">
        <dgm:presLayoutVars>
          <dgm:chPref val="3"/>
        </dgm:presLayoutVars>
      </dgm:prSet>
      <dgm:spPr/>
    </dgm:pt>
    <dgm:pt modelId="{12D47608-971A-4760-9862-9A137244C989}" type="pres">
      <dgm:prSet presAssocID="{EA739FF8-B294-456B-B07A-B32298D14275}" presName="rootConnector" presStyleLbl="node3" presStyleIdx="14" presStyleCnt="36"/>
      <dgm:spPr/>
    </dgm:pt>
    <dgm:pt modelId="{4AED43CD-31C5-4022-8320-197F7917098A}" type="pres">
      <dgm:prSet presAssocID="{EA739FF8-B294-456B-B07A-B32298D14275}" presName="hierChild4" presStyleCnt="0"/>
      <dgm:spPr/>
    </dgm:pt>
    <dgm:pt modelId="{7AF084A5-28F9-4954-B6C1-10F1AB251456}" type="pres">
      <dgm:prSet presAssocID="{EA739FF8-B294-456B-B07A-B32298D14275}" presName="hierChild5" presStyleCnt="0"/>
      <dgm:spPr/>
    </dgm:pt>
    <dgm:pt modelId="{7A5EFE90-79A7-45A5-998C-98AA3A25E535}" type="pres">
      <dgm:prSet presAssocID="{C6102B0F-7854-426C-92B3-2AE27B490B33}" presName="Name37" presStyleLbl="parChTrans1D3" presStyleIdx="15" presStyleCnt="36"/>
      <dgm:spPr/>
    </dgm:pt>
    <dgm:pt modelId="{D0915C85-8D46-47BF-A4EB-A9D5E2C03223}" type="pres">
      <dgm:prSet presAssocID="{DB7CACC7-5EC9-4B8D-96B4-EF600082F3F7}" presName="hierRoot2" presStyleCnt="0">
        <dgm:presLayoutVars>
          <dgm:hierBranch val="init"/>
        </dgm:presLayoutVars>
      </dgm:prSet>
      <dgm:spPr/>
    </dgm:pt>
    <dgm:pt modelId="{479631B7-3BC0-40CC-9C72-E67CB641C124}" type="pres">
      <dgm:prSet presAssocID="{DB7CACC7-5EC9-4B8D-96B4-EF600082F3F7}" presName="rootComposite" presStyleCnt="0"/>
      <dgm:spPr/>
    </dgm:pt>
    <dgm:pt modelId="{450069CF-7114-46AF-B948-B59BD7BD3248}" type="pres">
      <dgm:prSet presAssocID="{DB7CACC7-5EC9-4B8D-96B4-EF600082F3F7}" presName="rootText" presStyleLbl="node3" presStyleIdx="15" presStyleCnt="36" custAng="60000" custScaleX="207455" custScaleY="152507" custLinFactNeighborX="-6538">
        <dgm:presLayoutVars>
          <dgm:chPref val="3"/>
        </dgm:presLayoutVars>
      </dgm:prSet>
      <dgm:spPr/>
    </dgm:pt>
    <dgm:pt modelId="{DF59B64D-B8F5-4CBC-B522-C117940BEBC4}" type="pres">
      <dgm:prSet presAssocID="{DB7CACC7-5EC9-4B8D-96B4-EF600082F3F7}" presName="rootConnector" presStyleLbl="node3" presStyleIdx="15" presStyleCnt="36"/>
      <dgm:spPr/>
    </dgm:pt>
    <dgm:pt modelId="{6345127E-510B-45C4-A1EC-E1832DAFDCB4}" type="pres">
      <dgm:prSet presAssocID="{DB7CACC7-5EC9-4B8D-96B4-EF600082F3F7}" presName="hierChild4" presStyleCnt="0"/>
      <dgm:spPr/>
    </dgm:pt>
    <dgm:pt modelId="{CB40CC88-B9AA-4CF6-954A-09848908972D}" type="pres">
      <dgm:prSet presAssocID="{DB7CACC7-5EC9-4B8D-96B4-EF600082F3F7}" presName="hierChild5" presStyleCnt="0"/>
      <dgm:spPr/>
    </dgm:pt>
    <dgm:pt modelId="{49442FAC-B0E9-4BAD-861B-AEA4355561EE}" type="pres">
      <dgm:prSet presAssocID="{23FDE87F-8181-442A-B062-9B31B775BC56}" presName="Name37" presStyleLbl="parChTrans1D3" presStyleIdx="16" presStyleCnt="36"/>
      <dgm:spPr/>
    </dgm:pt>
    <dgm:pt modelId="{BE36E480-C167-4AD3-9D39-2BDDE28D2FCE}" type="pres">
      <dgm:prSet presAssocID="{A364AF1D-E42E-45AF-B842-6159BFA8C7B9}" presName="hierRoot2" presStyleCnt="0">
        <dgm:presLayoutVars>
          <dgm:hierBranch val="init"/>
        </dgm:presLayoutVars>
      </dgm:prSet>
      <dgm:spPr/>
    </dgm:pt>
    <dgm:pt modelId="{AE7A26D8-46C7-4B04-8483-C1BD2A7E3C14}" type="pres">
      <dgm:prSet presAssocID="{A364AF1D-E42E-45AF-B842-6159BFA8C7B9}" presName="rootComposite" presStyleCnt="0"/>
      <dgm:spPr/>
    </dgm:pt>
    <dgm:pt modelId="{0A0D7290-3BF8-4E1B-AF58-EEEFB663DEAB}" type="pres">
      <dgm:prSet presAssocID="{A364AF1D-E42E-45AF-B842-6159BFA8C7B9}" presName="rootText" presStyleLbl="node3" presStyleIdx="16" presStyleCnt="36" custAng="60000" custScaleX="207455" custScaleY="152507" custLinFactNeighborX="-604" custLinFactNeighborY="35604">
        <dgm:presLayoutVars>
          <dgm:chPref val="3"/>
        </dgm:presLayoutVars>
      </dgm:prSet>
      <dgm:spPr/>
    </dgm:pt>
    <dgm:pt modelId="{4CA1BCDE-C91A-4827-AD61-80C4BDB2B836}" type="pres">
      <dgm:prSet presAssocID="{A364AF1D-E42E-45AF-B842-6159BFA8C7B9}" presName="rootConnector" presStyleLbl="node3" presStyleIdx="16" presStyleCnt="36"/>
      <dgm:spPr/>
    </dgm:pt>
    <dgm:pt modelId="{F38F6212-48FF-463E-B9A7-FB0408902497}" type="pres">
      <dgm:prSet presAssocID="{A364AF1D-E42E-45AF-B842-6159BFA8C7B9}" presName="hierChild4" presStyleCnt="0"/>
      <dgm:spPr/>
    </dgm:pt>
    <dgm:pt modelId="{0D041C48-43CB-4E57-B84A-F832A4E0B4E1}" type="pres">
      <dgm:prSet presAssocID="{A364AF1D-E42E-45AF-B842-6159BFA8C7B9}" presName="hierChild5" presStyleCnt="0"/>
      <dgm:spPr/>
    </dgm:pt>
    <dgm:pt modelId="{BD64C209-A7B0-47B9-A859-89497615BB8D}" type="pres">
      <dgm:prSet presAssocID="{AC135556-31BF-44F2-8873-1191AAC5AD3E}" presName="Name37" presStyleLbl="parChTrans1D3" presStyleIdx="17" presStyleCnt="36"/>
      <dgm:spPr/>
    </dgm:pt>
    <dgm:pt modelId="{DC678C6B-A706-4E55-9339-2F82E726CF1A}" type="pres">
      <dgm:prSet presAssocID="{D38C2767-0E30-4FB6-A12F-96B1C5EC5ACD}" presName="hierRoot2" presStyleCnt="0">
        <dgm:presLayoutVars>
          <dgm:hierBranch val="init"/>
        </dgm:presLayoutVars>
      </dgm:prSet>
      <dgm:spPr/>
    </dgm:pt>
    <dgm:pt modelId="{754A9F5B-6B64-4FAA-9219-44D2BF6EF7D1}" type="pres">
      <dgm:prSet presAssocID="{D38C2767-0E30-4FB6-A12F-96B1C5EC5ACD}" presName="rootComposite" presStyleCnt="0"/>
      <dgm:spPr/>
    </dgm:pt>
    <dgm:pt modelId="{A9181D67-06C7-48A4-910B-0FB4C3B9B53D}" type="pres">
      <dgm:prSet presAssocID="{D38C2767-0E30-4FB6-A12F-96B1C5EC5ACD}" presName="rootText" presStyleLbl="node3" presStyleIdx="17" presStyleCnt="36" custScaleX="207455" custScaleY="152508" custLinFactNeighborX="13351" custLinFactNeighborY="86043">
        <dgm:presLayoutVars>
          <dgm:chPref val="3"/>
        </dgm:presLayoutVars>
      </dgm:prSet>
      <dgm:spPr/>
    </dgm:pt>
    <dgm:pt modelId="{3E7608C9-1BF5-4B36-AAAD-19D61152C89B}" type="pres">
      <dgm:prSet presAssocID="{D38C2767-0E30-4FB6-A12F-96B1C5EC5ACD}" presName="rootConnector" presStyleLbl="node3" presStyleIdx="17" presStyleCnt="36"/>
      <dgm:spPr/>
    </dgm:pt>
    <dgm:pt modelId="{54FA8ABD-8EE2-4C8E-AF0F-E6E5C06705FC}" type="pres">
      <dgm:prSet presAssocID="{D38C2767-0E30-4FB6-A12F-96B1C5EC5ACD}" presName="hierChild4" presStyleCnt="0"/>
      <dgm:spPr/>
    </dgm:pt>
    <dgm:pt modelId="{E6ED8DE2-CF4D-47A4-9B88-6C9B0BFD0B80}" type="pres">
      <dgm:prSet presAssocID="{D38C2767-0E30-4FB6-A12F-96B1C5EC5ACD}" presName="hierChild5" presStyleCnt="0"/>
      <dgm:spPr/>
    </dgm:pt>
    <dgm:pt modelId="{6A072BC7-B881-493B-AD0D-CDD56EE18CBB}" type="pres">
      <dgm:prSet presAssocID="{3F3357F7-4B5D-4628-A1A8-7502CC353783}" presName="hierChild5" presStyleCnt="0"/>
      <dgm:spPr/>
    </dgm:pt>
    <dgm:pt modelId="{4B4A3709-AA75-4971-921B-CAC4A33225CC}" type="pres">
      <dgm:prSet presAssocID="{1EDA062A-9AE5-4A51-90C7-F5F58C4180FE}" presName="Name37" presStyleLbl="parChTrans1D2" presStyleIdx="3" presStyleCnt="6"/>
      <dgm:spPr/>
    </dgm:pt>
    <dgm:pt modelId="{47D8AAF7-3DE1-4F00-8587-467D065E780E}" type="pres">
      <dgm:prSet presAssocID="{12769DC2-3E6F-47DC-8299-CD864B2ADFD6}" presName="hierRoot2" presStyleCnt="0">
        <dgm:presLayoutVars>
          <dgm:hierBranch val="init"/>
        </dgm:presLayoutVars>
      </dgm:prSet>
      <dgm:spPr/>
    </dgm:pt>
    <dgm:pt modelId="{29CBCBA3-9A84-4E67-AE65-EEE179EEC833}" type="pres">
      <dgm:prSet presAssocID="{12769DC2-3E6F-47DC-8299-CD864B2ADFD6}" presName="rootComposite" presStyleCnt="0"/>
      <dgm:spPr/>
    </dgm:pt>
    <dgm:pt modelId="{EBDC4F41-BB02-4045-BB2C-0F561DCA0C10}" type="pres">
      <dgm:prSet presAssocID="{12769DC2-3E6F-47DC-8299-CD864B2ADFD6}" presName="rootText" presStyleLbl="node2" presStyleIdx="3" presStyleCnt="6" custScaleX="245210" custScaleY="168520">
        <dgm:presLayoutVars>
          <dgm:chPref val="3"/>
        </dgm:presLayoutVars>
      </dgm:prSet>
      <dgm:spPr/>
    </dgm:pt>
    <dgm:pt modelId="{7BCBB919-E96F-42D4-BA5F-2446C6D9C71A}" type="pres">
      <dgm:prSet presAssocID="{12769DC2-3E6F-47DC-8299-CD864B2ADFD6}" presName="rootConnector" presStyleLbl="node2" presStyleIdx="3" presStyleCnt="6"/>
      <dgm:spPr/>
    </dgm:pt>
    <dgm:pt modelId="{43280E03-1FB3-4E9D-B52E-EA740400CD98}" type="pres">
      <dgm:prSet presAssocID="{12769DC2-3E6F-47DC-8299-CD864B2ADFD6}" presName="hierChild4" presStyleCnt="0"/>
      <dgm:spPr/>
    </dgm:pt>
    <dgm:pt modelId="{96BFC465-8166-421C-9903-E801C6A495F4}" type="pres">
      <dgm:prSet presAssocID="{9D236FE8-B5DB-42B2-83A0-8A85E57D18D6}" presName="Name37" presStyleLbl="parChTrans1D3" presStyleIdx="18" presStyleCnt="36"/>
      <dgm:spPr/>
    </dgm:pt>
    <dgm:pt modelId="{9FE58E93-0DB9-444A-BC5D-7057BA79A88D}" type="pres">
      <dgm:prSet presAssocID="{AB76204E-2E1E-4483-B659-02F8E8BD8E3A}" presName="hierRoot2" presStyleCnt="0">
        <dgm:presLayoutVars>
          <dgm:hierBranch val="init"/>
        </dgm:presLayoutVars>
      </dgm:prSet>
      <dgm:spPr/>
    </dgm:pt>
    <dgm:pt modelId="{565A487E-9E09-4ED1-9070-3D2C30FC8F80}" type="pres">
      <dgm:prSet presAssocID="{AB76204E-2E1E-4483-B659-02F8E8BD8E3A}" presName="rootComposite" presStyleCnt="0"/>
      <dgm:spPr/>
    </dgm:pt>
    <dgm:pt modelId="{647420B5-B7F6-41E1-AC34-55D8867088E7}" type="pres">
      <dgm:prSet presAssocID="{AB76204E-2E1E-4483-B659-02F8E8BD8E3A}" presName="rootText" presStyleLbl="node3" presStyleIdx="18" presStyleCnt="36" custScaleX="207455" custScaleY="152507" custLinFactNeighborX="-10988" custLinFactNeighborY="17802">
        <dgm:presLayoutVars>
          <dgm:chPref val="3"/>
        </dgm:presLayoutVars>
      </dgm:prSet>
      <dgm:spPr/>
    </dgm:pt>
    <dgm:pt modelId="{2AA0D326-14A0-4FFF-AA6C-042CD260C778}" type="pres">
      <dgm:prSet presAssocID="{AB76204E-2E1E-4483-B659-02F8E8BD8E3A}" presName="rootConnector" presStyleLbl="node3" presStyleIdx="18" presStyleCnt="36"/>
      <dgm:spPr/>
    </dgm:pt>
    <dgm:pt modelId="{C16A6238-679E-4BA6-B31F-76D0DF27624F}" type="pres">
      <dgm:prSet presAssocID="{AB76204E-2E1E-4483-B659-02F8E8BD8E3A}" presName="hierChild4" presStyleCnt="0"/>
      <dgm:spPr/>
    </dgm:pt>
    <dgm:pt modelId="{9FDA9C82-B287-452D-804B-E818F8F1B6D7}" type="pres">
      <dgm:prSet presAssocID="{AB76204E-2E1E-4483-B659-02F8E8BD8E3A}" presName="hierChild5" presStyleCnt="0"/>
      <dgm:spPr/>
    </dgm:pt>
    <dgm:pt modelId="{EF40F13B-2C5A-41A4-9FFF-CA4653B01B3B}" type="pres">
      <dgm:prSet presAssocID="{4E92F089-AA5E-42E6-8F33-FE692A0C9628}" presName="Name37" presStyleLbl="parChTrans1D3" presStyleIdx="19" presStyleCnt="36"/>
      <dgm:spPr/>
    </dgm:pt>
    <dgm:pt modelId="{687001A3-D3CC-4AB1-84C4-16CB10BD9A2C}" type="pres">
      <dgm:prSet presAssocID="{A2EEF95F-6FCB-462B-A18E-D01951D1EB2D}" presName="hierRoot2" presStyleCnt="0">
        <dgm:presLayoutVars>
          <dgm:hierBranch val="init"/>
        </dgm:presLayoutVars>
      </dgm:prSet>
      <dgm:spPr/>
    </dgm:pt>
    <dgm:pt modelId="{2640AFD9-A105-4927-8D49-A4911DAEB8A6}" type="pres">
      <dgm:prSet presAssocID="{A2EEF95F-6FCB-462B-A18E-D01951D1EB2D}" presName="rootComposite" presStyleCnt="0"/>
      <dgm:spPr/>
    </dgm:pt>
    <dgm:pt modelId="{ABC7BB64-A90A-4CB7-9105-0A2AC9805564}" type="pres">
      <dgm:prSet presAssocID="{A2EEF95F-6FCB-462B-A18E-D01951D1EB2D}" presName="rootText" presStyleLbl="node3" presStyleIdx="19" presStyleCnt="36" custScaleX="207455" custScaleY="152507" custLinFactNeighborX="-9505" custLinFactNeighborY="17802">
        <dgm:presLayoutVars>
          <dgm:chPref val="3"/>
        </dgm:presLayoutVars>
      </dgm:prSet>
      <dgm:spPr/>
    </dgm:pt>
    <dgm:pt modelId="{FF3F3098-1EE8-47DE-A756-7FCF6D81535A}" type="pres">
      <dgm:prSet presAssocID="{A2EEF95F-6FCB-462B-A18E-D01951D1EB2D}" presName="rootConnector" presStyleLbl="node3" presStyleIdx="19" presStyleCnt="36"/>
      <dgm:spPr/>
    </dgm:pt>
    <dgm:pt modelId="{B21E56AF-F838-42B0-B06B-68B9B29854D0}" type="pres">
      <dgm:prSet presAssocID="{A2EEF95F-6FCB-462B-A18E-D01951D1EB2D}" presName="hierChild4" presStyleCnt="0"/>
      <dgm:spPr/>
    </dgm:pt>
    <dgm:pt modelId="{296DDADC-4797-42A4-AEEE-50AD6B51ED36}" type="pres">
      <dgm:prSet presAssocID="{A2EEF95F-6FCB-462B-A18E-D01951D1EB2D}" presName="hierChild5" presStyleCnt="0"/>
      <dgm:spPr/>
    </dgm:pt>
    <dgm:pt modelId="{F8DF4927-B0E2-4A18-B576-0CEAC6685F51}" type="pres">
      <dgm:prSet presAssocID="{D78B9227-C856-4685-9B63-ED38AD2B7C9E}" presName="Name37" presStyleLbl="parChTrans1D3" presStyleIdx="20" presStyleCnt="36"/>
      <dgm:spPr/>
    </dgm:pt>
    <dgm:pt modelId="{6CA202BA-0547-482E-BDB3-FA2EF0455FAC}" type="pres">
      <dgm:prSet presAssocID="{BB19C4C0-C836-4CD8-A7C4-A0225D3257FB}" presName="hierRoot2" presStyleCnt="0">
        <dgm:presLayoutVars>
          <dgm:hierBranch val="init"/>
        </dgm:presLayoutVars>
      </dgm:prSet>
      <dgm:spPr/>
    </dgm:pt>
    <dgm:pt modelId="{8555C65F-DEC2-4828-BA48-3DC0D3ECE78E}" type="pres">
      <dgm:prSet presAssocID="{BB19C4C0-C836-4CD8-A7C4-A0225D3257FB}" presName="rootComposite" presStyleCnt="0"/>
      <dgm:spPr/>
    </dgm:pt>
    <dgm:pt modelId="{AD7D396D-70EB-4F3A-AC22-78E8462178A0}" type="pres">
      <dgm:prSet presAssocID="{BB19C4C0-C836-4CD8-A7C4-A0225D3257FB}" presName="rootText" presStyleLbl="node3" presStyleIdx="20" presStyleCnt="36" custScaleX="207455" custScaleY="152507" custLinFactNeighborX="-6538" custLinFactNeighborY="11868">
        <dgm:presLayoutVars>
          <dgm:chPref val="3"/>
        </dgm:presLayoutVars>
      </dgm:prSet>
      <dgm:spPr/>
    </dgm:pt>
    <dgm:pt modelId="{E8EB7F20-D728-4C93-81BC-AECA407EEA56}" type="pres">
      <dgm:prSet presAssocID="{BB19C4C0-C836-4CD8-A7C4-A0225D3257FB}" presName="rootConnector" presStyleLbl="node3" presStyleIdx="20" presStyleCnt="36"/>
      <dgm:spPr/>
    </dgm:pt>
    <dgm:pt modelId="{73215CC5-9FC6-4D32-8095-2F8C1CDF19D5}" type="pres">
      <dgm:prSet presAssocID="{BB19C4C0-C836-4CD8-A7C4-A0225D3257FB}" presName="hierChild4" presStyleCnt="0"/>
      <dgm:spPr/>
    </dgm:pt>
    <dgm:pt modelId="{804A5EFD-3256-46F4-A920-47AD6128D0B1}" type="pres">
      <dgm:prSet presAssocID="{BB19C4C0-C836-4CD8-A7C4-A0225D3257FB}" presName="hierChild5" presStyleCnt="0"/>
      <dgm:spPr/>
    </dgm:pt>
    <dgm:pt modelId="{F7E5F2CE-0C8A-4AD2-8503-9E5CEAC34879}" type="pres">
      <dgm:prSet presAssocID="{56B05BB8-D9BC-48CC-8340-36DFDDF4319A}" presName="Name37" presStyleLbl="parChTrans1D3" presStyleIdx="21" presStyleCnt="36"/>
      <dgm:spPr/>
    </dgm:pt>
    <dgm:pt modelId="{4F2AEEF9-EDA3-4E3E-B002-537E5DD32D88}" type="pres">
      <dgm:prSet presAssocID="{763329BB-BA95-4CCB-A946-57F154F16083}" presName="hierRoot2" presStyleCnt="0">
        <dgm:presLayoutVars>
          <dgm:hierBranch val="init"/>
        </dgm:presLayoutVars>
      </dgm:prSet>
      <dgm:spPr/>
    </dgm:pt>
    <dgm:pt modelId="{4ECD40FA-F322-4346-AA5A-4A751A4677AA}" type="pres">
      <dgm:prSet presAssocID="{763329BB-BA95-4CCB-A946-57F154F16083}" presName="rootComposite" presStyleCnt="0"/>
      <dgm:spPr/>
    </dgm:pt>
    <dgm:pt modelId="{39B8E77F-B22C-4656-8B22-473C50CE438F}" type="pres">
      <dgm:prSet presAssocID="{763329BB-BA95-4CCB-A946-57F154F16083}" presName="rootText" presStyleLbl="node3" presStyleIdx="21" presStyleCnt="36" custScaleX="207455" custScaleY="152507" custLinFactNeighborX="-6538">
        <dgm:presLayoutVars>
          <dgm:chPref val="3"/>
        </dgm:presLayoutVars>
      </dgm:prSet>
      <dgm:spPr/>
    </dgm:pt>
    <dgm:pt modelId="{A69B6F19-D601-4E1F-A30B-92D7339CEC15}" type="pres">
      <dgm:prSet presAssocID="{763329BB-BA95-4CCB-A946-57F154F16083}" presName="rootConnector" presStyleLbl="node3" presStyleIdx="21" presStyleCnt="36"/>
      <dgm:spPr/>
    </dgm:pt>
    <dgm:pt modelId="{CB957512-36BE-4415-B4CF-2844E268DBC9}" type="pres">
      <dgm:prSet presAssocID="{763329BB-BA95-4CCB-A946-57F154F16083}" presName="hierChild4" presStyleCnt="0"/>
      <dgm:spPr/>
    </dgm:pt>
    <dgm:pt modelId="{8BC8AA20-D366-48FE-8A79-B07CEC24E33A}" type="pres">
      <dgm:prSet presAssocID="{763329BB-BA95-4CCB-A946-57F154F16083}" presName="hierChild5" presStyleCnt="0"/>
      <dgm:spPr/>
    </dgm:pt>
    <dgm:pt modelId="{528E5FC3-D11A-4F89-9B14-660DA30A5BD9}" type="pres">
      <dgm:prSet presAssocID="{D5CF3F1D-4FFA-44B5-84B3-977AD131F177}" presName="Name37" presStyleLbl="parChTrans1D3" presStyleIdx="22" presStyleCnt="36"/>
      <dgm:spPr/>
    </dgm:pt>
    <dgm:pt modelId="{12062A6B-A75C-4D48-B92C-B675952729DB}" type="pres">
      <dgm:prSet presAssocID="{BF100430-0928-4BA1-B2C3-DCBB59BE2FBC}" presName="hierRoot2" presStyleCnt="0">
        <dgm:presLayoutVars>
          <dgm:hierBranch val="init"/>
        </dgm:presLayoutVars>
      </dgm:prSet>
      <dgm:spPr/>
    </dgm:pt>
    <dgm:pt modelId="{30E9CCB3-D19D-4DB7-BC88-FB00CD9E218F}" type="pres">
      <dgm:prSet presAssocID="{BF100430-0928-4BA1-B2C3-DCBB59BE2FBC}" presName="rootComposite" presStyleCnt="0"/>
      <dgm:spPr/>
    </dgm:pt>
    <dgm:pt modelId="{DE90A0AF-EF96-426B-BDC2-9EE119692A07}" type="pres">
      <dgm:prSet presAssocID="{BF100430-0928-4BA1-B2C3-DCBB59BE2FBC}" presName="rootText" presStyleLbl="node3" presStyleIdx="22" presStyleCnt="36" custScaleX="207455" custScaleY="152507" custLinFactNeighborX="-3572" custLinFactNeighborY="38571">
        <dgm:presLayoutVars>
          <dgm:chPref val="3"/>
        </dgm:presLayoutVars>
      </dgm:prSet>
      <dgm:spPr/>
    </dgm:pt>
    <dgm:pt modelId="{F75DB207-43BF-488C-BEA8-CD8796287353}" type="pres">
      <dgm:prSet presAssocID="{BF100430-0928-4BA1-B2C3-DCBB59BE2FBC}" presName="rootConnector" presStyleLbl="node3" presStyleIdx="22" presStyleCnt="36"/>
      <dgm:spPr/>
    </dgm:pt>
    <dgm:pt modelId="{6418E0AA-405F-42EF-9349-0AD5D6EAB063}" type="pres">
      <dgm:prSet presAssocID="{BF100430-0928-4BA1-B2C3-DCBB59BE2FBC}" presName="hierChild4" presStyleCnt="0"/>
      <dgm:spPr/>
    </dgm:pt>
    <dgm:pt modelId="{B1B17F1D-BD38-43E7-83FF-66C9397AAE58}" type="pres">
      <dgm:prSet presAssocID="{BF100430-0928-4BA1-B2C3-DCBB59BE2FBC}" presName="hierChild5" presStyleCnt="0"/>
      <dgm:spPr/>
    </dgm:pt>
    <dgm:pt modelId="{59C04252-CCFB-4CC8-BA77-20FD222490E8}" type="pres">
      <dgm:prSet presAssocID="{3D53F137-37DF-4C23-9AFE-E21B731FCD13}" presName="Name37" presStyleLbl="parChTrans1D3" presStyleIdx="23" presStyleCnt="36"/>
      <dgm:spPr/>
    </dgm:pt>
    <dgm:pt modelId="{A1D1C9F3-0143-44EB-B646-474015DEF2F5}" type="pres">
      <dgm:prSet presAssocID="{6D5DB864-02A4-46BE-8545-ED7E486F40B1}" presName="hierRoot2" presStyleCnt="0">
        <dgm:presLayoutVars>
          <dgm:hierBranch val="init"/>
        </dgm:presLayoutVars>
      </dgm:prSet>
      <dgm:spPr/>
    </dgm:pt>
    <dgm:pt modelId="{5030E857-2B75-42B6-8DF1-6EAD3BCFEC87}" type="pres">
      <dgm:prSet presAssocID="{6D5DB864-02A4-46BE-8545-ED7E486F40B1}" presName="rootComposite" presStyleCnt="0"/>
      <dgm:spPr/>
    </dgm:pt>
    <dgm:pt modelId="{0119EEB9-9A38-430C-8605-8FF3F804544F}" type="pres">
      <dgm:prSet presAssocID="{6D5DB864-02A4-46BE-8545-ED7E486F40B1}" presName="rootText" presStyleLbl="node3" presStyleIdx="23" presStyleCnt="36" custScaleX="207455" custScaleY="152508" custLinFactNeighborX="4450" custLinFactNeighborY="74174">
        <dgm:presLayoutVars>
          <dgm:chPref val="3"/>
        </dgm:presLayoutVars>
      </dgm:prSet>
      <dgm:spPr/>
    </dgm:pt>
    <dgm:pt modelId="{E2D3DBFC-8378-439D-8EA2-F88586179F5F}" type="pres">
      <dgm:prSet presAssocID="{6D5DB864-02A4-46BE-8545-ED7E486F40B1}" presName="rootConnector" presStyleLbl="node3" presStyleIdx="23" presStyleCnt="36"/>
      <dgm:spPr/>
    </dgm:pt>
    <dgm:pt modelId="{2CC031BB-80CE-4A34-B076-97E9EA6BF3C3}" type="pres">
      <dgm:prSet presAssocID="{6D5DB864-02A4-46BE-8545-ED7E486F40B1}" presName="hierChild4" presStyleCnt="0"/>
      <dgm:spPr/>
    </dgm:pt>
    <dgm:pt modelId="{964B1D07-7B38-46DF-B184-5EF2F7CA3EAC}" type="pres">
      <dgm:prSet presAssocID="{6D5DB864-02A4-46BE-8545-ED7E486F40B1}" presName="hierChild5" presStyleCnt="0"/>
      <dgm:spPr/>
    </dgm:pt>
    <dgm:pt modelId="{0E4756FC-7C91-46C9-A0DD-FAE4704C34AA}" type="pres">
      <dgm:prSet presAssocID="{12769DC2-3E6F-47DC-8299-CD864B2ADFD6}" presName="hierChild5" presStyleCnt="0"/>
      <dgm:spPr/>
    </dgm:pt>
    <dgm:pt modelId="{F1EE7129-9CBE-42CE-9EE3-3684DAE78A6A}" type="pres">
      <dgm:prSet presAssocID="{700EB8B3-EC84-483A-8486-DA03EEAAFDAC}" presName="Name37" presStyleLbl="parChTrans1D2" presStyleIdx="4" presStyleCnt="6"/>
      <dgm:spPr/>
    </dgm:pt>
    <dgm:pt modelId="{1AC2E66A-2A2E-4A3B-AEC8-DF1D34B03365}" type="pres">
      <dgm:prSet presAssocID="{50288868-FEEE-470B-9B6E-3B8DBAE6D908}" presName="hierRoot2" presStyleCnt="0">
        <dgm:presLayoutVars>
          <dgm:hierBranch val="init"/>
        </dgm:presLayoutVars>
      </dgm:prSet>
      <dgm:spPr/>
    </dgm:pt>
    <dgm:pt modelId="{40535A9C-B148-4F64-A1A0-A8CC7945C730}" type="pres">
      <dgm:prSet presAssocID="{50288868-FEEE-470B-9B6E-3B8DBAE6D908}" presName="rootComposite" presStyleCnt="0"/>
      <dgm:spPr/>
    </dgm:pt>
    <dgm:pt modelId="{A258BD13-7871-4C9C-B418-43BE12BFB3E9}" type="pres">
      <dgm:prSet presAssocID="{50288868-FEEE-470B-9B6E-3B8DBAE6D908}" presName="rootText" presStyleLbl="node2" presStyleIdx="4" presStyleCnt="6" custScaleX="245210" custScaleY="168520">
        <dgm:presLayoutVars>
          <dgm:chPref val="3"/>
        </dgm:presLayoutVars>
      </dgm:prSet>
      <dgm:spPr/>
    </dgm:pt>
    <dgm:pt modelId="{377DAAC8-B64C-4B18-908A-1890A133AEFC}" type="pres">
      <dgm:prSet presAssocID="{50288868-FEEE-470B-9B6E-3B8DBAE6D908}" presName="rootConnector" presStyleLbl="node2" presStyleIdx="4" presStyleCnt="6"/>
      <dgm:spPr/>
    </dgm:pt>
    <dgm:pt modelId="{314C482C-65BB-47D4-915A-6F0C3441E503}" type="pres">
      <dgm:prSet presAssocID="{50288868-FEEE-470B-9B6E-3B8DBAE6D908}" presName="hierChild4" presStyleCnt="0"/>
      <dgm:spPr/>
    </dgm:pt>
    <dgm:pt modelId="{2F7B221D-5030-40CE-B2C2-68153A0F97EC}" type="pres">
      <dgm:prSet presAssocID="{FD1DE0E6-FA2F-44F6-B53A-BD88042663B5}" presName="Name37" presStyleLbl="parChTrans1D3" presStyleIdx="24" presStyleCnt="36"/>
      <dgm:spPr/>
    </dgm:pt>
    <dgm:pt modelId="{9FB25C77-0C0A-4FB2-89FE-7175A2B094F9}" type="pres">
      <dgm:prSet presAssocID="{ECA12779-181B-4C07-9D00-63CBA88654AE}" presName="hierRoot2" presStyleCnt="0">
        <dgm:presLayoutVars>
          <dgm:hierBranch val="init"/>
        </dgm:presLayoutVars>
      </dgm:prSet>
      <dgm:spPr/>
    </dgm:pt>
    <dgm:pt modelId="{CB680E1F-EBAE-4062-A071-AB7C08232403}" type="pres">
      <dgm:prSet presAssocID="{ECA12779-181B-4C07-9D00-63CBA88654AE}" presName="rootComposite" presStyleCnt="0"/>
      <dgm:spPr/>
    </dgm:pt>
    <dgm:pt modelId="{FED6595E-1570-4891-AE46-CD4AC1DEF9EA}" type="pres">
      <dgm:prSet presAssocID="{ECA12779-181B-4C07-9D00-63CBA88654AE}" presName="rootText" presStyleLbl="node3" presStyleIdx="24" presStyleCnt="36" custScaleX="201848" custScaleY="152507" custLinFactNeighborX="-6538">
        <dgm:presLayoutVars>
          <dgm:chPref val="3"/>
        </dgm:presLayoutVars>
      </dgm:prSet>
      <dgm:spPr/>
    </dgm:pt>
    <dgm:pt modelId="{4A3DC27F-8DE4-48A4-9352-6E19ED89BD37}" type="pres">
      <dgm:prSet presAssocID="{ECA12779-181B-4C07-9D00-63CBA88654AE}" presName="rootConnector" presStyleLbl="node3" presStyleIdx="24" presStyleCnt="36"/>
      <dgm:spPr/>
    </dgm:pt>
    <dgm:pt modelId="{DFA8D785-E1E1-4A77-B992-17A55C3F2717}" type="pres">
      <dgm:prSet presAssocID="{ECA12779-181B-4C07-9D00-63CBA88654AE}" presName="hierChild4" presStyleCnt="0"/>
      <dgm:spPr/>
    </dgm:pt>
    <dgm:pt modelId="{6D7E8D45-4C51-4D9C-A331-6B04C0832A8B}" type="pres">
      <dgm:prSet presAssocID="{ECA12779-181B-4C07-9D00-63CBA88654AE}" presName="hierChild5" presStyleCnt="0"/>
      <dgm:spPr/>
    </dgm:pt>
    <dgm:pt modelId="{FD540605-6F96-4B99-9FEF-8CEAB4571FB4}" type="pres">
      <dgm:prSet presAssocID="{1CD7D42E-8C56-458F-8322-E22926EA09CE}" presName="Name37" presStyleLbl="parChTrans1D3" presStyleIdx="25" presStyleCnt="36"/>
      <dgm:spPr/>
    </dgm:pt>
    <dgm:pt modelId="{3611DE11-DCD5-4EE0-BB96-595CF39417D6}" type="pres">
      <dgm:prSet presAssocID="{12351F76-C54E-43F8-A657-363EC9E932E1}" presName="hierRoot2" presStyleCnt="0">
        <dgm:presLayoutVars>
          <dgm:hierBranch val="init"/>
        </dgm:presLayoutVars>
      </dgm:prSet>
      <dgm:spPr/>
    </dgm:pt>
    <dgm:pt modelId="{543E833C-7B9C-410F-911B-FAF9A6E38FF7}" type="pres">
      <dgm:prSet presAssocID="{12351F76-C54E-43F8-A657-363EC9E932E1}" presName="rootComposite" presStyleCnt="0"/>
      <dgm:spPr/>
    </dgm:pt>
    <dgm:pt modelId="{7F8EFDBA-900F-4273-A7B0-E6FE5E02840D}" type="pres">
      <dgm:prSet presAssocID="{12351F76-C54E-43F8-A657-363EC9E932E1}" presName="rootText" presStyleLbl="node3" presStyleIdx="25" presStyleCnt="36" custScaleX="201848" custScaleY="152507" custLinFactNeighborX="-6538">
        <dgm:presLayoutVars>
          <dgm:chPref val="3"/>
        </dgm:presLayoutVars>
      </dgm:prSet>
      <dgm:spPr/>
    </dgm:pt>
    <dgm:pt modelId="{04201401-4837-4B30-AFFF-9998EB8BCE29}" type="pres">
      <dgm:prSet presAssocID="{12351F76-C54E-43F8-A657-363EC9E932E1}" presName="rootConnector" presStyleLbl="node3" presStyleIdx="25" presStyleCnt="36"/>
      <dgm:spPr/>
    </dgm:pt>
    <dgm:pt modelId="{DB6740BE-9238-45AF-9A9D-36FB72CBF9E7}" type="pres">
      <dgm:prSet presAssocID="{12351F76-C54E-43F8-A657-363EC9E932E1}" presName="hierChild4" presStyleCnt="0"/>
      <dgm:spPr/>
    </dgm:pt>
    <dgm:pt modelId="{2E3B18E5-0669-407E-95D9-025A23E008F6}" type="pres">
      <dgm:prSet presAssocID="{12351F76-C54E-43F8-A657-363EC9E932E1}" presName="hierChild5" presStyleCnt="0"/>
      <dgm:spPr/>
    </dgm:pt>
    <dgm:pt modelId="{B5210DB0-CB29-4557-B327-60029655B293}" type="pres">
      <dgm:prSet presAssocID="{EC779102-338A-4658-805D-ADA27F85C532}" presName="Name37" presStyleLbl="parChTrans1D3" presStyleIdx="26" presStyleCnt="36"/>
      <dgm:spPr/>
    </dgm:pt>
    <dgm:pt modelId="{19822EA0-112B-4594-9EA3-4509F040EAF2}" type="pres">
      <dgm:prSet presAssocID="{ACFB9295-1466-40DD-AC28-3F5FD1714F64}" presName="hierRoot2" presStyleCnt="0">
        <dgm:presLayoutVars>
          <dgm:hierBranch val="init"/>
        </dgm:presLayoutVars>
      </dgm:prSet>
      <dgm:spPr/>
    </dgm:pt>
    <dgm:pt modelId="{6BB299F7-B8F6-4EDD-9D61-126308858751}" type="pres">
      <dgm:prSet presAssocID="{ACFB9295-1466-40DD-AC28-3F5FD1714F64}" presName="rootComposite" presStyleCnt="0"/>
      <dgm:spPr/>
    </dgm:pt>
    <dgm:pt modelId="{E140C6C5-E4A1-49E2-8B34-B36A9E45F7A0}" type="pres">
      <dgm:prSet presAssocID="{ACFB9295-1466-40DD-AC28-3F5FD1714F64}" presName="rootText" presStyleLbl="node3" presStyleIdx="26" presStyleCnt="36" custScaleX="201848" custScaleY="152507" custLinFactNeighborX="-6538">
        <dgm:presLayoutVars>
          <dgm:chPref val="3"/>
        </dgm:presLayoutVars>
      </dgm:prSet>
      <dgm:spPr/>
    </dgm:pt>
    <dgm:pt modelId="{69D06E7D-A6C7-4A80-AB80-BC479557C42C}" type="pres">
      <dgm:prSet presAssocID="{ACFB9295-1466-40DD-AC28-3F5FD1714F64}" presName="rootConnector" presStyleLbl="node3" presStyleIdx="26" presStyleCnt="36"/>
      <dgm:spPr/>
    </dgm:pt>
    <dgm:pt modelId="{CBC26D4C-93C3-4000-AAAA-5007190E8675}" type="pres">
      <dgm:prSet presAssocID="{ACFB9295-1466-40DD-AC28-3F5FD1714F64}" presName="hierChild4" presStyleCnt="0"/>
      <dgm:spPr/>
    </dgm:pt>
    <dgm:pt modelId="{1207FA07-C74A-4FD8-A9CB-D00848890C0B}" type="pres">
      <dgm:prSet presAssocID="{ACFB9295-1466-40DD-AC28-3F5FD1714F64}" presName="hierChild5" presStyleCnt="0"/>
      <dgm:spPr/>
    </dgm:pt>
    <dgm:pt modelId="{A45E8E60-357C-4447-B545-DCEEB69E444E}" type="pres">
      <dgm:prSet presAssocID="{449CAF59-51BF-4A91-99DD-F8581AEF1EC4}" presName="Name37" presStyleLbl="parChTrans1D3" presStyleIdx="27" presStyleCnt="36"/>
      <dgm:spPr/>
    </dgm:pt>
    <dgm:pt modelId="{71554BB3-0A6B-433E-B932-4D92DA806144}" type="pres">
      <dgm:prSet presAssocID="{70EFDBF8-CA80-43EB-AF09-A11A22991EC0}" presName="hierRoot2" presStyleCnt="0">
        <dgm:presLayoutVars>
          <dgm:hierBranch val="init"/>
        </dgm:presLayoutVars>
      </dgm:prSet>
      <dgm:spPr/>
    </dgm:pt>
    <dgm:pt modelId="{66136D05-A777-4D84-A3EC-B7B165A311E6}" type="pres">
      <dgm:prSet presAssocID="{70EFDBF8-CA80-43EB-AF09-A11A22991EC0}" presName="rootComposite" presStyleCnt="0"/>
      <dgm:spPr/>
    </dgm:pt>
    <dgm:pt modelId="{2915E1C8-90EE-4D3E-80C4-5A095B94CCE7}" type="pres">
      <dgm:prSet presAssocID="{70EFDBF8-CA80-43EB-AF09-A11A22991EC0}" presName="rootText" presStyleLbl="node3" presStyleIdx="27" presStyleCnt="36" custScaleX="201848" custScaleY="152507" custLinFactNeighborX="-6538">
        <dgm:presLayoutVars>
          <dgm:chPref val="3"/>
        </dgm:presLayoutVars>
      </dgm:prSet>
      <dgm:spPr/>
    </dgm:pt>
    <dgm:pt modelId="{A5DD968A-911F-4376-BCC3-EEACDFED13C5}" type="pres">
      <dgm:prSet presAssocID="{70EFDBF8-CA80-43EB-AF09-A11A22991EC0}" presName="rootConnector" presStyleLbl="node3" presStyleIdx="27" presStyleCnt="36"/>
      <dgm:spPr/>
    </dgm:pt>
    <dgm:pt modelId="{DD42EDC6-12EC-45E7-84BE-1028245A3764}" type="pres">
      <dgm:prSet presAssocID="{70EFDBF8-CA80-43EB-AF09-A11A22991EC0}" presName="hierChild4" presStyleCnt="0"/>
      <dgm:spPr/>
    </dgm:pt>
    <dgm:pt modelId="{29900E30-4D3D-4599-BA5A-15C533165D49}" type="pres">
      <dgm:prSet presAssocID="{70EFDBF8-CA80-43EB-AF09-A11A22991EC0}" presName="hierChild5" presStyleCnt="0"/>
      <dgm:spPr/>
    </dgm:pt>
    <dgm:pt modelId="{C3F18813-D545-4307-9554-61938D010D7E}" type="pres">
      <dgm:prSet presAssocID="{63736F2C-1899-4FBF-B28B-4B7CE5269305}" presName="Name37" presStyleLbl="parChTrans1D3" presStyleIdx="28" presStyleCnt="36"/>
      <dgm:spPr/>
    </dgm:pt>
    <dgm:pt modelId="{3AE6D5F4-54A9-4176-A41A-6515BF526430}" type="pres">
      <dgm:prSet presAssocID="{B3363645-6E47-4702-9387-06C510C570CB}" presName="hierRoot2" presStyleCnt="0">
        <dgm:presLayoutVars>
          <dgm:hierBranch val="init"/>
        </dgm:presLayoutVars>
      </dgm:prSet>
      <dgm:spPr/>
    </dgm:pt>
    <dgm:pt modelId="{3A350310-DA5E-442E-9361-1546903969AD}" type="pres">
      <dgm:prSet presAssocID="{B3363645-6E47-4702-9387-06C510C570CB}" presName="rootComposite" presStyleCnt="0"/>
      <dgm:spPr/>
    </dgm:pt>
    <dgm:pt modelId="{8F6DC081-6798-4216-A738-17F2FC92AADF}" type="pres">
      <dgm:prSet presAssocID="{B3363645-6E47-4702-9387-06C510C570CB}" presName="rootText" presStyleLbl="node3" presStyleIdx="28" presStyleCnt="36" custScaleX="201848" custScaleY="152507" custLinFactNeighborX="-6538">
        <dgm:presLayoutVars>
          <dgm:chPref val="3"/>
        </dgm:presLayoutVars>
      </dgm:prSet>
      <dgm:spPr/>
    </dgm:pt>
    <dgm:pt modelId="{A4F37D24-B226-43D8-A06C-75DCA05AFFD9}" type="pres">
      <dgm:prSet presAssocID="{B3363645-6E47-4702-9387-06C510C570CB}" presName="rootConnector" presStyleLbl="node3" presStyleIdx="28" presStyleCnt="36"/>
      <dgm:spPr/>
    </dgm:pt>
    <dgm:pt modelId="{67B154CC-D158-4BBE-86E2-975FB6B91EA3}" type="pres">
      <dgm:prSet presAssocID="{B3363645-6E47-4702-9387-06C510C570CB}" presName="hierChild4" presStyleCnt="0"/>
      <dgm:spPr/>
    </dgm:pt>
    <dgm:pt modelId="{7E9C417D-3442-4B69-831D-C70C07CB4B29}" type="pres">
      <dgm:prSet presAssocID="{B3363645-6E47-4702-9387-06C510C570CB}" presName="hierChild5" presStyleCnt="0"/>
      <dgm:spPr/>
    </dgm:pt>
    <dgm:pt modelId="{921844B0-3CBD-4834-9F7D-209A988EEE2F}" type="pres">
      <dgm:prSet presAssocID="{685F3026-EBCD-4FC6-A94B-FA0402247107}" presName="Name37" presStyleLbl="parChTrans1D3" presStyleIdx="29" presStyleCnt="36"/>
      <dgm:spPr/>
    </dgm:pt>
    <dgm:pt modelId="{181B7682-06BB-46F9-B405-3552964A6CC8}" type="pres">
      <dgm:prSet presAssocID="{BD1A52BE-D10C-4C60-A5CA-97E1F3C6F7BC}" presName="hierRoot2" presStyleCnt="0">
        <dgm:presLayoutVars>
          <dgm:hierBranch val="init"/>
        </dgm:presLayoutVars>
      </dgm:prSet>
      <dgm:spPr/>
    </dgm:pt>
    <dgm:pt modelId="{0E5ECB81-315B-4B46-85AA-9D0AECDC4371}" type="pres">
      <dgm:prSet presAssocID="{BD1A52BE-D10C-4C60-A5CA-97E1F3C6F7BC}" presName="rootComposite" presStyleCnt="0"/>
      <dgm:spPr/>
    </dgm:pt>
    <dgm:pt modelId="{334CBDC0-DC60-49FB-BE4F-5DC6001401F6}" type="pres">
      <dgm:prSet presAssocID="{BD1A52BE-D10C-4C60-A5CA-97E1F3C6F7BC}" presName="rootText" presStyleLbl="node3" presStyleIdx="29" presStyleCnt="36" custScaleX="207455" custScaleY="152508" custLinFactNeighborX="-2615" custLinFactNeighborY="68042">
        <dgm:presLayoutVars>
          <dgm:chPref val="3"/>
        </dgm:presLayoutVars>
      </dgm:prSet>
      <dgm:spPr/>
    </dgm:pt>
    <dgm:pt modelId="{35E07A3F-BFBB-420C-AA9E-724B4CCB2AAF}" type="pres">
      <dgm:prSet presAssocID="{BD1A52BE-D10C-4C60-A5CA-97E1F3C6F7BC}" presName="rootConnector" presStyleLbl="node3" presStyleIdx="29" presStyleCnt="36"/>
      <dgm:spPr/>
    </dgm:pt>
    <dgm:pt modelId="{20D248A5-DFC2-47FE-8BDD-76A986407FBF}" type="pres">
      <dgm:prSet presAssocID="{BD1A52BE-D10C-4C60-A5CA-97E1F3C6F7BC}" presName="hierChild4" presStyleCnt="0"/>
      <dgm:spPr/>
    </dgm:pt>
    <dgm:pt modelId="{C1A3A537-6CD6-4A63-8FAB-99189E0DC2E3}" type="pres">
      <dgm:prSet presAssocID="{BD1A52BE-D10C-4C60-A5CA-97E1F3C6F7BC}" presName="hierChild5" presStyleCnt="0"/>
      <dgm:spPr/>
    </dgm:pt>
    <dgm:pt modelId="{2EAF0351-BC6A-4491-B99D-6B8BE81BE34F}" type="pres">
      <dgm:prSet presAssocID="{50288868-FEEE-470B-9B6E-3B8DBAE6D908}" presName="hierChild5" presStyleCnt="0"/>
      <dgm:spPr/>
    </dgm:pt>
    <dgm:pt modelId="{D774376C-5B5F-4165-B817-51060CD11209}" type="pres">
      <dgm:prSet presAssocID="{7B1C4966-1262-47C2-A22C-A1A9518F5A79}" presName="Name37" presStyleLbl="parChTrans1D2" presStyleIdx="5" presStyleCnt="6"/>
      <dgm:spPr/>
    </dgm:pt>
    <dgm:pt modelId="{F022E032-1615-4A3C-B78C-E80384BF95D1}" type="pres">
      <dgm:prSet presAssocID="{AD57D6F8-1E1D-4C08-B8E1-F743CC4D8618}" presName="hierRoot2" presStyleCnt="0">
        <dgm:presLayoutVars>
          <dgm:hierBranch val="init"/>
        </dgm:presLayoutVars>
      </dgm:prSet>
      <dgm:spPr/>
    </dgm:pt>
    <dgm:pt modelId="{34941A6D-E8C1-43ED-AFA8-0FCCF9379EFD}" type="pres">
      <dgm:prSet presAssocID="{AD57D6F8-1E1D-4C08-B8E1-F743CC4D8618}" presName="rootComposite" presStyleCnt="0"/>
      <dgm:spPr/>
    </dgm:pt>
    <dgm:pt modelId="{735EB318-83B9-45F6-B3F9-31895D8D9C62}" type="pres">
      <dgm:prSet presAssocID="{AD57D6F8-1E1D-4C08-B8E1-F743CC4D8618}" presName="rootText" presStyleLbl="node2" presStyleIdx="5" presStyleCnt="6" custScaleX="199316" custScaleY="172712">
        <dgm:presLayoutVars>
          <dgm:chPref val="3"/>
        </dgm:presLayoutVars>
      </dgm:prSet>
      <dgm:spPr/>
    </dgm:pt>
    <dgm:pt modelId="{5A2DA114-1867-4140-9A0C-7DDD23CDAE7D}" type="pres">
      <dgm:prSet presAssocID="{AD57D6F8-1E1D-4C08-B8E1-F743CC4D8618}" presName="rootConnector" presStyleLbl="node2" presStyleIdx="5" presStyleCnt="6"/>
      <dgm:spPr/>
    </dgm:pt>
    <dgm:pt modelId="{73A21EB1-59CF-4E01-BE22-D6F921AC84FD}" type="pres">
      <dgm:prSet presAssocID="{AD57D6F8-1E1D-4C08-B8E1-F743CC4D8618}" presName="hierChild4" presStyleCnt="0"/>
      <dgm:spPr/>
    </dgm:pt>
    <dgm:pt modelId="{6E60B9C7-0F06-4460-B10D-685FDA048881}" type="pres">
      <dgm:prSet presAssocID="{E5B5055F-BDE8-4C1F-8169-963DD004C33F}" presName="Name37" presStyleLbl="parChTrans1D3" presStyleIdx="30" presStyleCnt="36"/>
      <dgm:spPr/>
    </dgm:pt>
    <dgm:pt modelId="{7E6AC4EF-8FA7-449E-AAC0-F686359CDEB7}" type="pres">
      <dgm:prSet presAssocID="{1E3D188D-1C38-4FF2-ADAD-687EE27716D1}" presName="hierRoot2" presStyleCnt="0">
        <dgm:presLayoutVars>
          <dgm:hierBranch val="init"/>
        </dgm:presLayoutVars>
      </dgm:prSet>
      <dgm:spPr/>
    </dgm:pt>
    <dgm:pt modelId="{4C3142A5-494B-488F-BB09-C13A10BE0975}" type="pres">
      <dgm:prSet presAssocID="{1E3D188D-1C38-4FF2-ADAD-687EE27716D1}" presName="rootComposite" presStyleCnt="0"/>
      <dgm:spPr/>
    </dgm:pt>
    <dgm:pt modelId="{EB76186E-B8DD-4C2B-A16E-3DCCAC24AD9E}" type="pres">
      <dgm:prSet presAssocID="{1E3D188D-1C38-4FF2-ADAD-687EE27716D1}" presName="rootText" presStyleLbl="node3" presStyleIdx="30" presStyleCnt="36" custScaleX="207455" custScaleY="145779" custLinFactNeighborX="-6538">
        <dgm:presLayoutVars>
          <dgm:chPref val="3"/>
        </dgm:presLayoutVars>
      </dgm:prSet>
      <dgm:spPr/>
    </dgm:pt>
    <dgm:pt modelId="{47B93D21-0A65-46D5-86FF-01807AEA3AE7}" type="pres">
      <dgm:prSet presAssocID="{1E3D188D-1C38-4FF2-ADAD-687EE27716D1}" presName="rootConnector" presStyleLbl="node3" presStyleIdx="30" presStyleCnt="36"/>
      <dgm:spPr/>
    </dgm:pt>
    <dgm:pt modelId="{C1EC5CF3-5B2C-4141-A7BA-E0A191CE739F}" type="pres">
      <dgm:prSet presAssocID="{1E3D188D-1C38-4FF2-ADAD-687EE27716D1}" presName="hierChild4" presStyleCnt="0"/>
      <dgm:spPr/>
    </dgm:pt>
    <dgm:pt modelId="{5B8EAAE4-C7A6-4B46-AD01-2B78A6466CDD}" type="pres">
      <dgm:prSet presAssocID="{1E3D188D-1C38-4FF2-ADAD-687EE27716D1}" presName="hierChild5" presStyleCnt="0"/>
      <dgm:spPr/>
    </dgm:pt>
    <dgm:pt modelId="{AF2EBD80-CD02-4D6E-9BF5-2352F4BE2354}" type="pres">
      <dgm:prSet presAssocID="{10B2F529-C227-4AFA-9869-F1C5F93B7411}" presName="Name37" presStyleLbl="parChTrans1D3" presStyleIdx="31" presStyleCnt="36"/>
      <dgm:spPr/>
    </dgm:pt>
    <dgm:pt modelId="{972733B7-6B51-4663-82D9-0372088553AB}" type="pres">
      <dgm:prSet presAssocID="{472A6B0E-9B61-4834-A11A-8167EB7251E1}" presName="hierRoot2" presStyleCnt="0">
        <dgm:presLayoutVars>
          <dgm:hierBranch val="init"/>
        </dgm:presLayoutVars>
      </dgm:prSet>
      <dgm:spPr/>
    </dgm:pt>
    <dgm:pt modelId="{198351ED-B849-48FF-9C7F-1FCF4F185394}" type="pres">
      <dgm:prSet presAssocID="{472A6B0E-9B61-4834-A11A-8167EB7251E1}" presName="rootComposite" presStyleCnt="0"/>
      <dgm:spPr/>
    </dgm:pt>
    <dgm:pt modelId="{94EA12D3-04D9-47DF-8815-13B679B7C734}" type="pres">
      <dgm:prSet presAssocID="{472A6B0E-9B61-4834-A11A-8167EB7251E1}" presName="rootText" presStyleLbl="node3" presStyleIdx="31" presStyleCnt="36" custScaleX="207455" custScaleY="145779" custLinFactNeighborX="-6538">
        <dgm:presLayoutVars>
          <dgm:chPref val="3"/>
        </dgm:presLayoutVars>
      </dgm:prSet>
      <dgm:spPr/>
    </dgm:pt>
    <dgm:pt modelId="{98978DF8-E78C-45F1-AFBA-94A10B012F83}" type="pres">
      <dgm:prSet presAssocID="{472A6B0E-9B61-4834-A11A-8167EB7251E1}" presName="rootConnector" presStyleLbl="node3" presStyleIdx="31" presStyleCnt="36"/>
      <dgm:spPr/>
    </dgm:pt>
    <dgm:pt modelId="{60E89A05-E1D0-417F-A593-AA66612D687C}" type="pres">
      <dgm:prSet presAssocID="{472A6B0E-9B61-4834-A11A-8167EB7251E1}" presName="hierChild4" presStyleCnt="0"/>
      <dgm:spPr/>
    </dgm:pt>
    <dgm:pt modelId="{2A8E7DA9-7D62-4448-BBEE-6AA257DDCF8E}" type="pres">
      <dgm:prSet presAssocID="{472A6B0E-9B61-4834-A11A-8167EB7251E1}" presName="hierChild5" presStyleCnt="0"/>
      <dgm:spPr/>
    </dgm:pt>
    <dgm:pt modelId="{2136166C-C192-4F23-BD15-061DD6C9F076}" type="pres">
      <dgm:prSet presAssocID="{E804B64F-8B56-4A4C-A418-4BB3F4ED6989}" presName="Name37" presStyleLbl="parChTrans1D3" presStyleIdx="32" presStyleCnt="36"/>
      <dgm:spPr/>
    </dgm:pt>
    <dgm:pt modelId="{3030D531-D74B-4A22-B8C8-E18F7811D864}" type="pres">
      <dgm:prSet presAssocID="{058BAF66-FEE2-4B3A-8EE6-25FBFC3671F8}" presName="hierRoot2" presStyleCnt="0">
        <dgm:presLayoutVars>
          <dgm:hierBranch val="init"/>
        </dgm:presLayoutVars>
      </dgm:prSet>
      <dgm:spPr/>
    </dgm:pt>
    <dgm:pt modelId="{0A0F2D75-049C-4A1A-864A-BD2FF069C52C}" type="pres">
      <dgm:prSet presAssocID="{058BAF66-FEE2-4B3A-8EE6-25FBFC3671F8}" presName="rootComposite" presStyleCnt="0"/>
      <dgm:spPr/>
    </dgm:pt>
    <dgm:pt modelId="{388559F6-A377-4E6B-8AFD-045922C575A5}" type="pres">
      <dgm:prSet presAssocID="{058BAF66-FEE2-4B3A-8EE6-25FBFC3671F8}" presName="rootText" presStyleLbl="node3" presStyleIdx="32" presStyleCnt="36" custScaleX="207455" custScaleY="145779" custLinFactNeighborX="-6538">
        <dgm:presLayoutVars>
          <dgm:chPref val="3"/>
        </dgm:presLayoutVars>
      </dgm:prSet>
      <dgm:spPr/>
    </dgm:pt>
    <dgm:pt modelId="{87C406E2-5A90-409E-A6F8-B797D7521526}" type="pres">
      <dgm:prSet presAssocID="{058BAF66-FEE2-4B3A-8EE6-25FBFC3671F8}" presName="rootConnector" presStyleLbl="node3" presStyleIdx="32" presStyleCnt="36"/>
      <dgm:spPr/>
    </dgm:pt>
    <dgm:pt modelId="{D4B9FBCD-C9E7-40C1-AC02-0A05E30767E3}" type="pres">
      <dgm:prSet presAssocID="{058BAF66-FEE2-4B3A-8EE6-25FBFC3671F8}" presName="hierChild4" presStyleCnt="0"/>
      <dgm:spPr/>
    </dgm:pt>
    <dgm:pt modelId="{F2B51A48-5BFD-45BC-95A3-69FEA211721A}" type="pres">
      <dgm:prSet presAssocID="{058BAF66-FEE2-4B3A-8EE6-25FBFC3671F8}" presName="hierChild5" presStyleCnt="0"/>
      <dgm:spPr/>
    </dgm:pt>
    <dgm:pt modelId="{5C123960-3F75-4914-87F6-AD648CCBE3E0}" type="pres">
      <dgm:prSet presAssocID="{4C225E30-36A4-4BE6-ADB9-85A3B29271E0}" presName="Name37" presStyleLbl="parChTrans1D3" presStyleIdx="33" presStyleCnt="36"/>
      <dgm:spPr/>
    </dgm:pt>
    <dgm:pt modelId="{F96476E5-9D0E-4A4E-8331-B75F1458411B}" type="pres">
      <dgm:prSet presAssocID="{CFAC0D8A-84E8-4DBA-8190-A3C763E23FEE}" presName="hierRoot2" presStyleCnt="0">
        <dgm:presLayoutVars>
          <dgm:hierBranch val="init"/>
        </dgm:presLayoutVars>
      </dgm:prSet>
      <dgm:spPr/>
    </dgm:pt>
    <dgm:pt modelId="{CE7E90F7-F930-49B5-AC35-15622066B5BE}" type="pres">
      <dgm:prSet presAssocID="{CFAC0D8A-84E8-4DBA-8190-A3C763E23FEE}" presName="rootComposite" presStyleCnt="0"/>
      <dgm:spPr/>
    </dgm:pt>
    <dgm:pt modelId="{343E1092-F522-4487-A030-10090F0AF3AB}" type="pres">
      <dgm:prSet presAssocID="{CFAC0D8A-84E8-4DBA-8190-A3C763E23FEE}" presName="rootText" presStyleLbl="node3" presStyleIdx="33" presStyleCnt="36" custScaleX="207455" custScaleY="145779" custLinFactNeighborX="-7846" custLinFactNeighborY="36613">
        <dgm:presLayoutVars>
          <dgm:chPref val="3"/>
        </dgm:presLayoutVars>
      </dgm:prSet>
      <dgm:spPr/>
    </dgm:pt>
    <dgm:pt modelId="{3D8051FC-9840-43DE-B8A8-0A2DB5BDC50C}" type="pres">
      <dgm:prSet presAssocID="{CFAC0D8A-84E8-4DBA-8190-A3C763E23FEE}" presName="rootConnector" presStyleLbl="node3" presStyleIdx="33" presStyleCnt="36"/>
      <dgm:spPr/>
    </dgm:pt>
    <dgm:pt modelId="{6EA2AAF7-0819-4794-B668-B434A0B69997}" type="pres">
      <dgm:prSet presAssocID="{CFAC0D8A-84E8-4DBA-8190-A3C763E23FEE}" presName="hierChild4" presStyleCnt="0"/>
      <dgm:spPr/>
    </dgm:pt>
    <dgm:pt modelId="{42F6E8FF-3D67-46E2-A15D-865395B668A2}" type="pres">
      <dgm:prSet presAssocID="{CFAC0D8A-84E8-4DBA-8190-A3C763E23FEE}" presName="hierChild5" presStyleCnt="0"/>
      <dgm:spPr/>
    </dgm:pt>
    <dgm:pt modelId="{42707F8B-9C5E-4525-95F3-F1CEBC2FA133}" type="pres">
      <dgm:prSet presAssocID="{EE0A0574-2CD4-4A8E-8B58-75434BAC3266}" presName="Name37" presStyleLbl="parChTrans1D3" presStyleIdx="34" presStyleCnt="36"/>
      <dgm:spPr/>
    </dgm:pt>
    <dgm:pt modelId="{44E6D9BD-8772-4999-9DEF-7489312E3E4F}" type="pres">
      <dgm:prSet presAssocID="{92CBA82E-8C23-4886-9478-50470E71E84A}" presName="hierRoot2" presStyleCnt="0">
        <dgm:presLayoutVars>
          <dgm:hierBranch val="init"/>
        </dgm:presLayoutVars>
      </dgm:prSet>
      <dgm:spPr/>
    </dgm:pt>
    <dgm:pt modelId="{6B45A76F-A134-49EB-B38B-0BCE63F77E74}" type="pres">
      <dgm:prSet presAssocID="{92CBA82E-8C23-4886-9478-50470E71E84A}" presName="rootComposite" presStyleCnt="0"/>
      <dgm:spPr/>
    </dgm:pt>
    <dgm:pt modelId="{2314AD4C-5552-4E80-A3D0-6A7B329E2BF2}" type="pres">
      <dgm:prSet presAssocID="{92CBA82E-8C23-4886-9478-50470E71E84A}" presName="rootText" presStyleLbl="node3" presStyleIdx="34" presStyleCnt="36" custScaleX="207455" custScaleY="145779" custLinFactNeighborX="-6538" custLinFactNeighborY="26152">
        <dgm:presLayoutVars>
          <dgm:chPref val="3"/>
        </dgm:presLayoutVars>
      </dgm:prSet>
      <dgm:spPr/>
    </dgm:pt>
    <dgm:pt modelId="{077FA3D0-19CB-4A85-85AD-EB8CC3314E25}" type="pres">
      <dgm:prSet presAssocID="{92CBA82E-8C23-4886-9478-50470E71E84A}" presName="rootConnector" presStyleLbl="node3" presStyleIdx="34" presStyleCnt="36"/>
      <dgm:spPr/>
    </dgm:pt>
    <dgm:pt modelId="{DB8E5205-AE38-47ED-A721-AA31951036E7}" type="pres">
      <dgm:prSet presAssocID="{92CBA82E-8C23-4886-9478-50470E71E84A}" presName="hierChild4" presStyleCnt="0"/>
      <dgm:spPr/>
    </dgm:pt>
    <dgm:pt modelId="{5F33E928-FAB6-42B5-A3BD-4F03365C2947}" type="pres">
      <dgm:prSet presAssocID="{92CBA82E-8C23-4886-9478-50470E71E84A}" presName="hierChild5" presStyleCnt="0"/>
      <dgm:spPr/>
    </dgm:pt>
    <dgm:pt modelId="{35F73487-B376-410E-B7A2-0265DAB6A683}" type="pres">
      <dgm:prSet presAssocID="{2EF179D9-C18F-4A06-AEA9-5D6426FE68A5}" presName="Name37" presStyleLbl="parChTrans1D3" presStyleIdx="35" presStyleCnt="36"/>
      <dgm:spPr/>
    </dgm:pt>
    <dgm:pt modelId="{5D88878A-C848-494D-BE7B-95FCAF4DEB17}" type="pres">
      <dgm:prSet presAssocID="{F133B79B-C8B9-45C1-8C69-0DC643D51D92}" presName="hierRoot2" presStyleCnt="0">
        <dgm:presLayoutVars>
          <dgm:hierBranch val="init"/>
        </dgm:presLayoutVars>
      </dgm:prSet>
      <dgm:spPr/>
    </dgm:pt>
    <dgm:pt modelId="{DE84DD05-C612-45BA-B815-5A7C718F0596}" type="pres">
      <dgm:prSet presAssocID="{F133B79B-C8B9-45C1-8C69-0DC643D51D92}" presName="rootComposite" presStyleCnt="0"/>
      <dgm:spPr/>
    </dgm:pt>
    <dgm:pt modelId="{DD5B3579-7DBE-4F3D-99DF-2C002955CF6D}" type="pres">
      <dgm:prSet presAssocID="{F133B79B-C8B9-45C1-8C69-0DC643D51D92}" presName="rootText" presStyleLbl="node3" presStyleIdx="35" presStyleCnt="36" custScaleX="207455" custScaleY="145779" custLinFactNeighborX="-13076" custLinFactNeighborY="88918">
        <dgm:presLayoutVars>
          <dgm:chPref val="3"/>
        </dgm:presLayoutVars>
      </dgm:prSet>
      <dgm:spPr/>
    </dgm:pt>
    <dgm:pt modelId="{521DA9D7-18AA-4A62-A973-7FAE96D5D548}" type="pres">
      <dgm:prSet presAssocID="{F133B79B-C8B9-45C1-8C69-0DC643D51D92}" presName="rootConnector" presStyleLbl="node3" presStyleIdx="35" presStyleCnt="36"/>
      <dgm:spPr/>
    </dgm:pt>
    <dgm:pt modelId="{0561CA30-0267-42FE-A3FA-4E10A1503EA5}" type="pres">
      <dgm:prSet presAssocID="{F133B79B-C8B9-45C1-8C69-0DC643D51D92}" presName="hierChild4" presStyleCnt="0"/>
      <dgm:spPr/>
    </dgm:pt>
    <dgm:pt modelId="{90691529-D95D-43A6-80CB-0CDE80CEE4EC}" type="pres">
      <dgm:prSet presAssocID="{F133B79B-C8B9-45C1-8C69-0DC643D51D92}" presName="hierChild5" presStyleCnt="0"/>
      <dgm:spPr/>
    </dgm:pt>
    <dgm:pt modelId="{CB1A6616-553A-4DA1-88EA-86425D9AB1AB}" type="pres">
      <dgm:prSet presAssocID="{AD57D6F8-1E1D-4C08-B8E1-F743CC4D8618}" presName="hierChild5" presStyleCnt="0"/>
      <dgm:spPr/>
    </dgm:pt>
    <dgm:pt modelId="{7763BE78-8E9C-404C-8E6F-A395B43F26D7}" type="pres">
      <dgm:prSet presAssocID="{0D19CEF6-7028-42D2-A7FA-9A9CE24E0D3E}" presName="hierChild3" presStyleCnt="0"/>
      <dgm:spPr/>
    </dgm:pt>
  </dgm:ptLst>
  <dgm:cxnLst>
    <dgm:cxn modelId="{49F9DB03-840A-4EF4-8031-623548AD93E0}" type="presOf" srcId="{2EF179D9-C18F-4A06-AEA9-5D6426FE68A5}" destId="{35F73487-B376-410E-B7A2-0265DAB6A683}" srcOrd="0" destOrd="0" presId="urn:microsoft.com/office/officeart/2005/8/layout/orgChart1"/>
    <dgm:cxn modelId="{2E6E2D04-61FC-4749-A7CB-46EB0F4AB814}" type="presOf" srcId="{6D5DB864-02A4-46BE-8545-ED7E486F40B1}" destId="{E2D3DBFC-8378-439D-8EA2-F88586179F5F}" srcOrd="1" destOrd="0" presId="urn:microsoft.com/office/officeart/2005/8/layout/orgChart1"/>
    <dgm:cxn modelId="{E9848A04-7295-4A24-BA52-113ECFBEB042}" type="presOf" srcId="{058BAF66-FEE2-4B3A-8EE6-25FBFC3671F8}" destId="{388559F6-A377-4E6B-8AFD-045922C575A5}" srcOrd="0" destOrd="0" presId="urn:microsoft.com/office/officeart/2005/8/layout/orgChart1"/>
    <dgm:cxn modelId="{4061FE04-A66A-4AFD-B8C3-39A06F45FFE7}" type="presOf" srcId="{50288868-FEEE-470B-9B6E-3B8DBAE6D908}" destId="{377DAAC8-B64C-4B18-908A-1890A133AEFC}" srcOrd="1" destOrd="0" presId="urn:microsoft.com/office/officeart/2005/8/layout/orgChart1"/>
    <dgm:cxn modelId="{B2FACA05-9345-4287-9D13-1E33073F60AA}" type="presOf" srcId="{ACFB9295-1466-40DD-AC28-3F5FD1714F64}" destId="{E140C6C5-E4A1-49E2-8B34-B36A9E45F7A0}" srcOrd="0" destOrd="0" presId="urn:microsoft.com/office/officeart/2005/8/layout/orgChart1"/>
    <dgm:cxn modelId="{B7E83D0D-9F75-458B-8A63-2DF04880CB53}" type="presOf" srcId="{1E3D188D-1C38-4FF2-ADAD-687EE27716D1}" destId="{EB76186E-B8DD-4C2B-A16E-3DCCAC24AD9E}" srcOrd="0" destOrd="0" presId="urn:microsoft.com/office/officeart/2005/8/layout/orgChart1"/>
    <dgm:cxn modelId="{F5963910-8E50-49C0-8BBF-C785429CE9CB}" type="presOf" srcId="{BF100430-0928-4BA1-B2C3-DCBB59BE2FBC}" destId="{DE90A0AF-EF96-426B-BDC2-9EE119692A07}" srcOrd="0" destOrd="0" presId="urn:microsoft.com/office/officeart/2005/8/layout/orgChart1"/>
    <dgm:cxn modelId="{8DEE2214-BCE3-497F-8070-944429AB3707}" type="presOf" srcId="{92CBA82E-8C23-4886-9478-50470E71E84A}" destId="{077FA3D0-19CB-4A85-85AD-EB8CC3314E25}" srcOrd="1" destOrd="0" presId="urn:microsoft.com/office/officeart/2005/8/layout/orgChart1"/>
    <dgm:cxn modelId="{01346F14-4279-4952-88B6-C07477DA22E0}" type="presOf" srcId="{E5B5055F-BDE8-4C1F-8169-963DD004C33F}" destId="{6E60B9C7-0F06-4460-B10D-685FDA048881}" srcOrd="0" destOrd="0" presId="urn:microsoft.com/office/officeart/2005/8/layout/orgChart1"/>
    <dgm:cxn modelId="{32CA9A15-7B73-4295-AD20-E3C4CD15FD86}" type="presOf" srcId="{BD1A52BE-D10C-4C60-A5CA-97E1F3C6F7BC}" destId="{334CBDC0-DC60-49FB-BE4F-5DC6001401F6}" srcOrd="0" destOrd="0" presId="urn:microsoft.com/office/officeart/2005/8/layout/orgChart1"/>
    <dgm:cxn modelId="{44734F1A-88A9-4C68-A494-37CE02D26531}" type="presOf" srcId="{ABED396A-E93F-4365-BB41-2CCF9C939201}" destId="{D2802FED-9B21-4357-BE79-5F7955BAB013}" srcOrd="0" destOrd="0" presId="urn:microsoft.com/office/officeart/2005/8/layout/orgChart1"/>
    <dgm:cxn modelId="{2B56871B-1633-44A9-A6F5-BF8630FE9CDD}" srcId="{50288868-FEEE-470B-9B6E-3B8DBAE6D908}" destId="{70EFDBF8-CA80-43EB-AF09-A11A22991EC0}" srcOrd="3" destOrd="0" parTransId="{449CAF59-51BF-4A91-99DD-F8581AEF1EC4}" sibTransId="{24DE2231-1041-48EE-BB8A-F8A29BC5A066}"/>
    <dgm:cxn modelId="{EDCDD11E-B365-4DA8-98E7-E75E9386D593}" type="presOf" srcId="{A364AF1D-E42E-45AF-B842-6159BFA8C7B9}" destId="{4CA1BCDE-C91A-4827-AD61-80C4BDB2B836}" srcOrd="1" destOrd="0" presId="urn:microsoft.com/office/officeart/2005/8/layout/orgChart1"/>
    <dgm:cxn modelId="{A4B55820-FD6D-4DE5-9F40-12D85BF74C0E}" type="presOf" srcId="{99E08339-17FA-41F2-B4C9-036DC2F6E0C9}" destId="{26AFA3A5-1E4B-4A67-9D21-AFAE2916FDB8}" srcOrd="0" destOrd="0" presId="urn:microsoft.com/office/officeart/2005/8/layout/orgChart1"/>
    <dgm:cxn modelId="{D0FB8A22-8F49-4C94-8A06-DFEAA8164D6D}" type="presOf" srcId="{15422A0F-7BCA-484C-B057-F62059D58FAA}" destId="{B8710126-C736-487F-A3BB-9B4531A059E9}" srcOrd="1" destOrd="0" presId="urn:microsoft.com/office/officeart/2005/8/layout/orgChart1"/>
    <dgm:cxn modelId="{C064F423-42DD-4A89-949D-393FB33DA354}" type="presOf" srcId="{0D19CEF6-7028-42D2-A7FA-9A9CE24E0D3E}" destId="{5C8C398D-1F82-4B8E-87E2-540D1B2A40A0}" srcOrd="0" destOrd="0" presId="urn:microsoft.com/office/officeart/2005/8/layout/orgChart1"/>
    <dgm:cxn modelId="{C2D34624-970B-402C-9103-C7A69F09996F}" type="presOf" srcId="{685F3026-EBCD-4FC6-A94B-FA0402247107}" destId="{921844B0-3CBD-4834-9F7D-209A988EEE2F}" srcOrd="0" destOrd="0" presId="urn:microsoft.com/office/officeart/2005/8/layout/orgChart1"/>
    <dgm:cxn modelId="{AF709824-2CFD-4DA0-80DD-F96742756E69}" type="presOf" srcId="{19A46F26-59B1-4C5A-BF18-0E767311EBF1}" destId="{43BA9691-70A2-49E9-901A-2FCF27528D5D}" srcOrd="0" destOrd="0" presId="urn:microsoft.com/office/officeart/2005/8/layout/orgChart1"/>
    <dgm:cxn modelId="{9C8D1225-22C7-4C99-8D22-A0F394223E1C}" srcId="{AD57D6F8-1E1D-4C08-B8E1-F743CC4D8618}" destId="{1E3D188D-1C38-4FF2-ADAD-687EE27716D1}" srcOrd="0" destOrd="0" parTransId="{E5B5055F-BDE8-4C1F-8169-963DD004C33F}" sibTransId="{1DA6D785-1867-4555-AF0F-2C53A17CA252}"/>
    <dgm:cxn modelId="{BCE0F127-C485-41BE-B38E-9BDEF8908866}" srcId="{50288868-FEEE-470B-9B6E-3B8DBAE6D908}" destId="{ACFB9295-1466-40DD-AC28-3F5FD1714F64}" srcOrd="2" destOrd="0" parTransId="{EC779102-338A-4658-805D-ADA27F85C532}" sibTransId="{D034D896-F381-4B90-9C52-BBB59FC21309}"/>
    <dgm:cxn modelId="{5DB4BE28-E201-41DA-8084-AFAB81C086B1}" srcId="{30A75C1B-28C6-4B8D-9C12-C405753EA701}" destId="{0AF8697D-AC9F-4005-8FD9-6DCBA79179B5}" srcOrd="5" destOrd="0" parTransId="{A6ECC484-C5B3-4E5A-B7E0-750C177CFF69}" sibTransId="{A92A7263-63F3-4042-9937-EBDB57A98149}"/>
    <dgm:cxn modelId="{F242D529-A2F9-42AF-8DCC-B30BACC88A8B}" type="presOf" srcId="{AC135556-31BF-44F2-8873-1191AAC5AD3E}" destId="{BD64C209-A7B0-47B9-A859-89497615BB8D}" srcOrd="0" destOrd="0" presId="urn:microsoft.com/office/officeart/2005/8/layout/orgChart1"/>
    <dgm:cxn modelId="{F84BFA29-AC45-4711-B302-1ABFA8183EFC}" type="presOf" srcId="{ECA12779-181B-4C07-9D00-63CBA88654AE}" destId="{FED6595E-1570-4891-AE46-CD4AC1DEF9EA}" srcOrd="0" destOrd="0" presId="urn:microsoft.com/office/officeart/2005/8/layout/orgChart1"/>
    <dgm:cxn modelId="{A4D8122A-1142-4D35-AE13-AC643480D764}" type="presOf" srcId="{A15614BF-5CEB-4D67-B306-D3314BE68D26}" destId="{4B8036C8-82F6-4CAC-9705-E438507AC395}" srcOrd="0" destOrd="0" presId="urn:microsoft.com/office/officeart/2005/8/layout/orgChart1"/>
    <dgm:cxn modelId="{394E3C2A-153B-47F6-A0DE-B57B8E21A736}" srcId="{3F3357F7-4B5D-4628-A1A8-7502CC353783}" destId="{DB7CACC7-5EC9-4B8D-96B4-EF600082F3F7}" srcOrd="3" destOrd="0" parTransId="{C6102B0F-7854-426C-92B3-2AE27B490B33}" sibTransId="{A4F133C6-8A42-4E4B-B122-99CF348208F6}"/>
    <dgm:cxn modelId="{A0404C2A-220B-4EA9-AE5D-6A2BE0310FA5}" type="presOf" srcId="{C5F0B96A-A575-48A3-988A-96868B3842FF}" destId="{1B70E28B-3F55-4A34-B864-28329F2EE997}" srcOrd="0" destOrd="0" presId="urn:microsoft.com/office/officeart/2005/8/layout/orgChart1"/>
    <dgm:cxn modelId="{AD759D2D-7DF6-45E0-974F-CB038647CD3F}" type="presOf" srcId="{472A6B0E-9B61-4834-A11A-8167EB7251E1}" destId="{94EA12D3-04D9-47DF-8815-13B679B7C734}" srcOrd="0" destOrd="0" presId="urn:microsoft.com/office/officeart/2005/8/layout/orgChart1"/>
    <dgm:cxn modelId="{AC1B0D2E-E667-4007-BA66-D9057D10975F}" srcId="{12769DC2-3E6F-47DC-8299-CD864B2ADFD6}" destId="{6D5DB864-02A4-46BE-8545-ED7E486F40B1}" srcOrd="5" destOrd="0" parTransId="{3D53F137-37DF-4C23-9AFE-E21B731FCD13}" sibTransId="{5FD9881E-A1CD-4AF0-A128-252B78B6BC46}"/>
    <dgm:cxn modelId="{502AA02E-C778-4F4D-81E7-173D8CC0A2C2}" type="presOf" srcId="{39C5FE85-32DD-462E-8D23-03C3DDEA20B9}" destId="{0B8C700B-8527-409D-ADF9-BFF88DA7E80C}" srcOrd="0" destOrd="0" presId="urn:microsoft.com/office/officeart/2005/8/layout/orgChart1"/>
    <dgm:cxn modelId="{77E69C30-A8B8-4C60-A679-AF2569E5D332}" srcId="{AD57D6F8-1E1D-4C08-B8E1-F743CC4D8618}" destId="{CFAC0D8A-84E8-4DBA-8190-A3C763E23FEE}" srcOrd="3" destOrd="0" parTransId="{4C225E30-36A4-4BE6-ADB9-85A3B29271E0}" sibTransId="{2BAD2124-834B-4C41-8988-1E3F81028152}"/>
    <dgm:cxn modelId="{1F664331-4881-4C84-A050-BEF5874BF073}" type="presOf" srcId="{658E3A9E-66A2-4346-BCEC-4375FA80156E}" destId="{4D7DA46E-0BF2-4295-9AD5-E7231B6FBE5D}" srcOrd="0" destOrd="0" presId="urn:microsoft.com/office/officeart/2005/8/layout/orgChart1"/>
    <dgm:cxn modelId="{C9DD5532-33C7-4F5F-807E-9ABC6AED4C8D}" type="presOf" srcId="{A2EEF95F-6FCB-462B-A18E-D01951D1EB2D}" destId="{FF3F3098-1EE8-47DE-A756-7FCF6D81535A}" srcOrd="1" destOrd="0" presId="urn:microsoft.com/office/officeart/2005/8/layout/orgChart1"/>
    <dgm:cxn modelId="{00634A34-C822-4640-B59A-93AC921A671B}" type="presOf" srcId="{7B1C4966-1262-47C2-A22C-A1A9518F5A79}" destId="{D774376C-5B5F-4165-B817-51060CD11209}" srcOrd="0" destOrd="0" presId="urn:microsoft.com/office/officeart/2005/8/layout/orgChart1"/>
    <dgm:cxn modelId="{D41F1937-8FBD-4F1F-A49E-11B176BC25C9}" srcId="{30A75C1B-28C6-4B8D-9C12-C405753EA701}" destId="{83A882C9-CED3-4DBB-B5D7-A9BC33A0CB1E}" srcOrd="3" destOrd="0" parTransId="{68F8F16B-F0F9-4668-BE26-B49FDC6CE9C8}" sibTransId="{3448586C-7F18-4FD2-9D81-69E3111EDB46}"/>
    <dgm:cxn modelId="{D5545437-A83B-46CB-903C-CC8665020628}" type="presOf" srcId="{B3363645-6E47-4702-9387-06C510C570CB}" destId="{A4F37D24-B226-43D8-A06C-75DCA05AFFD9}" srcOrd="1" destOrd="0" presId="urn:microsoft.com/office/officeart/2005/8/layout/orgChart1"/>
    <dgm:cxn modelId="{1A8D213B-DB59-4EC4-84B8-E170271E03F6}" type="presOf" srcId="{9FC7468C-17A0-4FD1-82F6-1994C9AA5866}" destId="{A8BB2A2D-2837-4904-B835-E6E594DCE55B}" srcOrd="1" destOrd="0" presId="urn:microsoft.com/office/officeart/2005/8/layout/orgChart1"/>
    <dgm:cxn modelId="{F5110D40-14A4-45A5-AD6A-BCF16CEED3FC}" srcId="{E2075C35-04A8-466E-AEED-5D3277B5A90A}" destId="{A15614BF-5CEB-4D67-B306-D3314BE68D26}" srcOrd="4" destOrd="0" parTransId="{3940DA0E-41B9-4888-B3E7-28214BCF8D9B}" sibTransId="{D49F71C9-CEDD-4CA7-8F47-A656E1FB3BFF}"/>
    <dgm:cxn modelId="{B1F23E5C-200E-4819-81E0-AE2B046708A1}" type="presOf" srcId="{8F85FD1E-8136-4C8A-AF31-DF34731BE3BC}" destId="{1BBE8EE2-F237-45F9-A383-197C8C6F4123}" srcOrd="0" destOrd="0" presId="urn:microsoft.com/office/officeart/2005/8/layout/orgChart1"/>
    <dgm:cxn modelId="{69F5975D-690D-4573-BBD1-FE2212DC4401}" srcId="{50288868-FEEE-470B-9B6E-3B8DBAE6D908}" destId="{BD1A52BE-D10C-4C60-A5CA-97E1F3C6F7BC}" srcOrd="5" destOrd="0" parTransId="{685F3026-EBCD-4FC6-A94B-FA0402247107}" sibTransId="{A4DC726A-E32C-4C3E-882A-18D0DB85A508}"/>
    <dgm:cxn modelId="{1CF16B5F-2891-404C-913F-1CC43419ABDC}" type="presOf" srcId="{FD1DE0E6-FA2F-44F6-B53A-BD88042663B5}" destId="{2F7B221D-5030-40CE-B2C2-68153A0F97EC}" srcOrd="0" destOrd="0" presId="urn:microsoft.com/office/officeart/2005/8/layout/orgChart1"/>
    <dgm:cxn modelId="{45636860-DAD8-4181-A790-84D1E1C3B599}" type="presOf" srcId="{EA739FF8-B294-456B-B07A-B32298D14275}" destId="{67112E2D-DA08-4C12-BA18-598F9B59C2DD}" srcOrd="0" destOrd="0" presId="urn:microsoft.com/office/officeart/2005/8/layout/orgChart1"/>
    <dgm:cxn modelId="{3F228761-04AC-4489-9A68-909409E98AF0}" srcId="{30A75C1B-28C6-4B8D-9C12-C405753EA701}" destId="{ECF03B94-C7AD-4DF3-B508-62E701087C6F}" srcOrd="2" destOrd="0" parTransId="{19A46F26-59B1-4C5A-BF18-0E767311EBF1}" sibTransId="{3C1B98AE-1EE8-4E73-BF14-192288902B63}"/>
    <dgm:cxn modelId="{86909741-1138-406C-B4D0-BE6532EA3539}" type="presOf" srcId="{10B2F529-C227-4AFA-9869-F1C5F93B7411}" destId="{AF2EBD80-CD02-4D6E-9BF5-2352F4BE2354}" srcOrd="0" destOrd="0" presId="urn:microsoft.com/office/officeart/2005/8/layout/orgChart1"/>
    <dgm:cxn modelId="{CE732743-EE07-45A9-A191-7CDE8C1EF3FB}" srcId="{AD57D6F8-1E1D-4C08-B8E1-F743CC4D8618}" destId="{058BAF66-FEE2-4B3A-8EE6-25FBFC3671F8}" srcOrd="2" destOrd="0" parTransId="{E804B64F-8B56-4A4C-A418-4BB3F4ED6989}" sibTransId="{2950B48C-8A63-4EE8-992E-FE5529DA3D84}"/>
    <dgm:cxn modelId="{67273C63-B413-44C4-B26B-1180D201D4CD}" type="presOf" srcId="{30A75C1B-28C6-4B8D-9C12-C405753EA701}" destId="{22A73B9D-D4EE-45F4-950A-257DEF58E397}" srcOrd="1" destOrd="0" presId="urn:microsoft.com/office/officeart/2005/8/layout/orgChart1"/>
    <dgm:cxn modelId="{CEB78763-F530-43DF-BB2F-9E7750C1ABBC}" type="presOf" srcId="{92CBA82E-8C23-4886-9478-50470E71E84A}" destId="{2314AD4C-5552-4E80-A3D0-6A7B329E2BF2}" srcOrd="0" destOrd="0" presId="urn:microsoft.com/office/officeart/2005/8/layout/orgChart1"/>
    <dgm:cxn modelId="{75D39245-7D31-4FC1-9B1D-64800C17C3AF}" srcId="{12769DC2-3E6F-47DC-8299-CD864B2ADFD6}" destId="{BF100430-0928-4BA1-B2C3-DCBB59BE2FBC}" srcOrd="4" destOrd="0" parTransId="{D5CF3F1D-4FFA-44B5-84B3-977AD131F177}" sibTransId="{2A9D3097-E7D2-4F49-8DA5-B231360A3C19}"/>
    <dgm:cxn modelId="{7ECFE366-6100-4A1F-8009-3B85E1261D12}" type="presOf" srcId="{AD57D6F8-1E1D-4C08-B8E1-F743CC4D8618}" destId="{735EB318-83B9-45F6-B3F9-31895D8D9C62}" srcOrd="0" destOrd="0" presId="urn:microsoft.com/office/officeart/2005/8/layout/orgChart1"/>
    <dgm:cxn modelId="{8D58C247-3387-4042-9DA1-6B29904A57D7}" srcId="{AD57D6F8-1E1D-4C08-B8E1-F743CC4D8618}" destId="{92CBA82E-8C23-4886-9478-50470E71E84A}" srcOrd="4" destOrd="0" parTransId="{EE0A0574-2CD4-4A8E-8B58-75434BAC3266}" sibTransId="{3739894D-5D17-4D06-BD0C-F96C8E68D34F}"/>
    <dgm:cxn modelId="{2FD3CE48-95C2-4CFC-8F14-8B35EA7630C8}" type="presOf" srcId="{4E92F089-AA5E-42E6-8F33-FE692A0C9628}" destId="{EF40F13B-2C5A-41A4-9FFF-CA4653B01B3B}" srcOrd="0" destOrd="0" presId="urn:microsoft.com/office/officeart/2005/8/layout/orgChart1"/>
    <dgm:cxn modelId="{F0E1EE68-5B84-4C5A-90FB-4161911C7562}" type="presOf" srcId="{E2075C35-04A8-466E-AEED-5D3277B5A90A}" destId="{A93E9E9D-8284-47DB-90D4-BE1DFF93A8F2}" srcOrd="0" destOrd="0" presId="urn:microsoft.com/office/officeart/2005/8/layout/orgChart1"/>
    <dgm:cxn modelId="{A0050B69-EE5C-4417-8506-2975869160CF}" type="presOf" srcId="{A2B11AD8-E2B9-4F53-9825-E09DEC18CD35}" destId="{8DEFE2F6-F03E-4E75-8B42-5AD6EA54AB63}" srcOrd="0" destOrd="0" presId="urn:microsoft.com/office/officeart/2005/8/layout/orgChart1"/>
    <dgm:cxn modelId="{F393606A-2885-46F0-8C64-F877975F21B3}" type="presOf" srcId="{CFAC0D8A-84E8-4DBA-8190-A3C763E23FEE}" destId="{3D8051FC-9840-43DE-B8A8-0A2DB5BDC50C}" srcOrd="1" destOrd="0" presId="urn:microsoft.com/office/officeart/2005/8/layout/orgChart1"/>
    <dgm:cxn modelId="{145BF26B-A168-4388-8E5B-3AC00594A09A}" type="presOf" srcId="{3940DA0E-41B9-4888-B3E7-28214BCF8D9B}" destId="{A4416B43-F3A4-4973-A232-A705A548F85A}" srcOrd="0" destOrd="0" presId="urn:microsoft.com/office/officeart/2005/8/layout/orgChart1"/>
    <dgm:cxn modelId="{B5CF034C-8C67-47F1-AD51-C5F509BAC271}" type="presOf" srcId="{21707E9C-756F-49C7-8A2B-CFCBD71737BB}" destId="{50B422BA-925B-42BF-9337-3D961FB7C327}" srcOrd="1" destOrd="0" presId="urn:microsoft.com/office/officeart/2005/8/layout/orgChart1"/>
    <dgm:cxn modelId="{F730974C-D312-4361-BFC2-807B858E754D}" type="presOf" srcId="{56B05BB8-D9BC-48CC-8340-36DFDDF4319A}" destId="{F7E5F2CE-0C8A-4AD2-8503-9E5CEAC34879}" srcOrd="0" destOrd="0" presId="urn:microsoft.com/office/officeart/2005/8/layout/orgChart1"/>
    <dgm:cxn modelId="{B1F5984C-C737-4C26-810D-23008393B35A}" type="presOf" srcId="{3F3357F7-4B5D-4628-A1A8-7502CC353783}" destId="{14ECF5AB-F12D-4C1A-9BDE-E5F8D27CC289}" srcOrd="1" destOrd="0" presId="urn:microsoft.com/office/officeart/2005/8/layout/orgChart1"/>
    <dgm:cxn modelId="{DACA716E-F787-49DE-95CB-DF6D0740753A}" type="presOf" srcId="{763329BB-BA95-4CCB-A946-57F154F16083}" destId="{A69B6F19-D601-4E1F-A30B-92D7339CEC15}" srcOrd="1" destOrd="0" presId="urn:microsoft.com/office/officeart/2005/8/layout/orgChart1"/>
    <dgm:cxn modelId="{B92F3851-0CDE-42DA-8AFC-779C97E2F82C}" srcId="{E2075C35-04A8-466E-AEED-5D3277B5A90A}" destId="{FBC789F5-9F9D-4FCB-98BD-A3E208DAB147}" srcOrd="3" destOrd="0" parTransId="{F23F9B4E-084A-4AAC-AACF-8F26CD335DF5}" sibTransId="{69A37540-D5B4-4BCA-9831-F17E0BF0CABF}"/>
    <dgm:cxn modelId="{F3741072-F9E0-4EF4-B982-C9059007EF1E}" type="presOf" srcId="{7DD9B6E2-B271-4E30-8530-F0FFC7508F3F}" destId="{96518F74-4F11-437D-A2B6-A7469A744A9A}" srcOrd="1" destOrd="0" presId="urn:microsoft.com/office/officeart/2005/8/layout/orgChart1"/>
    <dgm:cxn modelId="{58DA2752-C49C-496C-93A2-2D5A7C3387E4}" type="presOf" srcId="{50288868-FEEE-470B-9B6E-3B8DBAE6D908}" destId="{A258BD13-7871-4C9C-B418-43BE12BFB3E9}" srcOrd="0" destOrd="0" presId="urn:microsoft.com/office/officeart/2005/8/layout/orgChart1"/>
    <dgm:cxn modelId="{006CBC72-9B5C-4DFF-BE2D-50EC163CEF70}" srcId="{3F3357F7-4B5D-4628-A1A8-7502CC353783}" destId="{56758184-E51D-4231-A1FE-F35C27316928}" srcOrd="1" destOrd="0" parTransId="{B5FE1B7C-2D58-4AE8-96AF-581A3D339B6D}" sibTransId="{79840B14-D186-4325-AE94-AF70BCF8700F}"/>
    <dgm:cxn modelId="{DA23C072-FD5F-4A73-9733-905787364F05}" srcId="{0D19CEF6-7028-42D2-A7FA-9A9CE24E0D3E}" destId="{E2075C35-04A8-466E-AEED-5D3277B5A90A}" srcOrd="1" destOrd="0" parTransId="{1AD6EFD4-8689-4711-870E-B8FCA71DC32C}" sibTransId="{37C1EA31-A108-48BE-8A1B-A8629701A5EC}"/>
    <dgm:cxn modelId="{0A281953-719D-4AF6-A7E7-94FA023E6AB7}" type="presOf" srcId="{BB19C4C0-C836-4CD8-A7C4-A0225D3257FB}" destId="{AD7D396D-70EB-4F3A-AC22-78E8462178A0}" srcOrd="0" destOrd="0" presId="urn:microsoft.com/office/officeart/2005/8/layout/orgChart1"/>
    <dgm:cxn modelId="{9B7C1474-1DE6-4DF4-99A2-DA70FB77CC72}" type="presOf" srcId="{70EFDBF8-CA80-43EB-AF09-A11A22991EC0}" destId="{A5DD968A-911F-4376-BCC3-EEACDFED13C5}" srcOrd="1" destOrd="0" presId="urn:microsoft.com/office/officeart/2005/8/layout/orgChart1"/>
    <dgm:cxn modelId="{A4116874-6DD5-45E1-BA10-3D05C823A60D}" type="presOf" srcId="{DB7CACC7-5EC9-4B8D-96B4-EF600082F3F7}" destId="{450069CF-7114-46AF-B948-B59BD7BD3248}" srcOrd="0" destOrd="0" presId="urn:microsoft.com/office/officeart/2005/8/layout/orgChart1"/>
    <dgm:cxn modelId="{32A9EF54-D955-4468-8678-A024CB7D28D7}" type="presOf" srcId="{BB19C4C0-C836-4CD8-A7C4-A0225D3257FB}" destId="{E8EB7F20-D728-4C93-81BC-AECA407EEA56}" srcOrd="1" destOrd="0" presId="urn:microsoft.com/office/officeart/2005/8/layout/orgChart1"/>
    <dgm:cxn modelId="{691D2256-2072-4676-B297-033E6049E8EC}" type="presOf" srcId="{7DD9B6E2-B271-4E30-8530-F0FFC7508F3F}" destId="{67BD0060-BFB1-4C4A-9D5B-6E6E87609C6C}" srcOrd="0" destOrd="0" presId="urn:microsoft.com/office/officeart/2005/8/layout/orgChart1"/>
    <dgm:cxn modelId="{42940657-AA6E-4F42-ACDC-3E09B6D048DE}" type="presOf" srcId="{E804B64F-8B56-4A4C-A418-4BB3F4ED6989}" destId="{2136166C-C192-4F23-BD15-061DD6C9F076}" srcOrd="0" destOrd="0" presId="urn:microsoft.com/office/officeart/2005/8/layout/orgChart1"/>
    <dgm:cxn modelId="{8CDC5277-E97E-43E6-A36F-C115536225F8}" type="presOf" srcId="{D38C2767-0E30-4FB6-A12F-96B1C5EC5ACD}" destId="{3E7608C9-1BF5-4B36-AAAD-19D61152C89B}" srcOrd="1" destOrd="0" presId="urn:microsoft.com/office/officeart/2005/8/layout/orgChart1"/>
    <dgm:cxn modelId="{A9D8E277-E1A1-4681-B7A5-650EE2B27FD2}" type="presOf" srcId="{AD57D6F8-1E1D-4C08-B8E1-F743CC4D8618}" destId="{5A2DA114-1867-4140-9A0C-7DDD23CDAE7D}" srcOrd="1" destOrd="0" presId="urn:microsoft.com/office/officeart/2005/8/layout/orgChart1"/>
    <dgm:cxn modelId="{C2A6935A-856A-486B-9269-B185ED4E897A}" type="presOf" srcId="{0AF8697D-AC9F-4005-8FD9-6DCBA79179B5}" destId="{87B9EBD0-8BEE-4198-81B7-89C4056E1059}" srcOrd="0" destOrd="0" presId="urn:microsoft.com/office/officeart/2005/8/layout/orgChart1"/>
    <dgm:cxn modelId="{01A0577E-407A-4AA6-A415-4776A00F116E}" type="presOf" srcId="{763329BB-BA95-4CCB-A946-57F154F16083}" destId="{39B8E77F-B22C-4656-8B22-473C50CE438F}" srcOrd="0" destOrd="0" presId="urn:microsoft.com/office/officeart/2005/8/layout/orgChart1"/>
    <dgm:cxn modelId="{73583A83-E64D-4F7D-886F-E29DE22FFDCF}" type="presOf" srcId="{D78B9227-C856-4685-9B63-ED38AD2B7C9E}" destId="{F8DF4927-B0E2-4A18-B576-0CEAC6685F51}" srcOrd="0" destOrd="0" presId="urn:microsoft.com/office/officeart/2005/8/layout/orgChart1"/>
    <dgm:cxn modelId="{62B9D284-4693-47EC-8CC3-4AF970218CD1}" type="presOf" srcId="{FBC789F5-9F9D-4FCB-98BD-A3E208DAB147}" destId="{8EFA38DB-7372-4EF3-94A9-14D2F01FACFE}" srcOrd="0" destOrd="0" presId="urn:microsoft.com/office/officeart/2005/8/layout/orgChart1"/>
    <dgm:cxn modelId="{53E65285-48DC-4376-9BA4-CC44F696EC53}" srcId="{3F3357F7-4B5D-4628-A1A8-7502CC353783}" destId="{7DD9B6E2-B271-4E30-8530-F0FFC7508F3F}" srcOrd="0" destOrd="0" parTransId="{AF3C95EC-2FD9-403C-A2F6-972AE545C6A9}" sibTransId="{2AE95C04-4BD2-4D20-B92A-21E4CA3B9E04}"/>
    <dgm:cxn modelId="{1F2A8385-CB6D-4D30-8CDE-C01F55ECCC50}" type="presOf" srcId="{058BAF66-FEE2-4B3A-8EE6-25FBFC3671F8}" destId="{87C406E2-5A90-409E-A6F8-B797D7521526}" srcOrd="1" destOrd="0" presId="urn:microsoft.com/office/officeart/2005/8/layout/orgChart1"/>
    <dgm:cxn modelId="{5D4AD686-A448-48D6-BE03-D809FB468B79}" type="presOf" srcId="{12769DC2-3E6F-47DC-8299-CD864B2ADFD6}" destId="{7BCBB919-E96F-42D4-BA5F-2446C6D9C71A}" srcOrd="1" destOrd="0" presId="urn:microsoft.com/office/officeart/2005/8/layout/orgChart1"/>
    <dgm:cxn modelId="{BF7E4987-F83A-4D17-90D1-D82370611207}" type="presOf" srcId="{A6ECC484-C5B3-4E5A-B7E0-750C177CFF69}" destId="{591A4806-A056-49FA-A807-3507349E025F}" srcOrd="0" destOrd="0" presId="urn:microsoft.com/office/officeart/2005/8/layout/orgChart1"/>
    <dgm:cxn modelId="{D6081B88-17DA-4FC2-8FAC-E43450CD57FF}" srcId="{E2075C35-04A8-466E-AEED-5D3277B5A90A}" destId="{C5F0B96A-A575-48A3-988A-96868B3842FF}" srcOrd="2" destOrd="0" parTransId="{ABED396A-E93F-4365-BB41-2CCF9C939201}" sibTransId="{CD1D148D-17B5-4C7B-B8E9-16327CA670DA}"/>
    <dgm:cxn modelId="{6899F288-868A-421D-9441-BA0C3CFEF45D}" type="presOf" srcId="{BF100430-0928-4BA1-B2C3-DCBB59BE2FBC}" destId="{F75DB207-43BF-488C-BEA8-CD8796287353}" srcOrd="1" destOrd="0" presId="urn:microsoft.com/office/officeart/2005/8/layout/orgChart1"/>
    <dgm:cxn modelId="{832A2A89-4450-42AE-82BC-FCDB349C3EC5}" type="presOf" srcId="{700EB8B3-EC84-483A-8486-DA03EEAAFDAC}" destId="{F1EE7129-9CBE-42CE-9EE3-3684DAE78A6A}" srcOrd="0" destOrd="0" presId="urn:microsoft.com/office/officeart/2005/8/layout/orgChart1"/>
    <dgm:cxn modelId="{72B48A89-A1F1-4D09-BEF0-37389F449EAA}" srcId="{50288868-FEEE-470B-9B6E-3B8DBAE6D908}" destId="{ECA12779-181B-4C07-9D00-63CBA88654AE}" srcOrd="0" destOrd="0" parTransId="{FD1DE0E6-FA2F-44F6-B53A-BD88042663B5}" sibTransId="{339A230E-D26D-4336-95B7-A30C85828F00}"/>
    <dgm:cxn modelId="{C7CEE389-B30D-43E6-B3E1-76ADE483071B}" srcId="{30A75C1B-28C6-4B8D-9C12-C405753EA701}" destId="{DE430EBC-9AEB-4AC5-8133-E102B3D8B235}" srcOrd="0" destOrd="0" parTransId="{82998A5A-8177-4BF4-B11A-85C450BCA0B9}" sibTransId="{89CC0D70-E04A-479A-8ABF-FBDFB8FC8D64}"/>
    <dgm:cxn modelId="{227D088A-4869-4C30-8C75-490F3BC8CFBA}" type="presOf" srcId="{ECF03B94-C7AD-4DF3-B508-62E701087C6F}" destId="{F83BC690-EFD5-4158-846D-4272C8D58421}" srcOrd="1" destOrd="0" presId="urn:microsoft.com/office/officeart/2005/8/layout/orgChart1"/>
    <dgm:cxn modelId="{81B9608E-0058-4BD9-A63F-72254426556D}" type="presOf" srcId="{6C08F2A6-164D-4776-851A-3C052221AD3E}" destId="{B0EBF5AF-CC42-4F77-830A-5EDB69B9E1FC}" srcOrd="0" destOrd="0" presId="urn:microsoft.com/office/officeart/2005/8/layout/orgChart1"/>
    <dgm:cxn modelId="{A24AD98E-9509-45A8-880A-2B2E1160CD62}" type="presOf" srcId="{44591BC8-1AE4-4203-B251-4BF042D57FB8}" destId="{A974865C-4AAC-4F63-8401-750EBF08F041}" srcOrd="0" destOrd="0" presId="urn:microsoft.com/office/officeart/2005/8/layout/orgChart1"/>
    <dgm:cxn modelId="{CFAD9E8F-B4A6-42D6-A004-1CBE9A727E56}" srcId="{0D19CEF6-7028-42D2-A7FA-9A9CE24E0D3E}" destId="{30A75C1B-28C6-4B8D-9C12-C405753EA701}" srcOrd="0" destOrd="0" parTransId="{888506E6-77BD-43A8-8E77-FA1FA2C75BB2}" sibTransId="{F8A17D73-68EA-4704-A740-E68B6A6A14A5}"/>
    <dgm:cxn modelId="{87D72890-5BF5-4371-9044-01FD06BEFE2C}" type="presOf" srcId="{AF3C95EC-2FD9-403C-A2F6-972AE545C6A9}" destId="{FC1C23FE-41C3-45AB-B919-B5AEFCF7E4A0}" srcOrd="0" destOrd="0" presId="urn:microsoft.com/office/officeart/2005/8/layout/orgChart1"/>
    <dgm:cxn modelId="{393BD690-F08C-4411-95CC-04C0BE824920}" type="presOf" srcId="{12351F76-C54E-43F8-A657-363EC9E932E1}" destId="{04201401-4837-4B30-AFFF-9998EB8BCE29}" srcOrd="1" destOrd="0" presId="urn:microsoft.com/office/officeart/2005/8/layout/orgChart1"/>
    <dgm:cxn modelId="{71AC5D91-1E95-41AF-84B1-523D580A8A2D}" type="presOf" srcId="{E2075C35-04A8-466E-AEED-5D3277B5A90A}" destId="{9DC0A2C5-954A-46FE-AAEA-4522F3158F81}" srcOrd="1" destOrd="0" presId="urn:microsoft.com/office/officeart/2005/8/layout/orgChart1"/>
    <dgm:cxn modelId="{5C94E791-CC47-4A1A-BEE4-2F93DB42515F}" type="presOf" srcId="{23FDE87F-8181-442A-B062-9B31B775BC56}" destId="{49442FAC-B0E9-4BAD-861B-AEA4355561EE}" srcOrd="0" destOrd="0" presId="urn:microsoft.com/office/officeart/2005/8/layout/orgChart1"/>
    <dgm:cxn modelId="{EB6EEB91-7C5B-4EF0-96BC-BDC5AA3F0FD9}" srcId="{AD57D6F8-1E1D-4C08-B8E1-F743CC4D8618}" destId="{F133B79B-C8B9-45C1-8C69-0DC643D51D92}" srcOrd="5" destOrd="0" parTransId="{2EF179D9-C18F-4A06-AEA9-5D6426FE68A5}" sibTransId="{8B4E6A5E-1239-4310-97A4-401A115924F6}"/>
    <dgm:cxn modelId="{34FDF191-F57A-4CA4-A29F-771E825A4BFA}" type="presOf" srcId="{D38C2767-0E30-4FB6-A12F-96B1C5EC5ACD}" destId="{A9181D67-06C7-48A4-910B-0FB4C3B9B53D}" srcOrd="0" destOrd="0" presId="urn:microsoft.com/office/officeart/2005/8/layout/orgChart1"/>
    <dgm:cxn modelId="{DBD6A492-9F9C-48A9-A65D-DDCAC2D930B9}" type="presOf" srcId="{A15614BF-5CEB-4D67-B306-D3314BE68D26}" destId="{4AF6D63D-FDCA-49E5-BB65-DF2D7246EF51}" srcOrd="1" destOrd="0" presId="urn:microsoft.com/office/officeart/2005/8/layout/orgChart1"/>
    <dgm:cxn modelId="{0CB1E992-943A-44DE-ADCB-A4E88CF44979}" type="presOf" srcId="{EA739FF8-B294-456B-B07A-B32298D14275}" destId="{12D47608-971A-4760-9862-9A137244C989}" srcOrd="1" destOrd="0" presId="urn:microsoft.com/office/officeart/2005/8/layout/orgChart1"/>
    <dgm:cxn modelId="{CD7B0D94-3F68-431D-80F1-D2AFCBDD0E19}" type="presOf" srcId="{1AD6EFD4-8689-4711-870E-B8FCA71DC32C}" destId="{E956C72C-0695-4AF5-8F1B-AF3CF911254E}" srcOrd="0" destOrd="0" presId="urn:microsoft.com/office/officeart/2005/8/layout/orgChart1"/>
    <dgm:cxn modelId="{0FB83A95-F4FE-4419-8FC2-CF83845C6E43}" type="presOf" srcId="{15422A0F-7BCA-484C-B057-F62059D58FAA}" destId="{E96B1214-A9E7-4181-8CA8-92FB713D4A14}" srcOrd="0" destOrd="0" presId="urn:microsoft.com/office/officeart/2005/8/layout/orgChart1"/>
    <dgm:cxn modelId="{8683A695-D271-47B4-908D-C1BEABA8CB57}" type="presOf" srcId="{ECF03B94-C7AD-4DF3-B508-62E701087C6F}" destId="{856CFF55-E4E6-40F3-9F14-FD1536F40E0B}" srcOrd="0" destOrd="0" presId="urn:microsoft.com/office/officeart/2005/8/layout/orgChart1"/>
    <dgm:cxn modelId="{1051A196-F568-4B7C-AB0C-EBC995E86FDC}" type="presOf" srcId="{ACFB9295-1466-40DD-AC28-3F5FD1714F64}" destId="{69D06E7D-A6C7-4A80-AB80-BC479557C42C}" srcOrd="1" destOrd="0" presId="urn:microsoft.com/office/officeart/2005/8/layout/orgChart1"/>
    <dgm:cxn modelId="{07F0D096-695E-4D0B-BACA-935B752CC4B8}" type="presOf" srcId="{CAB3C7F0-E5B8-433A-80EE-848BBB579EA1}" destId="{7074A187-D177-4CA7-8FAD-19086FA2F2A3}" srcOrd="0" destOrd="0" presId="urn:microsoft.com/office/officeart/2005/8/layout/orgChart1"/>
    <dgm:cxn modelId="{5D127597-EB1A-4657-8E63-AA98FFB3F432}" type="presOf" srcId="{1EDA062A-9AE5-4A51-90C7-F5F58C4180FE}" destId="{4B4A3709-AA75-4971-921B-CAC4A33225CC}" srcOrd="0" destOrd="0" presId="urn:microsoft.com/office/officeart/2005/8/layout/orgChart1"/>
    <dgm:cxn modelId="{2D5D2E98-6032-4A77-B328-99C3F182EC42}" type="presOf" srcId="{EE0A0574-2CD4-4A8E-8B58-75434BAC3266}" destId="{42707F8B-9C5E-4525-95F3-F1CEBC2FA133}" srcOrd="0" destOrd="0" presId="urn:microsoft.com/office/officeart/2005/8/layout/orgChart1"/>
    <dgm:cxn modelId="{B40D5C99-47CD-4B5C-BECA-2F3E16A61FF0}" srcId="{AD57D6F8-1E1D-4C08-B8E1-F743CC4D8618}" destId="{472A6B0E-9B61-4834-A11A-8167EB7251E1}" srcOrd="1" destOrd="0" parTransId="{10B2F529-C227-4AFA-9869-F1C5F93B7411}" sibTransId="{A45A06BF-27FB-4DFD-A66D-202CC0C7CB04}"/>
    <dgm:cxn modelId="{8DA7589A-1176-4098-BCD7-D7509D5DAF47}" type="presOf" srcId="{0AF8697D-AC9F-4005-8FD9-6DCBA79179B5}" destId="{2866293E-A1B4-4F6A-A920-9518F91B0520}" srcOrd="1" destOrd="0" presId="urn:microsoft.com/office/officeart/2005/8/layout/orgChart1"/>
    <dgm:cxn modelId="{49D3B79A-9742-4808-9A0E-650C4A49B5B6}" type="presOf" srcId="{DB7CACC7-5EC9-4B8D-96B4-EF600082F3F7}" destId="{DF59B64D-B8F5-4CBC-B522-C117940BEBC4}" srcOrd="1" destOrd="0" presId="urn:microsoft.com/office/officeart/2005/8/layout/orgChart1"/>
    <dgm:cxn modelId="{6A9A789C-B414-495B-9BF3-23B1DA60F874}" srcId="{50288868-FEEE-470B-9B6E-3B8DBAE6D908}" destId="{12351F76-C54E-43F8-A657-363EC9E932E1}" srcOrd="1" destOrd="0" parTransId="{1CD7D42E-8C56-458F-8322-E22926EA09CE}" sibTransId="{1B1406ED-048A-472B-AD36-574C7D6F9126}"/>
    <dgm:cxn modelId="{63754EA0-264A-41F7-A018-0D8CAEC714B5}" type="presOf" srcId="{888506E6-77BD-43A8-8E77-FA1FA2C75BB2}" destId="{6829BF15-4119-41AB-879E-0A03001B34CB}" srcOrd="0" destOrd="0" presId="urn:microsoft.com/office/officeart/2005/8/layout/orgChart1"/>
    <dgm:cxn modelId="{96D808A1-38C1-4257-AD78-7A218956AEAF}" type="presOf" srcId="{6C08F2A6-164D-4776-851A-3C052221AD3E}" destId="{267399EE-B55E-4476-A64E-CC4D84D4DD98}" srcOrd="1" destOrd="0" presId="urn:microsoft.com/office/officeart/2005/8/layout/orgChart1"/>
    <dgm:cxn modelId="{449EDEA5-6CBF-40B1-839B-3541BEFF93A5}" type="presOf" srcId="{A2EEF95F-6FCB-462B-A18E-D01951D1EB2D}" destId="{ABC7BB64-A90A-4CB7-9105-0A2AC9805564}" srcOrd="0" destOrd="0" presId="urn:microsoft.com/office/officeart/2005/8/layout/orgChart1"/>
    <dgm:cxn modelId="{F262E0A6-DAE2-4052-9BFC-76967577DBB2}" type="presOf" srcId="{EC779102-338A-4658-805D-ADA27F85C532}" destId="{B5210DB0-CB29-4557-B327-60029655B293}" srcOrd="0" destOrd="0" presId="urn:microsoft.com/office/officeart/2005/8/layout/orgChart1"/>
    <dgm:cxn modelId="{EA1E41A7-8379-47D0-8723-1ABF73A8EA47}" type="presOf" srcId="{83A882C9-CED3-4DBB-B5D7-A9BC33A0CB1E}" destId="{2490E369-58C0-4092-BC57-B6F9B7A8424A}" srcOrd="0" destOrd="0" presId="urn:microsoft.com/office/officeart/2005/8/layout/orgChart1"/>
    <dgm:cxn modelId="{731A4DA8-ED5E-46EF-A217-8196EE3BA93C}" type="presOf" srcId="{82998A5A-8177-4BF4-B11A-85C450BCA0B9}" destId="{2C29EF2C-4297-4C3B-9B35-26D15FB09F87}" srcOrd="0" destOrd="0" presId="urn:microsoft.com/office/officeart/2005/8/layout/orgChart1"/>
    <dgm:cxn modelId="{96E297A8-0406-4A26-9642-50B037DD0435}" srcId="{12769DC2-3E6F-47DC-8299-CD864B2ADFD6}" destId="{AB76204E-2E1E-4483-B659-02F8E8BD8E3A}" srcOrd="0" destOrd="0" parTransId="{9D236FE8-B5DB-42B2-83A0-8A85E57D18D6}" sibTransId="{24A5B341-C6D8-420A-B49A-C190618461F1}"/>
    <dgm:cxn modelId="{9ED470AA-50DB-44CE-ABBE-04BFFF8BB65D}" srcId="{30A75C1B-28C6-4B8D-9C12-C405753EA701}" destId="{CAB3C7F0-E5B8-433A-80EE-848BBB579EA1}" srcOrd="4" destOrd="0" parTransId="{99BCA385-66F1-4778-AC5F-322108555713}" sibTransId="{67E7AAB7-F758-452E-808A-F8A3AC7B5A85}"/>
    <dgm:cxn modelId="{3901FAAC-A1B1-4589-9A9C-59CA86DFF58C}" type="presOf" srcId="{56758184-E51D-4231-A1FE-F35C27316928}" destId="{5451555C-535D-4995-B08E-92BDE4EE9F4E}" srcOrd="0" destOrd="0" presId="urn:microsoft.com/office/officeart/2005/8/layout/orgChart1"/>
    <dgm:cxn modelId="{BA616BB5-1FAC-4D6E-83B5-305E0A4442E4}" type="presOf" srcId="{C41972CF-CFF7-4A0B-86FB-124A3C29C284}" destId="{7398580D-8EEC-44BA-940A-E4D9004A0CF0}" srcOrd="0" destOrd="0" presId="urn:microsoft.com/office/officeart/2005/8/layout/orgChart1"/>
    <dgm:cxn modelId="{3DEA44B8-A680-4A9C-B362-8D1E3C44FC40}" type="presOf" srcId="{68F8F16B-F0F9-4668-BE26-B49FDC6CE9C8}" destId="{59FDCD71-00D1-4CBF-9A31-1E489E856A40}" srcOrd="0" destOrd="0" presId="urn:microsoft.com/office/officeart/2005/8/layout/orgChart1"/>
    <dgm:cxn modelId="{ECBFD0B8-048D-47C8-82A4-6AAE4A80C230}" type="presOf" srcId="{ECA12779-181B-4C07-9D00-63CBA88654AE}" destId="{4A3DC27F-8DE4-48A4-9352-6E19ED89BD37}" srcOrd="1" destOrd="0" presId="urn:microsoft.com/office/officeart/2005/8/layout/orgChart1"/>
    <dgm:cxn modelId="{D6876EBA-F78B-4176-A056-663F2DC0019E}" srcId="{8F85FD1E-8136-4C8A-AF31-DF34731BE3BC}" destId="{0D19CEF6-7028-42D2-A7FA-9A9CE24E0D3E}" srcOrd="0" destOrd="0" parTransId="{BBBECFD6-43DC-47AE-B98A-23647B4C8016}" sibTransId="{247D7F4C-B6AA-453F-B6B1-CCB72362D25F}"/>
    <dgm:cxn modelId="{7C766FBB-EE4C-4FAF-B1A9-842A12604A21}" type="presOf" srcId="{AB76204E-2E1E-4483-B659-02F8E8BD8E3A}" destId="{647420B5-B7F6-41E1-AC34-55D8867088E7}" srcOrd="0" destOrd="0" presId="urn:microsoft.com/office/officeart/2005/8/layout/orgChart1"/>
    <dgm:cxn modelId="{E23E0DBC-05B6-42D8-8F2D-7174F19B4999}" srcId="{0D19CEF6-7028-42D2-A7FA-9A9CE24E0D3E}" destId="{50288868-FEEE-470B-9B6E-3B8DBAE6D908}" srcOrd="4" destOrd="0" parTransId="{700EB8B3-EC84-483A-8486-DA03EEAAFDAC}" sibTransId="{9A0B2F47-A2BB-4242-B28E-A678B4FBFAE2}"/>
    <dgm:cxn modelId="{D4F174BE-C618-49C1-8D83-A0E3F1FA0719}" srcId="{0D19CEF6-7028-42D2-A7FA-9A9CE24E0D3E}" destId="{AD57D6F8-1E1D-4C08-B8E1-F743CC4D8618}" srcOrd="5" destOrd="0" parTransId="{7B1C4966-1262-47C2-A22C-A1A9518F5A79}" sibTransId="{E3A71EE5-562D-48DB-A1C5-6CEB44716E34}"/>
    <dgm:cxn modelId="{77B8E4C0-A0AC-4BE2-8384-F974ADC49DA3}" srcId="{12769DC2-3E6F-47DC-8299-CD864B2ADFD6}" destId="{A2EEF95F-6FCB-462B-A18E-D01951D1EB2D}" srcOrd="1" destOrd="0" parTransId="{4E92F089-AA5E-42E6-8F33-FE692A0C9628}" sibTransId="{3DB9F778-7086-4387-A079-096207A246FE}"/>
    <dgm:cxn modelId="{D4CDB5C1-3514-4F87-BA98-B12881772400}" srcId="{E2075C35-04A8-466E-AEED-5D3277B5A90A}" destId="{21707E9C-756F-49C7-8A2B-CFCBD71737BB}" srcOrd="5" destOrd="0" parTransId="{658E3A9E-66A2-4346-BCEC-4375FA80156E}" sibTransId="{BD4CC336-0350-4DD6-A438-A1B6D215B4C8}"/>
    <dgm:cxn modelId="{60572FC4-BD26-4D07-93F8-91AC1FC88761}" type="presOf" srcId="{D5CF3F1D-4FFA-44B5-84B3-977AD131F177}" destId="{528E5FC3-D11A-4F89-9B14-660DA30A5BD9}" srcOrd="0" destOrd="0" presId="urn:microsoft.com/office/officeart/2005/8/layout/orgChart1"/>
    <dgm:cxn modelId="{31F32AC7-E16B-42A0-9EDC-24127D2D1E28}" type="presOf" srcId="{1CD7D42E-8C56-458F-8322-E22926EA09CE}" destId="{FD540605-6F96-4B99-9FEF-8CEAB4571FB4}" srcOrd="0" destOrd="0" presId="urn:microsoft.com/office/officeart/2005/8/layout/orgChart1"/>
    <dgm:cxn modelId="{C7AEB0C7-967B-4690-A418-EB9792882602}" type="presOf" srcId="{B3363645-6E47-4702-9387-06C510C570CB}" destId="{8F6DC081-6798-4216-A738-17F2FC92AADF}" srcOrd="0" destOrd="0" presId="urn:microsoft.com/office/officeart/2005/8/layout/orgChart1"/>
    <dgm:cxn modelId="{900E6AC8-FF25-4C6D-A323-CE992876DB34}" type="presOf" srcId="{9FC7468C-17A0-4FD1-82F6-1994C9AA5866}" destId="{1729CE0B-3838-48AD-B589-B372F2B0C771}" srcOrd="0" destOrd="0" presId="urn:microsoft.com/office/officeart/2005/8/layout/orgChart1"/>
    <dgm:cxn modelId="{2A9D33C9-B372-4771-BAA5-C1CB9F07A41E}" type="presOf" srcId="{F133B79B-C8B9-45C1-8C69-0DC643D51D92}" destId="{521DA9D7-18AA-4A62-A973-7FAE96D5D548}" srcOrd="1" destOrd="0" presId="urn:microsoft.com/office/officeart/2005/8/layout/orgChart1"/>
    <dgm:cxn modelId="{79D660C9-D21C-4FC7-8695-F77066748A2E}" srcId="{3F3357F7-4B5D-4628-A1A8-7502CC353783}" destId="{D38C2767-0E30-4FB6-A12F-96B1C5EC5ACD}" srcOrd="5" destOrd="0" parTransId="{AC135556-31BF-44F2-8873-1191AAC5AD3E}" sibTransId="{6C18CF87-B020-4223-B88A-5C47976CBFAE}"/>
    <dgm:cxn modelId="{4EBE3ACA-84C4-4C6B-89D0-191D7B9B73B5}" srcId="{30A75C1B-28C6-4B8D-9C12-C405753EA701}" destId="{15422A0F-7BCA-484C-B057-F62059D58FAA}" srcOrd="1" destOrd="0" parTransId="{C41972CF-CFF7-4A0B-86FB-124A3C29C284}" sibTransId="{DC1DF3B3-93D9-4FB5-8CEB-FEEA97B627D4}"/>
    <dgm:cxn modelId="{4B2D23CB-5977-4795-8612-E09099CD9B90}" srcId="{3F3357F7-4B5D-4628-A1A8-7502CC353783}" destId="{EA739FF8-B294-456B-B07A-B32298D14275}" srcOrd="2" destOrd="0" parTransId="{39C5FE85-32DD-462E-8D23-03C3DDEA20B9}" sibTransId="{7A8556ED-A3CA-4130-AE8E-183C74A85426}"/>
    <dgm:cxn modelId="{4B0C80CB-FDDF-4922-801F-F54BB3BAD837}" type="presOf" srcId="{9D236FE8-B5DB-42B2-83A0-8A85E57D18D6}" destId="{96BFC465-8166-421C-9903-E801C6A495F4}" srcOrd="0" destOrd="0" presId="urn:microsoft.com/office/officeart/2005/8/layout/orgChart1"/>
    <dgm:cxn modelId="{2D7425CD-93D8-4FAB-A8C4-E01C22FFAD6D}" type="presOf" srcId="{30A75C1B-28C6-4B8D-9C12-C405753EA701}" destId="{853FFB4D-1E55-4DDD-854F-C86298D938B0}" srcOrd="0" destOrd="0" presId="urn:microsoft.com/office/officeart/2005/8/layout/orgChart1"/>
    <dgm:cxn modelId="{3CFB60CE-2E69-46FD-9E4C-80E90F6A4176}" type="presOf" srcId="{3F3357F7-4B5D-4628-A1A8-7502CC353783}" destId="{18D7EB7E-5345-47F5-A003-6DAA02A6F959}" srcOrd="0" destOrd="0" presId="urn:microsoft.com/office/officeart/2005/8/layout/orgChart1"/>
    <dgm:cxn modelId="{25C861CE-B35C-4D2F-A37E-C28F40D6A72C}" type="presOf" srcId="{CAB3C7F0-E5B8-433A-80EE-848BBB579EA1}" destId="{925B500F-2D7C-454A-BB55-FDBCEEFBBE9A}" srcOrd="1" destOrd="0" presId="urn:microsoft.com/office/officeart/2005/8/layout/orgChart1"/>
    <dgm:cxn modelId="{C9B474CE-3750-4A7B-BC46-5F50F62C6E3A}" type="presOf" srcId="{C5F0B96A-A575-48A3-988A-96868B3842FF}" destId="{EE2E1F48-D8E2-4DBB-BEED-FC3ADD31836E}" srcOrd="1" destOrd="0" presId="urn:microsoft.com/office/officeart/2005/8/layout/orgChart1"/>
    <dgm:cxn modelId="{53EEFACF-1904-45A9-ACE9-09167DA6F143}" type="presOf" srcId="{12769DC2-3E6F-47DC-8299-CD864B2ADFD6}" destId="{EBDC4F41-BB02-4045-BB2C-0F561DCA0C10}" srcOrd="0" destOrd="0" presId="urn:microsoft.com/office/officeart/2005/8/layout/orgChart1"/>
    <dgm:cxn modelId="{518BBBD0-6DB7-4A6D-957E-0EA6D833F387}" srcId="{12769DC2-3E6F-47DC-8299-CD864B2ADFD6}" destId="{763329BB-BA95-4CCB-A946-57F154F16083}" srcOrd="3" destOrd="0" parTransId="{56B05BB8-D9BC-48CC-8340-36DFDDF4319A}" sibTransId="{C41D91DD-B930-4A1A-9EE1-AB29AD6DBECE}"/>
    <dgm:cxn modelId="{A4C139D1-B6E4-497C-8214-ED0B72116B90}" type="presOf" srcId="{B5FE1B7C-2D58-4AE8-96AF-581A3D339B6D}" destId="{ED94DFB4-543B-4805-8D2B-6695EC59E5AF}" srcOrd="0" destOrd="0" presId="urn:microsoft.com/office/officeart/2005/8/layout/orgChart1"/>
    <dgm:cxn modelId="{6D3FC2D1-A05F-45C1-AA3E-56A644F89545}" srcId="{0D19CEF6-7028-42D2-A7FA-9A9CE24E0D3E}" destId="{3F3357F7-4B5D-4628-A1A8-7502CC353783}" srcOrd="2" destOrd="0" parTransId="{44591BC8-1AE4-4203-B251-4BF042D57FB8}" sibTransId="{28D6021F-0685-4140-81B0-9CD9CAA08C85}"/>
    <dgm:cxn modelId="{E8BC39D2-48EF-439D-8345-5BBEFB3DE761}" type="presOf" srcId="{21707E9C-756F-49C7-8A2B-CFCBD71737BB}" destId="{4A3627A3-97A7-4455-998E-33BC47472C19}" srcOrd="0" destOrd="0" presId="urn:microsoft.com/office/officeart/2005/8/layout/orgChart1"/>
    <dgm:cxn modelId="{6B61AFD2-09B8-4F29-BD76-86C514C0E146}" type="presOf" srcId="{DE430EBC-9AEB-4AC5-8133-E102B3D8B235}" destId="{87C0B8B4-77B8-4E43-88C6-0FBC36C0E8AE}" srcOrd="1" destOrd="0" presId="urn:microsoft.com/office/officeart/2005/8/layout/orgChart1"/>
    <dgm:cxn modelId="{DE2F38D5-283E-444E-8B8B-873CD1169C91}" type="presOf" srcId="{BD1A52BE-D10C-4C60-A5CA-97E1F3C6F7BC}" destId="{35E07A3F-BFBB-420C-AA9E-724B4CCB2AAF}" srcOrd="1" destOrd="0" presId="urn:microsoft.com/office/officeart/2005/8/layout/orgChart1"/>
    <dgm:cxn modelId="{351DD1D5-5581-43DE-B143-4E2F25324C25}" type="presOf" srcId="{A364AF1D-E42E-45AF-B842-6159BFA8C7B9}" destId="{0A0D7290-3BF8-4E1B-AF58-EEEFB663DEAB}" srcOrd="0" destOrd="0" presId="urn:microsoft.com/office/officeart/2005/8/layout/orgChart1"/>
    <dgm:cxn modelId="{095492D6-17D8-4708-BFBB-97DFA5730C39}" type="presOf" srcId="{6D5DB864-02A4-46BE-8545-ED7E486F40B1}" destId="{0119EEB9-9A38-430C-8605-8FF3F804544F}" srcOrd="0" destOrd="0" presId="urn:microsoft.com/office/officeart/2005/8/layout/orgChart1"/>
    <dgm:cxn modelId="{F6E9B7D9-D226-4AFA-80DF-BDF78EA410C8}" type="presOf" srcId="{70EFDBF8-CA80-43EB-AF09-A11A22991EC0}" destId="{2915E1C8-90EE-4D3E-80C4-5A095B94CCE7}" srcOrd="0" destOrd="0" presId="urn:microsoft.com/office/officeart/2005/8/layout/orgChart1"/>
    <dgm:cxn modelId="{752EF8D9-64B4-45C8-8B3F-AEC5F7B5E0B3}" srcId="{E2075C35-04A8-466E-AEED-5D3277B5A90A}" destId="{6C08F2A6-164D-4776-851A-3C052221AD3E}" srcOrd="0" destOrd="0" parTransId="{A2B11AD8-E2B9-4F53-9825-E09DEC18CD35}" sibTransId="{83D61416-757E-415D-AC2D-56F8775EA0CC}"/>
    <dgm:cxn modelId="{B21A11DA-8901-4DFD-B490-0E9BF153D5D8}" type="presOf" srcId="{CFAC0D8A-84E8-4DBA-8190-A3C763E23FEE}" destId="{343E1092-F522-4487-A030-10090F0AF3AB}" srcOrd="0" destOrd="0" presId="urn:microsoft.com/office/officeart/2005/8/layout/orgChart1"/>
    <dgm:cxn modelId="{823376DE-6B22-4A6D-A45D-C496C0205BBB}" type="presOf" srcId="{472A6B0E-9B61-4834-A11A-8167EB7251E1}" destId="{98978DF8-E78C-45F1-AFBA-94A10B012F83}" srcOrd="1" destOrd="0" presId="urn:microsoft.com/office/officeart/2005/8/layout/orgChart1"/>
    <dgm:cxn modelId="{B9FDF8DE-9D88-4EBD-804F-A97DDD7AF7F0}" type="presOf" srcId="{AB76204E-2E1E-4483-B659-02F8E8BD8E3A}" destId="{2AA0D326-14A0-4FFF-AA6C-042CD260C778}" srcOrd="1" destOrd="0" presId="urn:microsoft.com/office/officeart/2005/8/layout/orgChart1"/>
    <dgm:cxn modelId="{B53F17DF-6FD1-495B-8591-EFAAFB3E5793}" type="presOf" srcId="{F133B79B-C8B9-45C1-8C69-0DC643D51D92}" destId="{DD5B3579-7DBE-4F3D-99DF-2C002955CF6D}" srcOrd="0" destOrd="0" presId="urn:microsoft.com/office/officeart/2005/8/layout/orgChart1"/>
    <dgm:cxn modelId="{742D0BE1-C09B-4D30-96CC-40F5F3FEA9A7}" type="presOf" srcId="{3D53F137-37DF-4C23-9AFE-E21B731FCD13}" destId="{59C04252-CCFB-4CC8-BA77-20FD222490E8}" srcOrd="0" destOrd="0" presId="urn:microsoft.com/office/officeart/2005/8/layout/orgChart1"/>
    <dgm:cxn modelId="{4F509DE2-5A3E-4AB9-9374-BF6C48AF9C71}" type="presOf" srcId="{63736F2C-1899-4FBF-B28B-4B7CE5269305}" destId="{C3F18813-D545-4307-9554-61938D010D7E}" srcOrd="0" destOrd="0" presId="urn:microsoft.com/office/officeart/2005/8/layout/orgChart1"/>
    <dgm:cxn modelId="{7716CCE3-F3BE-423F-AD32-785135C104A1}" type="presOf" srcId="{1E3D188D-1C38-4FF2-ADAD-687EE27716D1}" destId="{47B93D21-0A65-46D5-86FF-01807AEA3AE7}" srcOrd="1" destOrd="0" presId="urn:microsoft.com/office/officeart/2005/8/layout/orgChart1"/>
    <dgm:cxn modelId="{FCD9C6E4-10EC-429C-9B56-EDF6ACA5664C}" srcId="{12769DC2-3E6F-47DC-8299-CD864B2ADFD6}" destId="{BB19C4C0-C836-4CD8-A7C4-A0225D3257FB}" srcOrd="2" destOrd="0" parTransId="{D78B9227-C856-4685-9B63-ED38AD2B7C9E}" sibTransId="{A8B5BDC3-D275-4065-A98A-85859682AA6D}"/>
    <dgm:cxn modelId="{C14DCDE4-9DA3-4ECA-8DB4-B61D36BFE19F}" type="presOf" srcId="{12351F76-C54E-43F8-A657-363EC9E932E1}" destId="{7F8EFDBA-900F-4273-A7B0-E6FE5E02840D}" srcOrd="0" destOrd="0" presId="urn:microsoft.com/office/officeart/2005/8/layout/orgChart1"/>
    <dgm:cxn modelId="{DBBB20E7-8BBF-499E-A2BA-E89FAFD5D972}" type="presOf" srcId="{FBC789F5-9F9D-4FCB-98BD-A3E208DAB147}" destId="{F0FBC33A-0974-4CF3-961C-D01F841321DD}" srcOrd="1" destOrd="0" presId="urn:microsoft.com/office/officeart/2005/8/layout/orgChart1"/>
    <dgm:cxn modelId="{C8D476E9-4C2E-447A-93AF-13D5AA7DB124}" type="presOf" srcId="{F23F9B4E-084A-4AAC-AACF-8F26CD335DF5}" destId="{647F2A7F-A133-4193-BF37-41A98E9AE399}" srcOrd="0" destOrd="0" presId="urn:microsoft.com/office/officeart/2005/8/layout/orgChart1"/>
    <dgm:cxn modelId="{DCEE3DEA-8BAE-4CEE-B342-88B65C4DD116}" srcId="{E2075C35-04A8-466E-AEED-5D3277B5A90A}" destId="{9FC7468C-17A0-4FD1-82F6-1994C9AA5866}" srcOrd="1" destOrd="0" parTransId="{99E08339-17FA-41F2-B4C9-036DC2F6E0C9}" sibTransId="{8C8CDBAE-4CBF-4705-BF3E-E5658DA990A6}"/>
    <dgm:cxn modelId="{5670F8EB-79A3-4D73-89FB-99CBF33AC668}" srcId="{0D19CEF6-7028-42D2-A7FA-9A9CE24E0D3E}" destId="{12769DC2-3E6F-47DC-8299-CD864B2ADFD6}" srcOrd="3" destOrd="0" parTransId="{1EDA062A-9AE5-4A51-90C7-F5F58C4180FE}" sibTransId="{3B3C514D-B829-4206-A3C2-7FE25BEE7C48}"/>
    <dgm:cxn modelId="{431B78ED-0545-4623-8F27-A50D0430BCE9}" type="presOf" srcId="{C6102B0F-7854-426C-92B3-2AE27B490B33}" destId="{7A5EFE90-79A7-45A5-998C-98AA3A25E535}" srcOrd="0" destOrd="0" presId="urn:microsoft.com/office/officeart/2005/8/layout/orgChart1"/>
    <dgm:cxn modelId="{BF3FB4EE-4045-4FEE-9BEC-0525DD85E5E4}" type="presOf" srcId="{DE430EBC-9AEB-4AC5-8133-E102B3D8B235}" destId="{A15103E7-543E-4790-AE67-947E45BFBF80}" srcOrd="0" destOrd="0" presId="urn:microsoft.com/office/officeart/2005/8/layout/orgChart1"/>
    <dgm:cxn modelId="{B2CE66F3-CFF6-403C-9B02-83C34A431606}" type="presOf" srcId="{99BCA385-66F1-4778-AC5F-322108555713}" destId="{077EA319-D2C5-4551-A3AF-BBD742321036}" srcOrd="0" destOrd="0" presId="urn:microsoft.com/office/officeart/2005/8/layout/orgChart1"/>
    <dgm:cxn modelId="{B7ECDCF3-8798-4721-A009-BEF0DA75E3C1}" srcId="{3F3357F7-4B5D-4628-A1A8-7502CC353783}" destId="{A364AF1D-E42E-45AF-B842-6159BFA8C7B9}" srcOrd="4" destOrd="0" parTransId="{23FDE87F-8181-442A-B062-9B31B775BC56}" sibTransId="{4D7648AE-A25D-448A-895A-3A58D3F59F00}"/>
    <dgm:cxn modelId="{83D5B8F4-81B2-442A-9AE3-21F09004121A}" type="presOf" srcId="{4C225E30-36A4-4BE6-ADB9-85A3B29271E0}" destId="{5C123960-3F75-4914-87F6-AD648CCBE3E0}" srcOrd="0" destOrd="0" presId="urn:microsoft.com/office/officeart/2005/8/layout/orgChart1"/>
    <dgm:cxn modelId="{25A67EF5-A1D1-48B4-AF73-42720FD5D7ED}" type="presOf" srcId="{449CAF59-51BF-4A91-99DD-F8581AEF1EC4}" destId="{A45E8E60-357C-4447-B545-DCEEB69E444E}" srcOrd="0" destOrd="0" presId="urn:microsoft.com/office/officeart/2005/8/layout/orgChart1"/>
    <dgm:cxn modelId="{31F8B2F6-4C3A-4D69-BE47-03EF53F9F96D}" type="presOf" srcId="{0D19CEF6-7028-42D2-A7FA-9A9CE24E0D3E}" destId="{858DBEFF-8CA1-43A2-9BE0-996F85E3B245}" srcOrd="1" destOrd="0" presId="urn:microsoft.com/office/officeart/2005/8/layout/orgChart1"/>
    <dgm:cxn modelId="{E1E106F7-6E4F-43B8-96A4-D5CC3764DAF4}" type="presOf" srcId="{56758184-E51D-4231-A1FE-F35C27316928}" destId="{98AB874C-9D50-49AD-A1E1-FECCB00C7FAA}" srcOrd="1" destOrd="0" presId="urn:microsoft.com/office/officeart/2005/8/layout/orgChart1"/>
    <dgm:cxn modelId="{CAE491FC-A349-4B55-AF0E-6F00920955B7}" type="presOf" srcId="{83A882C9-CED3-4DBB-B5D7-A9BC33A0CB1E}" destId="{D5173406-90A0-430E-A257-C053CA506765}" srcOrd="1" destOrd="0" presId="urn:microsoft.com/office/officeart/2005/8/layout/orgChart1"/>
    <dgm:cxn modelId="{D26C66FE-F76A-4E6A-AE40-94465EA6B392}" srcId="{50288868-FEEE-470B-9B6E-3B8DBAE6D908}" destId="{B3363645-6E47-4702-9387-06C510C570CB}" srcOrd="4" destOrd="0" parTransId="{63736F2C-1899-4FBF-B28B-4B7CE5269305}" sibTransId="{4483FFA3-0535-4525-A2FA-4107CEE67BAE}"/>
    <dgm:cxn modelId="{9E0200B2-B116-4193-8003-5B0483F3737F}" type="presParOf" srcId="{1BBE8EE2-F237-45F9-A383-197C8C6F4123}" destId="{6D0F4103-5D56-4545-B004-2F3D27D4DC7E}" srcOrd="0" destOrd="0" presId="urn:microsoft.com/office/officeart/2005/8/layout/orgChart1"/>
    <dgm:cxn modelId="{79EE6BCC-EA48-4143-9AF4-C55085C9C459}" type="presParOf" srcId="{6D0F4103-5D56-4545-B004-2F3D27D4DC7E}" destId="{248FD803-CE5A-460B-BFC4-F07301AF4304}" srcOrd="0" destOrd="0" presId="urn:microsoft.com/office/officeart/2005/8/layout/orgChart1"/>
    <dgm:cxn modelId="{A2E8640F-6185-4393-BB38-D38087541155}" type="presParOf" srcId="{248FD803-CE5A-460B-BFC4-F07301AF4304}" destId="{5C8C398D-1F82-4B8E-87E2-540D1B2A40A0}" srcOrd="0" destOrd="0" presId="urn:microsoft.com/office/officeart/2005/8/layout/orgChart1"/>
    <dgm:cxn modelId="{6D15CC7E-19F6-4B21-B4F3-26BAE9EF13D2}" type="presParOf" srcId="{248FD803-CE5A-460B-BFC4-F07301AF4304}" destId="{858DBEFF-8CA1-43A2-9BE0-996F85E3B245}" srcOrd="1" destOrd="0" presId="urn:microsoft.com/office/officeart/2005/8/layout/orgChart1"/>
    <dgm:cxn modelId="{34A58196-7579-4AEA-8202-55B0119EC9F8}" type="presParOf" srcId="{6D0F4103-5D56-4545-B004-2F3D27D4DC7E}" destId="{14BD63D9-C141-4E9C-B724-F2CE1C6ECE3A}" srcOrd="1" destOrd="0" presId="urn:microsoft.com/office/officeart/2005/8/layout/orgChart1"/>
    <dgm:cxn modelId="{E4D3E286-C714-4102-8958-EA545E0141CE}" type="presParOf" srcId="{14BD63D9-C141-4E9C-B724-F2CE1C6ECE3A}" destId="{6829BF15-4119-41AB-879E-0A03001B34CB}" srcOrd="0" destOrd="0" presId="urn:microsoft.com/office/officeart/2005/8/layout/orgChart1"/>
    <dgm:cxn modelId="{4CD85F66-26A3-4F95-BBED-3CC4E766249E}" type="presParOf" srcId="{14BD63D9-C141-4E9C-B724-F2CE1C6ECE3A}" destId="{0AB02927-4D03-432B-B536-50E42C732E86}" srcOrd="1" destOrd="0" presId="urn:microsoft.com/office/officeart/2005/8/layout/orgChart1"/>
    <dgm:cxn modelId="{DE5E0607-EFC9-4821-8EAE-32E529C3472F}" type="presParOf" srcId="{0AB02927-4D03-432B-B536-50E42C732E86}" destId="{FDA37664-FE3C-4B36-8ED4-E7B713A9CA04}" srcOrd="0" destOrd="0" presId="urn:microsoft.com/office/officeart/2005/8/layout/orgChart1"/>
    <dgm:cxn modelId="{51CE91FD-1036-4169-874F-E57757F669A2}" type="presParOf" srcId="{FDA37664-FE3C-4B36-8ED4-E7B713A9CA04}" destId="{853FFB4D-1E55-4DDD-854F-C86298D938B0}" srcOrd="0" destOrd="0" presId="urn:microsoft.com/office/officeart/2005/8/layout/orgChart1"/>
    <dgm:cxn modelId="{79D2EF78-C2E7-42D2-BA92-C67053DEC08F}" type="presParOf" srcId="{FDA37664-FE3C-4B36-8ED4-E7B713A9CA04}" destId="{22A73B9D-D4EE-45F4-950A-257DEF58E397}" srcOrd="1" destOrd="0" presId="urn:microsoft.com/office/officeart/2005/8/layout/orgChart1"/>
    <dgm:cxn modelId="{B9B5DD22-7B93-4D36-BE46-EEDA559DD6D4}" type="presParOf" srcId="{0AB02927-4D03-432B-B536-50E42C732E86}" destId="{AAC3183A-DCEF-4665-AD87-238BF53C552A}" srcOrd="1" destOrd="0" presId="urn:microsoft.com/office/officeart/2005/8/layout/orgChart1"/>
    <dgm:cxn modelId="{FFF8C4C9-F093-4180-9598-ABF169975631}" type="presParOf" srcId="{AAC3183A-DCEF-4665-AD87-238BF53C552A}" destId="{2C29EF2C-4297-4C3B-9B35-26D15FB09F87}" srcOrd="0" destOrd="0" presId="urn:microsoft.com/office/officeart/2005/8/layout/orgChart1"/>
    <dgm:cxn modelId="{E13FD188-7BF3-4538-8577-2B95C35FB56A}" type="presParOf" srcId="{AAC3183A-DCEF-4665-AD87-238BF53C552A}" destId="{A115F367-0B3E-43DE-9071-DEE287BC6E21}" srcOrd="1" destOrd="0" presId="urn:microsoft.com/office/officeart/2005/8/layout/orgChart1"/>
    <dgm:cxn modelId="{580DCE51-303A-4589-BC17-C4C42BAD2222}" type="presParOf" srcId="{A115F367-0B3E-43DE-9071-DEE287BC6E21}" destId="{6C043EAF-2E1F-494A-8B78-7F8A3E97A5DF}" srcOrd="0" destOrd="0" presId="urn:microsoft.com/office/officeart/2005/8/layout/orgChart1"/>
    <dgm:cxn modelId="{153F08A2-DEC0-4DED-8135-419A0AD2E900}" type="presParOf" srcId="{6C043EAF-2E1F-494A-8B78-7F8A3E97A5DF}" destId="{A15103E7-543E-4790-AE67-947E45BFBF80}" srcOrd="0" destOrd="0" presId="urn:microsoft.com/office/officeart/2005/8/layout/orgChart1"/>
    <dgm:cxn modelId="{2010960E-3E4D-4382-938B-DB0AD6A5CBCD}" type="presParOf" srcId="{6C043EAF-2E1F-494A-8B78-7F8A3E97A5DF}" destId="{87C0B8B4-77B8-4E43-88C6-0FBC36C0E8AE}" srcOrd="1" destOrd="0" presId="urn:microsoft.com/office/officeart/2005/8/layout/orgChart1"/>
    <dgm:cxn modelId="{9F795977-18F3-42AD-A59A-D431810CD043}" type="presParOf" srcId="{A115F367-0B3E-43DE-9071-DEE287BC6E21}" destId="{BF01B791-B98C-4021-9AEB-AA06200B383E}" srcOrd="1" destOrd="0" presId="urn:microsoft.com/office/officeart/2005/8/layout/orgChart1"/>
    <dgm:cxn modelId="{5264D868-280C-4576-ACCC-A89F3434D29F}" type="presParOf" srcId="{A115F367-0B3E-43DE-9071-DEE287BC6E21}" destId="{957D3F0E-F6B3-4198-95F1-E7F4633DD8F7}" srcOrd="2" destOrd="0" presId="urn:microsoft.com/office/officeart/2005/8/layout/orgChart1"/>
    <dgm:cxn modelId="{9C3296D6-5C10-48B4-8B82-06BF1A1B1E5F}" type="presParOf" srcId="{AAC3183A-DCEF-4665-AD87-238BF53C552A}" destId="{7398580D-8EEC-44BA-940A-E4D9004A0CF0}" srcOrd="2" destOrd="0" presId="urn:microsoft.com/office/officeart/2005/8/layout/orgChart1"/>
    <dgm:cxn modelId="{33E8D081-9AE1-45FF-B47C-928CB3A239C8}" type="presParOf" srcId="{AAC3183A-DCEF-4665-AD87-238BF53C552A}" destId="{03DBE40F-FF98-444C-A7D5-3EBF0575BB02}" srcOrd="3" destOrd="0" presId="urn:microsoft.com/office/officeart/2005/8/layout/orgChart1"/>
    <dgm:cxn modelId="{2D218E41-2743-4751-BCF1-EE44CCF9BF54}" type="presParOf" srcId="{03DBE40F-FF98-444C-A7D5-3EBF0575BB02}" destId="{02C9CE59-BCDE-4DDD-BDE4-87B0C464539E}" srcOrd="0" destOrd="0" presId="urn:microsoft.com/office/officeart/2005/8/layout/orgChart1"/>
    <dgm:cxn modelId="{269048A5-1766-4976-B784-A65C1B3761A4}" type="presParOf" srcId="{02C9CE59-BCDE-4DDD-BDE4-87B0C464539E}" destId="{E96B1214-A9E7-4181-8CA8-92FB713D4A14}" srcOrd="0" destOrd="0" presId="urn:microsoft.com/office/officeart/2005/8/layout/orgChart1"/>
    <dgm:cxn modelId="{6793F79E-3CD9-4755-B7CA-D578A37C86D6}" type="presParOf" srcId="{02C9CE59-BCDE-4DDD-BDE4-87B0C464539E}" destId="{B8710126-C736-487F-A3BB-9B4531A059E9}" srcOrd="1" destOrd="0" presId="urn:microsoft.com/office/officeart/2005/8/layout/orgChart1"/>
    <dgm:cxn modelId="{76F83BD9-44EB-47B5-8C85-D3CD00478FC7}" type="presParOf" srcId="{03DBE40F-FF98-444C-A7D5-3EBF0575BB02}" destId="{A9508114-E7F9-4DBE-8329-1327BA724F97}" srcOrd="1" destOrd="0" presId="urn:microsoft.com/office/officeart/2005/8/layout/orgChart1"/>
    <dgm:cxn modelId="{B17708BC-B455-464C-A005-1DBC187534BF}" type="presParOf" srcId="{03DBE40F-FF98-444C-A7D5-3EBF0575BB02}" destId="{DAC7EED0-336F-4C94-8BC6-B18A3594F9C8}" srcOrd="2" destOrd="0" presId="urn:microsoft.com/office/officeart/2005/8/layout/orgChart1"/>
    <dgm:cxn modelId="{78019954-79E7-4D62-8332-8E692157AAEC}" type="presParOf" srcId="{AAC3183A-DCEF-4665-AD87-238BF53C552A}" destId="{43BA9691-70A2-49E9-901A-2FCF27528D5D}" srcOrd="4" destOrd="0" presId="urn:microsoft.com/office/officeart/2005/8/layout/orgChart1"/>
    <dgm:cxn modelId="{27FB3E37-CB10-4D0D-B5D1-6087CF932BC2}" type="presParOf" srcId="{AAC3183A-DCEF-4665-AD87-238BF53C552A}" destId="{5029BA54-005A-49AB-97FF-9FC9A373ADD2}" srcOrd="5" destOrd="0" presId="urn:microsoft.com/office/officeart/2005/8/layout/orgChart1"/>
    <dgm:cxn modelId="{FD6B478E-2570-4804-AF64-427AD4606A8C}" type="presParOf" srcId="{5029BA54-005A-49AB-97FF-9FC9A373ADD2}" destId="{A98BA154-E2FA-4146-9D15-A7107B688D5C}" srcOrd="0" destOrd="0" presId="urn:microsoft.com/office/officeart/2005/8/layout/orgChart1"/>
    <dgm:cxn modelId="{4E354FDB-8AE2-4588-B5C3-EFD6724BF849}" type="presParOf" srcId="{A98BA154-E2FA-4146-9D15-A7107B688D5C}" destId="{856CFF55-E4E6-40F3-9F14-FD1536F40E0B}" srcOrd="0" destOrd="0" presId="urn:microsoft.com/office/officeart/2005/8/layout/orgChart1"/>
    <dgm:cxn modelId="{66EF7E6F-AA4E-4FDC-94B0-795FCBC3FBC8}" type="presParOf" srcId="{A98BA154-E2FA-4146-9D15-A7107B688D5C}" destId="{F83BC690-EFD5-4158-846D-4272C8D58421}" srcOrd="1" destOrd="0" presId="urn:microsoft.com/office/officeart/2005/8/layout/orgChart1"/>
    <dgm:cxn modelId="{42CEB58D-DEB9-4A36-859A-40CF551A9AC8}" type="presParOf" srcId="{5029BA54-005A-49AB-97FF-9FC9A373ADD2}" destId="{8BEF0CE6-25E2-45C6-B31D-6615907E5150}" srcOrd="1" destOrd="0" presId="urn:microsoft.com/office/officeart/2005/8/layout/orgChart1"/>
    <dgm:cxn modelId="{629E1AB8-30C3-43F8-8C2F-978AF6C5DE70}" type="presParOf" srcId="{5029BA54-005A-49AB-97FF-9FC9A373ADD2}" destId="{0CCEBE28-D2D2-42E7-8497-A32E247F9332}" srcOrd="2" destOrd="0" presId="urn:microsoft.com/office/officeart/2005/8/layout/orgChart1"/>
    <dgm:cxn modelId="{F8AC85BE-AED3-4415-ACE3-808EFE9DD9CA}" type="presParOf" srcId="{AAC3183A-DCEF-4665-AD87-238BF53C552A}" destId="{59FDCD71-00D1-4CBF-9A31-1E489E856A40}" srcOrd="6" destOrd="0" presId="urn:microsoft.com/office/officeart/2005/8/layout/orgChart1"/>
    <dgm:cxn modelId="{70CB4D70-0152-41E1-9C5D-5967688897B2}" type="presParOf" srcId="{AAC3183A-DCEF-4665-AD87-238BF53C552A}" destId="{783D7969-5DD7-46E6-81AA-175ED2993BE9}" srcOrd="7" destOrd="0" presId="urn:microsoft.com/office/officeart/2005/8/layout/orgChart1"/>
    <dgm:cxn modelId="{74EC870F-E5EF-4701-9501-DDE0E872ED3E}" type="presParOf" srcId="{783D7969-5DD7-46E6-81AA-175ED2993BE9}" destId="{156D47D9-66DA-4B1B-87EA-22C3EBEEA027}" srcOrd="0" destOrd="0" presId="urn:microsoft.com/office/officeart/2005/8/layout/orgChart1"/>
    <dgm:cxn modelId="{FF48E400-0B85-4EB6-9E03-80531329D8E5}" type="presParOf" srcId="{156D47D9-66DA-4B1B-87EA-22C3EBEEA027}" destId="{2490E369-58C0-4092-BC57-B6F9B7A8424A}" srcOrd="0" destOrd="0" presId="urn:microsoft.com/office/officeart/2005/8/layout/orgChart1"/>
    <dgm:cxn modelId="{DE5341CB-1BC2-4514-AA59-45FE29529196}" type="presParOf" srcId="{156D47D9-66DA-4B1B-87EA-22C3EBEEA027}" destId="{D5173406-90A0-430E-A257-C053CA506765}" srcOrd="1" destOrd="0" presId="urn:microsoft.com/office/officeart/2005/8/layout/orgChart1"/>
    <dgm:cxn modelId="{6111F731-3DBB-47CD-ADBE-344B7680178D}" type="presParOf" srcId="{783D7969-5DD7-46E6-81AA-175ED2993BE9}" destId="{6F5EA6DD-026A-4E2C-BF23-89FA49EE2F78}" srcOrd="1" destOrd="0" presId="urn:microsoft.com/office/officeart/2005/8/layout/orgChart1"/>
    <dgm:cxn modelId="{A47F5D3C-9B83-497A-B3AB-4C810A1B690F}" type="presParOf" srcId="{783D7969-5DD7-46E6-81AA-175ED2993BE9}" destId="{1D7E1165-8116-4128-B4E6-C0B36CE8B661}" srcOrd="2" destOrd="0" presId="urn:microsoft.com/office/officeart/2005/8/layout/orgChart1"/>
    <dgm:cxn modelId="{8AC79B9F-40DB-46E3-9390-9EDF539050F6}" type="presParOf" srcId="{AAC3183A-DCEF-4665-AD87-238BF53C552A}" destId="{077EA319-D2C5-4551-A3AF-BBD742321036}" srcOrd="8" destOrd="0" presId="urn:microsoft.com/office/officeart/2005/8/layout/orgChart1"/>
    <dgm:cxn modelId="{C4575087-9747-44D8-B993-C8C1D4EE05B0}" type="presParOf" srcId="{AAC3183A-DCEF-4665-AD87-238BF53C552A}" destId="{7406020C-ABF0-4D0A-8928-4BCD57F20A88}" srcOrd="9" destOrd="0" presId="urn:microsoft.com/office/officeart/2005/8/layout/orgChart1"/>
    <dgm:cxn modelId="{9A4C1BCE-E057-41E6-A2A3-4FF644469B1C}" type="presParOf" srcId="{7406020C-ABF0-4D0A-8928-4BCD57F20A88}" destId="{11670C23-646E-4B95-B4DB-94E6868F4E68}" srcOrd="0" destOrd="0" presId="urn:microsoft.com/office/officeart/2005/8/layout/orgChart1"/>
    <dgm:cxn modelId="{5CD5B89E-425A-44DC-AA50-0377B41DB59E}" type="presParOf" srcId="{11670C23-646E-4B95-B4DB-94E6868F4E68}" destId="{7074A187-D177-4CA7-8FAD-19086FA2F2A3}" srcOrd="0" destOrd="0" presId="urn:microsoft.com/office/officeart/2005/8/layout/orgChart1"/>
    <dgm:cxn modelId="{85E0A056-2C02-4E1E-9CB2-0775BCB8AA78}" type="presParOf" srcId="{11670C23-646E-4B95-B4DB-94E6868F4E68}" destId="{925B500F-2D7C-454A-BB55-FDBCEEFBBE9A}" srcOrd="1" destOrd="0" presId="urn:microsoft.com/office/officeart/2005/8/layout/orgChart1"/>
    <dgm:cxn modelId="{A1135E37-D9AA-4AE6-8A24-EBE339C99976}" type="presParOf" srcId="{7406020C-ABF0-4D0A-8928-4BCD57F20A88}" destId="{AE7C3B8B-70FE-48C1-BA2C-3642AC5E9DBE}" srcOrd="1" destOrd="0" presId="urn:microsoft.com/office/officeart/2005/8/layout/orgChart1"/>
    <dgm:cxn modelId="{56AE0729-3D66-4B79-8624-3535BE01C842}" type="presParOf" srcId="{7406020C-ABF0-4D0A-8928-4BCD57F20A88}" destId="{67E5D55B-4E45-415B-A55F-6554AFB561D0}" srcOrd="2" destOrd="0" presId="urn:microsoft.com/office/officeart/2005/8/layout/orgChart1"/>
    <dgm:cxn modelId="{EE470F41-AA97-40FF-9A3E-A871B06E37A4}" type="presParOf" srcId="{AAC3183A-DCEF-4665-AD87-238BF53C552A}" destId="{591A4806-A056-49FA-A807-3507349E025F}" srcOrd="10" destOrd="0" presId="urn:microsoft.com/office/officeart/2005/8/layout/orgChart1"/>
    <dgm:cxn modelId="{CC7C114F-CDD1-4B2A-A256-D4669B2A5FA5}" type="presParOf" srcId="{AAC3183A-DCEF-4665-AD87-238BF53C552A}" destId="{96935911-C62F-433C-AE70-3687A1374045}" srcOrd="11" destOrd="0" presId="urn:microsoft.com/office/officeart/2005/8/layout/orgChart1"/>
    <dgm:cxn modelId="{5767D42C-13F4-4BB7-BE01-8579EEA70225}" type="presParOf" srcId="{96935911-C62F-433C-AE70-3687A1374045}" destId="{076F1FC8-A8E5-42C4-84A7-EAF7575AD21F}" srcOrd="0" destOrd="0" presId="urn:microsoft.com/office/officeart/2005/8/layout/orgChart1"/>
    <dgm:cxn modelId="{7E6A5279-86FD-468F-9FC3-B5E59C18199D}" type="presParOf" srcId="{076F1FC8-A8E5-42C4-84A7-EAF7575AD21F}" destId="{87B9EBD0-8BEE-4198-81B7-89C4056E1059}" srcOrd="0" destOrd="0" presId="urn:microsoft.com/office/officeart/2005/8/layout/orgChart1"/>
    <dgm:cxn modelId="{FD558D91-25DB-4759-9E07-344FF047AA4C}" type="presParOf" srcId="{076F1FC8-A8E5-42C4-84A7-EAF7575AD21F}" destId="{2866293E-A1B4-4F6A-A920-9518F91B0520}" srcOrd="1" destOrd="0" presId="urn:microsoft.com/office/officeart/2005/8/layout/orgChart1"/>
    <dgm:cxn modelId="{B9C73F44-7691-47DB-ACB0-5DCCBA34CC72}" type="presParOf" srcId="{96935911-C62F-433C-AE70-3687A1374045}" destId="{99207C7F-724B-46D3-814D-445C2CAE6893}" srcOrd="1" destOrd="0" presId="urn:microsoft.com/office/officeart/2005/8/layout/orgChart1"/>
    <dgm:cxn modelId="{76AA2A56-E1E9-45CA-88C7-0B981932975E}" type="presParOf" srcId="{96935911-C62F-433C-AE70-3687A1374045}" destId="{60FDCBB5-4A13-4815-BDA1-43BC74E14AA2}" srcOrd="2" destOrd="0" presId="urn:microsoft.com/office/officeart/2005/8/layout/orgChart1"/>
    <dgm:cxn modelId="{E0F93BBE-47BB-477D-9617-90948BFC872F}" type="presParOf" srcId="{0AB02927-4D03-432B-B536-50E42C732E86}" destId="{0B98BB91-97BD-481F-AB76-DC6CB8E05CDE}" srcOrd="2" destOrd="0" presId="urn:microsoft.com/office/officeart/2005/8/layout/orgChart1"/>
    <dgm:cxn modelId="{44BBAEB0-9E97-413F-A087-A4B812FEC7EF}" type="presParOf" srcId="{14BD63D9-C141-4E9C-B724-F2CE1C6ECE3A}" destId="{E956C72C-0695-4AF5-8F1B-AF3CF911254E}" srcOrd="2" destOrd="0" presId="urn:microsoft.com/office/officeart/2005/8/layout/orgChart1"/>
    <dgm:cxn modelId="{D255D225-EFD2-450B-9651-7F325EDC29FC}" type="presParOf" srcId="{14BD63D9-C141-4E9C-B724-F2CE1C6ECE3A}" destId="{D7620E44-AED8-4A1E-A9A7-4CDE6E28310A}" srcOrd="3" destOrd="0" presId="urn:microsoft.com/office/officeart/2005/8/layout/orgChart1"/>
    <dgm:cxn modelId="{FCAFDEB6-E5AE-4FEE-ABA7-35634DA15793}" type="presParOf" srcId="{D7620E44-AED8-4A1E-A9A7-4CDE6E28310A}" destId="{679A40AA-A499-4C07-BD23-A36908EDC486}" srcOrd="0" destOrd="0" presId="urn:microsoft.com/office/officeart/2005/8/layout/orgChart1"/>
    <dgm:cxn modelId="{00410B50-AA16-4A3A-B193-0AFD1B56B373}" type="presParOf" srcId="{679A40AA-A499-4C07-BD23-A36908EDC486}" destId="{A93E9E9D-8284-47DB-90D4-BE1DFF93A8F2}" srcOrd="0" destOrd="0" presId="urn:microsoft.com/office/officeart/2005/8/layout/orgChart1"/>
    <dgm:cxn modelId="{37A16B6E-1E3C-46D8-85AB-DAAD56C2ADE8}" type="presParOf" srcId="{679A40AA-A499-4C07-BD23-A36908EDC486}" destId="{9DC0A2C5-954A-46FE-AAEA-4522F3158F81}" srcOrd="1" destOrd="0" presId="urn:microsoft.com/office/officeart/2005/8/layout/orgChart1"/>
    <dgm:cxn modelId="{0EDC886D-FAE3-41F3-951B-5EEE7BA94ECE}" type="presParOf" srcId="{D7620E44-AED8-4A1E-A9A7-4CDE6E28310A}" destId="{C53ED865-57A2-4A86-A5F6-20FFFD70D8B8}" srcOrd="1" destOrd="0" presId="urn:microsoft.com/office/officeart/2005/8/layout/orgChart1"/>
    <dgm:cxn modelId="{BF3D0DD6-9A9E-46F9-B810-F29C398BAE00}" type="presParOf" srcId="{C53ED865-57A2-4A86-A5F6-20FFFD70D8B8}" destId="{8DEFE2F6-F03E-4E75-8B42-5AD6EA54AB63}" srcOrd="0" destOrd="0" presId="urn:microsoft.com/office/officeart/2005/8/layout/orgChart1"/>
    <dgm:cxn modelId="{DC9D1817-5592-4C68-A620-FCAC8F7E3D10}" type="presParOf" srcId="{C53ED865-57A2-4A86-A5F6-20FFFD70D8B8}" destId="{D9B01269-6547-4AD5-91E3-172CC78E7B49}" srcOrd="1" destOrd="0" presId="urn:microsoft.com/office/officeart/2005/8/layout/orgChart1"/>
    <dgm:cxn modelId="{9F404D20-EBF8-47BB-B965-D7473662336D}" type="presParOf" srcId="{D9B01269-6547-4AD5-91E3-172CC78E7B49}" destId="{97DEE372-4507-4F14-81B1-E199EB70B660}" srcOrd="0" destOrd="0" presId="urn:microsoft.com/office/officeart/2005/8/layout/orgChart1"/>
    <dgm:cxn modelId="{2FF5115C-D05B-4CFD-9573-ACF0DE22BDB4}" type="presParOf" srcId="{97DEE372-4507-4F14-81B1-E199EB70B660}" destId="{B0EBF5AF-CC42-4F77-830A-5EDB69B9E1FC}" srcOrd="0" destOrd="0" presId="urn:microsoft.com/office/officeart/2005/8/layout/orgChart1"/>
    <dgm:cxn modelId="{3BAD8277-D14C-41E6-B0E7-78C1521F07C7}" type="presParOf" srcId="{97DEE372-4507-4F14-81B1-E199EB70B660}" destId="{267399EE-B55E-4476-A64E-CC4D84D4DD98}" srcOrd="1" destOrd="0" presId="urn:microsoft.com/office/officeart/2005/8/layout/orgChart1"/>
    <dgm:cxn modelId="{24BEA7B8-BF1C-42BB-81C3-D7267660A750}" type="presParOf" srcId="{D9B01269-6547-4AD5-91E3-172CC78E7B49}" destId="{0C2FC601-8C0E-4474-B12B-45417123F40C}" srcOrd="1" destOrd="0" presId="urn:microsoft.com/office/officeart/2005/8/layout/orgChart1"/>
    <dgm:cxn modelId="{E3ACFA46-6E00-473D-A88F-376DBE5D7162}" type="presParOf" srcId="{D9B01269-6547-4AD5-91E3-172CC78E7B49}" destId="{B748F201-8D55-4FFE-A32D-99C4022F0082}" srcOrd="2" destOrd="0" presId="urn:microsoft.com/office/officeart/2005/8/layout/orgChart1"/>
    <dgm:cxn modelId="{9FBF2713-17FC-4207-B39D-4AD24607517B}" type="presParOf" srcId="{C53ED865-57A2-4A86-A5F6-20FFFD70D8B8}" destId="{26AFA3A5-1E4B-4A67-9D21-AFAE2916FDB8}" srcOrd="2" destOrd="0" presId="urn:microsoft.com/office/officeart/2005/8/layout/orgChart1"/>
    <dgm:cxn modelId="{102D7C68-3034-46FB-8C85-F74234419886}" type="presParOf" srcId="{C53ED865-57A2-4A86-A5F6-20FFFD70D8B8}" destId="{3C1DCA8E-EC54-45D1-9F73-EAD65A7ADEF1}" srcOrd="3" destOrd="0" presId="urn:microsoft.com/office/officeart/2005/8/layout/orgChart1"/>
    <dgm:cxn modelId="{650AF8BD-3199-49F0-9235-A9124503E1AB}" type="presParOf" srcId="{3C1DCA8E-EC54-45D1-9F73-EAD65A7ADEF1}" destId="{82D3828E-B1EA-430B-9868-976A9559B31E}" srcOrd="0" destOrd="0" presId="urn:microsoft.com/office/officeart/2005/8/layout/orgChart1"/>
    <dgm:cxn modelId="{7DDEEB17-8410-446B-AA34-EBAFAA654100}" type="presParOf" srcId="{82D3828E-B1EA-430B-9868-976A9559B31E}" destId="{1729CE0B-3838-48AD-B589-B372F2B0C771}" srcOrd="0" destOrd="0" presId="urn:microsoft.com/office/officeart/2005/8/layout/orgChart1"/>
    <dgm:cxn modelId="{9E7D030B-FBE1-4A09-8324-BA00C5D2D0A2}" type="presParOf" srcId="{82D3828E-B1EA-430B-9868-976A9559B31E}" destId="{A8BB2A2D-2837-4904-B835-E6E594DCE55B}" srcOrd="1" destOrd="0" presId="urn:microsoft.com/office/officeart/2005/8/layout/orgChart1"/>
    <dgm:cxn modelId="{03509B50-E655-4391-90AC-91507980D3AE}" type="presParOf" srcId="{3C1DCA8E-EC54-45D1-9F73-EAD65A7ADEF1}" destId="{1AC87E64-C07B-4202-B676-4B128FE25888}" srcOrd="1" destOrd="0" presId="urn:microsoft.com/office/officeart/2005/8/layout/orgChart1"/>
    <dgm:cxn modelId="{DDFCAD52-2F2E-4336-9719-E39BA343E8A9}" type="presParOf" srcId="{3C1DCA8E-EC54-45D1-9F73-EAD65A7ADEF1}" destId="{DD1D3571-263D-4FA2-8790-445C1AAB693F}" srcOrd="2" destOrd="0" presId="urn:microsoft.com/office/officeart/2005/8/layout/orgChart1"/>
    <dgm:cxn modelId="{A752B630-68FE-4991-9196-929EE0AC9D4D}" type="presParOf" srcId="{C53ED865-57A2-4A86-A5F6-20FFFD70D8B8}" destId="{D2802FED-9B21-4357-BE79-5F7955BAB013}" srcOrd="4" destOrd="0" presId="urn:microsoft.com/office/officeart/2005/8/layout/orgChart1"/>
    <dgm:cxn modelId="{94D92A71-4B42-45DF-BCF7-EF19B7CF9AEE}" type="presParOf" srcId="{C53ED865-57A2-4A86-A5F6-20FFFD70D8B8}" destId="{97614FB8-1A21-486C-B55B-9EF2C3E874BF}" srcOrd="5" destOrd="0" presId="urn:microsoft.com/office/officeart/2005/8/layout/orgChart1"/>
    <dgm:cxn modelId="{4D6384A8-0C48-4E07-9360-760E6CEAE0D8}" type="presParOf" srcId="{97614FB8-1A21-486C-B55B-9EF2C3E874BF}" destId="{621A6E13-D87B-47D3-957F-4D1EDD165C34}" srcOrd="0" destOrd="0" presId="urn:microsoft.com/office/officeart/2005/8/layout/orgChart1"/>
    <dgm:cxn modelId="{AA4D7B87-A4D1-409D-ADBE-E070C4E738AD}" type="presParOf" srcId="{621A6E13-D87B-47D3-957F-4D1EDD165C34}" destId="{1B70E28B-3F55-4A34-B864-28329F2EE997}" srcOrd="0" destOrd="0" presId="urn:microsoft.com/office/officeart/2005/8/layout/orgChart1"/>
    <dgm:cxn modelId="{06CBCE33-6638-448B-9D21-26F0BF57B27B}" type="presParOf" srcId="{621A6E13-D87B-47D3-957F-4D1EDD165C34}" destId="{EE2E1F48-D8E2-4DBB-BEED-FC3ADD31836E}" srcOrd="1" destOrd="0" presId="urn:microsoft.com/office/officeart/2005/8/layout/orgChart1"/>
    <dgm:cxn modelId="{9515A297-8110-4B73-9BB8-F395C30EBB33}" type="presParOf" srcId="{97614FB8-1A21-486C-B55B-9EF2C3E874BF}" destId="{B32A7BF6-63D6-4EE4-8111-A06540E7045C}" srcOrd="1" destOrd="0" presId="urn:microsoft.com/office/officeart/2005/8/layout/orgChart1"/>
    <dgm:cxn modelId="{79398CA7-10A8-4442-9EC8-59CEA32650BD}" type="presParOf" srcId="{97614FB8-1A21-486C-B55B-9EF2C3E874BF}" destId="{83460E33-FA34-4F0A-ABA7-E7C7BE373402}" srcOrd="2" destOrd="0" presId="urn:microsoft.com/office/officeart/2005/8/layout/orgChart1"/>
    <dgm:cxn modelId="{972CC595-3EAF-4CA1-8F47-60A15B9A8770}" type="presParOf" srcId="{C53ED865-57A2-4A86-A5F6-20FFFD70D8B8}" destId="{647F2A7F-A133-4193-BF37-41A98E9AE399}" srcOrd="6" destOrd="0" presId="urn:microsoft.com/office/officeart/2005/8/layout/orgChart1"/>
    <dgm:cxn modelId="{55EA21A3-9DCD-4756-8505-24FFD98CDBCE}" type="presParOf" srcId="{C53ED865-57A2-4A86-A5F6-20FFFD70D8B8}" destId="{31F4CBCD-8713-4E26-BBAA-7D0852DF8879}" srcOrd="7" destOrd="0" presId="urn:microsoft.com/office/officeart/2005/8/layout/orgChart1"/>
    <dgm:cxn modelId="{375F204D-2532-45BD-8D40-434BFA26E946}" type="presParOf" srcId="{31F4CBCD-8713-4E26-BBAA-7D0852DF8879}" destId="{431BA04E-D342-4AB5-AF2D-339A92F629CB}" srcOrd="0" destOrd="0" presId="urn:microsoft.com/office/officeart/2005/8/layout/orgChart1"/>
    <dgm:cxn modelId="{689860D5-66F3-4233-A964-4FF1DA11AC01}" type="presParOf" srcId="{431BA04E-D342-4AB5-AF2D-339A92F629CB}" destId="{8EFA38DB-7372-4EF3-94A9-14D2F01FACFE}" srcOrd="0" destOrd="0" presId="urn:microsoft.com/office/officeart/2005/8/layout/orgChart1"/>
    <dgm:cxn modelId="{9D185F02-A460-49E6-AADC-7CA1CBC3D730}" type="presParOf" srcId="{431BA04E-D342-4AB5-AF2D-339A92F629CB}" destId="{F0FBC33A-0974-4CF3-961C-D01F841321DD}" srcOrd="1" destOrd="0" presId="urn:microsoft.com/office/officeart/2005/8/layout/orgChart1"/>
    <dgm:cxn modelId="{5C9A1E1E-8B41-4E6B-8822-C6C32BA8985B}" type="presParOf" srcId="{31F4CBCD-8713-4E26-BBAA-7D0852DF8879}" destId="{613551DC-C035-4CE4-890A-3E64C592023D}" srcOrd="1" destOrd="0" presId="urn:microsoft.com/office/officeart/2005/8/layout/orgChart1"/>
    <dgm:cxn modelId="{B8AD299A-6731-402C-B94E-4F3418E03A1E}" type="presParOf" srcId="{31F4CBCD-8713-4E26-BBAA-7D0852DF8879}" destId="{DC7A5C71-5EA0-4FD2-886E-BA00FD792F31}" srcOrd="2" destOrd="0" presId="urn:microsoft.com/office/officeart/2005/8/layout/orgChart1"/>
    <dgm:cxn modelId="{4B5D0F57-C2DD-4356-A5C8-4CC26EF7638E}" type="presParOf" srcId="{C53ED865-57A2-4A86-A5F6-20FFFD70D8B8}" destId="{A4416B43-F3A4-4973-A232-A705A548F85A}" srcOrd="8" destOrd="0" presId="urn:microsoft.com/office/officeart/2005/8/layout/orgChart1"/>
    <dgm:cxn modelId="{0B998248-BE2F-4D10-BB24-690D35E2B78E}" type="presParOf" srcId="{C53ED865-57A2-4A86-A5F6-20FFFD70D8B8}" destId="{3F9C50BB-B39B-4AEA-A6B1-3DF347432C67}" srcOrd="9" destOrd="0" presId="urn:microsoft.com/office/officeart/2005/8/layout/orgChart1"/>
    <dgm:cxn modelId="{77ED63C5-18EE-493B-906D-029657182012}" type="presParOf" srcId="{3F9C50BB-B39B-4AEA-A6B1-3DF347432C67}" destId="{308376A6-3930-4807-AAE3-2A02D2D5268A}" srcOrd="0" destOrd="0" presId="urn:microsoft.com/office/officeart/2005/8/layout/orgChart1"/>
    <dgm:cxn modelId="{A50DA481-B3C6-4022-B99C-2692497315C8}" type="presParOf" srcId="{308376A6-3930-4807-AAE3-2A02D2D5268A}" destId="{4B8036C8-82F6-4CAC-9705-E438507AC395}" srcOrd="0" destOrd="0" presId="urn:microsoft.com/office/officeart/2005/8/layout/orgChart1"/>
    <dgm:cxn modelId="{FDEE285D-6C3C-4A94-A028-2A6E47A22989}" type="presParOf" srcId="{308376A6-3930-4807-AAE3-2A02D2D5268A}" destId="{4AF6D63D-FDCA-49E5-BB65-DF2D7246EF51}" srcOrd="1" destOrd="0" presId="urn:microsoft.com/office/officeart/2005/8/layout/orgChart1"/>
    <dgm:cxn modelId="{4770FEDA-43C6-4538-9961-DB428287863B}" type="presParOf" srcId="{3F9C50BB-B39B-4AEA-A6B1-3DF347432C67}" destId="{5C0384CC-B3B7-48B8-A011-FDCFCD06668E}" srcOrd="1" destOrd="0" presId="urn:microsoft.com/office/officeart/2005/8/layout/orgChart1"/>
    <dgm:cxn modelId="{61579D8B-DD16-4120-B1F8-2991568D0290}" type="presParOf" srcId="{3F9C50BB-B39B-4AEA-A6B1-3DF347432C67}" destId="{A449278A-E27D-4572-806E-1FC8F429B4EB}" srcOrd="2" destOrd="0" presId="urn:microsoft.com/office/officeart/2005/8/layout/orgChart1"/>
    <dgm:cxn modelId="{C672D458-4DD1-4EE5-BE2A-0DD4059DC799}" type="presParOf" srcId="{C53ED865-57A2-4A86-A5F6-20FFFD70D8B8}" destId="{4D7DA46E-0BF2-4295-9AD5-E7231B6FBE5D}" srcOrd="10" destOrd="0" presId="urn:microsoft.com/office/officeart/2005/8/layout/orgChart1"/>
    <dgm:cxn modelId="{C49B358C-D17F-437C-BBBB-53B04776343C}" type="presParOf" srcId="{C53ED865-57A2-4A86-A5F6-20FFFD70D8B8}" destId="{6BB6A107-FC1D-4323-ADE8-A2A4934A0E2B}" srcOrd="11" destOrd="0" presId="urn:microsoft.com/office/officeart/2005/8/layout/orgChart1"/>
    <dgm:cxn modelId="{9D4FF972-9269-4AAB-85A8-548FEC556289}" type="presParOf" srcId="{6BB6A107-FC1D-4323-ADE8-A2A4934A0E2B}" destId="{8E615908-5FA0-43F1-B382-A9FC6441C876}" srcOrd="0" destOrd="0" presId="urn:microsoft.com/office/officeart/2005/8/layout/orgChart1"/>
    <dgm:cxn modelId="{D1ECC80D-0A68-48DC-BFA1-893B7F8E18D8}" type="presParOf" srcId="{8E615908-5FA0-43F1-B382-A9FC6441C876}" destId="{4A3627A3-97A7-4455-998E-33BC47472C19}" srcOrd="0" destOrd="0" presId="urn:microsoft.com/office/officeart/2005/8/layout/orgChart1"/>
    <dgm:cxn modelId="{ECB6A37F-DFB2-42DF-B437-DF5326E47B21}" type="presParOf" srcId="{8E615908-5FA0-43F1-B382-A9FC6441C876}" destId="{50B422BA-925B-42BF-9337-3D961FB7C327}" srcOrd="1" destOrd="0" presId="urn:microsoft.com/office/officeart/2005/8/layout/orgChart1"/>
    <dgm:cxn modelId="{931F3CD7-BB91-4027-8595-8D68985099E2}" type="presParOf" srcId="{6BB6A107-FC1D-4323-ADE8-A2A4934A0E2B}" destId="{99E75F16-2E77-4339-A134-9220014A24EB}" srcOrd="1" destOrd="0" presId="urn:microsoft.com/office/officeart/2005/8/layout/orgChart1"/>
    <dgm:cxn modelId="{4D58A73B-2998-4A78-AD13-77F4A73EE9E8}" type="presParOf" srcId="{6BB6A107-FC1D-4323-ADE8-A2A4934A0E2B}" destId="{785C9942-3C01-48FB-B4DF-E5A4DA7090E7}" srcOrd="2" destOrd="0" presId="urn:microsoft.com/office/officeart/2005/8/layout/orgChart1"/>
    <dgm:cxn modelId="{144FCEDD-2A92-4F01-91A2-9B044D6953EB}" type="presParOf" srcId="{D7620E44-AED8-4A1E-A9A7-4CDE6E28310A}" destId="{FFB289A8-7FB7-4E72-8B87-1A9FC73E3A80}" srcOrd="2" destOrd="0" presId="urn:microsoft.com/office/officeart/2005/8/layout/orgChart1"/>
    <dgm:cxn modelId="{5B0CC52B-C6F4-478D-9480-2F82F4134815}" type="presParOf" srcId="{14BD63D9-C141-4E9C-B724-F2CE1C6ECE3A}" destId="{A974865C-4AAC-4F63-8401-750EBF08F041}" srcOrd="4" destOrd="0" presId="urn:microsoft.com/office/officeart/2005/8/layout/orgChart1"/>
    <dgm:cxn modelId="{C31A59A8-1BC0-4DC4-9D24-F18F24DFE4D8}" type="presParOf" srcId="{14BD63D9-C141-4E9C-B724-F2CE1C6ECE3A}" destId="{FEE0FA5E-00A4-41D8-AB1C-AA4586D37F11}" srcOrd="5" destOrd="0" presId="urn:microsoft.com/office/officeart/2005/8/layout/orgChart1"/>
    <dgm:cxn modelId="{128460BA-C963-4C3D-A131-BA0E991F2204}" type="presParOf" srcId="{FEE0FA5E-00A4-41D8-AB1C-AA4586D37F11}" destId="{0A5465EC-9D64-45D6-A634-820BA7B4AE2B}" srcOrd="0" destOrd="0" presId="urn:microsoft.com/office/officeart/2005/8/layout/orgChart1"/>
    <dgm:cxn modelId="{A886863B-5788-4495-A5C9-FB67A6C555AD}" type="presParOf" srcId="{0A5465EC-9D64-45D6-A634-820BA7B4AE2B}" destId="{18D7EB7E-5345-47F5-A003-6DAA02A6F959}" srcOrd="0" destOrd="0" presId="urn:microsoft.com/office/officeart/2005/8/layout/orgChart1"/>
    <dgm:cxn modelId="{43F740C5-9A2B-403E-AB5A-E7E5EA11392C}" type="presParOf" srcId="{0A5465EC-9D64-45D6-A634-820BA7B4AE2B}" destId="{14ECF5AB-F12D-4C1A-9BDE-E5F8D27CC289}" srcOrd="1" destOrd="0" presId="urn:microsoft.com/office/officeart/2005/8/layout/orgChart1"/>
    <dgm:cxn modelId="{995B158F-A130-4453-9A49-1FAFAC105954}" type="presParOf" srcId="{FEE0FA5E-00A4-41D8-AB1C-AA4586D37F11}" destId="{DBDCAAA8-C1BC-464F-9DDC-4F4DD51E07B8}" srcOrd="1" destOrd="0" presId="urn:microsoft.com/office/officeart/2005/8/layout/orgChart1"/>
    <dgm:cxn modelId="{0D7E18AF-165D-4E32-AD9C-5E7E75C24860}" type="presParOf" srcId="{DBDCAAA8-C1BC-464F-9DDC-4F4DD51E07B8}" destId="{FC1C23FE-41C3-45AB-B919-B5AEFCF7E4A0}" srcOrd="0" destOrd="0" presId="urn:microsoft.com/office/officeart/2005/8/layout/orgChart1"/>
    <dgm:cxn modelId="{A2A50B65-3577-4218-B06A-2ABAEB325E3E}" type="presParOf" srcId="{DBDCAAA8-C1BC-464F-9DDC-4F4DD51E07B8}" destId="{B07E5FBA-853A-4722-8233-6CF6E72C6F4D}" srcOrd="1" destOrd="0" presId="urn:microsoft.com/office/officeart/2005/8/layout/orgChart1"/>
    <dgm:cxn modelId="{09F87F3F-E3EA-4F92-9B1F-12D302D76744}" type="presParOf" srcId="{B07E5FBA-853A-4722-8233-6CF6E72C6F4D}" destId="{85F8D879-F237-47AF-B3E9-86F453639ABB}" srcOrd="0" destOrd="0" presId="urn:microsoft.com/office/officeart/2005/8/layout/orgChart1"/>
    <dgm:cxn modelId="{C4E0E4C7-0BBD-4344-90E3-4C4A2864BB59}" type="presParOf" srcId="{85F8D879-F237-47AF-B3E9-86F453639ABB}" destId="{67BD0060-BFB1-4C4A-9D5B-6E6E87609C6C}" srcOrd="0" destOrd="0" presId="urn:microsoft.com/office/officeart/2005/8/layout/orgChart1"/>
    <dgm:cxn modelId="{BF404F13-9970-4358-B34A-8C3D1A788CA7}" type="presParOf" srcId="{85F8D879-F237-47AF-B3E9-86F453639ABB}" destId="{96518F74-4F11-437D-A2B6-A7469A744A9A}" srcOrd="1" destOrd="0" presId="urn:microsoft.com/office/officeart/2005/8/layout/orgChart1"/>
    <dgm:cxn modelId="{C7AF72F8-9DC2-4DB1-946E-FC1BA1493CC2}" type="presParOf" srcId="{B07E5FBA-853A-4722-8233-6CF6E72C6F4D}" destId="{4D242C7A-E775-4011-B353-68E6D193D297}" srcOrd="1" destOrd="0" presId="urn:microsoft.com/office/officeart/2005/8/layout/orgChart1"/>
    <dgm:cxn modelId="{25890F56-24DA-45E7-A3AD-73E5060443CD}" type="presParOf" srcId="{B07E5FBA-853A-4722-8233-6CF6E72C6F4D}" destId="{864A8151-C91F-4B19-8CA8-65447D47AC96}" srcOrd="2" destOrd="0" presId="urn:microsoft.com/office/officeart/2005/8/layout/orgChart1"/>
    <dgm:cxn modelId="{4A50C63F-ED19-460D-A2A1-58648C239434}" type="presParOf" srcId="{DBDCAAA8-C1BC-464F-9DDC-4F4DD51E07B8}" destId="{ED94DFB4-543B-4805-8D2B-6695EC59E5AF}" srcOrd="2" destOrd="0" presId="urn:microsoft.com/office/officeart/2005/8/layout/orgChart1"/>
    <dgm:cxn modelId="{8B76DE38-950C-4122-B8B5-3FCAF402E5C1}" type="presParOf" srcId="{DBDCAAA8-C1BC-464F-9DDC-4F4DD51E07B8}" destId="{AB9A0C88-A7A1-4224-9DB6-1220B771A881}" srcOrd="3" destOrd="0" presId="urn:microsoft.com/office/officeart/2005/8/layout/orgChart1"/>
    <dgm:cxn modelId="{97232F6A-9D14-4309-9A2C-6F7047788E0E}" type="presParOf" srcId="{AB9A0C88-A7A1-4224-9DB6-1220B771A881}" destId="{270DE9D8-888B-4BB9-B0E6-9D449C7B0BEE}" srcOrd="0" destOrd="0" presId="urn:microsoft.com/office/officeart/2005/8/layout/orgChart1"/>
    <dgm:cxn modelId="{A73BE2BF-4B40-47EB-972E-F96DD72397ED}" type="presParOf" srcId="{270DE9D8-888B-4BB9-B0E6-9D449C7B0BEE}" destId="{5451555C-535D-4995-B08E-92BDE4EE9F4E}" srcOrd="0" destOrd="0" presId="urn:microsoft.com/office/officeart/2005/8/layout/orgChart1"/>
    <dgm:cxn modelId="{4DBA9AE6-A20E-414E-A58B-B7AF33CCD11C}" type="presParOf" srcId="{270DE9D8-888B-4BB9-B0E6-9D449C7B0BEE}" destId="{98AB874C-9D50-49AD-A1E1-FECCB00C7FAA}" srcOrd="1" destOrd="0" presId="urn:microsoft.com/office/officeart/2005/8/layout/orgChart1"/>
    <dgm:cxn modelId="{75724C84-B7E5-488E-82E5-2CC563BB532C}" type="presParOf" srcId="{AB9A0C88-A7A1-4224-9DB6-1220B771A881}" destId="{DF40D6F2-C7A3-4C3B-B06C-FFCFC3169665}" srcOrd="1" destOrd="0" presId="urn:microsoft.com/office/officeart/2005/8/layout/orgChart1"/>
    <dgm:cxn modelId="{B4A7B9F4-5E79-4D4A-AB81-B5CD8749F374}" type="presParOf" srcId="{AB9A0C88-A7A1-4224-9DB6-1220B771A881}" destId="{E6D78B30-3EAD-4309-8DBC-744ABF9A9F04}" srcOrd="2" destOrd="0" presId="urn:microsoft.com/office/officeart/2005/8/layout/orgChart1"/>
    <dgm:cxn modelId="{CC36B45F-7CC0-4457-8DA2-BFE5EC0CF229}" type="presParOf" srcId="{DBDCAAA8-C1BC-464F-9DDC-4F4DD51E07B8}" destId="{0B8C700B-8527-409D-ADF9-BFF88DA7E80C}" srcOrd="4" destOrd="0" presId="urn:microsoft.com/office/officeart/2005/8/layout/orgChart1"/>
    <dgm:cxn modelId="{F0D2B8B5-3C34-4712-8C0E-2D0976B66ED7}" type="presParOf" srcId="{DBDCAAA8-C1BC-464F-9DDC-4F4DD51E07B8}" destId="{A44EAD65-1180-474B-9932-864F69D248A2}" srcOrd="5" destOrd="0" presId="urn:microsoft.com/office/officeart/2005/8/layout/orgChart1"/>
    <dgm:cxn modelId="{8F30379D-D50A-47AB-9FF3-BD094BDD43D1}" type="presParOf" srcId="{A44EAD65-1180-474B-9932-864F69D248A2}" destId="{3D98EC16-D683-4773-9709-3132C2BA6BE0}" srcOrd="0" destOrd="0" presId="urn:microsoft.com/office/officeart/2005/8/layout/orgChart1"/>
    <dgm:cxn modelId="{68F6EAE5-772D-4F09-8AD3-EBA87D9DA2BF}" type="presParOf" srcId="{3D98EC16-D683-4773-9709-3132C2BA6BE0}" destId="{67112E2D-DA08-4C12-BA18-598F9B59C2DD}" srcOrd="0" destOrd="0" presId="urn:microsoft.com/office/officeart/2005/8/layout/orgChart1"/>
    <dgm:cxn modelId="{9789D945-1577-4C73-80FF-78DCD08210FD}" type="presParOf" srcId="{3D98EC16-D683-4773-9709-3132C2BA6BE0}" destId="{12D47608-971A-4760-9862-9A137244C989}" srcOrd="1" destOrd="0" presId="urn:microsoft.com/office/officeart/2005/8/layout/orgChart1"/>
    <dgm:cxn modelId="{97E40180-A4E5-4420-A257-506660C91218}" type="presParOf" srcId="{A44EAD65-1180-474B-9932-864F69D248A2}" destId="{4AED43CD-31C5-4022-8320-197F7917098A}" srcOrd="1" destOrd="0" presId="urn:microsoft.com/office/officeart/2005/8/layout/orgChart1"/>
    <dgm:cxn modelId="{8AE93CA7-208A-45BD-A4C9-3B9A4F8E7986}" type="presParOf" srcId="{A44EAD65-1180-474B-9932-864F69D248A2}" destId="{7AF084A5-28F9-4954-B6C1-10F1AB251456}" srcOrd="2" destOrd="0" presId="urn:microsoft.com/office/officeart/2005/8/layout/orgChart1"/>
    <dgm:cxn modelId="{B3B09572-2B83-401D-B257-1542D6C7E378}" type="presParOf" srcId="{DBDCAAA8-C1BC-464F-9DDC-4F4DD51E07B8}" destId="{7A5EFE90-79A7-45A5-998C-98AA3A25E535}" srcOrd="6" destOrd="0" presId="urn:microsoft.com/office/officeart/2005/8/layout/orgChart1"/>
    <dgm:cxn modelId="{3C4721A0-8A73-46EC-9BEC-E4BBB2B6336A}" type="presParOf" srcId="{DBDCAAA8-C1BC-464F-9DDC-4F4DD51E07B8}" destId="{D0915C85-8D46-47BF-A4EB-A9D5E2C03223}" srcOrd="7" destOrd="0" presId="urn:microsoft.com/office/officeart/2005/8/layout/orgChart1"/>
    <dgm:cxn modelId="{D0DDE1BC-7843-4F2E-8845-EA9DC6BEC6BE}" type="presParOf" srcId="{D0915C85-8D46-47BF-A4EB-A9D5E2C03223}" destId="{479631B7-3BC0-40CC-9C72-E67CB641C124}" srcOrd="0" destOrd="0" presId="urn:microsoft.com/office/officeart/2005/8/layout/orgChart1"/>
    <dgm:cxn modelId="{607BDA23-996F-479A-9EA6-E63A249B0A9D}" type="presParOf" srcId="{479631B7-3BC0-40CC-9C72-E67CB641C124}" destId="{450069CF-7114-46AF-B948-B59BD7BD3248}" srcOrd="0" destOrd="0" presId="urn:microsoft.com/office/officeart/2005/8/layout/orgChart1"/>
    <dgm:cxn modelId="{36501132-44A4-406F-B671-A038E78BCDF1}" type="presParOf" srcId="{479631B7-3BC0-40CC-9C72-E67CB641C124}" destId="{DF59B64D-B8F5-4CBC-B522-C117940BEBC4}" srcOrd="1" destOrd="0" presId="urn:microsoft.com/office/officeart/2005/8/layout/orgChart1"/>
    <dgm:cxn modelId="{FE6126DA-2786-4224-AE93-6E0372551B70}" type="presParOf" srcId="{D0915C85-8D46-47BF-A4EB-A9D5E2C03223}" destId="{6345127E-510B-45C4-A1EC-E1832DAFDCB4}" srcOrd="1" destOrd="0" presId="urn:microsoft.com/office/officeart/2005/8/layout/orgChart1"/>
    <dgm:cxn modelId="{A1479E4E-72B0-4726-A92C-E3E5EA712ADC}" type="presParOf" srcId="{D0915C85-8D46-47BF-A4EB-A9D5E2C03223}" destId="{CB40CC88-B9AA-4CF6-954A-09848908972D}" srcOrd="2" destOrd="0" presId="urn:microsoft.com/office/officeart/2005/8/layout/orgChart1"/>
    <dgm:cxn modelId="{102943F4-FD8E-4041-9821-BDC5B13B6863}" type="presParOf" srcId="{DBDCAAA8-C1BC-464F-9DDC-4F4DD51E07B8}" destId="{49442FAC-B0E9-4BAD-861B-AEA4355561EE}" srcOrd="8" destOrd="0" presId="urn:microsoft.com/office/officeart/2005/8/layout/orgChart1"/>
    <dgm:cxn modelId="{CA024236-DA21-411E-B832-829DACAFB6A9}" type="presParOf" srcId="{DBDCAAA8-C1BC-464F-9DDC-4F4DD51E07B8}" destId="{BE36E480-C167-4AD3-9D39-2BDDE28D2FCE}" srcOrd="9" destOrd="0" presId="urn:microsoft.com/office/officeart/2005/8/layout/orgChart1"/>
    <dgm:cxn modelId="{E0552681-600E-48C7-B5E6-0A2A608730F0}" type="presParOf" srcId="{BE36E480-C167-4AD3-9D39-2BDDE28D2FCE}" destId="{AE7A26D8-46C7-4B04-8483-C1BD2A7E3C14}" srcOrd="0" destOrd="0" presId="urn:microsoft.com/office/officeart/2005/8/layout/orgChart1"/>
    <dgm:cxn modelId="{8278DA01-EA76-4B96-A078-DD00990EC5CB}" type="presParOf" srcId="{AE7A26D8-46C7-4B04-8483-C1BD2A7E3C14}" destId="{0A0D7290-3BF8-4E1B-AF58-EEEFB663DEAB}" srcOrd="0" destOrd="0" presId="urn:microsoft.com/office/officeart/2005/8/layout/orgChart1"/>
    <dgm:cxn modelId="{BF2E4401-7743-4E8E-8671-BE1F36ED104B}" type="presParOf" srcId="{AE7A26D8-46C7-4B04-8483-C1BD2A7E3C14}" destId="{4CA1BCDE-C91A-4827-AD61-80C4BDB2B836}" srcOrd="1" destOrd="0" presId="urn:microsoft.com/office/officeart/2005/8/layout/orgChart1"/>
    <dgm:cxn modelId="{1C10457C-EAB9-42D3-B977-AF7AB9783E72}" type="presParOf" srcId="{BE36E480-C167-4AD3-9D39-2BDDE28D2FCE}" destId="{F38F6212-48FF-463E-B9A7-FB0408902497}" srcOrd="1" destOrd="0" presId="urn:microsoft.com/office/officeart/2005/8/layout/orgChart1"/>
    <dgm:cxn modelId="{092A05E8-3CEA-4347-8C10-406C38FCE565}" type="presParOf" srcId="{BE36E480-C167-4AD3-9D39-2BDDE28D2FCE}" destId="{0D041C48-43CB-4E57-B84A-F832A4E0B4E1}" srcOrd="2" destOrd="0" presId="urn:microsoft.com/office/officeart/2005/8/layout/orgChart1"/>
    <dgm:cxn modelId="{C9B3F06A-48A6-4CD0-9E2E-733ED94C7D59}" type="presParOf" srcId="{DBDCAAA8-C1BC-464F-9DDC-4F4DD51E07B8}" destId="{BD64C209-A7B0-47B9-A859-89497615BB8D}" srcOrd="10" destOrd="0" presId="urn:microsoft.com/office/officeart/2005/8/layout/orgChart1"/>
    <dgm:cxn modelId="{378E6516-8904-4035-A2FC-F6A11D3DE185}" type="presParOf" srcId="{DBDCAAA8-C1BC-464F-9DDC-4F4DD51E07B8}" destId="{DC678C6B-A706-4E55-9339-2F82E726CF1A}" srcOrd="11" destOrd="0" presId="urn:microsoft.com/office/officeart/2005/8/layout/orgChart1"/>
    <dgm:cxn modelId="{C2D6B0DF-9029-4AD4-B83E-B33D8BA234DA}" type="presParOf" srcId="{DC678C6B-A706-4E55-9339-2F82E726CF1A}" destId="{754A9F5B-6B64-4FAA-9219-44D2BF6EF7D1}" srcOrd="0" destOrd="0" presId="urn:microsoft.com/office/officeart/2005/8/layout/orgChart1"/>
    <dgm:cxn modelId="{9B245A97-8C16-4F91-9797-4DBBF6F58239}" type="presParOf" srcId="{754A9F5B-6B64-4FAA-9219-44D2BF6EF7D1}" destId="{A9181D67-06C7-48A4-910B-0FB4C3B9B53D}" srcOrd="0" destOrd="0" presId="urn:microsoft.com/office/officeart/2005/8/layout/orgChart1"/>
    <dgm:cxn modelId="{AD9ED67F-E463-495B-98C4-A62925828109}" type="presParOf" srcId="{754A9F5B-6B64-4FAA-9219-44D2BF6EF7D1}" destId="{3E7608C9-1BF5-4B36-AAAD-19D61152C89B}" srcOrd="1" destOrd="0" presId="urn:microsoft.com/office/officeart/2005/8/layout/orgChart1"/>
    <dgm:cxn modelId="{634C2FA0-1B2A-4925-9DA9-CF2A0E6C5922}" type="presParOf" srcId="{DC678C6B-A706-4E55-9339-2F82E726CF1A}" destId="{54FA8ABD-8EE2-4C8E-AF0F-E6E5C06705FC}" srcOrd="1" destOrd="0" presId="urn:microsoft.com/office/officeart/2005/8/layout/orgChart1"/>
    <dgm:cxn modelId="{8E927E69-697A-4050-BF13-B0E9E747012A}" type="presParOf" srcId="{DC678C6B-A706-4E55-9339-2F82E726CF1A}" destId="{E6ED8DE2-CF4D-47A4-9B88-6C9B0BFD0B80}" srcOrd="2" destOrd="0" presId="urn:microsoft.com/office/officeart/2005/8/layout/orgChart1"/>
    <dgm:cxn modelId="{C123D5CF-78D8-46CE-B9C3-F53227D92FE3}" type="presParOf" srcId="{FEE0FA5E-00A4-41D8-AB1C-AA4586D37F11}" destId="{6A072BC7-B881-493B-AD0D-CDD56EE18CBB}" srcOrd="2" destOrd="0" presId="urn:microsoft.com/office/officeart/2005/8/layout/orgChart1"/>
    <dgm:cxn modelId="{64805519-56ED-443C-8289-820ACED27D4C}" type="presParOf" srcId="{14BD63D9-C141-4E9C-B724-F2CE1C6ECE3A}" destId="{4B4A3709-AA75-4971-921B-CAC4A33225CC}" srcOrd="6" destOrd="0" presId="urn:microsoft.com/office/officeart/2005/8/layout/orgChart1"/>
    <dgm:cxn modelId="{E9B1529B-FF2F-415B-A699-9613460257EC}" type="presParOf" srcId="{14BD63D9-C141-4E9C-B724-F2CE1C6ECE3A}" destId="{47D8AAF7-3DE1-4F00-8587-467D065E780E}" srcOrd="7" destOrd="0" presId="urn:microsoft.com/office/officeart/2005/8/layout/orgChart1"/>
    <dgm:cxn modelId="{22E853FC-D1FF-4937-BB55-3FC42C11B4F8}" type="presParOf" srcId="{47D8AAF7-3DE1-4F00-8587-467D065E780E}" destId="{29CBCBA3-9A84-4E67-AE65-EEE179EEC833}" srcOrd="0" destOrd="0" presId="urn:microsoft.com/office/officeart/2005/8/layout/orgChart1"/>
    <dgm:cxn modelId="{4C14ACDA-5FD3-4D75-808F-04169386AE7D}" type="presParOf" srcId="{29CBCBA3-9A84-4E67-AE65-EEE179EEC833}" destId="{EBDC4F41-BB02-4045-BB2C-0F561DCA0C10}" srcOrd="0" destOrd="0" presId="urn:microsoft.com/office/officeart/2005/8/layout/orgChart1"/>
    <dgm:cxn modelId="{0F155082-1085-4EFD-ACBA-6D21BCDA181D}" type="presParOf" srcId="{29CBCBA3-9A84-4E67-AE65-EEE179EEC833}" destId="{7BCBB919-E96F-42D4-BA5F-2446C6D9C71A}" srcOrd="1" destOrd="0" presId="urn:microsoft.com/office/officeart/2005/8/layout/orgChart1"/>
    <dgm:cxn modelId="{5AFFB923-9E3D-4165-B5AB-93C916D485D6}" type="presParOf" srcId="{47D8AAF7-3DE1-4F00-8587-467D065E780E}" destId="{43280E03-1FB3-4E9D-B52E-EA740400CD98}" srcOrd="1" destOrd="0" presId="urn:microsoft.com/office/officeart/2005/8/layout/orgChart1"/>
    <dgm:cxn modelId="{DCF1EF43-CBF0-47BA-BDBC-93849B4E425D}" type="presParOf" srcId="{43280E03-1FB3-4E9D-B52E-EA740400CD98}" destId="{96BFC465-8166-421C-9903-E801C6A495F4}" srcOrd="0" destOrd="0" presId="urn:microsoft.com/office/officeart/2005/8/layout/orgChart1"/>
    <dgm:cxn modelId="{151DFF2B-8CF3-4AFE-BA8A-413DBDA066C4}" type="presParOf" srcId="{43280E03-1FB3-4E9D-B52E-EA740400CD98}" destId="{9FE58E93-0DB9-444A-BC5D-7057BA79A88D}" srcOrd="1" destOrd="0" presId="urn:microsoft.com/office/officeart/2005/8/layout/orgChart1"/>
    <dgm:cxn modelId="{2CEC0060-9557-4158-8F40-402957313CFE}" type="presParOf" srcId="{9FE58E93-0DB9-444A-BC5D-7057BA79A88D}" destId="{565A487E-9E09-4ED1-9070-3D2C30FC8F80}" srcOrd="0" destOrd="0" presId="urn:microsoft.com/office/officeart/2005/8/layout/orgChart1"/>
    <dgm:cxn modelId="{98112BCD-9A31-49A4-937A-3BA902C11513}" type="presParOf" srcId="{565A487E-9E09-4ED1-9070-3D2C30FC8F80}" destId="{647420B5-B7F6-41E1-AC34-55D8867088E7}" srcOrd="0" destOrd="0" presId="urn:microsoft.com/office/officeart/2005/8/layout/orgChart1"/>
    <dgm:cxn modelId="{694B95D2-FCD2-4A80-8773-CDBC4B15C5AB}" type="presParOf" srcId="{565A487E-9E09-4ED1-9070-3D2C30FC8F80}" destId="{2AA0D326-14A0-4FFF-AA6C-042CD260C778}" srcOrd="1" destOrd="0" presId="urn:microsoft.com/office/officeart/2005/8/layout/orgChart1"/>
    <dgm:cxn modelId="{D083AFCB-54CA-4DDE-8F52-3F1EAF4C4983}" type="presParOf" srcId="{9FE58E93-0DB9-444A-BC5D-7057BA79A88D}" destId="{C16A6238-679E-4BA6-B31F-76D0DF27624F}" srcOrd="1" destOrd="0" presId="urn:microsoft.com/office/officeart/2005/8/layout/orgChart1"/>
    <dgm:cxn modelId="{1218AF5A-2220-4DC4-9499-E9649DD5F2C7}" type="presParOf" srcId="{9FE58E93-0DB9-444A-BC5D-7057BA79A88D}" destId="{9FDA9C82-B287-452D-804B-E818F8F1B6D7}" srcOrd="2" destOrd="0" presId="urn:microsoft.com/office/officeart/2005/8/layout/orgChart1"/>
    <dgm:cxn modelId="{4B5C12E6-1EFB-4AB9-9A05-4EE2C9BB8F41}" type="presParOf" srcId="{43280E03-1FB3-4E9D-B52E-EA740400CD98}" destId="{EF40F13B-2C5A-41A4-9FFF-CA4653B01B3B}" srcOrd="2" destOrd="0" presId="urn:microsoft.com/office/officeart/2005/8/layout/orgChart1"/>
    <dgm:cxn modelId="{29CA16A0-0931-4985-A343-763F5B714E98}" type="presParOf" srcId="{43280E03-1FB3-4E9D-B52E-EA740400CD98}" destId="{687001A3-D3CC-4AB1-84C4-16CB10BD9A2C}" srcOrd="3" destOrd="0" presId="urn:microsoft.com/office/officeart/2005/8/layout/orgChart1"/>
    <dgm:cxn modelId="{AB621D04-AA37-4F10-AB35-1B2A1238E86A}" type="presParOf" srcId="{687001A3-D3CC-4AB1-84C4-16CB10BD9A2C}" destId="{2640AFD9-A105-4927-8D49-A4911DAEB8A6}" srcOrd="0" destOrd="0" presId="urn:microsoft.com/office/officeart/2005/8/layout/orgChart1"/>
    <dgm:cxn modelId="{7590CE4B-49F5-468F-833F-BACFD8D9DFC2}" type="presParOf" srcId="{2640AFD9-A105-4927-8D49-A4911DAEB8A6}" destId="{ABC7BB64-A90A-4CB7-9105-0A2AC9805564}" srcOrd="0" destOrd="0" presId="urn:microsoft.com/office/officeart/2005/8/layout/orgChart1"/>
    <dgm:cxn modelId="{85612891-EFAD-4E66-BDB7-7F4A54B314D9}" type="presParOf" srcId="{2640AFD9-A105-4927-8D49-A4911DAEB8A6}" destId="{FF3F3098-1EE8-47DE-A756-7FCF6D81535A}" srcOrd="1" destOrd="0" presId="urn:microsoft.com/office/officeart/2005/8/layout/orgChart1"/>
    <dgm:cxn modelId="{1721754D-93E3-4BC7-8532-2A57D330D7FC}" type="presParOf" srcId="{687001A3-D3CC-4AB1-84C4-16CB10BD9A2C}" destId="{B21E56AF-F838-42B0-B06B-68B9B29854D0}" srcOrd="1" destOrd="0" presId="urn:microsoft.com/office/officeart/2005/8/layout/orgChart1"/>
    <dgm:cxn modelId="{A8B83F55-6A73-45A6-BB10-370A06C70C57}" type="presParOf" srcId="{687001A3-D3CC-4AB1-84C4-16CB10BD9A2C}" destId="{296DDADC-4797-42A4-AEEE-50AD6B51ED36}" srcOrd="2" destOrd="0" presId="urn:microsoft.com/office/officeart/2005/8/layout/orgChart1"/>
    <dgm:cxn modelId="{DA3D6551-9434-4A5C-A549-2D6078BD936E}" type="presParOf" srcId="{43280E03-1FB3-4E9D-B52E-EA740400CD98}" destId="{F8DF4927-B0E2-4A18-B576-0CEAC6685F51}" srcOrd="4" destOrd="0" presId="urn:microsoft.com/office/officeart/2005/8/layout/orgChart1"/>
    <dgm:cxn modelId="{C3CE59DC-837D-41B3-B753-00A2F1642598}" type="presParOf" srcId="{43280E03-1FB3-4E9D-B52E-EA740400CD98}" destId="{6CA202BA-0547-482E-BDB3-FA2EF0455FAC}" srcOrd="5" destOrd="0" presId="urn:microsoft.com/office/officeart/2005/8/layout/orgChart1"/>
    <dgm:cxn modelId="{B59EDC1F-358F-42F8-8634-291B73D5E861}" type="presParOf" srcId="{6CA202BA-0547-482E-BDB3-FA2EF0455FAC}" destId="{8555C65F-DEC2-4828-BA48-3DC0D3ECE78E}" srcOrd="0" destOrd="0" presId="urn:microsoft.com/office/officeart/2005/8/layout/orgChart1"/>
    <dgm:cxn modelId="{412D4C61-CC00-4320-B7FF-B07A1A207A43}" type="presParOf" srcId="{8555C65F-DEC2-4828-BA48-3DC0D3ECE78E}" destId="{AD7D396D-70EB-4F3A-AC22-78E8462178A0}" srcOrd="0" destOrd="0" presId="urn:microsoft.com/office/officeart/2005/8/layout/orgChart1"/>
    <dgm:cxn modelId="{927AF5B6-4318-4C51-A538-46DD1F67B4E6}" type="presParOf" srcId="{8555C65F-DEC2-4828-BA48-3DC0D3ECE78E}" destId="{E8EB7F20-D728-4C93-81BC-AECA407EEA56}" srcOrd="1" destOrd="0" presId="urn:microsoft.com/office/officeart/2005/8/layout/orgChart1"/>
    <dgm:cxn modelId="{9AC22216-1CC0-4FC2-9228-3638C466401B}" type="presParOf" srcId="{6CA202BA-0547-482E-BDB3-FA2EF0455FAC}" destId="{73215CC5-9FC6-4D32-8095-2F8C1CDF19D5}" srcOrd="1" destOrd="0" presId="urn:microsoft.com/office/officeart/2005/8/layout/orgChart1"/>
    <dgm:cxn modelId="{A99C5B42-543D-4012-B17E-A1B060EBCF73}" type="presParOf" srcId="{6CA202BA-0547-482E-BDB3-FA2EF0455FAC}" destId="{804A5EFD-3256-46F4-A920-47AD6128D0B1}" srcOrd="2" destOrd="0" presId="urn:microsoft.com/office/officeart/2005/8/layout/orgChart1"/>
    <dgm:cxn modelId="{1BB8B42B-5F34-408B-9A3A-D4EB9258D91D}" type="presParOf" srcId="{43280E03-1FB3-4E9D-B52E-EA740400CD98}" destId="{F7E5F2CE-0C8A-4AD2-8503-9E5CEAC34879}" srcOrd="6" destOrd="0" presId="urn:microsoft.com/office/officeart/2005/8/layout/orgChart1"/>
    <dgm:cxn modelId="{3498A3E2-99A7-4E2F-A3D5-D25D554424D6}" type="presParOf" srcId="{43280E03-1FB3-4E9D-B52E-EA740400CD98}" destId="{4F2AEEF9-EDA3-4E3E-B002-537E5DD32D88}" srcOrd="7" destOrd="0" presId="urn:microsoft.com/office/officeart/2005/8/layout/orgChart1"/>
    <dgm:cxn modelId="{CE843B9C-1B40-4AEB-B780-827AB324D9A9}" type="presParOf" srcId="{4F2AEEF9-EDA3-4E3E-B002-537E5DD32D88}" destId="{4ECD40FA-F322-4346-AA5A-4A751A4677AA}" srcOrd="0" destOrd="0" presId="urn:microsoft.com/office/officeart/2005/8/layout/orgChart1"/>
    <dgm:cxn modelId="{A1C3DF81-C438-436B-B744-5A4D012D53AB}" type="presParOf" srcId="{4ECD40FA-F322-4346-AA5A-4A751A4677AA}" destId="{39B8E77F-B22C-4656-8B22-473C50CE438F}" srcOrd="0" destOrd="0" presId="urn:microsoft.com/office/officeart/2005/8/layout/orgChart1"/>
    <dgm:cxn modelId="{EE7210FB-C1F5-44FE-A139-1CDDDB73203A}" type="presParOf" srcId="{4ECD40FA-F322-4346-AA5A-4A751A4677AA}" destId="{A69B6F19-D601-4E1F-A30B-92D7339CEC15}" srcOrd="1" destOrd="0" presId="urn:microsoft.com/office/officeart/2005/8/layout/orgChart1"/>
    <dgm:cxn modelId="{7C99DB1C-0297-4859-97D2-F536689DD122}" type="presParOf" srcId="{4F2AEEF9-EDA3-4E3E-B002-537E5DD32D88}" destId="{CB957512-36BE-4415-B4CF-2844E268DBC9}" srcOrd="1" destOrd="0" presId="urn:microsoft.com/office/officeart/2005/8/layout/orgChart1"/>
    <dgm:cxn modelId="{284F3723-272F-40DA-9F8C-667341F95DBA}" type="presParOf" srcId="{4F2AEEF9-EDA3-4E3E-B002-537E5DD32D88}" destId="{8BC8AA20-D366-48FE-8A79-B07CEC24E33A}" srcOrd="2" destOrd="0" presId="urn:microsoft.com/office/officeart/2005/8/layout/orgChart1"/>
    <dgm:cxn modelId="{CDDD3EB2-851E-4B38-AF4F-6F7AEB6E956A}" type="presParOf" srcId="{43280E03-1FB3-4E9D-B52E-EA740400CD98}" destId="{528E5FC3-D11A-4F89-9B14-660DA30A5BD9}" srcOrd="8" destOrd="0" presId="urn:microsoft.com/office/officeart/2005/8/layout/orgChart1"/>
    <dgm:cxn modelId="{8AEEFC14-AB88-4D8E-8DE8-36655C50E7F9}" type="presParOf" srcId="{43280E03-1FB3-4E9D-B52E-EA740400CD98}" destId="{12062A6B-A75C-4D48-B92C-B675952729DB}" srcOrd="9" destOrd="0" presId="urn:microsoft.com/office/officeart/2005/8/layout/orgChart1"/>
    <dgm:cxn modelId="{62567538-C87B-4B25-AC94-8C453294F8C0}" type="presParOf" srcId="{12062A6B-A75C-4D48-B92C-B675952729DB}" destId="{30E9CCB3-D19D-4DB7-BC88-FB00CD9E218F}" srcOrd="0" destOrd="0" presId="urn:microsoft.com/office/officeart/2005/8/layout/orgChart1"/>
    <dgm:cxn modelId="{06113589-95E3-4BF5-972D-78D6E4476EA0}" type="presParOf" srcId="{30E9CCB3-D19D-4DB7-BC88-FB00CD9E218F}" destId="{DE90A0AF-EF96-426B-BDC2-9EE119692A07}" srcOrd="0" destOrd="0" presId="urn:microsoft.com/office/officeart/2005/8/layout/orgChart1"/>
    <dgm:cxn modelId="{06B9FD66-7E7F-4A6D-A0BB-B800C7FCC859}" type="presParOf" srcId="{30E9CCB3-D19D-4DB7-BC88-FB00CD9E218F}" destId="{F75DB207-43BF-488C-BEA8-CD8796287353}" srcOrd="1" destOrd="0" presId="urn:microsoft.com/office/officeart/2005/8/layout/orgChart1"/>
    <dgm:cxn modelId="{2CE0DA20-2223-4B94-93C8-E6C951DFFD51}" type="presParOf" srcId="{12062A6B-A75C-4D48-B92C-B675952729DB}" destId="{6418E0AA-405F-42EF-9349-0AD5D6EAB063}" srcOrd="1" destOrd="0" presId="urn:microsoft.com/office/officeart/2005/8/layout/orgChart1"/>
    <dgm:cxn modelId="{EF5B1575-CCDD-4035-83CA-725BAF691569}" type="presParOf" srcId="{12062A6B-A75C-4D48-B92C-B675952729DB}" destId="{B1B17F1D-BD38-43E7-83FF-66C9397AAE58}" srcOrd="2" destOrd="0" presId="urn:microsoft.com/office/officeart/2005/8/layout/orgChart1"/>
    <dgm:cxn modelId="{4F9DC0A5-D2B1-4732-93DF-DCA324C609E9}" type="presParOf" srcId="{43280E03-1FB3-4E9D-B52E-EA740400CD98}" destId="{59C04252-CCFB-4CC8-BA77-20FD222490E8}" srcOrd="10" destOrd="0" presId="urn:microsoft.com/office/officeart/2005/8/layout/orgChart1"/>
    <dgm:cxn modelId="{12BF3A4C-07CA-4B86-9A7C-A208B6883F03}" type="presParOf" srcId="{43280E03-1FB3-4E9D-B52E-EA740400CD98}" destId="{A1D1C9F3-0143-44EB-B646-474015DEF2F5}" srcOrd="11" destOrd="0" presId="urn:microsoft.com/office/officeart/2005/8/layout/orgChart1"/>
    <dgm:cxn modelId="{1C60A34E-A11D-42DB-A5A6-82ECF8493537}" type="presParOf" srcId="{A1D1C9F3-0143-44EB-B646-474015DEF2F5}" destId="{5030E857-2B75-42B6-8DF1-6EAD3BCFEC87}" srcOrd="0" destOrd="0" presId="urn:microsoft.com/office/officeart/2005/8/layout/orgChart1"/>
    <dgm:cxn modelId="{E5368034-3128-497D-9FEC-7D74D18B1D02}" type="presParOf" srcId="{5030E857-2B75-42B6-8DF1-6EAD3BCFEC87}" destId="{0119EEB9-9A38-430C-8605-8FF3F804544F}" srcOrd="0" destOrd="0" presId="urn:microsoft.com/office/officeart/2005/8/layout/orgChart1"/>
    <dgm:cxn modelId="{AEF1D014-A2D0-486B-908D-A1F105FD9E87}" type="presParOf" srcId="{5030E857-2B75-42B6-8DF1-6EAD3BCFEC87}" destId="{E2D3DBFC-8378-439D-8EA2-F88586179F5F}" srcOrd="1" destOrd="0" presId="urn:microsoft.com/office/officeart/2005/8/layout/orgChart1"/>
    <dgm:cxn modelId="{BD18F5BD-0DB7-4C24-8319-F1B6DB99F8FF}" type="presParOf" srcId="{A1D1C9F3-0143-44EB-B646-474015DEF2F5}" destId="{2CC031BB-80CE-4A34-B076-97E9EA6BF3C3}" srcOrd="1" destOrd="0" presId="urn:microsoft.com/office/officeart/2005/8/layout/orgChart1"/>
    <dgm:cxn modelId="{A3233A7B-1D9D-4875-9AB8-FEE9D991A7AE}" type="presParOf" srcId="{A1D1C9F3-0143-44EB-B646-474015DEF2F5}" destId="{964B1D07-7B38-46DF-B184-5EF2F7CA3EAC}" srcOrd="2" destOrd="0" presId="urn:microsoft.com/office/officeart/2005/8/layout/orgChart1"/>
    <dgm:cxn modelId="{B1ABFBED-D0C0-4564-B031-DEF4AB8CCB7B}" type="presParOf" srcId="{47D8AAF7-3DE1-4F00-8587-467D065E780E}" destId="{0E4756FC-7C91-46C9-A0DD-FAE4704C34AA}" srcOrd="2" destOrd="0" presId="urn:microsoft.com/office/officeart/2005/8/layout/orgChart1"/>
    <dgm:cxn modelId="{F8294044-588A-4704-BAD1-B1D37E4877C8}" type="presParOf" srcId="{14BD63D9-C141-4E9C-B724-F2CE1C6ECE3A}" destId="{F1EE7129-9CBE-42CE-9EE3-3684DAE78A6A}" srcOrd="8" destOrd="0" presId="urn:microsoft.com/office/officeart/2005/8/layout/orgChart1"/>
    <dgm:cxn modelId="{33C1F114-E806-40EA-9777-A1CB5A9C0757}" type="presParOf" srcId="{14BD63D9-C141-4E9C-B724-F2CE1C6ECE3A}" destId="{1AC2E66A-2A2E-4A3B-AEC8-DF1D34B03365}" srcOrd="9" destOrd="0" presId="urn:microsoft.com/office/officeart/2005/8/layout/orgChart1"/>
    <dgm:cxn modelId="{45D546DB-8C1F-45A1-8B8E-E187691552BB}" type="presParOf" srcId="{1AC2E66A-2A2E-4A3B-AEC8-DF1D34B03365}" destId="{40535A9C-B148-4F64-A1A0-A8CC7945C730}" srcOrd="0" destOrd="0" presId="urn:microsoft.com/office/officeart/2005/8/layout/orgChart1"/>
    <dgm:cxn modelId="{6C100D4D-E985-4A33-B316-FA7588AAD8F0}" type="presParOf" srcId="{40535A9C-B148-4F64-A1A0-A8CC7945C730}" destId="{A258BD13-7871-4C9C-B418-43BE12BFB3E9}" srcOrd="0" destOrd="0" presId="urn:microsoft.com/office/officeart/2005/8/layout/orgChart1"/>
    <dgm:cxn modelId="{936FA9A8-9B5E-4CBE-B403-CC2EEAF24278}" type="presParOf" srcId="{40535A9C-B148-4F64-A1A0-A8CC7945C730}" destId="{377DAAC8-B64C-4B18-908A-1890A133AEFC}" srcOrd="1" destOrd="0" presId="urn:microsoft.com/office/officeart/2005/8/layout/orgChart1"/>
    <dgm:cxn modelId="{B75CDC5A-F682-4ECF-B925-39A3176CC6CB}" type="presParOf" srcId="{1AC2E66A-2A2E-4A3B-AEC8-DF1D34B03365}" destId="{314C482C-65BB-47D4-915A-6F0C3441E503}" srcOrd="1" destOrd="0" presId="urn:microsoft.com/office/officeart/2005/8/layout/orgChart1"/>
    <dgm:cxn modelId="{55B0F3B0-983C-4A7F-BA1B-53D4414D37F9}" type="presParOf" srcId="{314C482C-65BB-47D4-915A-6F0C3441E503}" destId="{2F7B221D-5030-40CE-B2C2-68153A0F97EC}" srcOrd="0" destOrd="0" presId="urn:microsoft.com/office/officeart/2005/8/layout/orgChart1"/>
    <dgm:cxn modelId="{9D7AFB09-6262-4F2F-8F22-4E7E8F828426}" type="presParOf" srcId="{314C482C-65BB-47D4-915A-6F0C3441E503}" destId="{9FB25C77-0C0A-4FB2-89FE-7175A2B094F9}" srcOrd="1" destOrd="0" presId="urn:microsoft.com/office/officeart/2005/8/layout/orgChart1"/>
    <dgm:cxn modelId="{9583D0BC-9176-4997-8ECB-6985E8761F36}" type="presParOf" srcId="{9FB25C77-0C0A-4FB2-89FE-7175A2B094F9}" destId="{CB680E1F-EBAE-4062-A071-AB7C08232403}" srcOrd="0" destOrd="0" presId="urn:microsoft.com/office/officeart/2005/8/layout/orgChart1"/>
    <dgm:cxn modelId="{628F28EA-1AC4-46A5-A13C-C87CC4F32764}" type="presParOf" srcId="{CB680E1F-EBAE-4062-A071-AB7C08232403}" destId="{FED6595E-1570-4891-AE46-CD4AC1DEF9EA}" srcOrd="0" destOrd="0" presId="urn:microsoft.com/office/officeart/2005/8/layout/orgChart1"/>
    <dgm:cxn modelId="{B867269F-730E-4A91-9B61-09320907D9D9}" type="presParOf" srcId="{CB680E1F-EBAE-4062-A071-AB7C08232403}" destId="{4A3DC27F-8DE4-48A4-9352-6E19ED89BD37}" srcOrd="1" destOrd="0" presId="urn:microsoft.com/office/officeart/2005/8/layout/orgChart1"/>
    <dgm:cxn modelId="{FA618AF7-4068-437A-85DE-EEE4E8DABF07}" type="presParOf" srcId="{9FB25C77-0C0A-4FB2-89FE-7175A2B094F9}" destId="{DFA8D785-E1E1-4A77-B992-17A55C3F2717}" srcOrd="1" destOrd="0" presId="urn:microsoft.com/office/officeart/2005/8/layout/orgChart1"/>
    <dgm:cxn modelId="{05BCAE30-8B31-42BA-B530-6923102127D6}" type="presParOf" srcId="{9FB25C77-0C0A-4FB2-89FE-7175A2B094F9}" destId="{6D7E8D45-4C51-4D9C-A331-6B04C0832A8B}" srcOrd="2" destOrd="0" presId="urn:microsoft.com/office/officeart/2005/8/layout/orgChart1"/>
    <dgm:cxn modelId="{66E2AAC7-4F6B-4041-9CC4-82F1E64F7C50}" type="presParOf" srcId="{314C482C-65BB-47D4-915A-6F0C3441E503}" destId="{FD540605-6F96-4B99-9FEF-8CEAB4571FB4}" srcOrd="2" destOrd="0" presId="urn:microsoft.com/office/officeart/2005/8/layout/orgChart1"/>
    <dgm:cxn modelId="{9956EDBF-B018-4A01-9840-173465058820}" type="presParOf" srcId="{314C482C-65BB-47D4-915A-6F0C3441E503}" destId="{3611DE11-DCD5-4EE0-BB96-595CF39417D6}" srcOrd="3" destOrd="0" presId="urn:microsoft.com/office/officeart/2005/8/layout/orgChart1"/>
    <dgm:cxn modelId="{7FB0EDB3-A758-4E60-8B88-6857246B482F}" type="presParOf" srcId="{3611DE11-DCD5-4EE0-BB96-595CF39417D6}" destId="{543E833C-7B9C-410F-911B-FAF9A6E38FF7}" srcOrd="0" destOrd="0" presId="urn:microsoft.com/office/officeart/2005/8/layout/orgChart1"/>
    <dgm:cxn modelId="{2F16D306-8A53-4558-B868-DF99E272D014}" type="presParOf" srcId="{543E833C-7B9C-410F-911B-FAF9A6E38FF7}" destId="{7F8EFDBA-900F-4273-A7B0-E6FE5E02840D}" srcOrd="0" destOrd="0" presId="urn:microsoft.com/office/officeart/2005/8/layout/orgChart1"/>
    <dgm:cxn modelId="{F11E3F90-AFD2-4CB4-86EE-325B52D5AE56}" type="presParOf" srcId="{543E833C-7B9C-410F-911B-FAF9A6E38FF7}" destId="{04201401-4837-4B30-AFFF-9998EB8BCE29}" srcOrd="1" destOrd="0" presId="urn:microsoft.com/office/officeart/2005/8/layout/orgChart1"/>
    <dgm:cxn modelId="{615EE113-196D-41F1-83B5-1EBD5EDD60CC}" type="presParOf" srcId="{3611DE11-DCD5-4EE0-BB96-595CF39417D6}" destId="{DB6740BE-9238-45AF-9A9D-36FB72CBF9E7}" srcOrd="1" destOrd="0" presId="urn:microsoft.com/office/officeart/2005/8/layout/orgChart1"/>
    <dgm:cxn modelId="{9D12D937-6862-41A7-B1A7-2664517AE652}" type="presParOf" srcId="{3611DE11-DCD5-4EE0-BB96-595CF39417D6}" destId="{2E3B18E5-0669-407E-95D9-025A23E008F6}" srcOrd="2" destOrd="0" presId="urn:microsoft.com/office/officeart/2005/8/layout/orgChart1"/>
    <dgm:cxn modelId="{1D112DB4-555A-4039-88E5-0A49BB24B482}" type="presParOf" srcId="{314C482C-65BB-47D4-915A-6F0C3441E503}" destId="{B5210DB0-CB29-4557-B327-60029655B293}" srcOrd="4" destOrd="0" presId="urn:microsoft.com/office/officeart/2005/8/layout/orgChart1"/>
    <dgm:cxn modelId="{5EA629F2-41CF-4B60-A352-3FD84B4E52F0}" type="presParOf" srcId="{314C482C-65BB-47D4-915A-6F0C3441E503}" destId="{19822EA0-112B-4594-9EA3-4509F040EAF2}" srcOrd="5" destOrd="0" presId="urn:microsoft.com/office/officeart/2005/8/layout/orgChart1"/>
    <dgm:cxn modelId="{F4B38B64-B5FE-4A62-BB45-20BF389E8361}" type="presParOf" srcId="{19822EA0-112B-4594-9EA3-4509F040EAF2}" destId="{6BB299F7-B8F6-4EDD-9D61-126308858751}" srcOrd="0" destOrd="0" presId="urn:microsoft.com/office/officeart/2005/8/layout/orgChart1"/>
    <dgm:cxn modelId="{72C01C1B-0BF1-492D-AD85-3417A085DA54}" type="presParOf" srcId="{6BB299F7-B8F6-4EDD-9D61-126308858751}" destId="{E140C6C5-E4A1-49E2-8B34-B36A9E45F7A0}" srcOrd="0" destOrd="0" presId="urn:microsoft.com/office/officeart/2005/8/layout/orgChart1"/>
    <dgm:cxn modelId="{E1063253-5B42-44A3-8C12-AE1E1AD3CF6D}" type="presParOf" srcId="{6BB299F7-B8F6-4EDD-9D61-126308858751}" destId="{69D06E7D-A6C7-4A80-AB80-BC479557C42C}" srcOrd="1" destOrd="0" presId="urn:microsoft.com/office/officeart/2005/8/layout/orgChart1"/>
    <dgm:cxn modelId="{2922D712-A476-4738-8D16-A91E10E5B55B}" type="presParOf" srcId="{19822EA0-112B-4594-9EA3-4509F040EAF2}" destId="{CBC26D4C-93C3-4000-AAAA-5007190E8675}" srcOrd="1" destOrd="0" presId="urn:microsoft.com/office/officeart/2005/8/layout/orgChart1"/>
    <dgm:cxn modelId="{9DF4D806-F71B-4C1A-A065-40A31CFAF907}" type="presParOf" srcId="{19822EA0-112B-4594-9EA3-4509F040EAF2}" destId="{1207FA07-C74A-4FD8-A9CB-D00848890C0B}" srcOrd="2" destOrd="0" presId="urn:microsoft.com/office/officeart/2005/8/layout/orgChart1"/>
    <dgm:cxn modelId="{B120C6E5-EF02-4A43-801E-EEB9A18C8B4E}" type="presParOf" srcId="{314C482C-65BB-47D4-915A-6F0C3441E503}" destId="{A45E8E60-357C-4447-B545-DCEEB69E444E}" srcOrd="6" destOrd="0" presId="urn:microsoft.com/office/officeart/2005/8/layout/orgChart1"/>
    <dgm:cxn modelId="{3BDF962D-563C-421B-A69B-D1DB14038A03}" type="presParOf" srcId="{314C482C-65BB-47D4-915A-6F0C3441E503}" destId="{71554BB3-0A6B-433E-B932-4D92DA806144}" srcOrd="7" destOrd="0" presId="urn:microsoft.com/office/officeart/2005/8/layout/orgChart1"/>
    <dgm:cxn modelId="{02851F58-5BA5-41C5-9914-91667EBD81E0}" type="presParOf" srcId="{71554BB3-0A6B-433E-B932-4D92DA806144}" destId="{66136D05-A777-4D84-A3EC-B7B165A311E6}" srcOrd="0" destOrd="0" presId="urn:microsoft.com/office/officeart/2005/8/layout/orgChart1"/>
    <dgm:cxn modelId="{5E9B9ABA-208B-4050-8DC2-1481E0BA1D14}" type="presParOf" srcId="{66136D05-A777-4D84-A3EC-B7B165A311E6}" destId="{2915E1C8-90EE-4D3E-80C4-5A095B94CCE7}" srcOrd="0" destOrd="0" presId="urn:microsoft.com/office/officeart/2005/8/layout/orgChart1"/>
    <dgm:cxn modelId="{CAA2E082-2284-46DE-BAA8-78B7E62D02E9}" type="presParOf" srcId="{66136D05-A777-4D84-A3EC-B7B165A311E6}" destId="{A5DD968A-911F-4376-BCC3-EEACDFED13C5}" srcOrd="1" destOrd="0" presId="urn:microsoft.com/office/officeart/2005/8/layout/orgChart1"/>
    <dgm:cxn modelId="{018479C6-5D88-4019-B9CF-1EFA85EFFA89}" type="presParOf" srcId="{71554BB3-0A6B-433E-B932-4D92DA806144}" destId="{DD42EDC6-12EC-45E7-84BE-1028245A3764}" srcOrd="1" destOrd="0" presId="urn:microsoft.com/office/officeart/2005/8/layout/orgChart1"/>
    <dgm:cxn modelId="{4B8A8583-6182-4D42-91A8-F3898F0B802B}" type="presParOf" srcId="{71554BB3-0A6B-433E-B932-4D92DA806144}" destId="{29900E30-4D3D-4599-BA5A-15C533165D49}" srcOrd="2" destOrd="0" presId="urn:microsoft.com/office/officeart/2005/8/layout/orgChart1"/>
    <dgm:cxn modelId="{346F9FFA-7416-4B3C-95AB-DD338E81DDAB}" type="presParOf" srcId="{314C482C-65BB-47D4-915A-6F0C3441E503}" destId="{C3F18813-D545-4307-9554-61938D010D7E}" srcOrd="8" destOrd="0" presId="urn:microsoft.com/office/officeart/2005/8/layout/orgChart1"/>
    <dgm:cxn modelId="{BCB9AFB8-408A-45CF-8077-9240EAB20D85}" type="presParOf" srcId="{314C482C-65BB-47D4-915A-6F0C3441E503}" destId="{3AE6D5F4-54A9-4176-A41A-6515BF526430}" srcOrd="9" destOrd="0" presId="urn:microsoft.com/office/officeart/2005/8/layout/orgChart1"/>
    <dgm:cxn modelId="{FB5827A8-4529-474B-9BF1-62022836F36C}" type="presParOf" srcId="{3AE6D5F4-54A9-4176-A41A-6515BF526430}" destId="{3A350310-DA5E-442E-9361-1546903969AD}" srcOrd="0" destOrd="0" presId="urn:microsoft.com/office/officeart/2005/8/layout/orgChart1"/>
    <dgm:cxn modelId="{7B602EF3-131F-4659-9D4B-6ECADD412FCD}" type="presParOf" srcId="{3A350310-DA5E-442E-9361-1546903969AD}" destId="{8F6DC081-6798-4216-A738-17F2FC92AADF}" srcOrd="0" destOrd="0" presId="urn:microsoft.com/office/officeart/2005/8/layout/orgChart1"/>
    <dgm:cxn modelId="{F9E969F4-BE5F-42DD-A76F-F49E7E3E8DAA}" type="presParOf" srcId="{3A350310-DA5E-442E-9361-1546903969AD}" destId="{A4F37D24-B226-43D8-A06C-75DCA05AFFD9}" srcOrd="1" destOrd="0" presId="urn:microsoft.com/office/officeart/2005/8/layout/orgChart1"/>
    <dgm:cxn modelId="{C3940EDB-8132-48C4-9F7E-E5A9C8350D64}" type="presParOf" srcId="{3AE6D5F4-54A9-4176-A41A-6515BF526430}" destId="{67B154CC-D158-4BBE-86E2-975FB6B91EA3}" srcOrd="1" destOrd="0" presId="urn:microsoft.com/office/officeart/2005/8/layout/orgChart1"/>
    <dgm:cxn modelId="{B2E0814D-D234-4A73-AD1C-942F39932BAD}" type="presParOf" srcId="{3AE6D5F4-54A9-4176-A41A-6515BF526430}" destId="{7E9C417D-3442-4B69-831D-C70C07CB4B29}" srcOrd="2" destOrd="0" presId="urn:microsoft.com/office/officeart/2005/8/layout/orgChart1"/>
    <dgm:cxn modelId="{0E8CC715-4153-45E3-A355-6B3242C30B15}" type="presParOf" srcId="{314C482C-65BB-47D4-915A-6F0C3441E503}" destId="{921844B0-3CBD-4834-9F7D-209A988EEE2F}" srcOrd="10" destOrd="0" presId="urn:microsoft.com/office/officeart/2005/8/layout/orgChart1"/>
    <dgm:cxn modelId="{74CABCBE-95C7-4D63-97F1-5204D69463C1}" type="presParOf" srcId="{314C482C-65BB-47D4-915A-6F0C3441E503}" destId="{181B7682-06BB-46F9-B405-3552964A6CC8}" srcOrd="11" destOrd="0" presId="urn:microsoft.com/office/officeart/2005/8/layout/orgChart1"/>
    <dgm:cxn modelId="{83B2A804-E8FF-4198-8416-21AC58190976}" type="presParOf" srcId="{181B7682-06BB-46F9-B405-3552964A6CC8}" destId="{0E5ECB81-315B-4B46-85AA-9D0AECDC4371}" srcOrd="0" destOrd="0" presId="urn:microsoft.com/office/officeart/2005/8/layout/orgChart1"/>
    <dgm:cxn modelId="{9CF10349-605D-46BB-9E65-85661AA9A09D}" type="presParOf" srcId="{0E5ECB81-315B-4B46-85AA-9D0AECDC4371}" destId="{334CBDC0-DC60-49FB-BE4F-5DC6001401F6}" srcOrd="0" destOrd="0" presId="urn:microsoft.com/office/officeart/2005/8/layout/orgChart1"/>
    <dgm:cxn modelId="{EA110267-EDF2-4FAC-9ED6-323D69814D2B}" type="presParOf" srcId="{0E5ECB81-315B-4B46-85AA-9D0AECDC4371}" destId="{35E07A3F-BFBB-420C-AA9E-724B4CCB2AAF}" srcOrd="1" destOrd="0" presId="urn:microsoft.com/office/officeart/2005/8/layout/orgChart1"/>
    <dgm:cxn modelId="{C2090804-BC43-4E79-BFAE-8791A3656572}" type="presParOf" srcId="{181B7682-06BB-46F9-B405-3552964A6CC8}" destId="{20D248A5-DFC2-47FE-8BDD-76A986407FBF}" srcOrd="1" destOrd="0" presId="urn:microsoft.com/office/officeart/2005/8/layout/orgChart1"/>
    <dgm:cxn modelId="{9274CEDD-8CEB-4B3B-B61E-5E8F7694110D}" type="presParOf" srcId="{181B7682-06BB-46F9-B405-3552964A6CC8}" destId="{C1A3A537-6CD6-4A63-8FAB-99189E0DC2E3}" srcOrd="2" destOrd="0" presId="urn:microsoft.com/office/officeart/2005/8/layout/orgChart1"/>
    <dgm:cxn modelId="{01CEAC6E-E0DE-4357-9F37-6AC1F34F5BAC}" type="presParOf" srcId="{1AC2E66A-2A2E-4A3B-AEC8-DF1D34B03365}" destId="{2EAF0351-BC6A-4491-B99D-6B8BE81BE34F}" srcOrd="2" destOrd="0" presId="urn:microsoft.com/office/officeart/2005/8/layout/orgChart1"/>
    <dgm:cxn modelId="{6567F074-36B4-4EEF-991C-8326C742EC99}" type="presParOf" srcId="{14BD63D9-C141-4E9C-B724-F2CE1C6ECE3A}" destId="{D774376C-5B5F-4165-B817-51060CD11209}" srcOrd="10" destOrd="0" presId="urn:microsoft.com/office/officeart/2005/8/layout/orgChart1"/>
    <dgm:cxn modelId="{BB4E86F4-06DA-49E3-8B6C-1807EA5684F6}" type="presParOf" srcId="{14BD63D9-C141-4E9C-B724-F2CE1C6ECE3A}" destId="{F022E032-1615-4A3C-B78C-E80384BF95D1}" srcOrd="11" destOrd="0" presId="urn:microsoft.com/office/officeart/2005/8/layout/orgChart1"/>
    <dgm:cxn modelId="{A08B1E9C-E54E-4264-AA0A-A1D245B6D895}" type="presParOf" srcId="{F022E032-1615-4A3C-B78C-E80384BF95D1}" destId="{34941A6D-E8C1-43ED-AFA8-0FCCF9379EFD}" srcOrd="0" destOrd="0" presId="urn:microsoft.com/office/officeart/2005/8/layout/orgChart1"/>
    <dgm:cxn modelId="{7E363400-B802-462E-A091-578FC2419550}" type="presParOf" srcId="{34941A6D-E8C1-43ED-AFA8-0FCCF9379EFD}" destId="{735EB318-83B9-45F6-B3F9-31895D8D9C62}" srcOrd="0" destOrd="0" presId="urn:microsoft.com/office/officeart/2005/8/layout/orgChart1"/>
    <dgm:cxn modelId="{950E5FC1-F7D2-44D6-8E2D-FCE38734CC1F}" type="presParOf" srcId="{34941A6D-E8C1-43ED-AFA8-0FCCF9379EFD}" destId="{5A2DA114-1867-4140-9A0C-7DDD23CDAE7D}" srcOrd="1" destOrd="0" presId="urn:microsoft.com/office/officeart/2005/8/layout/orgChart1"/>
    <dgm:cxn modelId="{163BF820-5FE4-4220-9F7D-82719A07F3B1}" type="presParOf" srcId="{F022E032-1615-4A3C-B78C-E80384BF95D1}" destId="{73A21EB1-59CF-4E01-BE22-D6F921AC84FD}" srcOrd="1" destOrd="0" presId="urn:microsoft.com/office/officeart/2005/8/layout/orgChart1"/>
    <dgm:cxn modelId="{EA9BF972-600A-47B1-9AB2-D58C35FCC923}" type="presParOf" srcId="{73A21EB1-59CF-4E01-BE22-D6F921AC84FD}" destId="{6E60B9C7-0F06-4460-B10D-685FDA048881}" srcOrd="0" destOrd="0" presId="urn:microsoft.com/office/officeart/2005/8/layout/orgChart1"/>
    <dgm:cxn modelId="{6518792B-CF72-49C5-A77F-79BA46BDDD48}" type="presParOf" srcId="{73A21EB1-59CF-4E01-BE22-D6F921AC84FD}" destId="{7E6AC4EF-8FA7-449E-AAC0-F686359CDEB7}" srcOrd="1" destOrd="0" presId="urn:microsoft.com/office/officeart/2005/8/layout/orgChart1"/>
    <dgm:cxn modelId="{CDA8F13F-F847-4655-BEF9-1EDE44C9C65F}" type="presParOf" srcId="{7E6AC4EF-8FA7-449E-AAC0-F686359CDEB7}" destId="{4C3142A5-494B-488F-BB09-C13A10BE0975}" srcOrd="0" destOrd="0" presId="urn:microsoft.com/office/officeart/2005/8/layout/orgChart1"/>
    <dgm:cxn modelId="{F23732C6-6AE7-4E1E-AE66-3868DEF056F2}" type="presParOf" srcId="{4C3142A5-494B-488F-BB09-C13A10BE0975}" destId="{EB76186E-B8DD-4C2B-A16E-3DCCAC24AD9E}" srcOrd="0" destOrd="0" presId="urn:microsoft.com/office/officeart/2005/8/layout/orgChart1"/>
    <dgm:cxn modelId="{EA8F8B14-6842-410E-B075-1DC52F4AF5DE}" type="presParOf" srcId="{4C3142A5-494B-488F-BB09-C13A10BE0975}" destId="{47B93D21-0A65-46D5-86FF-01807AEA3AE7}" srcOrd="1" destOrd="0" presId="urn:microsoft.com/office/officeart/2005/8/layout/orgChart1"/>
    <dgm:cxn modelId="{BD9EB1C3-2ECB-48C0-8F23-F1CA9092C3E7}" type="presParOf" srcId="{7E6AC4EF-8FA7-449E-AAC0-F686359CDEB7}" destId="{C1EC5CF3-5B2C-4141-A7BA-E0A191CE739F}" srcOrd="1" destOrd="0" presId="urn:microsoft.com/office/officeart/2005/8/layout/orgChart1"/>
    <dgm:cxn modelId="{1556BF43-D76D-4DB2-B4D7-E8E1F436BB10}" type="presParOf" srcId="{7E6AC4EF-8FA7-449E-AAC0-F686359CDEB7}" destId="{5B8EAAE4-C7A6-4B46-AD01-2B78A6466CDD}" srcOrd="2" destOrd="0" presId="urn:microsoft.com/office/officeart/2005/8/layout/orgChart1"/>
    <dgm:cxn modelId="{E4740C3F-2014-40C5-9C65-67EED5CECB4A}" type="presParOf" srcId="{73A21EB1-59CF-4E01-BE22-D6F921AC84FD}" destId="{AF2EBD80-CD02-4D6E-9BF5-2352F4BE2354}" srcOrd="2" destOrd="0" presId="urn:microsoft.com/office/officeart/2005/8/layout/orgChart1"/>
    <dgm:cxn modelId="{787134B6-AACF-4F58-8ACB-21102B0D25F0}" type="presParOf" srcId="{73A21EB1-59CF-4E01-BE22-D6F921AC84FD}" destId="{972733B7-6B51-4663-82D9-0372088553AB}" srcOrd="3" destOrd="0" presId="urn:microsoft.com/office/officeart/2005/8/layout/orgChart1"/>
    <dgm:cxn modelId="{EBA75507-E0B7-4B5B-95B1-7495C6C9B50D}" type="presParOf" srcId="{972733B7-6B51-4663-82D9-0372088553AB}" destId="{198351ED-B849-48FF-9C7F-1FCF4F185394}" srcOrd="0" destOrd="0" presId="urn:microsoft.com/office/officeart/2005/8/layout/orgChart1"/>
    <dgm:cxn modelId="{ECC5404A-BF43-45BC-86A7-FD180A930988}" type="presParOf" srcId="{198351ED-B849-48FF-9C7F-1FCF4F185394}" destId="{94EA12D3-04D9-47DF-8815-13B679B7C734}" srcOrd="0" destOrd="0" presId="urn:microsoft.com/office/officeart/2005/8/layout/orgChart1"/>
    <dgm:cxn modelId="{A8109219-A401-429E-A612-CBF8B36FB7B6}" type="presParOf" srcId="{198351ED-B849-48FF-9C7F-1FCF4F185394}" destId="{98978DF8-E78C-45F1-AFBA-94A10B012F83}" srcOrd="1" destOrd="0" presId="urn:microsoft.com/office/officeart/2005/8/layout/orgChart1"/>
    <dgm:cxn modelId="{2E5EBED6-1A2B-45F3-86DF-7E69939D47A0}" type="presParOf" srcId="{972733B7-6B51-4663-82D9-0372088553AB}" destId="{60E89A05-E1D0-417F-A593-AA66612D687C}" srcOrd="1" destOrd="0" presId="urn:microsoft.com/office/officeart/2005/8/layout/orgChart1"/>
    <dgm:cxn modelId="{A391FE49-99B3-4EAF-BC16-09BD3F7EB688}" type="presParOf" srcId="{972733B7-6B51-4663-82D9-0372088553AB}" destId="{2A8E7DA9-7D62-4448-BBEE-6AA257DDCF8E}" srcOrd="2" destOrd="0" presId="urn:microsoft.com/office/officeart/2005/8/layout/orgChart1"/>
    <dgm:cxn modelId="{3ECE791C-1335-4E41-8F1E-29F90EBD030A}" type="presParOf" srcId="{73A21EB1-59CF-4E01-BE22-D6F921AC84FD}" destId="{2136166C-C192-4F23-BD15-061DD6C9F076}" srcOrd="4" destOrd="0" presId="urn:microsoft.com/office/officeart/2005/8/layout/orgChart1"/>
    <dgm:cxn modelId="{62202FA1-0A94-4686-8938-F0D06A8EF3DD}" type="presParOf" srcId="{73A21EB1-59CF-4E01-BE22-D6F921AC84FD}" destId="{3030D531-D74B-4A22-B8C8-E18F7811D864}" srcOrd="5" destOrd="0" presId="urn:microsoft.com/office/officeart/2005/8/layout/orgChart1"/>
    <dgm:cxn modelId="{E21D2E28-8B7D-4C35-9F2E-B4C55F1B0DA7}" type="presParOf" srcId="{3030D531-D74B-4A22-B8C8-E18F7811D864}" destId="{0A0F2D75-049C-4A1A-864A-BD2FF069C52C}" srcOrd="0" destOrd="0" presId="urn:microsoft.com/office/officeart/2005/8/layout/orgChart1"/>
    <dgm:cxn modelId="{FB53DE86-4ECF-4BD7-8FE4-7C4B64CFC9AC}" type="presParOf" srcId="{0A0F2D75-049C-4A1A-864A-BD2FF069C52C}" destId="{388559F6-A377-4E6B-8AFD-045922C575A5}" srcOrd="0" destOrd="0" presId="urn:microsoft.com/office/officeart/2005/8/layout/orgChart1"/>
    <dgm:cxn modelId="{D38DF294-509A-4C12-A61C-531A5357F21F}" type="presParOf" srcId="{0A0F2D75-049C-4A1A-864A-BD2FF069C52C}" destId="{87C406E2-5A90-409E-A6F8-B797D7521526}" srcOrd="1" destOrd="0" presId="urn:microsoft.com/office/officeart/2005/8/layout/orgChart1"/>
    <dgm:cxn modelId="{33E4BD5C-340C-41F8-9064-98516A9FA101}" type="presParOf" srcId="{3030D531-D74B-4A22-B8C8-E18F7811D864}" destId="{D4B9FBCD-C9E7-40C1-AC02-0A05E30767E3}" srcOrd="1" destOrd="0" presId="urn:microsoft.com/office/officeart/2005/8/layout/orgChart1"/>
    <dgm:cxn modelId="{9C77D4DB-A3E8-4913-8929-BDDB0D56ECF5}" type="presParOf" srcId="{3030D531-D74B-4A22-B8C8-E18F7811D864}" destId="{F2B51A48-5BFD-45BC-95A3-69FEA211721A}" srcOrd="2" destOrd="0" presId="urn:microsoft.com/office/officeart/2005/8/layout/orgChart1"/>
    <dgm:cxn modelId="{3D7E1222-5EED-4CCC-BB72-9A80DFD63327}" type="presParOf" srcId="{73A21EB1-59CF-4E01-BE22-D6F921AC84FD}" destId="{5C123960-3F75-4914-87F6-AD648CCBE3E0}" srcOrd="6" destOrd="0" presId="urn:microsoft.com/office/officeart/2005/8/layout/orgChart1"/>
    <dgm:cxn modelId="{693C9CAB-08B1-4939-9FED-E2166BA14B16}" type="presParOf" srcId="{73A21EB1-59CF-4E01-BE22-D6F921AC84FD}" destId="{F96476E5-9D0E-4A4E-8331-B75F1458411B}" srcOrd="7" destOrd="0" presId="urn:microsoft.com/office/officeart/2005/8/layout/orgChart1"/>
    <dgm:cxn modelId="{F9A96D20-73F9-42C3-8C9A-1EAE6479ABE8}" type="presParOf" srcId="{F96476E5-9D0E-4A4E-8331-B75F1458411B}" destId="{CE7E90F7-F930-49B5-AC35-15622066B5BE}" srcOrd="0" destOrd="0" presId="urn:microsoft.com/office/officeart/2005/8/layout/orgChart1"/>
    <dgm:cxn modelId="{29C24A7C-041D-4B7F-A9C0-256A8E7FD718}" type="presParOf" srcId="{CE7E90F7-F930-49B5-AC35-15622066B5BE}" destId="{343E1092-F522-4487-A030-10090F0AF3AB}" srcOrd="0" destOrd="0" presId="urn:microsoft.com/office/officeart/2005/8/layout/orgChart1"/>
    <dgm:cxn modelId="{854A595E-BF3C-40D0-8CC0-9897DE681037}" type="presParOf" srcId="{CE7E90F7-F930-49B5-AC35-15622066B5BE}" destId="{3D8051FC-9840-43DE-B8A8-0A2DB5BDC50C}" srcOrd="1" destOrd="0" presId="urn:microsoft.com/office/officeart/2005/8/layout/orgChart1"/>
    <dgm:cxn modelId="{83355CE1-426F-4762-B2E3-32799E56E297}" type="presParOf" srcId="{F96476E5-9D0E-4A4E-8331-B75F1458411B}" destId="{6EA2AAF7-0819-4794-B668-B434A0B69997}" srcOrd="1" destOrd="0" presId="urn:microsoft.com/office/officeart/2005/8/layout/orgChart1"/>
    <dgm:cxn modelId="{0E48EA0B-51E2-411A-8936-CF7534CE6E44}" type="presParOf" srcId="{F96476E5-9D0E-4A4E-8331-B75F1458411B}" destId="{42F6E8FF-3D67-46E2-A15D-865395B668A2}" srcOrd="2" destOrd="0" presId="urn:microsoft.com/office/officeart/2005/8/layout/orgChart1"/>
    <dgm:cxn modelId="{5D9D4CC4-07A5-4F42-9CB3-84485C4548B7}" type="presParOf" srcId="{73A21EB1-59CF-4E01-BE22-D6F921AC84FD}" destId="{42707F8B-9C5E-4525-95F3-F1CEBC2FA133}" srcOrd="8" destOrd="0" presId="urn:microsoft.com/office/officeart/2005/8/layout/orgChart1"/>
    <dgm:cxn modelId="{25B7B2BF-ADB1-40EE-917C-2AE88808F683}" type="presParOf" srcId="{73A21EB1-59CF-4E01-BE22-D6F921AC84FD}" destId="{44E6D9BD-8772-4999-9DEF-7489312E3E4F}" srcOrd="9" destOrd="0" presId="urn:microsoft.com/office/officeart/2005/8/layout/orgChart1"/>
    <dgm:cxn modelId="{209A33CD-4AD4-40E2-92B7-D78CE252641D}" type="presParOf" srcId="{44E6D9BD-8772-4999-9DEF-7489312E3E4F}" destId="{6B45A76F-A134-49EB-B38B-0BCE63F77E74}" srcOrd="0" destOrd="0" presId="urn:microsoft.com/office/officeart/2005/8/layout/orgChart1"/>
    <dgm:cxn modelId="{7215E440-8AB9-426E-8525-FA4ADF4AE9B1}" type="presParOf" srcId="{6B45A76F-A134-49EB-B38B-0BCE63F77E74}" destId="{2314AD4C-5552-4E80-A3D0-6A7B329E2BF2}" srcOrd="0" destOrd="0" presId="urn:microsoft.com/office/officeart/2005/8/layout/orgChart1"/>
    <dgm:cxn modelId="{30226F83-9B3E-4674-A900-991FCAA51EC8}" type="presParOf" srcId="{6B45A76F-A134-49EB-B38B-0BCE63F77E74}" destId="{077FA3D0-19CB-4A85-85AD-EB8CC3314E25}" srcOrd="1" destOrd="0" presId="urn:microsoft.com/office/officeart/2005/8/layout/orgChart1"/>
    <dgm:cxn modelId="{B069920C-482B-44F2-B3CB-C794FA5B4C8E}" type="presParOf" srcId="{44E6D9BD-8772-4999-9DEF-7489312E3E4F}" destId="{DB8E5205-AE38-47ED-A721-AA31951036E7}" srcOrd="1" destOrd="0" presId="urn:microsoft.com/office/officeart/2005/8/layout/orgChart1"/>
    <dgm:cxn modelId="{53E8BC4E-D9A3-4ED2-8269-504EA4EDA377}" type="presParOf" srcId="{44E6D9BD-8772-4999-9DEF-7489312E3E4F}" destId="{5F33E928-FAB6-42B5-A3BD-4F03365C2947}" srcOrd="2" destOrd="0" presId="urn:microsoft.com/office/officeart/2005/8/layout/orgChart1"/>
    <dgm:cxn modelId="{CB8A3C70-02B4-45B1-926C-D358B6051DFF}" type="presParOf" srcId="{73A21EB1-59CF-4E01-BE22-D6F921AC84FD}" destId="{35F73487-B376-410E-B7A2-0265DAB6A683}" srcOrd="10" destOrd="0" presId="urn:microsoft.com/office/officeart/2005/8/layout/orgChart1"/>
    <dgm:cxn modelId="{ACAE9C0C-15B2-4552-AE5A-2513460263C6}" type="presParOf" srcId="{73A21EB1-59CF-4E01-BE22-D6F921AC84FD}" destId="{5D88878A-C848-494D-BE7B-95FCAF4DEB17}" srcOrd="11" destOrd="0" presId="urn:microsoft.com/office/officeart/2005/8/layout/orgChart1"/>
    <dgm:cxn modelId="{E04351CF-35EB-4261-B32B-8685EF8314CF}" type="presParOf" srcId="{5D88878A-C848-494D-BE7B-95FCAF4DEB17}" destId="{DE84DD05-C612-45BA-B815-5A7C718F0596}" srcOrd="0" destOrd="0" presId="urn:microsoft.com/office/officeart/2005/8/layout/orgChart1"/>
    <dgm:cxn modelId="{65634721-37D4-4BC7-8B8D-F94425B1DC5A}" type="presParOf" srcId="{DE84DD05-C612-45BA-B815-5A7C718F0596}" destId="{DD5B3579-7DBE-4F3D-99DF-2C002955CF6D}" srcOrd="0" destOrd="0" presId="urn:microsoft.com/office/officeart/2005/8/layout/orgChart1"/>
    <dgm:cxn modelId="{F4FF260C-B5B8-41A5-ACA1-9EC3A11B8CE6}" type="presParOf" srcId="{DE84DD05-C612-45BA-B815-5A7C718F0596}" destId="{521DA9D7-18AA-4A62-A973-7FAE96D5D548}" srcOrd="1" destOrd="0" presId="urn:microsoft.com/office/officeart/2005/8/layout/orgChart1"/>
    <dgm:cxn modelId="{EADCF076-6801-4A4A-82AA-5E396F4F9DB5}" type="presParOf" srcId="{5D88878A-C848-494D-BE7B-95FCAF4DEB17}" destId="{0561CA30-0267-42FE-A3FA-4E10A1503EA5}" srcOrd="1" destOrd="0" presId="urn:microsoft.com/office/officeart/2005/8/layout/orgChart1"/>
    <dgm:cxn modelId="{AA397CE8-2C97-49E6-8D8F-8210F7209ABB}" type="presParOf" srcId="{5D88878A-C848-494D-BE7B-95FCAF4DEB17}" destId="{90691529-D95D-43A6-80CB-0CDE80CEE4EC}" srcOrd="2" destOrd="0" presId="urn:microsoft.com/office/officeart/2005/8/layout/orgChart1"/>
    <dgm:cxn modelId="{DE237715-857C-4661-A652-0D86894F9082}" type="presParOf" srcId="{F022E032-1615-4A3C-B78C-E80384BF95D1}" destId="{CB1A6616-553A-4DA1-88EA-86425D9AB1AB}" srcOrd="2" destOrd="0" presId="urn:microsoft.com/office/officeart/2005/8/layout/orgChart1"/>
    <dgm:cxn modelId="{A68420A6-2F7D-4296-91B4-55EFFC22CB2D}" type="presParOf" srcId="{6D0F4103-5D56-4545-B004-2F3D27D4DC7E}" destId="{7763BE78-8E9C-404C-8E6F-A395B43F26D7}" srcOrd="2" destOrd="0" presId="urn:microsoft.com/office/officeart/2005/8/layout/orgChart1"/>
  </dgm:cxnLst>
  <dgm:bg>
    <a:gradFill>
      <a:gsLst>
        <a:gs pos="0">
          <a:schemeClr val="accent1">
            <a:lumMod val="20000"/>
            <a:lumOff val="80000"/>
          </a:schemeClr>
        </a:gs>
        <a:gs pos="0">
          <a:schemeClr val="tx2">
            <a:lumMod val="40000"/>
            <a:lumOff val="60000"/>
          </a:schemeClr>
        </a:gs>
        <a:gs pos="100000">
          <a:schemeClr val="accent3">
            <a:lumMod val="60000"/>
            <a:lumOff val="40000"/>
          </a:schemeClr>
        </a:gs>
      </a:gsLst>
      <a:path path="circle">
        <a:fillToRect l="100000" t="100000"/>
      </a:path>
    </a:gradFill>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F73487-B376-410E-B7A2-0265DAB6A683}">
      <dsp:nvSpPr>
        <dsp:cNvPr id="0" name=""/>
        <dsp:cNvSpPr/>
      </dsp:nvSpPr>
      <dsp:spPr>
        <a:xfrm>
          <a:off x="9842418" y="1473563"/>
          <a:ext cx="122531" cy="4161869"/>
        </a:xfrm>
        <a:custGeom>
          <a:avLst/>
          <a:gdLst/>
          <a:ahLst/>
          <a:cxnLst/>
          <a:rect l="0" t="0" r="0" b="0"/>
          <a:pathLst>
            <a:path>
              <a:moveTo>
                <a:pt x="0" y="0"/>
              </a:moveTo>
              <a:lnTo>
                <a:pt x="0" y="4161869"/>
              </a:lnTo>
              <a:lnTo>
                <a:pt x="122531" y="416186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2707F8B-9C5E-4525-95F3-F1CEBC2FA133}">
      <dsp:nvSpPr>
        <dsp:cNvPr id="0" name=""/>
        <dsp:cNvSpPr/>
      </dsp:nvSpPr>
      <dsp:spPr>
        <a:xfrm>
          <a:off x="9842418" y="1473563"/>
          <a:ext cx="170155" cy="3249352"/>
        </a:xfrm>
        <a:custGeom>
          <a:avLst/>
          <a:gdLst/>
          <a:ahLst/>
          <a:cxnLst/>
          <a:rect l="0" t="0" r="0" b="0"/>
          <a:pathLst>
            <a:path>
              <a:moveTo>
                <a:pt x="0" y="0"/>
              </a:moveTo>
              <a:lnTo>
                <a:pt x="0" y="3249352"/>
              </a:lnTo>
              <a:lnTo>
                <a:pt x="170155" y="324935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123960-3F75-4914-87F6-AD648CCBE3E0}">
      <dsp:nvSpPr>
        <dsp:cNvPr id="0" name=""/>
        <dsp:cNvSpPr/>
      </dsp:nvSpPr>
      <dsp:spPr>
        <a:xfrm>
          <a:off x="9842418" y="1473563"/>
          <a:ext cx="160628" cy="2603537"/>
        </a:xfrm>
        <a:custGeom>
          <a:avLst/>
          <a:gdLst/>
          <a:ahLst/>
          <a:cxnLst/>
          <a:rect l="0" t="0" r="0" b="0"/>
          <a:pathLst>
            <a:path>
              <a:moveTo>
                <a:pt x="0" y="0"/>
              </a:moveTo>
              <a:lnTo>
                <a:pt x="0" y="2603537"/>
              </a:lnTo>
              <a:lnTo>
                <a:pt x="160628" y="260353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136166C-C192-4F23-BD15-061DD6C9F076}">
      <dsp:nvSpPr>
        <dsp:cNvPr id="0" name=""/>
        <dsp:cNvSpPr/>
      </dsp:nvSpPr>
      <dsp:spPr>
        <a:xfrm>
          <a:off x="9842418" y="1473563"/>
          <a:ext cx="170155" cy="1786272"/>
        </a:xfrm>
        <a:custGeom>
          <a:avLst/>
          <a:gdLst/>
          <a:ahLst/>
          <a:cxnLst/>
          <a:rect l="0" t="0" r="0" b="0"/>
          <a:pathLst>
            <a:path>
              <a:moveTo>
                <a:pt x="0" y="0"/>
              </a:moveTo>
              <a:lnTo>
                <a:pt x="0" y="1786272"/>
              </a:lnTo>
              <a:lnTo>
                <a:pt x="170155" y="178627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F2EBD80-CD02-4D6E-9BF5-2352F4BE2354}">
      <dsp:nvSpPr>
        <dsp:cNvPr id="0" name=""/>
        <dsp:cNvSpPr/>
      </dsp:nvSpPr>
      <dsp:spPr>
        <a:xfrm>
          <a:off x="9842418" y="1473563"/>
          <a:ext cx="170155" cy="1102357"/>
        </a:xfrm>
        <a:custGeom>
          <a:avLst/>
          <a:gdLst/>
          <a:ahLst/>
          <a:cxnLst/>
          <a:rect l="0" t="0" r="0" b="0"/>
          <a:pathLst>
            <a:path>
              <a:moveTo>
                <a:pt x="0" y="0"/>
              </a:moveTo>
              <a:lnTo>
                <a:pt x="0" y="1102357"/>
              </a:lnTo>
              <a:lnTo>
                <a:pt x="170155" y="110235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E60B9C7-0F06-4460-B10D-685FDA048881}">
      <dsp:nvSpPr>
        <dsp:cNvPr id="0" name=""/>
        <dsp:cNvSpPr/>
      </dsp:nvSpPr>
      <dsp:spPr>
        <a:xfrm>
          <a:off x="9842418" y="1473563"/>
          <a:ext cx="170155" cy="418442"/>
        </a:xfrm>
        <a:custGeom>
          <a:avLst/>
          <a:gdLst/>
          <a:ahLst/>
          <a:cxnLst/>
          <a:rect l="0" t="0" r="0" b="0"/>
          <a:pathLst>
            <a:path>
              <a:moveTo>
                <a:pt x="0" y="0"/>
              </a:moveTo>
              <a:lnTo>
                <a:pt x="0" y="418442"/>
              </a:lnTo>
              <a:lnTo>
                <a:pt x="170155" y="41844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774376C-5B5F-4165-B817-51060CD11209}">
      <dsp:nvSpPr>
        <dsp:cNvPr id="0" name=""/>
        <dsp:cNvSpPr/>
      </dsp:nvSpPr>
      <dsp:spPr>
        <a:xfrm>
          <a:off x="5552241" y="613771"/>
          <a:ext cx="4870924" cy="230752"/>
        </a:xfrm>
        <a:custGeom>
          <a:avLst/>
          <a:gdLst/>
          <a:ahLst/>
          <a:cxnLst/>
          <a:rect l="0" t="0" r="0" b="0"/>
          <a:pathLst>
            <a:path>
              <a:moveTo>
                <a:pt x="0" y="0"/>
              </a:moveTo>
              <a:lnTo>
                <a:pt x="0" y="154267"/>
              </a:lnTo>
              <a:lnTo>
                <a:pt x="4870924" y="154267"/>
              </a:lnTo>
              <a:lnTo>
                <a:pt x="4870924"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21844B0-3CBD-4834-9F7D-209A988EEE2F}">
      <dsp:nvSpPr>
        <dsp:cNvPr id="0" name=""/>
        <dsp:cNvSpPr/>
      </dsp:nvSpPr>
      <dsp:spPr>
        <a:xfrm>
          <a:off x="7936706" y="1458295"/>
          <a:ext cx="248877" cy="4220611"/>
        </a:xfrm>
        <a:custGeom>
          <a:avLst/>
          <a:gdLst/>
          <a:ahLst/>
          <a:cxnLst/>
          <a:rect l="0" t="0" r="0" b="0"/>
          <a:pathLst>
            <a:path>
              <a:moveTo>
                <a:pt x="0" y="0"/>
              </a:moveTo>
              <a:lnTo>
                <a:pt x="0" y="4220611"/>
              </a:lnTo>
              <a:lnTo>
                <a:pt x="248877" y="422061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C3F18813-D545-4307-9554-61938D010D7E}">
      <dsp:nvSpPr>
        <dsp:cNvPr id="0" name=""/>
        <dsp:cNvSpPr/>
      </dsp:nvSpPr>
      <dsp:spPr>
        <a:xfrm>
          <a:off x="7936706" y="1458295"/>
          <a:ext cx="220301" cy="3264372"/>
        </a:xfrm>
        <a:custGeom>
          <a:avLst/>
          <a:gdLst/>
          <a:ahLst/>
          <a:cxnLst/>
          <a:rect l="0" t="0" r="0" b="0"/>
          <a:pathLst>
            <a:path>
              <a:moveTo>
                <a:pt x="0" y="0"/>
              </a:moveTo>
              <a:lnTo>
                <a:pt x="0" y="3264372"/>
              </a:lnTo>
              <a:lnTo>
                <a:pt x="220301" y="326437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5E8E60-357C-4447-B545-DCEEB69E444E}">
      <dsp:nvSpPr>
        <dsp:cNvPr id="0" name=""/>
        <dsp:cNvSpPr/>
      </dsp:nvSpPr>
      <dsp:spPr>
        <a:xfrm>
          <a:off x="7936706" y="1458295"/>
          <a:ext cx="220301" cy="2555953"/>
        </a:xfrm>
        <a:custGeom>
          <a:avLst/>
          <a:gdLst/>
          <a:ahLst/>
          <a:cxnLst/>
          <a:rect l="0" t="0" r="0" b="0"/>
          <a:pathLst>
            <a:path>
              <a:moveTo>
                <a:pt x="0" y="0"/>
              </a:moveTo>
              <a:lnTo>
                <a:pt x="0" y="2555953"/>
              </a:lnTo>
              <a:lnTo>
                <a:pt x="220301" y="255595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5210DB0-CB29-4557-B327-60029655B293}">
      <dsp:nvSpPr>
        <dsp:cNvPr id="0" name=""/>
        <dsp:cNvSpPr/>
      </dsp:nvSpPr>
      <dsp:spPr>
        <a:xfrm>
          <a:off x="7936706" y="1458295"/>
          <a:ext cx="220301" cy="1847533"/>
        </a:xfrm>
        <a:custGeom>
          <a:avLst/>
          <a:gdLst/>
          <a:ahLst/>
          <a:cxnLst/>
          <a:rect l="0" t="0" r="0" b="0"/>
          <a:pathLst>
            <a:path>
              <a:moveTo>
                <a:pt x="0" y="0"/>
              </a:moveTo>
              <a:lnTo>
                <a:pt x="0" y="1847533"/>
              </a:lnTo>
              <a:lnTo>
                <a:pt x="220301" y="18475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D540605-6F96-4B99-9FEF-8CEAB4571FB4}">
      <dsp:nvSpPr>
        <dsp:cNvPr id="0" name=""/>
        <dsp:cNvSpPr/>
      </dsp:nvSpPr>
      <dsp:spPr>
        <a:xfrm>
          <a:off x="7936706" y="1458295"/>
          <a:ext cx="220301" cy="1139113"/>
        </a:xfrm>
        <a:custGeom>
          <a:avLst/>
          <a:gdLst/>
          <a:ahLst/>
          <a:cxnLst/>
          <a:rect l="0" t="0" r="0" b="0"/>
          <a:pathLst>
            <a:path>
              <a:moveTo>
                <a:pt x="0" y="0"/>
              </a:moveTo>
              <a:lnTo>
                <a:pt x="0" y="1139113"/>
              </a:lnTo>
              <a:lnTo>
                <a:pt x="220301" y="113911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F7B221D-5030-40CE-B2C2-68153A0F97EC}">
      <dsp:nvSpPr>
        <dsp:cNvPr id="0" name=""/>
        <dsp:cNvSpPr/>
      </dsp:nvSpPr>
      <dsp:spPr>
        <a:xfrm>
          <a:off x="7936706" y="1458295"/>
          <a:ext cx="220301" cy="430694"/>
        </a:xfrm>
        <a:custGeom>
          <a:avLst/>
          <a:gdLst/>
          <a:ahLst/>
          <a:cxnLst/>
          <a:rect l="0" t="0" r="0" b="0"/>
          <a:pathLst>
            <a:path>
              <a:moveTo>
                <a:pt x="0" y="0"/>
              </a:moveTo>
              <a:lnTo>
                <a:pt x="0" y="430694"/>
              </a:lnTo>
              <a:lnTo>
                <a:pt x="220301" y="43069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1EE7129-9CBE-42CE-9EE3-3684DAE78A6A}">
      <dsp:nvSpPr>
        <dsp:cNvPr id="0" name=""/>
        <dsp:cNvSpPr/>
      </dsp:nvSpPr>
      <dsp:spPr>
        <a:xfrm>
          <a:off x="5552241" y="613771"/>
          <a:ext cx="3098934" cy="230752"/>
        </a:xfrm>
        <a:custGeom>
          <a:avLst/>
          <a:gdLst/>
          <a:ahLst/>
          <a:cxnLst/>
          <a:rect l="0" t="0" r="0" b="0"/>
          <a:pathLst>
            <a:path>
              <a:moveTo>
                <a:pt x="0" y="0"/>
              </a:moveTo>
              <a:lnTo>
                <a:pt x="0" y="154267"/>
              </a:lnTo>
              <a:lnTo>
                <a:pt x="3098934" y="154267"/>
              </a:lnTo>
              <a:lnTo>
                <a:pt x="3098934"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C04252-CCFB-4CC8-BA77-20FD222490E8}">
      <dsp:nvSpPr>
        <dsp:cNvPr id="0" name=""/>
        <dsp:cNvSpPr/>
      </dsp:nvSpPr>
      <dsp:spPr>
        <a:xfrm>
          <a:off x="5997564" y="1458295"/>
          <a:ext cx="300340" cy="4242945"/>
        </a:xfrm>
        <a:custGeom>
          <a:avLst/>
          <a:gdLst/>
          <a:ahLst/>
          <a:cxnLst/>
          <a:rect l="0" t="0" r="0" b="0"/>
          <a:pathLst>
            <a:path>
              <a:moveTo>
                <a:pt x="0" y="0"/>
              </a:moveTo>
              <a:lnTo>
                <a:pt x="0" y="4242945"/>
              </a:lnTo>
              <a:lnTo>
                <a:pt x="300340" y="424294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28E5FC3-D11A-4F89-9B14-660DA30A5BD9}">
      <dsp:nvSpPr>
        <dsp:cNvPr id="0" name=""/>
        <dsp:cNvSpPr/>
      </dsp:nvSpPr>
      <dsp:spPr>
        <a:xfrm>
          <a:off x="5997564" y="1458295"/>
          <a:ext cx="241906" cy="3404853"/>
        </a:xfrm>
        <a:custGeom>
          <a:avLst/>
          <a:gdLst/>
          <a:ahLst/>
          <a:cxnLst/>
          <a:rect l="0" t="0" r="0" b="0"/>
          <a:pathLst>
            <a:path>
              <a:moveTo>
                <a:pt x="0" y="0"/>
              </a:moveTo>
              <a:lnTo>
                <a:pt x="0" y="3404853"/>
              </a:lnTo>
              <a:lnTo>
                <a:pt x="241906" y="340485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7E5F2CE-0C8A-4AD2-8503-9E5CEAC34879}">
      <dsp:nvSpPr>
        <dsp:cNvPr id="0" name=""/>
        <dsp:cNvSpPr/>
      </dsp:nvSpPr>
      <dsp:spPr>
        <a:xfrm>
          <a:off x="5997564" y="1458295"/>
          <a:ext cx="220301" cy="2555953"/>
        </a:xfrm>
        <a:custGeom>
          <a:avLst/>
          <a:gdLst/>
          <a:ahLst/>
          <a:cxnLst/>
          <a:rect l="0" t="0" r="0" b="0"/>
          <a:pathLst>
            <a:path>
              <a:moveTo>
                <a:pt x="0" y="0"/>
              </a:moveTo>
              <a:lnTo>
                <a:pt x="0" y="2555953"/>
              </a:lnTo>
              <a:lnTo>
                <a:pt x="220301" y="255595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8DF4927-B0E2-4A18-B576-0CEAC6685F51}">
      <dsp:nvSpPr>
        <dsp:cNvPr id="0" name=""/>
        <dsp:cNvSpPr/>
      </dsp:nvSpPr>
      <dsp:spPr>
        <a:xfrm>
          <a:off x="5997564" y="1458295"/>
          <a:ext cx="220301" cy="1890758"/>
        </a:xfrm>
        <a:custGeom>
          <a:avLst/>
          <a:gdLst/>
          <a:ahLst/>
          <a:cxnLst/>
          <a:rect l="0" t="0" r="0" b="0"/>
          <a:pathLst>
            <a:path>
              <a:moveTo>
                <a:pt x="0" y="0"/>
              </a:moveTo>
              <a:lnTo>
                <a:pt x="0" y="1890758"/>
              </a:lnTo>
              <a:lnTo>
                <a:pt x="220301" y="189075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F40F13B-2C5A-41A4-9FFF-CA4653B01B3B}">
      <dsp:nvSpPr>
        <dsp:cNvPr id="0" name=""/>
        <dsp:cNvSpPr/>
      </dsp:nvSpPr>
      <dsp:spPr>
        <a:xfrm>
          <a:off x="5997564" y="1458295"/>
          <a:ext cx="198689" cy="1203951"/>
        </a:xfrm>
        <a:custGeom>
          <a:avLst/>
          <a:gdLst/>
          <a:ahLst/>
          <a:cxnLst/>
          <a:rect l="0" t="0" r="0" b="0"/>
          <a:pathLst>
            <a:path>
              <a:moveTo>
                <a:pt x="0" y="0"/>
              </a:moveTo>
              <a:lnTo>
                <a:pt x="0" y="1203951"/>
              </a:lnTo>
              <a:lnTo>
                <a:pt x="198689" y="120395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6BFC465-8166-421C-9903-E801C6A495F4}">
      <dsp:nvSpPr>
        <dsp:cNvPr id="0" name=""/>
        <dsp:cNvSpPr/>
      </dsp:nvSpPr>
      <dsp:spPr>
        <a:xfrm>
          <a:off x="5997564" y="1458295"/>
          <a:ext cx="187886" cy="495531"/>
        </a:xfrm>
        <a:custGeom>
          <a:avLst/>
          <a:gdLst/>
          <a:ahLst/>
          <a:cxnLst/>
          <a:rect l="0" t="0" r="0" b="0"/>
          <a:pathLst>
            <a:path>
              <a:moveTo>
                <a:pt x="0" y="0"/>
              </a:moveTo>
              <a:lnTo>
                <a:pt x="0" y="495531"/>
              </a:lnTo>
              <a:lnTo>
                <a:pt x="187886" y="49553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B4A3709-AA75-4971-921B-CAC4A33225CC}">
      <dsp:nvSpPr>
        <dsp:cNvPr id="0" name=""/>
        <dsp:cNvSpPr/>
      </dsp:nvSpPr>
      <dsp:spPr>
        <a:xfrm>
          <a:off x="5552241" y="613771"/>
          <a:ext cx="1159792" cy="230752"/>
        </a:xfrm>
        <a:custGeom>
          <a:avLst/>
          <a:gdLst/>
          <a:ahLst/>
          <a:cxnLst/>
          <a:rect l="0" t="0" r="0" b="0"/>
          <a:pathLst>
            <a:path>
              <a:moveTo>
                <a:pt x="0" y="0"/>
              </a:moveTo>
              <a:lnTo>
                <a:pt x="0" y="154267"/>
              </a:lnTo>
              <a:lnTo>
                <a:pt x="1159792" y="154267"/>
              </a:lnTo>
              <a:lnTo>
                <a:pt x="1159792"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D64C209-A7B0-47B9-A859-89497615BB8D}">
      <dsp:nvSpPr>
        <dsp:cNvPr id="0" name=""/>
        <dsp:cNvSpPr/>
      </dsp:nvSpPr>
      <dsp:spPr>
        <a:xfrm>
          <a:off x="4058422" y="1458295"/>
          <a:ext cx="365178" cy="4286173"/>
        </a:xfrm>
        <a:custGeom>
          <a:avLst/>
          <a:gdLst/>
          <a:ahLst/>
          <a:cxnLst/>
          <a:rect l="0" t="0" r="0" b="0"/>
          <a:pathLst>
            <a:path>
              <a:moveTo>
                <a:pt x="0" y="0"/>
              </a:moveTo>
              <a:lnTo>
                <a:pt x="0" y="4286173"/>
              </a:lnTo>
              <a:lnTo>
                <a:pt x="365178" y="428617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9442FAC-B0E9-4BAD-861B-AEA4355561EE}">
      <dsp:nvSpPr>
        <dsp:cNvPr id="0" name=""/>
        <dsp:cNvSpPr/>
      </dsp:nvSpPr>
      <dsp:spPr>
        <a:xfrm>
          <a:off x="4058422" y="1458295"/>
          <a:ext cx="263526" cy="3394046"/>
        </a:xfrm>
        <a:custGeom>
          <a:avLst/>
          <a:gdLst/>
          <a:ahLst/>
          <a:cxnLst/>
          <a:rect l="0" t="0" r="0" b="0"/>
          <a:pathLst>
            <a:path>
              <a:moveTo>
                <a:pt x="0" y="0"/>
              </a:moveTo>
              <a:lnTo>
                <a:pt x="0" y="3394046"/>
              </a:lnTo>
              <a:lnTo>
                <a:pt x="263526" y="339404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A5EFE90-79A7-45A5-998C-98AA3A25E535}">
      <dsp:nvSpPr>
        <dsp:cNvPr id="0" name=""/>
        <dsp:cNvSpPr/>
      </dsp:nvSpPr>
      <dsp:spPr>
        <a:xfrm>
          <a:off x="4058422" y="1458295"/>
          <a:ext cx="220301" cy="2555953"/>
        </a:xfrm>
        <a:custGeom>
          <a:avLst/>
          <a:gdLst/>
          <a:ahLst/>
          <a:cxnLst/>
          <a:rect l="0" t="0" r="0" b="0"/>
          <a:pathLst>
            <a:path>
              <a:moveTo>
                <a:pt x="0" y="0"/>
              </a:moveTo>
              <a:lnTo>
                <a:pt x="0" y="2555953"/>
              </a:lnTo>
              <a:lnTo>
                <a:pt x="220301" y="255595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B8C700B-8527-409D-ADF9-BFF88DA7E80C}">
      <dsp:nvSpPr>
        <dsp:cNvPr id="0" name=""/>
        <dsp:cNvSpPr/>
      </dsp:nvSpPr>
      <dsp:spPr>
        <a:xfrm>
          <a:off x="4058422" y="1458295"/>
          <a:ext cx="220301" cy="1847533"/>
        </a:xfrm>
        <a:custGeom>
          <a:avLst/>
          <a:gdLst/>
          <a:ahLst/>
          <a:cxnLst/>
          <a:rect l="0" t="0" r="0" b="0"/>
          <a:pathLst>
            <a:path>
              <a:moveTo>
                <a:pt x="0" y="0"/>
              </a:moveTo>
              <a:lnTo>
                <a:pt x="0" y="1847533"/>
              </a:lnTo>
              <a:lnTo>
                <a:pt x="220301" y="18475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D94DFB4-543B-4805-8D2B-6695EC59E5AF}">
      <dsp:nvSpPr>
        <dsp:cNvPr id="0" name=""/>
        <dsp:cNvSpPr/>
      </dsp:nvSpPr>
      <dsp:spPr>
        <a:xfrm>
          <a:off x="4058422" y="1458295"/>
          <a:ext cx="220301" cy="1139113"/>
        </a:xfrm>
        <a:custGeom>
          <a:avLst/>
          <a:gdLst/>
          <a:ahLst/>
          <a:cxnLst/>
          <a:rect l="0" t="0" r="0" b="0"/>
          <a:pathLst>
            <a:path>
              <a:moveTo>
                <a:pt x="0" y="0"/>
              </a:moveTo>
              <a:lnTo>
                <a:pt x="0" y="1139113"/>
              </a:lnTo>
              <a:lnTo>
                <a:pt x="220301" y="113911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C1C23FE-41C3-45AB-B919-B5AEFCF7E4A0}">
      <dsp:nvSpPr>
        <dsp:cNvPr id="0" name=""/>
        <dsp:cNvSpPr/>
      </dsp:nvSpPr>
      <dsp:spPr>
        <a:xfrm>
          <a:off x="4058422" y="1458295"/>
          <a:ext cx="177076" cy="506337"/>
        </a:xfrm>
        <a:custGeom>
          <a:avLst/>
          <a:gdLst/>
          <a:ahLst/>
          <a:cxnLst/>
          <a:rect l="0" t="0" r="0" b="0"/>
          <a:pathLst>
            <a:path>
              <a:moveTo>
                <a:pt x="0" y="0"/>
              </a:moveTo>
              <a:lnTo>
                <a:pt x="0" y="506337"/>
              </a:lnTo>
              <a:lnTo>
                <a:pt x="177076" y="50633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974865C-4AAC-4F63-8401-750EBF08F041}">
      <dsp:nvSpPr>
        <dsp:cNvPr id="0" name=""/>
        <dsp:cNvSpPr/>
      </dsp:nvSpPr>
      <dsp:spPr>
        <a:xfrm>
          <a:off x="4772891" y="613771"/>
          <a:ext cx="779349" cy="230752"/>
        </a:xfrm>
        <a:custGeom>
          <a:avLst/>
          <a:gdLst/>
          <a:ahLst/>
          <a:cxnLst/>
          <a:rect l="0" t="0" r="0" b="0"/>
          <a:pathLst>
            <a:path>
              <a:moveTo>
                <a:pt x="779349" y="0"/>
              </a:moveTo>
              <a:lnTo>
                <a:pt x="779349" y="154267"/>
              </a:lnTo>
              <a:lnTo>
                <a:pt x="0" y="154267"/>
              </a:lnTo>
              <a:lnTo>
                <a:pt x="0"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D7DA46E-0BF2-4295-9AD5-E7231B6FBE5D}">
      <dsp:nvSpPr>
        <dsp:cNvPr id="0" name=""/>
        <dsp:cNvSpPr/>
      </dsp:nvSpPr>
      <dsp:spPr>
        <a:xfrm>
          <a:off x="2119280" y="1458295"/>
          <a:ext cx="300340" cy="4264555"/>
        </a:xfrm>
        <a:custGeom>
          <a:avLst/>
          <a:gdLst/>
          <a:ahLst/>
          <a:cxnLst/>
          <a:rect l="0" t="0" r="0" b="0"/>
          <a:pathLst>
            <a:path>
              <a:moveTo>
                <a:pt x="0" y="0"/>
              </a:moveTo>
              <a:lnTo>
                <a:pt x="0" y="4264555"/>
              </a:lnTo>
              <a:lnTo>
                <a:pt x="300340" y="426455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416B43-F3A4-4973-A232-A705A548F85A}">
      <dsp:nvSpPr>
        <dsp:cNvPr id="0" name=""/>
        <dsp:cNvSpPr/>
      </dsp:nvSpPr>
      <dsp:spPr>
        <a:xfrm>
          <a:off x="2119280" y="1458295"/>
          <a:ext cx="231103" cy="3437271"/>
        </a:xfrm>
        <a:custGeom>
          <a:avLst/>
          <a:gdLst/>
          <a:ahLst/>
          <a:cxnLst/>
          <a:rect l="0" t="0" r="0" b="0"/>
          <a:pathLst>
            <a:path>
              <a:moveTo>
                <a:pt x="0" y="0"/>
              </a:moveTo>
              <a:lnTo>
                <a:pt x="0" y="3437271"/>
              </a:lnTo>
              <a:lnTo>
                <a:pt x="231103" y="343727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47F2A7F-A133-4193-BF37-41A98E9AE399}">
      <dsp:nvSpPr>
        <dsp:cNvPr id="0" name=""/>
        <dsp:cNvSpPr/>
      </dsp:nvSpPr>
      <dsp:spPr>
        <a:xfrm>
          <a:off x="2119280" y="1458295"/>
          <a:ext cx="209498" cy="2685627"/>
        </a:xfrm>
        <a:custGeom>
          <a:avLst/>
          <a:gdLst/>
          <a:ahLst/>
          <a:cxnLst/>
          <a:rect l="0" t="0" r="0" b="0"/>
          <a:pathLst>
            <a:path>
              <a:moveTo>
                <a:pt x="0" y="0"/>
              </a:moveTo>
              <a:lnTo>
                <a:pt x="0" y="2685627"/>
              </a:lnTo>
              <a:lnTo>
                <a:pt x="209498" y="268562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2802FED-9B21-4357-BE79-5F7955BAB013}">
      <dsp:nvSpPr>
        <dsp:cNvPr id="0" name=""/>
        <dsp:cNvSpPr/>
      </dsp:nvSpPr>
      <dsp:spPr>
        <a:xfrm>
          <a:off x="2119280" y="1458295"/>
          <a:ext cx="209498" cy="1955595"/>
        </a:xfrm>
        <a:custGeom>
          <a:avLst/>
          <a:gdLst/>
          <a:ahLst/>
          <a:cxnLst/>
          <a:rect l="0" t="0" r="0" b="0"/>
          <a:pathLst>
            <a:path>
              <a:moveTo>
                <a:pt x="0" y="0"/>
              </a:moveTo>
              <a:lnTo>
                <a:pt x="0" y="1955595"/>
              </a:lnTo>
              <a:lnTo>
                <a:pt x="209498" y="195559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6AFA3A5-1E4B-4A67-9D21-AFAE2916FDB8}">
      <dsp:nvSpPr>
        <dsp:cNvPr id="0" name=""/>
        <dsp:cNvSpPr/>
      </dsp:nvSpPr>
      <dsp:spPr>
        <a:xfrm>
          <a:off x="2119280" y="1458295"/>
          <a:ext cx="220301" cy="1139113"/>
        </a:xfrm>
        <a:custGeom>
          <a:avLst/>
          <a:gdLst/>
          <a:ahLst/>
          <a:cxnLst/>
          <a:rect l="0" t="0" r="0" b="0"/>
          <a:pathLst>
            <a:path>
              <a:moveTo>
                <a:pt x="0" y="0"/>
              </a:moveTo>
              <a:lnTo>
                <a:pt x="0" y="1139113"/>
              </a:lnTo>
              <a:lnTo>
                <a:pt x="220301" y="113911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8DEFE2F6-F03E-4E75-8B42-5AD6EA54AB63}">
      <dsp:nvSpPr>
        <dsp:cNvPr id="0" name=""/>
        <dsp:cNvSpPr/>
      </dsp:nvSpPr>
      <dsp:spPr>
        <a:xfrm>
          <a:off x="2119280" y="1458295"/>
          <a:ext cx="201406" cy="507685"/>
        </a:xfrm>
        <a:custGeom>
          <a:avLst/>
          <a:gdLst/>
          <a:ahLst/>
          <a:cxnLst/>
          <a:rect l="0" t="0" r="0" b="0"/>
          <a:pathLst>
            <a:path>
              <a:moveTo>
                <a:pt x="0" y="0"/>
              </a:moveTo>
              <a:lnTo>
                <a:pt x="0" y="507685"/>
              </a:lnTo>
              <a:lnTo>
                <a:pt x="201406" y="50768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956C72C-0695-4AF5-8F1B-AF3CF911254E}">
      <dsp:nvSpPr>
        <dsp:cNvPr id="0" name=""/>
        <dsp:cNvSpPr/>
      </dsp:nvSpPr>
      <dsp:spPr>
        <a:xfrm>
          <a:off x="2833749" y="613771"/>
          <a:ext cx="2718492" cy="230752"/>
        </a:xfrm>
        <a:custGeom>
          <a:avLst/>
          <a:gdLst/>
          <a:ahLst/>
          <a:cxnLst/>
          <a:rect l="0" t="0" r="0" b="0"/>
          <a:pathLst>
            <a:path>
              <a:moveTo>
                <a:pt x="2718492" y="0"/>
              </a:moveTo>
              <a:lnTo>
                <a:pt x="2718492" y="154267"/>
              </a:lnTo>
              <a:lnTo>
                <a:pt x="0" y="154267"/>
              </a:lnTo>
              <a:lnTo>
                <a:pt x="0"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1A4806-A056-49FA-A807-3507349E025F}">
      <dsp:nvSpPr>
        <dsp:cNvPr id="0" name=""/>
        <dsp:cNvSpPr/>
      </dsp:nvSpPr>
      <dsp:spPr>
        <a:xfrm>
          <a:off x="180137" y="1458295"/>
          <a:ext cx="267925" cy="4262935"/>
        </a:xfrm>
        <a:custGeom>
          <a:avLst/>
          <a:gdLst/>
          <a:ahLst/>
          <a:cxnLst/>
          <a:rect l="0" t="0" r="0" b="0"/>
          <a:pathLst>
            <a:path>
              <a:moveTo>
                <a:pt x="0" y="0"/>
              </a:moveTo>
              <a:lnTo>
                <a:pt x="0" y="4262935"/>
              </a:lnTo>
              <a:lnTo>
                <a:pt x="267925" y="426293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77EA319-D2C5-4551-A3AF-BBD742321036}">
      <dsp:nvSpPr>
        <dsp:cNvPr id="0" name=""/>
        <dsp:cNvSpPr/>
      </dsp:nvSpPr>
      <dsp:spPr>
        <a:xfrm>
          <a:off x="180137" y="1458295"/>
          <a:ext cx="220301" cy="3477892"/>
        </a:xfrm>
        <a:custGeom>
          <a:avLst/>
          <a:gdLst/>
          <a:ahLst/>
          <a:cxnLst/>
          <a:rect l="0" t="0" r="0" b="0"/>
          <a:pathLst>
            <a:path>
              <a:moveTo>
                <a:pt x="0" y="0"/>
              </a:moveTo>
              <a:lnTo>
                <a:pt x="0" y="3477892"/>
              </a:lnTo>
              <a:lnTo>
                <a:pt x="220301" y="347789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FDCD71-00D1-4CBF-9A31-1E489E856A40}">
      <dsp:nvSpPr>
        <dsp:cNvPr id="0" name=""/>
        <dsp:cNvSpPr/>
      </dsp:nvSpPr>
      <dsp:spPr>
        <a:xfrm>
          <a:off x="180137" y="1458295"/>
          <a:ext cx="220301" cy="2692849"/>
        </a:xfrm>
        <a:custGeom>
          <a:avLst/>
          <a:gdLst/>
          <a:ahLst/>
          <a:cxnLst/>
          <a:rect l="0" t="0" r="0" b="0"/>
          <a:pathLst>
            <a:path>
              <a:moveTo>
                <a:pt x="0" y="0"/>
              </a:moveTo>
              <a:lnTo>
                <a:pt x="0" y="2692849"/>
              </a:lnTo>
              <a:lnTo>
                <a:pt x="220301" y="269284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3BA9691-70A2-49E9-901A-2FCF27528D5D}">
      <dsp:nvSpPr>
        <dsp:cNvPr id="0" name=""/>
        <dsp:cNvSpPr/>
      </dsp:nvSpPr>
      <dsp:spPr>
        <a:xfrm>
          <a:off x="180137" y="1458295"/>
          <a:ext cx="220301" cy="1907807"/>
        </a:xfrm>
        <a:custGeom>
          <a:avLst/>
          <a:gdLst/>
          <a:ahLst/>
          <a:cxnLst/>
          <a:rect l="0" t="0" r="0" b="0"/>
          <a:pathLst>
            <a:path>
              <a:moveTo>
                <a:pt x="0" y="0"/>
              </a:moveTo>
              <a:lnTo>
                <a:pt x="0" y="1907807"/>
              </a:lnTo>
              <a:lnTo>
                <a:pt x="220301" y="190780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398580D-8EEC-44BA-940A-E4D9004A0CF0}">
      <dsp:nvSpPr>
        <dsp:cNvPr id="0" name=""/>
        <dsp:cNvSpPr/>
      </dsp:nvSpPr>
      <dsp:spPr>
        <a:xfrm>
          <a:off x="180137" y="1458295"/>
          <a:ext cx="220301" cy="1149477"/>
        </a:xfrm>
        <a:custGeom>
          <a:avLst/>
          <a:gdLst/>
          <a:ahLst/>
          <a:cxnLst/>
          <a:rect l="0" t="0" r="0" b="0"/>
          <a:pathLst>
            <a:path>
              <a:moveTo>
                <a:pt x="0" y="0"/>
              </a:moveTo>
              <a:lnTo>
                <a:pt x="0" y="1149477"/>
              </a:lnTo>
              <a:lnTo>
                <a:pt x="220301" y="11494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C29EF2C-4297-4C3B-9B35-26D15FB09F87}">
      <dsp:nvSpPr>
        <dsp:cNvPr id="0" name=""/>
        <dsp:cNvSpPr/>
      </dsp:nvSpPr>
      <dsp:spPr>
        <a:xfrm>
          <a:off x="180137" y="1458295"/>
          <a:ext cx="236603" cy="512702"/>
        </a:xfrm>
        <a:custGeom>
          <a:avLst/>
          <a:gdLst/>
          <a:ahLst/>
          <a:cxnLst/>
          <a:rect l="0" t="0" r="0" b="0"/>
          <a:pathLst>
            <a:path>
              <a:moveTo>
                <a:pt x="0" y="0"/>
              </a:moveTo>
              <a:lnTo>
                <a:pt x="0" y="512702"/>
              </a:lnTo>
              <a:lnTo>
                <a:pt x="236603" y="51270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829BF15-4119-41AB-879E-0A03001B34CB}">
      <dsp:nvSpPr>
        <dsp:cNvPr id="0" name=""/>
        <dsp:cNvSpPr/>
      </dsp:nvSpPr>
      <dsp:spPr>
        <a:xfrm>
          <a:off x="894607" y="613771"/>
          <a:ext cx="4657634" cy="230752"/>
        </a:xfrm>
        <a:custGeom>
          <a:avLst/>
          <a:gdLst/>
          <a:ahLst/>
          <a:cxnLst/>
          <a:rect l="0" t="0" r="0" b="0"/>
          <a:pathLst>
            <a:path>
              <a:moveTo>
                <a:pt x="4657634" y="0"/>
              </a:moveTo>
              <a:lnTo>
                <a:pt x="4657634" y="154267"/>
              </a:lnTo>
              <a:lnTo>
                <a:pt x="0" y="154267"/>
              </a:lnTo>
              <a:lnTo>
                <a:pt x="0" y="2307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8C398D-1F82-4B8E-87E2-540D1B2A40A0}">
      <dsp:nvSpPr>
        <dsp:cNvPr id="0" name=""/>
        <dsp:cNvSpPr/>
      </dsp:nvSpPr>
      <dsp:spPr>
        <a:xfrm>
          <a:off x="4504521" y="0"/>
          <a:ext cx="2095440" cy="613771"/>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504521" y="0"/>
        <a:ext cx="2095440" cy="613771"/>
      </dsp:txXfrm>
    </dsp:sp>
    <dsp:sp modelId="{853FFB4D-1E55-4DDD-854F-C86298D938B0}">
      <dsp:nvSpPr>
        <dsp:cNvPr id="0" name=""/>
        <dsp:cNvSpPr/>
      </dsp:nvSpPr>
      <dsp:spPr>
        <a:xfrm>
          <a:off x="1520" y="844523"/>
          <a:ext cx="1786172" cy="613771"/>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1520" y="844523"/>
        <a:ext cx="1786172" cy="613771"/>
      </dsp:txXfrm>
    </dsp:sp>
    <dsp:sp modelId="{A15103E7-543E-4790-AE67-947E45BFBF80}">
      <dsp:nvSpPr>
        <dsp:cNvPr id="0" name=""/>
        <dsp:cNvSpPr/>
      </dsp:nvSpPr>
      <dsp:spPr>
        <a:xfrm>
          <a:off x="416741" y="1693890"/>
          <a:ext cx="1511155" cy="55421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16741" y="1693890"/>
        <a:ext cx="1511155" cy="554215"/>
      </dsp:txXfrm>
    </dsp:sp>
    <dsp:sp modelId="{E96B1214-A9E7-4181-8CA8-92FB713D4A14}">
      <dsp:nvSpPr>
        <dsp:cNvPr id="0" name=""/>
        <dsp:cNvSpPr/>
      </dsp:nvSpPr>
      <dsp:spPr>
        <a:xfrm>
          <a:off x="400439" y="2318449"/>
          <a:ext cx="1511155" cy="578646"/>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130" tIns="24130" rIns="24130" bIns="24130" numCol="1" spcCol="1270" anchor="ctr" anchorCtr="0">
          <a:noAutofit/>
        </a:bodyPr>
        <a:lstStyle/>
        <a:p>
          <a:pPr marL="0" lvl="0" indent="0" algn="l" defTabSz="1689100">
            <a:lnSpc>
              <a:spcPct val="90000"/>
            </a:lnSpc>
            <a:spcBef>
              <a:spcPct val="0"/>
            </a:spcBef>
            <a:spcAft>
              <a:spcPct val="35000"/>
            </a:spcAft>
            <a:buNone/>
          </a:pPr>
          <a:endParaRPr lang="en-IN" sz="3800" kern="1200"/>
        </a:p>
      </dsp:txBody>
      <dsp:txXfrm>
        <a:off x="400439" y="2318449"/>
        <a:ext cx="1511155" cy="578646"/>
      </dsp:txXfrm>
    </dsp:sp>
    <dsp:sp modelId="{856CFF55-E4E6-40F3-9F14-FD1536F40E0B}">
      <dsp:nvSpPr>
        <dsp:cNvPr id="0" name=""/>
        <dsp:cNvSpPr/>
      </dsp:nvSpPr>
      <dsp:spPr>
        <a:xfrm>
          <a:off x="400439" y="3050065"/>
          <a:ext cx="1511155" cy="63207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6035" tIns="26035" rIns="26035" bIns="26035" numCol="1" spcCol="1270" anchor="ctr" anchorCtr="0">
          <a:noAutofit/>
        </a:bodyPr>
        <a:lstStyle/>
        <a:p>
          <a:pPr marL="0" lvl="0" indent="0" algn="l" defTabSz="1822450">
            <a:lnSpc>
              <a:spcPct val="90000"/>
            </a:lnSpc>
            <a:spcBef>
              <a:spcPct val="0"/>
            </a:spcBef>
            <a:spcAft>
              <a:spcPct val="35000"/>
            </a:spcAft>
            <a:buNone/>
          </a:pPr>
          <a:endParaRPr lang="en-IN" sz="4100" kern="1200"/>
        </a:p>
      </dsp:txBody>
      <dsp:txXfrm>
        <a:off x="400439" y="3050065"/>
        <a:ext cx="1511155" cy="632073"/>
      </dsp:txXfrm>
    </dsp:sp>
    <dsp:sp modelId="{2490E369-58C0-4092-BC57-B6F9B7A8424A}">
      <dsp:nvSpPr>
        <dsp:cNvPr id="0" name=""/>
        <dsp:cNvSpPr/>
      </dsp:nvSpPr>
      <dsp:spPr>
        <a:xfrm>
          <a:off x="400439" y="3835108"/>
          <a:ext cx="1511155" cy="63207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6035" tIns="26035" rIns="26035" bIns="26035" numCol="1" spcCol="1270" anchor="ctr" anchorCtr="0">
          <a:noAutofit/>
        </a:bodyPr>
        <a:lstStyle/>
        <a:p>
          <a:pPr marL="0" lvl="0" indent="0" algn="l" defTabSz="1822450">
            <a:lnSpc>
              <a:spcPct val="90000"/>
            </a:lnSpc>
            <a:spcBef>
              <a:spcPct val="0"/>
            </a:spcBef>
            <a:spcAft>
              <a:spcPct val="35000"/>
            </a:spcAft>
            <a:buNone/>
          </a:pPr>
          <a:endParaRPr lang="en-IN" sz="4100" kern="1200"/>
        </a:p>
      </dsp:txBody>
      <dsp:txXfrm>
        <a:off x="400439" y="3835108"/>
        <a:ext cx="1511155" cy="632073"/>
      </dsp:txXfrm>
    </dsp:sp>
    <dsp:sp modelId="{7074A187-D177-4CA7-8FAD-19086FA2F2A3}">
      <dsp:nvSpPr>
        <dsp:cNvPr id="0" name=""/>
        <dsp:cNvSpPr/>
      </dsp:nvSpPr>
      <dsp:spPr>
        <a:xfrm>
          <a:off x="400439" y="4620151"/>
          <a:ext cx="1511155" cy="63207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6035" tIns="26035" rIns="26035" bIns="26035" numCol="1" spcCol="1270" anchor="ctr" anchorCtr="0">
          <a:noAutofit/>
        </a:bodyPr>
        <a:lstStyle/>
        <a:p>
          <a:pPr marL="0" lvl="0" indent="0" algn="l" defTabSz="1822450">
            <a:lnSpc>
              <a:spcPct val="90000"/>
            </a:lnSpc>
            <a:spcBef>
              <a:spcPct val="0"/>
            </a:spcBef>
            <a:spcAft>
              <a:spcPct val="35000"/>
            </a:spcAft>
            <a:buNone/>
          </a:pPr>
          <a:endParaRPr lang="en-IN" sz="4100" kern="1200"/>
        </a:p>
      </dsp:txBody>
      <dsp:txXfrm>
        <a:off x="400439" y="4620151"/>
        <a:ext cx="1511155" cy="632073"/>
      </dsp:txXfrm>
    </dsp:sp>
    <dsp:sp modelId="{87B9EBD0-8BEE-4198-81B7-89C4056E1059}">
      <dsp:nvSpPr>
        <dsp:cNvPr id="0" name=""/>
        <dsp:cNvSpPr/>
      </dsp:nvSpPr>
      <dsp:spPr>
        <a:xfrm>
          <a:off x="448063" y="5405193"/>
          <a:ext cx="1511155" cy="63207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6035" tIns="26035" rIns="26035" bIns="26035" numCol="1" spcCol="1270" anchor="ctr" anchorCtr="0">
          <a:noAutofit/>
        </a:bodyPr>
        <a:lstStyle/>
        <a:p>
          <a:pPr marL="0" lvl="0" indent="0" algn="l" defTabSz="1822450">
            <a:lnSpc>
              <a:spcPct val="90000"/>
            </a:lnSpc>
            <a:spcBef>
              <a:spcPct val="0"/>
            </a:spcBef>
            <a:spcAft>
              <a:spcPct val="35000"/>
            </a:spcAft>
            <a:buNone/>
          </a:pPr>
          <a:endParaRPr lang="en-IN" sz="4100" kern="1200"/>
        </a:p>
      </dsp:txBody>
      <dsp:txXfrm>
        <a:off x="448063" y="5405193"/>
        <a:ext cx="1511155" cy="632073"/>
      </dsp:txXfrm>
    </dsp:sp>
    <dsp:sp modelId="{A93E9E9D-8284-47DB-90D4-BE1DFF93A8F2}">
      <dsp:nvSpPr>
        <dsp:cNvPr id="0" name=""/>
        <dsp:cNvSpPr/>
      </dsp:nvSpPr>
      <dsp:spPr>
        <a:xfrm>
          <a:off x="1940662" y="844523"/>
          <a:ext cx="1786172" cy="613771"/>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1940662" y="844523"/>
        <a:ext cx="1786172" cy="613771"/>
      </dsp:txXfrm>
    </dsp:sp>
    <dsp:sp modelId="{B0EBF5AF-CC42-4F77-830A-5EDB69B9E1FC}">
      <dsp:nvSpPr>
        <dsp:cNvPr id="0" name=""/>
        <dsp:cNvSpPr/>
      </dsp:nvSpPr>
      <dsp:spPr>
        <a:xfrm>
          <a:off x="2320686" y="1688255"/>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320686" y="1688255"/>
        <a:ext cx="1511155" cy="555450"/>
      </dsp:txXfrm>
    </dsp:sp>
    <dsp:sp modelId="{1729CE0B-3838-48AD-B589-B372F2B0C771}">
      <dsp:nvSpPr>
        <dsp:cNvPr id="0" name=""/>
        <dsp:cNvSpPr/>
      </dsp:nvSpPr>
      <dsp:spPr>
        <a:xfrm>
          <a:off x="2339581" y="2319684"/>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339581" y="2319684"/>
        <a:ext cx="1511155" cy="555450"/>
      </dsp:txXfrm>
    </dsp:sp>
    <dsp:sp modelId="{1B70E28B-3F55-4A34-B864-28329F2EE997}">
      <dsp:nvSpPr>
        <dsp:cNvPr id="0" name=""/>
        <dsp:cNvSpPr/>
      </dsp:nvSpPr>
      <dsp:spPr>
        <a:xfrm>
          <a:off x="2328778" y="3136165"/>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328778" y="3136165"/>
        <a:ext cx="1511155" cy="555450"/>
      </dsp:txXfrm>
    </dsp:sp>
    <dsp:sp modelId="{8EFA38DB-7372-4EF3-94A9-14D2F01FACFE}">
      <dsp:nvSpPr>
        <dsp:cNvPr id="0" name=""/>
        <dsp:cNvSpPr/>
      </dsp:nvSpPr>
      <dsp:spPr>
        <a:xfrm>
          <a:off x="2328778" y="3866197"/>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328778" y="3866197"/>
        <a:ext cx="1511155" cy="555450"/>
      </dsp:txXfrm>
    </dsp:sp>
    <dsp:sp modelId="{4B8036C8-82F6-4CAC-9705-E438507AC395}">
      <dsp:nvSpPr>
        <dsp:cNvPr id="0" name=""/>
        <dsp:cNvSpPr/>
      </dsp:nvSpPr>
      <dsp:spPr>
        <a:xfrm>
          <a:off x="2350384" y="4617842"/>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350384" y="4617842"/>
        <a:ext cx="1511155" cy="555450"/>
      </dsp:txXfrm>
    </dsp:sp>
    <dsp:sp modelId="{4A3627A3-97A7-4455-998E-33BC47472C19}">
      <dsp:nvSpPr>
        <dsp:cNvPr id="0" name=""/>
        <dsp:cNvSpPr/>
      </dsp:nvSpPr>
      <dsp:spPr>
        <a:xfrm>
          <a:off x="2419620" y="5445126"/>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2419620" y="5445126"/>
        <a:ext cx="1511155" cy="555450"/>
      </dsp:txXfrm>
    </dsp:sp>
    <dsp:sp modelId="{18D7EB7E-5345-47F5-A003-6DAA02A6F959}">
      <dsp:nvSpPr>
        <dsp:cNvPr id="0" name=""/>
        <dsp:cNvSpPr/>
      </dsp:nvSpPr>
      <dsp:spPr>
        <a:xfrm>
          <a:off x="3879804" y="844523"/>
          <a:ext cx="1786172" cy="613771"/>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3879804" y="844523"/>
        <a:ext cx="1786172" cy="613771"/>
      </dsp:txXfrm>
    </dsp:sp>
    <dsp:sp modelId="{67BD0060-BFB1-4C4A-9D5B-6E6E87609C6C}">
      <dsp:nvSpPr>
        <dsp:cNvPr id="0" name=""/>
        <dsp:cNvSpPr/>
      </dsp:nvSpPr>
      <dsp:spPr>
        <a:xfrm rot="60000">
          <a:off x="4235498" y="1686908"/>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235498" y="1686908"/>
        <a:ext cx="1511155" cy="555450"/>
      </dsp:txXfrm>
    </dsp:sp>
    <dsp:sp modelId="{5451555C-535D-4995-B08E-92BDE4EE9F4E}">
      <dsp:nvSpPr>
        <dsp:cNvPr id="0" name=""/>
        <dsp:cNvSpPr/>
      </dsp:nvSpPr>
      <dsp:spPr>
        <a:xfrm rot="60000">
          <a:off x="4278723" y="2319684"/>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278723" y="2319684"/>
        <a:ext cx="1511155" cy="555450"/>
      </dsp:txXfrm>
    </dsp:sp>
    <dsp:sp modelId="{67112E2D-DA08-4C12-BA18-598F9B59C2DD}">
      <dsp:nvSpPr>
        <dsp:cNvPr id="0" name=""/>
        <dsp:cNvSpPr/>
      </dsp:nvSpPr>
      <dsp:spPr>
        <a:xfrm rot="60000">
          <a:off x="4278723" y="3028103"/>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278723" y="3028103"/>
        <a:ext cx="1511155" cy="555450"/>
      </dsp:txXfrm>
    </dsp:sp>
    <dsp:sp modelId="{450069CF-7114-46AF-B948-B59BD7BD3248}">
      <dsp:nvSpPr>
        <dsp:cNvPr id="0" name=""/>
        <dsp:cNvSpPr/>
      </dsp:nvSpPr>
      <dsp:spPr>
        <a:xfrm rot="60000">
          <a:off x="4278723" y="3736523"/>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278723" y="3736523"/>
        <a:ext cx="1511155" cy="555450"/>
      </dsp:txXfrm>
    </dsp:sp>
    <dsp:sp modelId="{0A0D7290-3BF8-4E1B-AF58-EEEFB663DEAB}">
      <dsp:nvSpPr>
        <dsp:cNvPr id="0" name=""/>
        <dsp:cNvSpPr/>
      </dsp:nvSpPr>
      <dsp:spPr>
        <a:xfrm rot="60000">
          <a:off x="4321948" y="4574617"/>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321948" y="4574617"/>
        <a:ext cx="1511155" cy="555450"/>
      </dsp:txXfrm>
    </dsp:sp>
    <dsp:sp modelId="{A9181D67-06C7-48A4-910B-0FB4C3B9B53D}">
      <dsp:nvSpPr>
        <dsp:cNvPr id="0" name=""/>
        <dsp:cNvSpPr/>
      </dsp:nvSpPr>
      <dsp:spPr>
        <a:xfrm>
          <a:off x="4423600" y="5466742"/>
          <a:ext cx="1511155" cy="55545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4423600" y="5466742"/>
        <a:ext cx="1511155" cy="555453"/>
      </dsp:txXfrm>
    </dsp:sp>
    <dsp:sp modelId="{EBDC4F41-BB02-4045-BB2C-0F561DCA0C10}">
      <dsp:nvSpPr>
        <dsp:cNvPr id="0" name=""/>
        <dsp:cNvSpPr/>
      </dsp:nvSpPr>
      <dsp:spPr>
        <a:xfrm>
          <a:off x="5818947" y="844523"/>
          <a:ext cx="1786172" cy="613771"/>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5818947" y="844523"/>
        <a:ext cx="1786172" cy="613771"/>
      </dsp:txXfrm>
    </dsp:sp>
    <dsp:sp modelId="{647420B5-B7F6-41E1-AC34-55D8867088E7}">
      <dsp:nvSpPr>
        <dsp:cNvPr id="0" name=""/>
        <dsp:cNvSpPr/>
      </dsp:nvSpPr>
      <dsp:spPr>
        <a:xfrm>
          <a:off x="6185450" y="1676102"/>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185450" y="1676102"/>
        <a:ext cx="1511155" cy="555450"/>
      </dsp:txXfrm>
    </dsp:sp>
    <dsp:sp modelId="{ABC7BB64-A90A-4CB7-9105-0A2AC9805564}">
      <dsp:nvSpPr>
        <dsp:cNvPr id="0" name=""/>
        <dsp:cNvSpPr/>
      </dsp:nvSpPr>
      <dsp:spPr>
        <a:xfrm>
          <a:off x="6196253" y="2384521"/>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196253" y="2384521"/>
        <a:ext cx="1511155" cy="555450"/>
      </dsp:txXfrm>
    </dsp:sp>
    <dsp:sp modelId="{AD7D396D-70EB-4F3A-AC22-78E8462178A0}">
      <dsp:nvSpPr>
        <dsp:cNvPr id="0" name=""/>
        <dsp:cNvSpPr/>
      </dsp:nvSpPr>
      <dsp:spPr>
        <a:xfrm>
          <a:off x="6217865" y="3071328"/>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217865" y="3071328"/>
        <a:ext cx="1511155" cy="555450"/>
      </dsp:txXfrm>
    </dsp:sp>
    <dsp:sp modelId="{39B8E77F-B22C-4656-8B22-473C50CE438F}">
      <dsp:nvSpPr>
        <dsp:cNvPr id="0" name=""/>
        <dsp:cNvSpPr/>
      </dsp:nvSpPr>
      <dsp:spPr>
        <a:xfrm>
          <a:off x="6217865" y="3736523"/>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217865" y="3736523"/>
        <a:ext cx="1511155" cy="555450"/>
      </dsp:txXfrm>
    </dsp:sp>
    <dsp:sp modelId="{DE90A0AF-EF96-426B-BDC2-9EE119692A07}">
      <dsp:nvSpPr>
        <dsp:cNvPr id="0" name=""/>
        <dsp:cNvSpPr/>
      </dsp:nvSpPr>
      <dsp:spPr>
        <a:xfrm>
          <a:off x="6239470" y="4585423"/>
          <a:ext cx="1511155"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239470" y="4585423"/>
        <a:ext cx="1511155" cy="555450"/>
      </dsp:txXfrm>
    </dsp:sp>
    <dsp:sp modelId="{0119EEB9-9A38-430C-8605-8FF3F804544F}">
      <dsp:nvSpPr>
        <dsp:cNvPr id="0" name=""/>
        <dsp:cNvSpPr/>
      </dsp:nvSpPr>
      <dsp:spPr>
        <a:xfrm>
          <a:off x="6297905" y="5423513"/>
          <a:ext cx="1511155" cy="55545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6297905" y="5423513"/>
        <a:ext cx="1511155" cy="555453"/>
      </dsp:txXfrm>
    </dsp:sp>
    <dsp:sp modelId="{A258BD13-7871-4C9C-B418-43BE12BFB3E9}">
      <dsp:nvSpPr>
        <dsp:cNvPr id="0" name=""/>
        <dsp:cNvSpPr/>
      </dsp:nvSpPr>
      <dsp:spPr>
        <a:xfrm>
          <a:off x="7758089" y="844523"/>
          <a:ext cx="1786172" cy="613771"/>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7758089" y="844523"/>
        <a:ext cx="1786172" cy="613771"/>
      </dsp:txXfrm>
    </dsp:sp>
    <dsp:sp modelId="{FED6595E-1570-4891-AE46-CD4AC1DEF9EA}">
      <dsp:nvSpPr>
        <dsp:cNvPr id="0" name=""/>
        <dsp:cNvSpPr/>
      </dsp:nvSpPr>
      <dsp:spPr>
        <a:xfrm>
          <a:off x="8157008" y="1611264"/>
          <a:ext cx="1470312"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57008" y="1611264"/>
        <a:ext cx="1470312" cy="555450"/>
      </dsp:txXfrm>
    </dsp:sp>
    <dsp:sp modelId="{7F8EFDBA-900F-4273-A7B0-E6FE5E02840D}">
      <dsp:nvSpPr>
        <dsp:cNvPr id="0" name=""/>
        <dsp:cNvSpPr/>
      </dsp:nvSpPr>
      <dsp:spPr>
        <a:xfrm>
          <a:off x="8157008" y="2319684"/>
          <a:ext cx="1470312"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57008" y="2319684"/>
        <a:ext cx="1470312" cy="555450"/>
      </dsp:txXfrm>
    </dsp:sp>
    <dsp:sp modelId="{E140C6C5-E4A1-49E2-8B34-B36A9E45F7A0}">
      <dsp:nvSpPr>
        <dsp:cNvPr id="0" name=""/>
        <dsp:cNvSpPr/>
      </dsp:nvSpPr>
      <dsp:spPr>
        <a:xfrm>
          <a:off x="8157008" y="3028103"/>
          <a:ext cx="1470312"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57008" y="3028103"/>
        <a:ext cx="1470312" cy="555450"/>
      </dsp:txXfrm>
    </dsp:sp>
    <dsp:sp modelId="{2915E1C8-90EE-4D3E-80C4-5A095B94CCE7}">
      <dsp:nvSpPr>
        <dsp:cNvPr id="0" name=""/>
        <dsp:cNvSpPr/>
      </dsp:nvSpPr>
      <dsp:spPr>
        <a:xfrm>
          <a:off x="8157008" y="3736523"/>
          <a:ext cx="1470312"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57008" y="3736523"/>
        <a:ext cx="1470312" cy="555450"/>
      </dsp:txXfrm>
    </dsp:sp>
    <dsp:sp modelId="{8F6DC081-6798-4216-A738-17F2FC92AADF}">
      <dsp:nvSpPr>
        <dsp:cNvPr id="0" name=""/>
        <dsp:cNvSpPr/>
      </dsp:nvSpPr>
      <dsp:spPr>
        <a:xfrm>
          <a:off x="8157008" y="4444942"/>
          <a:ext cx="1470312" cy="555450"/>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57008" y="4444942"/>
        <a:ext cx="1470312" cy="555450"/>
      </dsp:txXfrm>
    </dsp:sp>
    <dsp:sp modelId="{334CBDC0-DC60-49FB-BE4F-5DC6001401F6}">
      <dsp:nvSpPr>
        <dsp:cNvPr id="0" name=""/>
        <dsp:cNvSpPr/>
      </dsp:nvSpPr>
      <dsp:spPr>
        <a:xfrm>
          <a:off x="8185584" y="5401180"/>
          <a:ext cx="1511155" cy="55545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860" tIns="22860" rIns="22860" bIns="22860" numCol="1" spcCol="1270" anchor="ctr" anchorCtr="0">
          <a:noAutofit/>
        </a:bodyPr>
        <a:lstStyle/>
        <a:p>
          <a:pPr marL="0" lvl="0" indent="0" algn="l" defTabSz="1600200">
            <a:lnSpc>
              <a:spcPct val="90000"/>
            </a:lnSpc>
            <a:spcBef>
              <a:spcPct val="0"/>
            </a:spcBef>
            <a:spcAft>
              <a:spcPct val="35000"/>
            </a:spcAft>
            <a:buNone/>
          </a:pPr>
          <a:endParaRPr lang="en-IN" sz="3600" kern="1200"/>
        </a:p>
      </dsp:txBody>
      <dsp:txXfrm>
        <a:off x="8185584" y="5401180"/>
        <a:ext cx="1511155" cy="555453"/>
      </dsp:txXfrm>
    </dsp:sp>
    <dsp:sp modelId="{735EB318-83B9-45F6-B3F9-31895D8D9C62}">
      <dsp:nvSpPr>
        <dsp:cNvPr id="0" name=""/>
        <dsp:cNvSpPr/>
      </dsp:nvSpPr>
      <dsp:spPr>
        <a:xfrm>
          <a:off x="9697231" y="844523"/>
          <a:ext cx="1451869" cy="62903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6035" tIns="26035" rIns="26035" bIns="26035" numCol="1" spcCol="1270" anchor="ctr" anchorCtr="0">
          <a:noAutofit/>
        </a:bodyPr>
        <a:lstStyle/>
        <a:p>
          <a:pPr marL="0" lvl="0" indent="0" algn="l" defTabSz="1822450">
            <a:lnSpc>
              <a:spcPct val="90000"/>
            </a:lnSpc>
            <a:spcBef>
              <a:spcPct val="0"/>
            </a:spcBef>
            <a:spcAft>
              <a:spcPct val="35000"/>
            </a:spcAft>
            <a:buNone/>
          </a:pPr>
          <a:endParaRPr lang="en-IN" sz="4100" kern="1200"/>
        </a:p>
      </dsp:txBody>
      <dsp:txXfrm>
        <a:off x="9697231" y="844523"/>
        <a:ext cx="1451869" cy="629039"/>
      </dsp:txXfrm>
    </dsp:sp>
    <dsp:sp modelId="{EB76186E-B8DD-4C2B-A16E-3DCCAC24AD9E}">
      <dsp:nvSpPr>
        <dsp:cNvPr id="0" name=""/>
        <dsp:cNvSpPr/>
      </dsp:nvSpPr>
      <dsp:spPr>
        <a:xfrm>
          <a:off x="10012574" y="1626532"/>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12574" y="1626532"/>
        <a:ext cx="1511155" cy="530945"/>
      </dsp:txXfrm>
    </dsp:sp>
    <dsp:sp modelId="{94EA12D3-04D9-47DF-8815-13B679B7C734}">
      <dsp:nvSpPr>
        <dsp:cNvPr id="0" name=""/>
        <dsp:cNvSpPr/>
      </dsp:nvSpPr>
      <dsp:spPr>
        <a:xfrm>
          <a:off x="10012574" y="2310447"/>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12574" y="2310447"/>
        <a:ext cx="1511155" cy="530945"/>
      </dsp:txXfrm>
    </dsp:sp>
    <dsp:sp modelId="{388559F6-A377-4E6B-8AFD-045922C575A5}">
      <dsp:nvSpPr>
        <dsp:cNvPr id="0" name=""/>
        <dsp:cNvSpPr/>
      </dsp:nvSpPr>
      <dsp:spPr>
        <a:xfrm>
          <a:off x="10012574" y="2994363"/>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12574" y="2994363"/>
        <a:ext cx="1511155" cy="530945"/>
      </dsp:txXfrm>
    </dsp:sp>
    <dsp:sp modelId="{343E1092-F522-4487-A030-10090F0AF3AB}">
      <dsp:nvSpPr>
        <dsp:cNvPr id="0" name=""/>
        <dsp:cNvSpPr/>
      </dsp:nvSpPr>
      <dsp:spPr>
        <a:xfrm>
          <a:off x="10003046" y="3811627"/>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03046" y="3811627"/>
        <a:ext cx="1511155" cy="530945"/>
      </dsp:txXfrm>
    </dsp:sp>
    <dsp:sp modelId="{2314AD4C-5552-4E80-A3D0-6A7B329E2BF2}">
      <dsp:nvSpPr>
        <dsp:cNvPr id="0" name=""/>
        <dsp:cNvSpPr/>
      </dsp:nvSpPr>
      <dsp:spPr>
        <a:xfrm>
          <a:off x="10012574" y="4457442"/>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12574" y="4457442"/>
        <a:ext cx="1511155" cy="530945"/>
      </dsp:txXfrm>
    </dsp:sp>
    <dsp:sp modelId="{DD5B3579-7DBE-4F3D-99DF-2C002955CF6D}">
      <dsp:nvSpPr>
        <dsp:cNvPr id="0" name=""/>
        <dsp:cNvSpPr/>
      </dsp:nvSpPr>
      <dsp:spPr>
        <a:xfrm>
          <a:off x="9964949" y="5369959"/>
          <a:ext cx="1511155" cy="530945"/>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9964949" y="5369959"/>
        <a:ext cx="1511155" cy="530945"/>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F73487-B376-410E-B7A2-0265DAB6A683}">
      <dsp:nvSpPr>
        <dsp:cNvPr id="0" name=""/>
        <dsp:cNvSpPr/>
      </dsp:nvSpPr>
      <dsp:spPr>
        <a:xfrm>
          <a:off x="9866407" y="1468317"/>
          <a:ext cx="120600" cy="4096288"/>
        </a:xfrm>
        <a:custGeom>
          <a:avLst/>
          <a:gdLst/>
          <a:ahLst/>
          <a:cxnLst/>
          <a:rect l="0" t="0" r="0" b="0"/>
          <a:pathLst>
            <a:path>
              <a:moveTo>
                <a:pt x="0" y="0"/>
              </a:moveTo>
              <a:lnTo>
                <a:pt x="0" y="4096288"/>
              </a:lnTo>
              <a:lnTo>
                <a:pt x="120600" y="409628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2707F8B-9C5E-4525-95F3-F1CEBC2FA133}">
      <dsp:nvSpPr>
        <dsp:cNvPr id="0" name=""/>
        <dsp:cNvSpPr/>
      </dsp:nvSpPr>
      <dsp:spPr>
        <a:xfrm>
          <a:off x="9866407" y="1468317"/>
          <a:ext cx="167474" cy="3198150"/>
        </a:xfrm>
        <a:custGeom>
          <a:avLst/>
          <a:gdLst/>
          <a:ahLst/>
          <a:cxnLst/>
          <a:rect l="0" t="0" r="0" b="0"/>
          <a:pathLst>
            <a:path>
              <a:moveTo>
                <a:pt x="0" y="0"/>
              </a:moveTo>
              <a:lnTo>
                <a:pt x="0" y="3198150"/>
              </a:lnTo>
              <a:lnTo>
                <a:pt x="167474" y="319815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123960-3F75-4914-87F6-AD648CCBE3E0}">
      <dsp:nvSpPr>
        <dsp:cNvPr id="0" name=""/>
        <dsp:cNvSpPr/>
      </dsp:nvSpPr>
      <dsp:spPr>
        <a:xfrm>
          <a:off x="9866407" y="1468317"/>
          <a:ext cx="158096" cy="2562512"/>
        </a:xfrm>
        <a:custGeom>
          <a:avLst/>
          <a:gdLst/>
          <a:ahLst/>
          <a:cxnLst/>
          <a:rect l="0" t="0" r="0" b="0"/>
          <a:pathLst>
            <a:path>
              <a:moveTo>
                <a:pt x="0" y="0"/>
              </a:moveTo>
              <a:lnTo>
                <a:pt x="0" y="2562512"/>
              </a:lnTo>
              <a:lnTo>
                <a:pt x="158096" y="256251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136166C-C192-4F23-BD15-061DD6C9F076}">
      <dsp:nvSpPr>
        <dsp:cNvPr id="0" name=""/>
        <dsp:cNvSpPr/>
      </dsp:nvSpPr>
      <dsp:spPr>
        <a:xfrm>
          <a:off x="9866407" y="1468317"/>
          <a:ext cx="167474" cy="1758125"/>
        </a:xfrm>
        <a:custGeom>
          <a:avLst/>
          <a:gdLst/>
          <a:ahLst/>
          <a:cxnLst/>
          <a:rect l="0" t="0" r="0" b="0"/>
          <a:pathLst>
            <a:path>
              <a:moveTo>
                <a:pt x="0" y="0"/>
              </a:moveTo>
              <a:lnTo>
                <a:pt x="0" y="1758125"/>
              </a:lnTo>
              <a:lnTo>
                <a:pt x="167474" y="175812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F2EBD80-CD02-4D6E-9BF5-2352F4BE2354}">
      <dsp:nvSpPr>
        <dsp:cNvPr id="0" name=""/>
        <dsp:cNvSpPr/>
      </dsp:nvSpPr>
      <dsp:spPr>
        <a:xfrm>
          <a:off x="9866407" y="1468317"/>
          <a:ext cx="167474" cy="1084987"/>
        </a:xfrm>
        <a:custGeom>
          <a:avLst/>
          <a:gdLst/>
          <a:ahLst/>
          <a:cxnLst/>
          <a:rect l="0" t="0" r="0" b="0"/>
          <a:pathLst>
            <a:path>
              <a:moveTo>
                <a:pt x="0" y="0"/>
              </a:moveTo>
              <a:lnTo>
                <a:pt x="0" y="1084987"/>
              </a:lnTo>
              <a:lnTo>
                <a:pt x="167474" y="108498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E60B9C7-0F06-4460-B10D-685FDA048881}">
      <dsp:nvSpPr>
        <dsp:cNvPr id="0" name=""/>
        <dsp:cNvSpPr/>
      </dsp:nvSpPr>
      <dsp:spPr>
        <a:xfrm>
          <a:off x="9866407" y="1468317"/>
          <a:ext cx="167474" cy="411848"/>
        </a:xfrm>
        <a:custGeom>
          <a:avLst/>
          <a:gdLst/>
          <a:ahLst/>
          <a:cxnLst/>
          <a:rect l="0" t="0" r="0" b="0"/>
          <a:pathLst>
            <a:path>
              <a:moveTo>
                <a:pt x="0" y="0"/>
              </a:moveTo>
              <a:lnTo>
                <a:pt x="0" y="411848"/>
              </a:lnTo>
              <a:lnTo>
                <a:pt x="167474" y="41184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774376C-5B5F-4165-B817-51060CD11209}">
      <dsp:nvSpPr>
        <dsp:cNvPr id="0" name=""/>
        <dsp:cNvSpPr/>
      </dsp:nvSpPr>
      <dsp:spPr>
        <a:xfrm>
          <a:off x="5555931" y="604099"/>
          <a:ext cx="4882072" cy="245090"/>
        </a:xfrm>
        <a:custGeom>
          <a:avLst/>
          <a:gdLst/>
          <a:ahLst/>
          <a:cxnLst/>
          <a:rect l="0" t="0" r="0" b="0"/>
          <a:pathLst>
            <a:path>
              <a:moveTo>
                <a:pt x="0" y="0"/>
              </a:moveTo>
              <a:lnTo>
                <a:pt x="0" y="169810"/>
              </a:lnTo>
              <a:lnTo>
                <a:pt x="4882072" y="169810"/>
              </a:lnTo>
              <a:lnTo>
                <a:pt x="4882072"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21844B0-3CBD-4834-9F7D-209A988EEE2F}">
      <dsp:nvSpPr>
        <dsp:cNvPr id="0" name=""/>
        <dsp:cNvSpPr/>
      </dsp:nvSpPr>
      <dsp:spPr>
        <a:xfrm>
          <a:off x="7990724" y="1453290"/>
          <a:ext cx="244955" cy="4154105"/>
        </a:xfrm>
        <a:custGeom>
          <a:avLst/>
          <a:gdLst/>
          <a:ahLst/>
          <a:cxnLst/>
          <a:rect l="0" t="0" r="0" b="0"/>
          <a:pathLst>
            <a:path>
              <a:moveTo>
                <a:pt x="0" y="0"/>
              </a:moveTo>
              <a:lnTo>
                <a:pt x="0" y="4154105"/>
              </a:lnTo>
              <a:lnTo>
                <a:pt x="244955" y="415410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C3F18813-D545-4307-9554-61938D010D7E}">
      <dsp:nvSpPr>
        <dsp:cNvPr id="0" name=""/>
        <dsp:cNvSpPr/>
      </dsp:nvSpPr>
      <dsp:spPr>
        <a:xfrm>
          <a:off x="7990724" y="1453290"/>
          <a:ext cx="216830" cy="3212933"/>
        </a:xfrm>
        <a:custGeom>
          <a:avLst/>
          <a:gdLst/>
          <a:ahLst/>
          <a:cxnLst/>
          <a:rect l="0" t="0" r="0" b="0"/>
          <a:pathLst>
            <a:path>
              <a:moveTo>
                <a:pt x="0" y="0"/>
              </a:moveTo>
              <a:lnTo>
                <a:pt x="0" y="3212933"/>
              </a:lnTo>
              <a:lnTo>
                <a:pt x="216830" y="32129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5E8E60-357C-4447-B545-DCEEB69E444E}">
      <dsp:nvSpPr>
        <dsp:cNvPr id="0" name=""/>
        <dsp:cNvSpPr/>
      </dsp:nvSpPr>
      <dsp:spPr>
        <a:xfrm>
          <a:off x="7990724"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5210DB0-CB29-4557-B327-60029655B293}">
      <dsp:nvSpPr>
        <dsp:cNvPr id="0" name=""/>
        <dsp:cNvSpPr/>
      </dsp:nvSpPr>
      <dsp:spPr>
        <a:xfrm>
          <a:off x="7990724" y="1453290"/>
          <a:ext cx="216830" cy="1818420"/>
        </a:xfrm>
        <a:custGeom>
          <a:avLst/>
          <a:gdLst/>
          <a:ahLst/>
          <a:cxnLst/>
          <a:rect l="0" t="0" r="0" b="0"/>
          <a:pathLst>
            <a:path>
              <a:moveTo>
                <a:pt x="0" y="0"/>
              </a:moveTo>
              <a:lnTo>
                <a:pt x="0" y="1818420"/>
              </a:lnTo>
              <a:lnTo>
                <a:pt x="216830" y="181842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D540605-6F96-4B99-9FEF-8CEAB4571FB4}">
      <dsp:nvSpPr>
        <dsp:cNvPr id="0" name=""/>
        <dsp:cNvSpPr/>
      </dsp:nvSpPr>
      <dsp:spPr>
        <a:xfrm>
          <a:off x="7990724"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F7B221D-5030-40CE-B2C2-68153A0F97EC}">
      <dsp:nvSpPr>
        <dsp:cNvPr id="0" name=""/>
        <dsp:cNvSpPr/>
      </dsp:nvSpPr>
      <dsp:spPr>
        <a:xfrm>
          <a:off x="7990724" y="1453290"/>
          <a:ext cx="216830" cy="423907"/>
        </a:xfrm>
        <a:custGeom>
          <a:avLst/>
          <a:gdLst/>
          <a:ahLst/>
          <a:cxnLst/>
          <a:rect l="0" t="0" r="0" b="0"/>
          <a:pathLst>
            <a:path>
              <a:moveTo>
                <a:pt x="0" y="0"/>
              </a:moveTo>
              <a:lnTo>
                <a:pt x="0" y="423907"/>
              </a:lnTo>
              <a:lnTo>
                <a:pt x="216830" y="42390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1EE7129-9CBE-42CE-9EE3-3684DAE78A6A}">
      <dsp:nvSpPr>
        <dsp:cNvPr id="0" name=""/>
        <dsp:cNvSpPr/>
      </dsp:nvSpPr>
      <dsp:spPr>
        <a:xfrm>
          <a:off x="5555931" y="604099"/>
          <a:ext cx="3138004" cy="245090"/>
        </a:xfrm>
        <a:custGeom>
          <a:avLst/>
          <a:gdLst/>
          <a:ahLst/>
          <a:cxnLst/>
          <a:rect l="0" t="0" r="0" b="0"/>
          <a:pathLst>
            <a:path>
              <a:moveTo>
                <a:pt x="0" y="0"/>
              </a:moveTo>
              <a:lnTo>
                <a:pt x="0" y="169810"/>
              </a:lnTo>
              <a:lnTo>
                <a:pt x="3138004" y="169810"/>
              </a:lnTo>
              <a:lnTo>
                <a:pt x="3138004"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C04252-CCFB-4CC8-BA77-20FD222490E8}">
      <dsp:nvSpPr>
        <dsp:cNvPr id="0" name=""/>
        <dsp:cNvSpPr/>
      </dsp:nvSpPr>
      <dsp:spPr>
        <a:xfrm>
          <a:off x="6082138" y="1453290"/>
          <a:ext cx="295608" cy="4176086"/>
        </a:xfrm>
        <a:custGeom>
          <a:avLst/>
          <a:gdLst/>
          <a:ahLst/>
          <a:cxnLst/>
          <a:rect l="0" t="0" r="0" b="0"/>
          <a:pathLst>
            <a:path>
              <a:moveTo>
                <a:pt x="0" y="0"/>
              </a:moveTo>
              <a:lnTo>
                <a:pt x="0" y="4176086"/>
              </a:lnTo>
              <a:lnTo>
                <a:pt x="295608" y="417608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28E5FC3-D11A-4F89-9B14-660DA30A5BD9}">
      <dsp:nvSpPr>
        <dsp:cNvPr id="0" name=""/>
        <dsp:cNvSpPr/>
      </dsp:nvSpPr>
      <dsp:spPr>
        <a:xfrm>
          <a:off x="6082138" y="1453290"/>
          <a:ext cx="238094" cy="3351200"/>
        </a:xfrm>
        <a:custGeom>
          <a:avLst/>
          <a:gdLst/>
          <a:ahLst/>
          <a:cxnLst/>
          <a:rect l="0" t="0" r="0" b="0"/>
          <a:pathLst>
            <a:path>
              <a:moveTo>
                <a:pt x="0" y="0"/>
              </a:moveTo>
              <a:lnTo>
                <a:pt x="0" y="3351200"/>
              </a:lnTo>
              <a:lnTo>
                <a:pt x="238094" y="335120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7E5F2CE-0C8A-4AD2-8503-9E5CEAC34879}">
      <dsp:nvSpPr>
        <dsp:cNvPr id="0" name=""/>
        <dsp:cNvSpPr/>
      </dsp:nvSpPr>
      <dsp:spPr>
        <a:xfrm>
          <a:off x="6082138"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8DF4927-B0E2-4A18-B576-0CEAC6685F51}">
      <dsp:nvSpPr>
        <dsp:cNvPr id="0" name=""/>
        <dsp:cNvSpPr/>
      </dsp:nvSpPr>
      <dsp:spPr>
        <a:xfrm>
          <a:off x="6082138" y="1453290"/>
          <a:ext cx="216830" cy="1860964"/>
        </a:xfrm>
        <a:custGeom>
          <a:avLst/>
          <a:gdLst/>
          <a:ahLst/>
          <a:cxnLst/>
          <a:rect l="0" t="0" r="0" b="0"/>
          <a:pathLst>
            <a:path>
              <a:moveTo>
                <a:pt x="0" y="0"/>
              </a:moveTo>
              <a:lnTo>
                <a:pt x="0" y="1860964"/>
              </a:lnTo>
              <a:lnTo>
                <a:pt x="216830" y="18609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F40F13B-2C5A-41A4-9FFF-CA4653B01B3B}">
      <dsp:nvSpPr>
        <dsp:cNvPr id="0" name=""/>
        <dsp:cNvSpPr/>
      </dsp:nvSpPr>
      <dsp:spPr>
        <a:xfrm>
          <a:off x="6082138" y="1453290"/>
          <a:ext cx="195558" cy="1184979"/>
        </a:xfrm>
        <a:custGeom>
          <a:avLst/>
          <a:gdLst/>
          <a:ahLst/>
          <a:cxnLst/>
          <a:rect l="0" t="0" r="0" b="0"/>
          <a:pathLst>
            <a:path>
              <a:moveTo>
                <a:pt x="0" y="0"/>
              </a:moveTo>
              <a:lnTo>
                <a:pt x="0" y="1184979"/>
              </a:lnTo>
              <a:lnTo>
                <a:pt x="195558" y="118497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6BFC465-8166-421C-9903-E801C6A495F4}">
      <dsp:nvSpPr>
        <dsp:cNvPr id="0" name=""/>
        <dsp:cNvSpPr/>
      </dsp:nvSpPr>
      <dsp:spPr>
        <a:xfrm>
          <a:off x="6082138" y="1453290"/>
          <a:ext cx="184925" cy="487723"/>
        </a:xfrm>
        <a:custGeom>
          <a:avLst/>
          <a:gdLst/>
          <a:ahLst/>
          <a:cxnLst/>
          <a:rect l="0" t="0" r="0" b="0"/>
          <a:pathLst>
            <a:path>
              <a:moveTo>
                <a:pt x="0" y="0"/>
              </a:moveTo>
              <a:lnTo>
                <a:pt x="0" y="487723"/>
              </a:lnTo>
              <a:lnTo>
                <a:pt x="184925" y="48772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B4A3709-AA75-4971-921B-CAC4A33225CC}">
      <dsp:nvSpPr>
        <dsp:cNvPr id="0" name=""/>
        <dsp:cNvSpPr/>
      </dsp:nvSpPr>
      <dsp:spPr>
        <a:xfrm>
          <a:off x="5555931" y="604099"/>
          <a:ext cx="1229418" cy="245090"/>
        </a:xfrm>
        <a:custGeom>
          <a:avLst/>
          <a:gdLst/>
          <a:ahLst/>
          <a:cxnLst/>
          <a:rect l="0" t="0" r="0" b="0"/>
          <a:pathLst>
            <a:path>
              <a:moveTo>
                <a:pt x="0" y="0"/>
              </a:moveTo>
              <a:lnTo>
                <a:pt x="0" y="169810"/>
              </a:lnTo>
              <a:lnTo>
                <a:pt x="1229418" y="169810"/>
              </a:lnTo>
              <a:lnTo>
                <a:pt x="1229418"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D64C209-A7B0-47B9-A859-89497615BB8D}">
      <dsp:nvSpPr>
        <dsp:cNvPr id="0" name=""/>
        <dsp:cNvSpPr/>
      </dsp:nvSpPr>
      <dsp:spPr>
        <a:xfrm>
          <a:off x="4173552" y="1453290"/>
          <a:ext cx="359423" cy="4218633"/>
        </a:xfrm>
        <a:custGeom>
          <a:avLst/>
          <a:gdLst/>
          <a:ahLst/>
          <a:cxnLst/>
          <a:rect l="0" t="0" r="0" b="0"/>
          <a:pathLst>
            <a:path>
              <a:moveTo>
                <a:pt x="0" y="0"/>
              </a:moveTo>
              <a:lnTo>
                <a:pt x="0" y="4218633"/>
              </a:lnTo>
              <a:lnTo>
                <a:pt x="359423" y="42186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9442FAC-B0E9-4BAD-861B-AEA4355561EE}">
      <dsp:nvSpPr>
        <dsp:cNvPr id="0" name=""/>
        <dsp:cNvSpPr/>
      </dsp:nvSpPr>
      <dsp:spPr>
        <a:xfrm>
          <a:off x="4173552" y="1453290"/>
          <a:ext cx="259373" cy="3340564"/>
        </a:xfrm>
        <a:custGeom>
          <a:avLst/>
          <a:gdLst/>
          <a:ahLst/>
          <a:cxnLst/>
          <a:rect l="0" t="0" r="0" b="0"/>
          <a:pathLst>
            <a:path>
              <a:moveTo>
                <a:pt x="0" y="0"/>
              </a:moveTo>
              <a:lnTo>
                <a:pt x="0" y="3340564"/>
              </a:lnTo>
              <a:lnTo>
                <a:pt x="259373" y="33405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A5EFE90-79A7-45A5-998C-98AA3A25E535}">
      <dsp:nvSpPr>
        <dsp:cNvPr id="0" name=""/>
        <dsp:cNvSpPr/>
      </dsp:nvSpPr>
      <dsp:spPr>
        <a:xfrm>
          <a:off x="4173552"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B8C700B-8527-409D-ADF9-BFF88DA7E80C}">
      <dsp:nvSpPr>
        <dsp:cNvPr id="0" name=""/>
        <dsp:cNvSpPr/>
      </dsp:nvSpPr>
      <dsp:spPr>
        <a:xfrm>
          <a:off x="4173552" y="1453290"/>
          <a:ext cx="216830" cy="1818420"/>
        </a:xfrm>
        <a:custGeom>
          <a:avLst/>
          <a:gdLst/>
          <a:ahLst/>
          <a:cxnLst/>
          <a:rect l="0" t="0" r="0" b="0"/>
          <a:pathLst>
            <a:path>
              <a:moveTo>
                <a:pt x="0" y="0"/>
              </a:moveTo>
              <a:lnTo>
                <a:pt x="0" y="1818420"/>
              </a:lnTo>
              <a:lnTo>
                <a:pt x="216830" y="181842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D94DFB4-543B-4805-8D2B-6695EC59E5AF}">
      <dsp:nvSpPr>
        <dsp:cNvPr id="0" name=""/>
        <dsp:cNvSpPr/>
      </dsp:nvSpPr>
      <dsp:spPr>
        <a:xfrm>
          <a:off x="4173552"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C1C23FE-41C3-45AB-B919-B5AEFCF7E4A0}">
      <dsp:nvSpPr>
        <dsp:cNvPr id="0" name=""/>
        <dsp:cNvSpPr/>
      </dsp:nvSpPr>
      <dsp:spPr>
        <a:xfrm>
          <a:off x="4173552" y="1453290"/>
          <a:ext cx="174286" cy="498359"/>
        </a:xfrm>
        <a:custGeom>
          <a:avLst/>
          <a:gdLst/>
          <a:ahLst/>
          <a:cxnLst/>
          <a:rect l="0" t="0" r="0" b="0"/>
          <a:pathLst>
            <a:path>
              <a:moveTo>
                <a:pt x="0" y="0"/>
              </a:moveTo>
              <a:lnTo>
                <a:pt x="0" y="498359"/>
              </a:lnTo>
              <a:lnTo>
                <a:pt x="174286" y="49835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974865C-4AAC-4F63-8401-750EBF08F041}">
      <dsp:nvSpPr>
        <dsp:cNvPr id="0" name=""/>
        <dsp:cNvSpPr/>
      </dsp:nvSpPr>
      <dsp:spPr>
        <a:xfrm>
          <a:off x="4876763" y="604099"/>
          <a:ext cx="679167" cy="245090"/>
        </a:xfrm>
        <a:custGeom>
          <a:avLst/>
          <a:gdLst/>
          <a:ahLst/>
          <a:cxnLst/>
          <a:rect l="0" t="0" r="0" b="0"/>
          <a:pathLst>
            <a:path>
              <a:moveTo>
                <a:pt x="679167" y="0"/>
              </a:moveTo>
              <a:lnTo>
                <a:pt x="679167"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D7DA46E-0BF2-4295-9AD5-E7231B6FBE5D}">
      <dsp:nvSpPr>
        <dsp:cNvPr id="0" name=""/>
        <dsp:cNvSpPr/>
      </dsp:nvSpPr>
      <dsp:spPr>
        <a:xfrm>
          <a:off x="2264966" y="1453290"/>
          <a:ext cx="295608" cy="4197356"/>
        </a:xfrm>
        <a:custGeom>
          <a:avLst/>
          <a:gdLst/>
          <a:ahLst/>
          <a:cxnLst/>
          <a:rect l="0" t="0" r="0" b="0"/>
          <a:pathLst>
            <a:path>
              <a:moveTo>
                <a:pt x="0" y="0"/>
              </a:moveTo>
              <a:lnTo>
                <a:pt x="0" y="4197356"/>
              </a:lnTo>
              <a:lnTo>
                <a:pt x="295608" y="419735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416B43-F3A4-4973-A232-A705A548F85A}">
      <dsp:nvSpPr>
        <dsp:cNvPr id="0" name=""/>
        <dsp:cNvSpPr/>
      </dsp:nvSpPr>
      <dsp:spPr>
        <a:xfrm>
          <a:off x="2264966" y="1453290"/>
          <a:ext cx="227462" cy="3383108"/>
        </a:xfrm>
        <a:custGeom>
          <a:avLst/>
          <a:gdLst/>
          <a:ahLst/>
          <a:cxnLst/>
          <a:rect l="0" t="0" r="0" b="0"/>
          <a:pathLst>
            <a:path>
              <a:moveTo>
                <a:pt x="0" y="0"/>
              </a:moveTo>
              <a:lnTo>
                <a:pt x="0" y="3383108"/>
              </a:lnTo>
              <a:lnTo>
                <a:pt x="227462" y="338310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47F2A7F-A133-4193-BF37-41A98E9AE399}">
      <dsp:nvSpPr>
        <dsp:cNvPr id="0" name=""/>
        <dsp:cNvSpPr/>
      </dsp:nvSpPr>
      <dsp:spPr>
        <a:xfrm>
          <a:off x="2264966" y="1453290"/>
          <a:ext cx="206197" cy="2643308"/>
        </a:xfrm>
        <a:custGeom>
          <a:avLst/>
          <a:gdLst/>
          <a:ahLst/>
          <a:cxnLst/>
          <a:rect l="0" t="0" r="0" b="0"/>
          <a:pathLst>
            <a:path>
              <a:moveTo>
                <a:pt x="0" y="0"/>
              </a:moveTo>
              <a:lnTo>
                <a:pt x="0" y="2643308"/>
              </a:lnTo>
              <a:lnTo>
                <a:pt x="206197" y="264330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2802FED-9B21-4357-BE79-5F7955BAB013}">
      <dsp:nvSpPr>
        <dsp:cNvPr id="0" name=""/>
        <dsp:cNvSpPr/>
      </dsp:nvSpPr>
      <dsp:spPr>
        <a:xfrm>
          <a:off x="2264966" y="1453290"/>
          <a:ext cx="206197" cy="1924780"/>
        </a:xfrm>
        <a:custGeom>
          <a:avLst/>
          <a:gdLst/>
          <a:ahLst/>
          <a:cxnLst/>
          <a:rect l="0" t="0" r="0" b="0"/>
          <a:pathLst>
            <a:path>
              <a:moveTo>
                <a:pt x="0" y="0"/>
              </a:moveTo>
              <a:lnTo>
                <a:pt x="0" y="1924780"/>
              </a:lnTo>
              <a:lnTo>
                <a:pt x="206197" y="192478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6AFA3A5-1E4B-4A67-9D21-AFAE2916FDB8}">
      <dsp:nvSpPr>
        <dsp:cNvPr id="0" name=""/>
        <dsp:cNvSpPr/>
      </dsp:nvSpPr>
      <dsp:spPr>
        <a:xfrm>
          <a:off x="2264966"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8DEFE2F6-F03E-4E75-8B42-5AD6EA54AB63}">
      <dsp:nvSpPr>
        <dsp:cNvPr id="0" name=""/>
        <dsp:cNvSpPr/>
      </dsp:nvSpPr>
      <dsp:spPr>
        <a:xfrm>
          <a:off x="2264966" y="1453290"/>
          <a:ext cx="198232" cy="499685"/>
        </a:xfrm>
        <a:custGeom>
          <a:avLst/>
          <a:gdLst/>
          <a:ahLst/>
          <a:cxnLst/>
          <a:rect l="0" t="0" r="0" b="0"/>
          <a:pathLst>
            <a:path>
              <a:moveTo>
                <a:pt x="0" y="0"/>
              </a:moveTo>
              <a:lnTo>
                <a:pt x="0" y="499685"/>
              </a:lnTo>
              <a:lnTo>
                <a:pt x="198232" y="49968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956C72C-0695-4AF5-8F1B-AF3CF911254E}">
      <dsp:nvSpPr>
        <dsp:cNvPr id="0" name=""/>
        <dsp:cNvSpPr/>
      </dsp:nvSpPr>
      <dsp:spPr>
        <a:xfrm>
          <a:off x="2968177" y="604099"/>
          <a:ext cx="2587753" cy="245090"/>
        </a:xfrm>
        <a:custGeom>
          <a:avLst/>
          <a:gdLst/>
          <a:ahLst/>
          <a:cxnLst/>
          <a:rect l="0" t="0" r="0" b="0"/>
          <a:pathLst>
            <a:path>
              <a:moveTo>
                <a:pt x="2587753" y="0"/>
              </a:moveTo>
              <a:lnTo>
                <a:pt x="2587753"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1A4806-A056-49FA-A807-3507349E025F}">
      <dsp:nvSpPr>
        <dsp:cNvPr id="0" name=""/>
        <dsp:cNvSpPr/>
      </dsp:nvSpPr>
      <dsp:spPr>
        <a:xfrm>
          <a:off x="198158" y="1513700"/>
          <a:ext cx="290074" cy="4195761"/>
        </a:xfrm>
        <a:custGeom>
          <a:avLst/>
          <a:gdLst/>
          <a:ahLst/>
          <a:cxnLst/>
          <a:rect l="0" t="0" r="0" b="0"/>
          <a:pathLst>
            <a:path>
              <a:moveTo>
                <a:pt x="0" y="0"/>
              </a:moveTo>
              <a:lnTo>
                <a:pt x="0" y="4195761"/>
              </a:lnTo>
              <a:lnTo>
                <a:pt x="290074" y="419576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77EA319-D2C5-4551-A3AF-BBD742321036}">
      <dsp:nvSpPr>
        <dsp:cNvPr id="0" name=""/>
        <dsp:cNvSpPr/>
      </dsp:nvSpPr>
      <dsp:spPr>
        <a:xfrm>
          <a:off x="198158" y="1513700"/>
          <a:ext cx="243200" cy="3423089"/>
        </a:xfrm>
        <a:custGeom>
          <a:avLst/>
          <a:gdLst/>
          <a:ahLst/>
          <a:cxnLst/>
          <a:rect l="0" t="0" r="0" b="0"/>
          <a:pathLst>
            <a:path>
              <a:moveTo>
                <a:pt x="0" y="0"/>
              </a:moveTo>
              <a:lnTo>
                <a:pt x="0" y="3423089"/>
              </a:lnTo>
              <a:lnTo>
                <a:pt x="243200" y="342308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FDCD71-00D1-4CBF-9A31-1E489E856A40}">
      <dsp:nvSpPr>
        <dsp:cNvPr id="0" name=""/>
        <dsp:cNvSpPr/>
      </dsp:nvSpPr>
      <dsp:spPr>
        <a:xfrm>
          <a:off x="198158" y="1513700"/>
          <a:ext cx="243200" cy="2650416"/>
        </a:xfrm>
        <a:custGeom>
          <a:avLst/>
          <a:gdLst/>
          <a:ahLst/>
          <a:cxnLst/>
          <a:rect l="0" t="0" r="0" b="0"/>
          <a:pathLst>
            <a:path>
              <a:moveTo>
                <a:pt x="0" y="0"/>
              </a:moveTo>
              <a:lnTo>
                <a:pt x="0" y="2650416"/>
              </a:lnTo>
              <a:lnTo>
                <a:pt x="243200" y="265041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3BA9691-70A2-49E9-901A-2FCF27528D5D}">
      <dsp:nvSpPr>
        <dsp:cNvPr id="0" name=""/>
        <dsp:cNvSpPr/>
      </dsp:nvSpPr>
      <dsp:spPr>
        <a:xfrm>
          <a:off x="198158" y="1513700"/>
          <a:ext cx="243200" cy="1877744"/>
        </a:xfrm>
        <a:custGeom>
          <a:avLst/>
          <a:gdLst/>
          <a:ahLst/>
          <a:cxnLst/>
          <a:rect l="0" t="0" r="0" b="0"/>
          <a:pathLst>
            <a:path>
              <a:moveTo>
                <a:pt x="0" y="0"/>
              </a:moveTo>
              <a:lnTo>
                <a:pt x="0" y="1877744"/>
              </a:lnTo>
              <a:lnTo>
                <a:pt x="243200" y="187774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398580D-8EEC-44BA-940A-E4D9004A0CF0}">
      <dsp:nvSpPr>
        <dsp:cNvPr id="0" name=""/>
        <dsp:cNvSpPr/>
      </dsp:nvSpPr>
      <dsp:spPr>
        <a:xfrm>
          <a:off x="198158" y="1513700"/>
          <a:ext cx="243200" cy="1131364"/>
        </a:xfrm>
        <a:custGeom>
          <a:avLst/>
          <a:gdLst/>
          <a:ahLst/>
          <a:cxnLst/>
          <a:rect l="0" t="0" r="0" b="0"/>
          <a:pathLst>
            <a:path>
              <a:moveTo>
                <a:pt x="0" y="0"/>
              </a:moveTo>
              <a:lnTo>
                <a:pt x="0" y="1131364"/>
              </a:lnTo>
              <a:lnTo>
                <a:pt x="243200" y="11313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C29EF2C-4297-4C3B-9B35-26D15FB09F87}">
      <dsp:nvSpPr>
        <dsp:cNvPr id="0" name=""/>
        <dsp:cNvSpPr/>
      </dsp:nvSpPr>
      <dsp:spPr>
        <a:xfrm>
          <a:off x="198158" y="1513700"/>
          <a:ext cx="259245" cy="504623"/>
        </a:xfrm>
        <a:custGeom>
          <a:avLst/>
          <a:gdLst/>
          <a:ahLst/>
          <a:cxnLst/>
          <a:rect l="0" t="0" r="0" b="0"/>
          <a:pathLst>
            <a:path>
              <a:moveTo>
                <a:pt x="0" y="0"/>
              </a:moveTo>
              <a:lnTo>
                <a:pt x="0" y="504623"/>
              </a:lnTo>
              <a:lnTo>
                <a:pt x="259245" y="50462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829BF15-4119-41AB-879E-0A03001B34CB}">
      <dsp:nvSpPr>
        <dsp:cNvPr id="0" name=""/>
        <dsp:cNvSpPr/>
      </dsp:nvSpPr>
      <dsp:spPr>
        <a:xfrm>
          <a:off x="971690" y="604099"/>
          <a:ext cx="4584241" cy="245090"/>
        </a:xfrm>
        <a:custGeom>
          <a:avLst/>
          <a:gdLst/>
          <a:ahLst/>
          <a:cxnLst/>
          <a:rect l="0" t="0" r="0" b="0"/>
          <a:pathLst>
            <a:path>
              <a:moveTo>
                <a:pt x="4584241" y="0"/>
              </a:moveTo>
              <a:lnTo>
                <a:pt x="4584241"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8C398D-1F82-4B8E-87E2-540D1B2A40A0}">
      <dsp:nvSpPr>
        <dsp:cNvPr id="0" name=""/>
        <dsp:cNvSpPr/>
      </dsp:nvSpPr>
      <dsp:spPr>
        <a:xfrm>
          <a:off x="4524720" y="0"/>
          <a:ext cx="2062421" cy="604099"/>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445" tIns="4445" rIns="4445" bIns="4445" numCol="1" spcCol="1270" anchor="ctr" anchorCtr="0">
          <a:noAutofit/>
        </a:bodyPr>
        <a:lstStyle/>
        <a:p>
          <a:pPr marL="0" lvl="0" indent="0" algn="l" defTabSz="311150">
            <a:lnSpc>
              <a:spcPct val="90000"/>
            </a:lnSpc>
            <a:spcBef>
              <a:spcPct val="0"/>
            </a:spcBef>
            <a:spcAft>
              <a:spcPct val="35000"/>
            </a:spcAft>
            <a:buNone/>
          </a:pPr>
          <a:r>
            <a:rPr lang="en-IN" sz="700" b="1" kern="1200">
              <a:solidFill>
                <a:srgbClr val="FFFF00"/>
              </a:solidFill>
            </a:rPr>
            <a:t>Improve Quality of Delivery</a:t>
          </a:r>
        </a:p>
        <a:p>
          <a:pPr marL="0" lvl="0" indent="0" algn="l" defTabSz="311150">
            <a:lnSpc>
              <a:spcPct val="90000"/>
            </a:lnSpc>
            <a:spcBef>
              <a:spcPct val="0"/>
            </a:spcBef>
            <a:spcAft>
              <a:spcPct val="35000"/>
            </a:spcAft>
            <a:buNone/>
          </a:pPr>
          <a:r>
            <a:rPr lang="en-IN" sz="800" kern="1200"/>
            <a:t>Delivered Defect Density</a:t>
          </a:r>
        </a:p>
      </dsp:txBody>
      <dsp:txXfrm>
        <a:off x="4524720" y="0"/>
        <a:ext cx="2062421" cy="604099"/>
      </dsp:txXfrm>
    </dsp:sp>
    <dsp:sp modelId="{853FFB4D-1E55-4DDD-854F-C86298D938B0}">
      <dsp:nvSpPr>
        <dsp:cNvPr id="0" name=""/>
        <dsp:cNvSpPr/>
      </dsp:nvSpPr>
      <dsp:spPr>
        <a:xfrm>
          <a:off x="4775" y="849190"/>
          <a:ext cx="1933829" cy="66450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4445" tIns="4445" rIns="4445" bIns="4445" numCol="1" spcCol="1270" anchor="ctr" anchorCtr="0">
          <a:noAutofit/>
        </a:bodyPr>
        <a:lstStyle/>
        <a:p>
          <a:pPr marL="0" lvl="0" indent="0" algn="l" defTabSz="311150">
            <a:lnSpc>
              <a:spcPct val="90000"/>
            </a:lnSpc>
            <a:spcBef>
              <a:spcPct val="0"/>
            </a:spcBef>
            <a:spcAft>
              <a:spcPct val="35000"/>
            </a:spcAft>
            <a:buNone/>
          </a:pPr>
          <a:r>
            <a:rPr lang="en-IN" sz="700" b="1" kern="1200">
              <a:solidFill>
                <a:srgbClr val="FFFF00"/>
              </a:solidFill>
            </a:rPr>
            <a:t>Improve Quality of Delivery</a:t>
          </a:r>
        </a:p>
        <a:p>
          <a:pPr marL="0" lvl="0" indent="0" algn="l" defTabSz="311150">
            <a:lnSpc>
              <a:spcPct val="90000"/>
            </a:lnSpc>
            <a:spcBef>
              <a:spcPct val="0"/>
            </a:spcBef>
            <a:spcAft>
              <a:spcPct val="35000"/>
            </a:spcAft>
            <a:buNone/>
          </a:pPr>
          <a:r>
            <a:rPr lang="en-IN" sz="800" kern="1200"/>
            <a:t>Delivered Defect Density</a:t>
          </a:r>
        </a:p>
      </dsp:txBody>
      <dsp:txXfrm>
        <a:off x="4775" y="849190"/>
        <a:ext cx="1933829" cy="664509"/>
      </dsp:txXfrm>
    </dsp:sp>
    <dsp:sp modelId="{A15103E7-543E-4790-AE67-947E45BFBF80}">
      <dsp:nvSpPr>
        <dsp:cNvPr id="0" name=""/>
        <dsp:cNvSpPr/>
      </dsp:nvSpPr>
      <dsp:spPr>
        <a:xfrm>
          <a:off x="457404" y="1745582"/>
          <a:ext cx="1487343" cy="545482"/>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57404" y="1745582"/>
        <a:ext cx="1487343" cy="545482"/>
      </dsp:txXfrm>
    </dsp:sp>
    <dsp:sp modelId="{E96B1214-A9E7-4181-8CA8-92FB713D4A14}">
      <dsp:nvSpPr>
        <dsp:cNvPr id="0" name=""/>
        <dsp:cNvSpPr/>
      </dsp:nvSpPr>
      <dsp:spPr>
        <a:xfrm>
          <a:off x="441358" y="2360300"/>
          <a:ext cx="1487343" cy="569528"/>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3495" tIns="23495" rIns="23495" bIns="23495" numCol="1" spcCol="1270" anchor="ctr" anchorCtr="0">
          <a:noAutofit/>
        </a:bodyPr>
        <a:lstStyle/>
        <a:p>
          <a:pPr marL="0" lvl="0" indent="0" algn="l" defTabSz="1644650">
            <a:lnSpc>
              <a:spcPct val="90000"/>
            </a:lnSpc>
            <a:spcBef>
              <a:spcPct val="0"/>
            </a:spcBef>
            <a:spcAft>
              <a:spcPct val="35000"/>
            </a:spcAft>
            <a:buNone/>
          </a:pPr>
          <a:endParaRPr lang="en-IN" sz="3700" kern="1200"/>
        </a:p>
      </dsp:txBody>
      <dsp:txXfrm>
        <a:off x="441358" y="2360300"/>
        <a:ext cx="1487343" cy="569528"/>
      </dsp:txXfrm>
    </dsp:sp>
    <dsp:sp modelId="{856CFF55-E4E6-40F3-9F14-FD1536F40E0B}">
      <dsp:nvSpPr>
        <dsp:cNvPr id="0" name=""/>
        <dsp:cNvSpPr/>
      </dsp:nvSpPr>
      <dsp:spPr>
        <a:xfrm>
          <a:off x="441358" y="3080388"/>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3080388"/>
        <a:ext cx="1487343" cy="622113"/>
      </dsp:txXfrm>
    </dsp:sp>
    <dsp:sp modelId="{2490E369-58C0-4092-BC57-B6F9B7A8424A}">
      <dsp:nvSpPr>
        <dsp:cNvPr id="0" name=""/>
        <dsp:cNvSpPr/>
      </dsp:nvSpPr>
      <dsp:spPr>
        <a:xfrm>
          <a:off x="441358" y="3853060"/>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3853060"/>
        <a:ext cx="1487343" cy="622113"/>
      </dsp:txXfrm>
    </dsp:sp>
    <dsp:sp modelId="{7074A187-D177-4CA7-8FAD-19086FA2F2A3}">
      <dsp:nvSpPr>
        <dsp:cNvPr id="0" name=""/>
        <dsp:cNvSpPr/>
      </dsp:nvSpPr>
      <dsp:spPr>
        <a:xfrm>
          <a:off x="441358" y="4625732"/>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4625732"/>
        <a:ext cx="1487343" cy="622113"/>
      </dsp:txXfrm>
    </dsp:sp>
    <dsp:sp modelId="{87B9EBD0-8BEE-4198-81B7-89C4056E1059}">
      <dsp:nvSpPr>
        <dsp:cNvPr id="0" name=""/>
        <dsp:cNvSpPr/>
      </dsp:nvSpPr>
      <dsp:spPr>
        <a:xfrm>
          <a:off x="488232" y="5398405"/>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88232" y="5398405"/>
        <a:ext cx="1487343" cy="622113"/>
      </dsp:txXfrm>
    </dsp:sp>
    <dsp:sp modelId="{A93E9E9D-8284-47DB-90D4-BE1DFF93A8F2}">
      <dsp:nvSpPr>
        <dsp:cNvPr id="0" name=""/>
        <dsp:cNvSpPr/>
      </dsp:nvSpPr>
      <dsp:spPr>
        <a:xfrm>
          <a:off x="2089164"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2089164" y="849190"/>
        <a:ext cx="1758027" cy="604099"/>
      </dsp:txXfrm>
    </dsp:sp>
    <dsp:sp modelId="{B0EBF5AF-CC42-4F77-830A-5EDB69B9E1FC}">
      <dsp:nvSpPr>
        <dsp:cNvPr id="0" name=""/>
        <dsp:cNvSpPr/>
      </dsp:nvSpPr>
      <dsp:spPr>
        <a:xfrm>
          <a:off x="2463199" y="1679627"/>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63199" y="1679627"/>
        <a:ext cx="1487343" cy="546697"/>
      </dsp:txXfrm>
    </dsp:sp>
    <dsp:sp modelId="{1729CE0B-3838-48AD-B589-B372F2B0C771}">
      <dsp:nvSpPr>
        <dsp:cNvPr id="0" name=""/>
        <dsp:cNvSpPr/>
      </dsp:nvSpPr>
      <dsp:spPr>
        <a:xfrm>
          <a:off x="2481796" y="2301105"/>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81796" y="2301105"/>
        <a:ext cx="1487343" cy="546697"/>
      </dsp:txXfrm>
    </dsp:sp>
    <dsp:sp modelId="{1B70E28B-3F55-4A34-B864-28329F2EE997}">
      <dsp:nvSpPr>
        <dsp:cNvPr id="0" name=""/>
        <dsp:cNvSpPr/>
      </dsp:nvSpPr>
      <dsp:spPr>
        <a:xfrm>
          <a:off x="2471164" y="3104721"/>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71164" y="3104721"/>
        <a:ext cx="1487343" cy="546697"/>
      </dsp:txXfrm>
    </dsp:sp>
    <dsp:sp modelId="{8EFA38DB-7372-4EF3-94A9-14D2F01FACFE}">
      <dsp:nvSpPr>
        <dsp:cNvPr id="0" name=""/>
        <dsp:cNvSpPr/>
      </dsp:nvSpPr>
      <dsp:spPr>
        <a:xfrm>
          <a:off x="2471164" y="382325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71164" y="3823250"/>
        <a:ext cx="1487343" cy="546697"/>
      </dsp:txXfrm>
    </dsp:sp>
    <dsp:sp modelId="{4B8036C8-82F6-4CAC-9705-E438507AC395}">
      <dsp:nvSpPr>
        <dsp:cNvPr id="0" name=""/>
        <dsp:cNvSpPr/>
      </dsp:nvSpPr>
      <dsp:spPr>
        <a:xfrm>
          <a:off x="2492429" y="456305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92429" y="4563050"/>
        <a:ext cx="1487343" cy="546697"/>
      </dsp:txXfrm>
    </dsp:sp>
    <dsp:sp modelId="{4A3627A3-97A7-4455-998E-33BC47472C19}">
      <dsp:nvSpPr>
        <dsp:cNvPr id="0" name=""/>
        <dsp:cNvSpPr/>
      </dsp:nvSpPr>
      <dsp:spPr>
        <a:xfrm>
          <a:off x="2560575" y="5377298"/>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560575" y="5377298"/>
        <a:ext cx="1487343" cy="546697"/>
      </dsp:txXfrm>
    </dsp:sp>
    <dsp:sp modelId="{18D7EB7E-5345-47F5-A003-6DAA02A6F959}">
      <dsp:nvSpPr>
        <dsp:cNvPr id="0" name=""/>
        <dsp:cNvSpPr/>
      </dsp:nvSpPr>
      <dsp:spPr>
        <a:xfrm>
          <a:off x="3997750"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3997750" y="849190"/>
        <a:ext cx="1758027" cy="604099"/>
      </dsp:txXfrm>
    </dsp:sp>
    <dsp:sp modelId="{67BD0060-BFB1-4C4A-9D5B-6E6E87609C6C}">
      <dsp:nvSpPr>
        <dsp:cNvPr id="0" name=""/>
        <dsp:cNvSpPr/>
      </dsp:nvSpPr>
      <dsp:spPr>
        <a:xfrm rot="60000">
          <a:off x="4347839" y="167830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47839" y="1678300"/>
        <a:ext cx="1487343" cy="546697"/>
      </dsp:txXfrm>
    </dsp:sp>
    <dsp:sp modelId="{5451555C-535D-4995-B08E-92BDE4EE9F4E}">
      <dsp:nvSpPr>
        <dsp:cNvPr id="0" name=""/>
        <dsp:cNvSpPr/>
      </dsp:nvSpPr>
      <dsp:spPr>
        <a:xfrm rot="60000">
          <a:off x="4390382" y="2301105"/>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2301105"/>
        <a:ext cx="1487343" cy="546697"/>
      </dsp:txXfrm>
    </dsp:sp>
    <dsp:sp modelId="{67112E2D-DA08-4C12-BA18-598F9B59C2DD}">
      <dsp:nvSpPr>
        <dsp:cNvPr id="0" name=""/>
        <dsp:cNvSpPr/>
      </dsp:nvSpPr>
      <dsp:spPr>
        <a:xfrm rot="60000">
          <a:off x="4390382" y="2998362"/>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2998362"/>
        <a:ext cx="1487343" cy="546697"/>
      </dsp:txXfrm>
    </dsp:sp>
    <dsp:sp modelId="{450069CF-7114-46AF-B948-B59BD7BD3248}">
      <dsp:nvSpPr>
        <dsp:cNvPr id="0" name=""/>
        <dsp:cNvSpPr/>
      </dsp:nvSpPr>
      <dsp:spPr>
        <a:xfrm rot="60000">
          <a:off x="4390382" y="3695619"/>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3695619"/>
        <a:ext cx="1487343" cy="546697"/>
      </dsp:txXfrm>
    </dsp:sp>
    <dsp:sp modelId="{0A0D7290-3BF8-4E1B-AF58-EEEFB663DEAB}">
      <dsp:nvSpPr>
        <dsp:cNvPr id="0" name=""/>
        <dsp:cNvSpPr/>
      </dsp:nvSpPr>
      <dsp:spPr>
        <a:xfrm rot="60000">
          <a:off x="4432926" y="4520506"/>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432926" y="4520506"/>
        <a:ext cx="1487343" cy="546697"/>
      </dsp:txXfrm>
    </dsp:sp>
    <dsp:sp modelId="{A9181D67-06C7-48A4-910B-0FB4C3B9B53D}">
      <dsp:nvSpPr>
        <dsp:cNvPr id="0" name=""/>
        <dsp:cNvSpPr/>
      </dsp:nvSpPr>
      <dsp:spPr>
        <a:xfrm>
          <a:off x="4532976" y="5398573"/>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532976" y="5398573"/>
        <a:ext cx="1487343" cy="546701"/>
      </dsp:txXfrm>
    </dsp:sp>
    <dsp:sp modelId="{EBDC4F41-BB02-4045-BB2C-0F561DCA0C10}">
      <dsp:nvSpPr>
        <dsp:cNvPr id="0" name=""/>
        <dsp:cNvSpPr/>
      </dsp:nvSpPr>
      <dsp:spPr>
        <a:xfrm>
          <a:off x="5906336"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5906336" y="849190"/>
        <a:ext cx="1758027" cy="604099"/>
      </dsp:txXfrm>
    </dsp:sp>
    <dsp:sp modelId="{647420B5-B7F6-41E1-AC34-55D8867088E7}">
      <dsp:nvSpPr>
        <dsp:cNvPr id="0" name=""/>
        <dsp:cNvSpPr/>
      </dsp:nvSpPr>
      <dsp:spPr>
        <a:xfrm>
          <a:off x="6267064" y="1667664"/>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67064" y="1667664"/>
        <a:ext cx="1487343" cy="546697"/>
      </dsp:txXfrm>
    </dsp:sp>
    <dsp:sp modelId="{ABC7BB64-A90A-4CB7-9105-0A2AC9805564}">
      <dsp:nvSpPr>
        <dsp:cNvPr id="0" name=""/>
        <dsp:cNvSpPr/>
      </dsp:nvSpPr>
      <dsp:spPr>
        <a:xfrm>
          <a:off x="6277697" y="2364921"/>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77697" y="2364921"/>
        <a:ext cx="1487343" cy="546697"/>
      </dsp:txXfrm>
    </dsp:sp>
    <dsp:sp modelId="{AD7D396D-70EB-4F3A-AC22-78E8462178A0}">
      <dsp:nvSpPr>
        <dsp:cNvPr id="0" name=""/>
        <dsp:cNvSpPr/>
      </dsp:nvSpPr>
      <dsp:spPr>
        <a:xfrm>
          <a:off x="6298968" y="3040906"/>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98968" y="3040906"/>
        <a:ext cx="1487343" cy="546697"/>
      </dsp:txXfrm>
    </dsp:sp>
    <dsp:sp modelId="{39B8E77F-B22C-4656-8B22-473C50CE438F}">
      <dsp:nvSpPr>
        <dsp:cNvPr id="0" name=""/>
        <dsp:cNvSpPr/>
      </dsp:nvSpPr>
      <dsp:spPr>
        <a:xfrm>
          <a:off x="6298968" y="3695619"/>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98968" y="3695619"/>
        <a:ext cx="1487343" cy="546697"/>
      </dsp:txXfrm>
    </dsp:sp>
    <dsp:sp modelId="{DE90A0AF-EF96-426B-BDC2-9EE119692A07}">
      <dsp:nvSpPr>
        <dsp:cNvPr id="0" name=""/>
        <dsp:cNvSpPr/>
      </dsp:nvSpPr>
      <dsp:spPr>
        <a:xfrm>
          <a:off x="6320233" y="4531142"/>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320233" y="4531142"/>
        <a:ext cx="1487343" cy="546697"/>
      </dsp:txXfrm>
    </dsp:sp>
    <dsp:sp modelId="{0119EEB9-9A38-430C-8605-8FF3F804544F}">
      <dsp:nvSpPr>
        <dsp:cNvPr id="0" name=""/>
        <dsp:cNvSpPr/>
      </dsp:nvSpPr>
      <dsp:spPr>
        <a:xfrm>
          <a:off x="6377747" y="5356026"/>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377747" y="5356026"/>
        <a:ext cx="1487343" cy="546701"/>
      </dsp:txXfrm>
    </dsp:sp>
    <dsp:sp modelId="{A258BD13-7871-4C9C-B418-43BE12BFB3E9}">
      <dsp:nvSpPr>
        <dsp:cNvPr id="0" name=""/>
        <dsp:cNvSpPr/>
      </dsp:nvSpPr>
      <dsp:spPr>
        <a:xfrm>
          <a:off x="7814922"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7814922" y="849190"/>
        <a:ext cx="1758027" cy="604099"/>
      </dsp:txXfrm>
    </dsp:sp>
    <dsp:sp modelId="{FED6595E-1570-4891-AE46-CD4AC1DEF9EA}">
      <dsp:nvSpPr>
        <dsp:cNvPr id="0" name=""/>
        <dsp:cNvSpPr/>
      </dsp:nvSpPr>
      <dsp:spPr>
        <a:xfrm>
          <a:off x="8207554" y="1603849"/>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1603849"/>
        <a:ext cx="1447144" cy="546697"/>
      </dsp:txXfrm>
    </dsp:sp>
    <dsp:sp modelId="{7F8EFDBA-900F-4273-A7B0-E6FE5E02840D}">
      <dsp:nvSpPr>
        <dsp:cNvPr id="0" name=""/>
        <dsp:cNvSpPr/>
      </dsp:nvSpPr>
      <dsp:spPr>
        <a:xfrm>
          <a:off x="8207554" y="2301105"/>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2301105"/>
        <a:ext cx="1447144" cy="546697"/>
      </dsp:txXfrm>
    </dsp:sp>
    <dsp:sp modelId="{E140C6C5-E4A1-49E2-8B34-B36A9E45F7A0}">
      <dsp:nvSpPr>
        <dsp:cNvPr id="0" name=""/>
        <dsp:cNvSpPr/>
      </dsp:nvSpPr>
      <dsp:spPr>
        <a:xfrm>
          <a:off x="8207554" y="2998362"/>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2998362"/>
        <a:ext cx="1447144" cy="546697"/>
      </dsp:txXfrm>
    </dsp:sp>
    <dsp:sp modelId="{2915E1C8-90EE-4D3E-80C4-5A095B94CCE7}">
      <dsp:nvSpPr>
        <dsp:cNvPr id="0" name=""/>
        <dsp:cNvSpPr/>
      </dsp:nvSpPr>
      <dsp:spPr>
        <a:xfrm>
          <a:off x="8207554" y="3695619"/>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3695619"/>
        <a:ext cx="1447144" cy="546697"/>
      </dsp:txXfrm>
    </dsp:sp>
    <dsp:sp modelId="{8F6DC081-6798-4216-A738-17F2FC92AADF}">
      <dsp:nvSpPr>
        <dsp:cNvPr id="0" name=""/>
        <dsp:cNvSpPr/>
      </dsp:nvSpPr>
      <dsp:spPr>
        <a:xfrm>
          <a:off x="8207554" y="4392875"/>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4392875"/>
        <a:ext cx="1447144" cy="546697"/>
      </dsp:txXfrm>
    </dsp:sp>
    <dsp:sp modelId="{334CBDC0-DC60-49FB-BE4F-5DC6001401F6}">
      <dsp:nvSpPr>
        <dsp:cNvPr id="0" name=""/>
        <dsp:cNvSpPr/>
      </dsp:nvSpPr>
      <dsp:spPr>
        <a:xfrm>
          <a:off x="8235680" y="5334044"/>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35680" y="5334044"/>
        <a:ext cx="1487343" cy="546701"/>
      </dsp:txXfrm>
    </dsp:sp>
    <dsp:sp modelId="{735EB318-83B9-45F6-B3F9-31895D8D9C62}">
      <dsp:nvSpPr>
        <dsp:cNvPr id="0" name=""/>
        <dsp:cNvSpPr/>
      </dsp:nvSpPr>
      <dsp:spPr>
        <a:xfrm>
          <a:off x="9723508" y="849190"/>
          <a:ext cx="1428991" cy="619127"/>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9723508" y="849190"/>
        <a:ext cx="1428991" cy="619127"/>
      </dsp:txXfrm>
    </dsp:sp>
    <dsp:sp modelId="{EB76186E-B8DD-4C2B-A16E-3DCCAC24AD9E}">
      <dsp:nvSpPr>
        <dsp:cNvPr id="0" name=""/>
        <dsp:cNvSpPr/>
      </dsp:nvSpPr>
      <dsp:spPr>
        <a:xfrm>
          <a:off x="10033881" y="1618876"/>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1618876"/>
        <a:ext cx="1487343" cy="522579"/>
      </dsp:txXfrm>
    </dsp:sp>
    <dsp:sp modelId="{94EA12D3-04D9-47DF-8815-13B679B7C734}">
      <dsp:nvSpPr>
        <dsp:cNvPr id="0" name=""/>
        <dsp:cNvSpPr/>
      </dsp:nvSpPr>
      <dsp:spPr>
        <a:xfrm>
          <a:off x="10033881" y="2292015"/>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2292015"/>
        <a:ext cx="1487343" cy="522579"/>
      </dsp:txXfrm>
    </dsp:sp>
    <dsp:sp modelId="{388559F6-A377-4E6B-8AFD-045922C575A5}">
      <dsp:nvSpPr>
        <dsp:cNvPr id="0" name=""/>
        <dsp:cNvSpPr/>
      </dsp:nvSpPr>
      <dsp:spPr>
        <a:xfrm>
          <a:off x="10033881" y="2965153"/>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2965153"/>
        <a:ext cx="1487343" cy="522579"/>
      </dsp:txXfrm>
    </dsp:sp>
    <dsp:sp modelId="{343E1092-F522-4487-A030-10090F0AF3AB}">
      <dsp:nvSpPr>
        <dsp:cNvPr id="0" name=""/>
        <dsp:cNvSpPr/>
      </dsp:nvSpPr>
      <dsp:spPr>
        <a:xfrm>
          <a:off x="10024504" y="3769539"/>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24504" y="3769539"/>
        <a:ext cx="1487343" cy="522579"/>
      </dsp:txXfrm>
    </dsp:sp>
    <dsp:sp modelId="{2314AD4C-5552-4E80-A3D0-6A7B329E2BF2}">
      <dsp:nvSpPr>
        <dsp:cNvPr id="0" name=""/>
        <dsp:cNvSpPr/>
      </dsp:nvSpPr>
      <dsp:spPr>
        <a:xfrm>
          <a:off x="10033881" y="4405178"/>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4405178"/>
        <a:ext cx="1487343" cy="522579"/>
      </dsp:txXfrm>
    </dsp:sp>
    <dsp:sp modelId="{DD5B3579-7DBE-4F3D-99DF-2C002955CF6D}">
      <dsp:nvSpPr>
        <dsp:cNvPr id="0" name=""/>
        <dsp:cNvSpPr/>
      </dsp:nvSpPr>
      <dsp:spPr>
        <a:xfrm>
          <a:off x="9987007" y="5303316"/>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9987007" y="5303316"/>
        <a:ext cx="1487343" cy="522579"/>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F73487-B376-410E-B7A2-0265DAB6A683}">
      <dsp:nvSpPr>
        <dsp:cNvPr id="0" name=""/>
        <dsp:cNvSpPr/>
      </dsp:nvSpPr>
      <dsp:spPr>
        <a:xfrm>
          <a:off x="9866407" y="1468317"/>
          <a:ext cx="120600" cy="4096288"/>
        </a:xfrm>
        <a:custGeom>
          <a:avLst/>
          <a:gdLst/>
          <a:ahLst/>
          <a:cxnLst/>
          <a:rect l="0" t="0" r="0" b="0"/>
          <a:pathLst>
            <a:path>
              <a:moveTo>
                <a:pt x="0" y="0"/>
              </a:moveTo>
              <a:lnTo>
                <a:pt x="0" y="4096288"/>
              </a:lnTo>
              <a:lnTo>
                <a:pt x="120600" y="409628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2707F8B-9C5E-4525-95F3-F1CEBC2FA133}">
      <dsp:nvSpPr>
        <dsp:cNvPr id="0" name=""/>
        <dsp:cNvSpPr/>
      </dsp:nvSpPr>
      <dsp:spPr>
        <a:xfrm>
          <a:off x="9866407" y="1468317"/>
          <a:ext cx="167474" cy="3198150"/>
        </a:xfrm>
        <a:custGeom>
          <a:avLst/>
          <a:gdLst/>
          <a:ahLst/>
          <a:cxnLst/>
          <a:rect l="0" t="0" r="0" b="0"/>
          <a:pathLst>
            <a:path>
              <a:moveTo>
                <a:pt x="0" y="0"/>
              </a:moveTo>
              <a:lnTo>
                <a:pt x="0" y="3198150"/>
              </a:lnTo>
              <a:lnTo>
                <a:pt x="167474" y="319815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123960-3F75-4914-87F6-AD648CCBE3E0}">
      <dsp:nvSpPr>
        <dsp:cNvPr id="0" name=""/>
        <dsp:cNvSpPr/>
      </dsp:nvSpPr>
      <dsp:spPr>
        <a:xfrm>
          <a:off x="9866407" y="1468317"/>
          <a:ext cx="158096" cy="2562512"/>
        </a:xfrm>
        <a:custGeom>
          <a:avLst/>
          <a:gdLst/>
          <a:ahLst/>
          <a:cxnLst/>
          <a:rect l="0" t="0" r="0" b="0"/>
          <a:pathLst>
            <a:path>
              <a:moveTo>
                <a:pt x="0" y="0"/>
              </a:moveTo>
              <a:lnTo>
                <a:pt x="0" y="2562512"/>
              </a:lnTo>
              <a:lnTo>
                <a:pt x="158096" y="2562512"/>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136166C-C192-4F23-BD15-061DD6C9F076}">
      <dsp:nvSpPr>
        <dsp:cNvPr id="0" name=""/>
        <dsp:cNvSpPr/>
      </dsp:nvSpPr>
      <dsp:spPr>
        <a:xfrm>
          <a:off x="9866407" y="1468317"/>
          <a:ext cx="167474" cy="1758125"/>
        </a:xfrm>
        <a:custGeom>
          <a:avLst/>
          <a:gdLst/>
          <a:ahLst/>
          <a:cxnLst/>
          <a:rect l="0" t="0" r="0" b="0"/>
          <a:pathLst>
            <a:path>
              <a:moveTo>
                <a:pt x="0" y="0"/>
              </a:moveTo>
              <a:lnTo>
                <a:pt x="0" y="1758125"/>
              </a:lnTo>
              <a:lnTo>
                <a:pt x="167474" y="175812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F2EBD80-CD02-4D6E-9BF5-2352F4BE2354}">
      <dsp:nvSpPr>
        <dsp:cNvPr id="0" name=""/>
        <dsp:cNvSpPr/>
      </dsp:nvSpPr>
      <dsp:spPr>
        <a:xfrm>
          <a:off x="9866407" y="1468317"/>
          <a:ext cx="167474" cy="1084987"/>
        </a:xfrm>
        <a:custGeom>
          <a:avLst/>
          <a:gdLst/>
          <a:ahLst/>
          <a:cxnLst/>
          <a:rect l="0" t="0" r="0" b="0"/>
          <a:pathLst>
            <a:path>
              <a:moveTo>
                <a:pt x="0" y="0"/>
              </a:moveTo>
              <a:lnTo>
                <a:pt x="0" y="1084987"/>
              </a:lnTo>
              <a:lnTo>
                <a:pt x="167474" y="108498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E60B9C7-0F06-4460-B10D-685FDA048881}">
      <dsp:nvSpPr>
        <dsp:cNvPr id="0" name=""/>
        <dsp:cNvSpPr/>
      </dsp:nvSpPr>
      <dsp:spPr>
        <a:xfrm>
          <a:off x="9866407" y="1468317"/>
          <a:ext cx="167474" cy="411848"/>
        </a:xfrm>
        <a:custGeom>
          <a:avLst/>
          <a:gdLst/>
          <a:ahLst/>
          <a:cxnLst/>
          <a:rect l="0" t="0" r="0" b="0"/>
          <a:pathLst>
            <a:path>
              <a:moveTo>
                <a:pt x="0" y="0"/>
              </a:moveTo>
              <a:lnTo>
                <a:pt x="0" y="411848"/>
              </a:lnTo>
              <a:lnTo>
                <a:pt x="167474" y="41184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774376C-5B5F-4165-B817-51060CD11209}">
      <dsp:nvSpPr>
        <dsp:cNvPr id="0" name=""/>
        <dsp:cNvSpPr/>
      </dsp:nvSpPr>
      <dsp:spPr>
        <a:xfrm>
          <a:off x="5555931" y="604099"/>
          <a:ext cx="4882072" cy="245090"/>
        </a:xfrm>
        <a:custGeom>
          <a:avLst/>
          <a:gdLst/>
          <a:ahLst/>
          <a:cxnLst/>
          <a:rect l="0" t="0" r="0" b="0"/>
          <a:pathLst>
            <a:path>
              <a:moveTo>
                <a:pt x="0" y="0"/>
              </a:moveTo>
              <a:lnTo>
                <a:pt x="0" y="169810"/>
              </a:lnTo>
              <a:lnTo>
                <a:pt x="4882072" y="169810"/>
              </a:lnTo>
              <a:lnTo>
                <a:pt x="4882072"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21844B0-3CBD-4834-9F7D-209A988EEE2F}">
      <dsp:nvSpPr>
        <dsp:cNvPr id="0" name=""/>
        <dsp:cNvSpPr/>
      </dsp:nvSpPr>
      <dsp:spPr>
        <a:xfrm>
          <a:off x="7990724" y="1453290"/>
          <a:ext cx="244955" cy="4154105"/>
        </a:xfrm>
        <a:custGeom>
          <a:avLst/>
          <a:gdLst/>
          <a:ahLst/>
          <a:cxnLst/>
          <a:rect l="0" t="0" r="0" b="0"/>
          <a:pathLst>
            <a:path>
              <a:moveTo>
                <a:pt x="0" y="0"/>
              </a:moveTo>
              <a:lnTo>
                <a:pt x="0" y="4154105"/>
              </a:lnTo>
              <a:lnTo>
                <a:pt x="244955" y="415410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C3F18813-D545-4307-9554-61938D010D7E}">
      <dsp:nvSpPr>
        <dsp:cNvPr id="0" name=""/>
        <dsp:cNvSpPr/>
      </dsp:nvSpPr>
      <dsp:spPr>
        <a:xfrm>
          <a:off x="7990724" y="1453290"/>
          <a:ext cx="216830" cy="3212933"/>
        </a:xfrm>
        <a:custGeom>
          <a:avLst/>
          <a:gdLst/>
          <a:ahLst/>
          <a:cxnLst/>
          <a:rect l="0" t="0" r="0" b="0"/>
          <a:pathLst>
            <a:path>
              <a:moveTo>
                <a:pt x="0" y="0"/>
              </a:moveTo>
              <a:lnTo>
                <a:pt x="0" y="3212933"/>
              </a:lnTo>
              <a:lnTo>
                <a:pt x="216830" y="32129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5E8E60-357C-4447-B545-DCEEB69E444E}">
      <dsp:nvSpPr>
        <dsp:cNvPr id="0" name=""/>
        <dsp:cNvSpPr/>
      </dsp:nvSpPr>
      <dsp:spPr>
        <a:xfrm>
          <a:off x="7990724"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5210DB0-CB29-4557-B327-60029655B293}">
      <dsp:nvSpPr>
        <dsp:cNvPr id="0" name=""/>
        <dsp:cNvSpPr/>
      </dsp:nvSpPr>
      <dsp:spPr>
        <a:xfrm>
          <a:off x="7990724" y="1453290"/>
          <a:ext cx="216830" cy="1818420"/>
        </a:xfrm>
        <a:custGeom>
          <a:avLst/>
          <a:gdLst/>
          <a:ahLst/>
          <a:cxnLst/>
          <a:rect l="0" t="0" r="0" b="0"/>
          <a:pathLst>
            <a:path>
              <a:moveTo>
                <a:pt x="0" y="0"/>
              </a:moveTo>
              <a:lnTo>
                <a:pt x="0" y="1818420"/>
              </a:lnTo>
              <a:lnTo>
                <a:pt x="216830" y="181842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D540605-6F96-4B99-9FEF-8CEAB4571FB4}">
      <dsp:nvSpPr>
        <dsp:cNvPr id="0" name=""/>
        <dsp:cNvSpPr/>
      </dsp:nvSpPr>
      <dsp:spPr>
        <a:xfrm>
          <a:off x="7990724"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F7B221D-5030-40CE-B2C2-68153A0F97EC}">
      <dsp:nvSpPr>
        <dsp:cNvPr id="0" name=""/>
        <dsp:cNvSpPr/>
      </dsp:nvSpPr>
      <dsp:spPr>
        <a:xfrm>
          <a:off x="7990724" y="1453290"/>
          <a:ext cx="216830" cy="423907"/>
        </a:xfrm>
        <a:custGeom>
          <a:avLst/>
          <a:gdLst/>
          <a:ahLst/>
          <a:cxnLst/>
          <a:rect l="0" t="0" r="0" b="0"/>
          <a:pathLst>
            <a:path>
              <a:moveTo>
                <a:pt x="0" y="0"/>
              </a:moveTo>
              <a:lnTo>
                <a:pt x="0" y="423907"/>
              </a:lnTo>
              <a:lnTo>
                <a:pt x="216830" y="42390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1EE7129-9CBE-42CE-9EE3-3684DAE78A6A}">
      <dsp:nvSpPr>
        <dsp:cNvPr id="0" name=""/>
        <dsp:cNvSpPr/>
      </dsp:nvSpPr>
      <dsp:spPr>
        <a:xfrm>
          <a:off x="5555931" y="604099"/>
          <a:ext cx="3138004" cy="245090"/>
        </a:xfrm>
        <a:custGeom>
          <a:avLst/>
          <a:gdLst/>
          <a:ahLst/>
          <a:cxnLst/>
          <a:rect l="0" t="0" r="0" b="0"/>
          <a:pathLst>
            <a:path>
              <a:moveTo>
                <a:pt x="0" y="0"/>
              </a:moveTo>
              <a:lnTo>
                <a:pt x="0" y="169810"/>
              </a:lnTo>
              <a:lnTo>
                <a:pt x="3138004" y="169810"/>
              </a:lnTo>
              <a:lnTo>
                <a:pt x="3138004"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C04252-CCFB-4CC8-BA77-20FD222490E8}">
      <dsp:nvSpPr>
        <dsp:cNvPr id="0" name=""/>
        <dsp:cNvSpPr/>
      </dsp:nvSpPr>
      <dsp:spPr>
        <a:xfrm>
          <a:off x="6082138" y="1453290"/>
          <a:ext cx="295608" cy="4176086"/>
        </a:xfrm>
        <a:custGeom>
          <a:avLst/>
          <a:gdLst/>
          <a:ahLst/>
          <a:cxnLst/>
          <a:rect l="0" t="0" r="0" b="0"/>
          <a:pathLst>
            <a:path>
              <a:moveTo>
                <a:pt x="0" y="0"/>
              </a:moveTo>
              <a:lnTo>
                <a:pt x="0" y="4176086"/>
              </a:lnTo>
              <a:lnTo>
                <a:pt x="295608" y="417608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28E5FC3-D11A-4F89-9B14-660DA30A5BD9}">
      <dsp:nvSpPr>
        <dsp:cNvPr id="0" name=""/>
        <dsp:cNvSpPr/>
      </dsp:nvSpPr>
      <dsp:spPr>
        <a:xfrm>
          <a:off x="6082138" y="1453290"/>
          <a:ext cx="238094" cy="3351200"/>
        </a:xfrm>
        <a:custGeom>
          <a:avLst/>
          <a:gdLst/>
          <a:ahLst/>
          <a:cxnLst/>
          <a:rect l="0" t="0" r="0" b="0"/>
          <a:pathLst>
            <a:path>
              <a:moveTo>
                <a:pt x="0" y="0"/>
              </a:moveTo>
              <a:lnTo>
                <a:pt x="0" y="3351200"/>
              </a:lnTo>
              <a:lnTo>
                <a:pt x="238094" y="335120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7E5F2CE-0C8A-4AD2-8503-9E5CEAC34879}">
      <dsp:nvSpPr>
        <dsp:cNvPr id="0" name=""/>
        <dsp:cNvSpPr/>
      </dsp:nvSpPr>
      <dsp:spPr>
        <a:xfrm>
          <a:off x="6082138"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8DF4927-B0E2-4A18-B576-0CEAC6685F51}">
      <dsp:nvSpPr>
        <dsp:cNvPr id="0" name=""/>
        <dsp:cNvSpPr/>
      </dsp:nvSpPr>
      <dsp:spPr>
        <a:xfrm>
          <a:off x="6082138" y="1453290"/>
          <a:ext cx="216830" cy="1860964"/>
        </a:xfrm>
        <a:custGeom>
          <a:avLst/>
          <a:gdLst/>
          <a:ahLst/>
          <a:cxnLst/>
          <a:rect l="0" t="0" r="0" b="0"/>
          <a:pathLst>
            <a:path>
              <a:moveTo>
                <a:pt x="0" y="0"/>
              </a:moveTo>
              <a:lnTo>
                <a:pt x="0" y="1860964"/>
              </a:lnTo>
              <a:lnTo>
                <a:pt x="216830" y="18609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F40F13B-2C5A-41A4-9FFF-CA4653B01B3B}">
      <dsp:nvSpPr>
        <dsp:cNvPr id="0" name=""/>
        <dsp:cNvSpPr/>
      </dsp:nvSpPr>
      <dsp:spPr>
        <a:xfrm>
          <a:off x="6082138" y="1453290"/>
          <a:ext cx="195558" cy="1184979"/>
        </a:xfrm>
        <a:custGeom>
          <a:avLst/>
          <a:gdLst/>
          <a:ahLst/>
          <a:cxnLst/>
          <a:rect l="0" t="0" r="0" b="0"/>
          <a:pathLst>
            <a:path>
              <a:moveTo>
                <a:pt x="0" y="0"/>
              </a:moveTo>
              <a:lnTo>
                <a:pt x="0" y="1184979"/>
              </a:lnTo>
              <a:lnTo>
                <a:pt x="195558" y="118497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6BFC465-8166-421C-9903-E801C6A495F4}">
      <dsp:nvSpPr>
        <dsp:cNvPr id="0" name=""/>
        <dsp:cNvSpPr/>
      </dsp:nvSpPr>
      <dsp:spPr>
        <a:xfrm>
          <a:off x="6082138" y="1453290"/>
          <a:ext cx="184925" cy="487723"/>
        </a:xfrm>
        <a:custGeom>
          <a:avLst/>
          <a:gdLst/>
          <a:ahLst/>
          <a:cxnLst/>
          <a:rect l="0" t="0" r="0" b="0"/>
          <a:pathLst>
            <a:path>
              <a:moveTo>
                <a:pt x="0" y="0"/>
              </a:moveTo>
              <a:lnTo>
                <a:pt x="0" y="487723"/>
              </a:lnTo>
              <a:lnTo>
                <a:pt x="184925" y="48772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B4A3709-AA75-4971-921B-CAC4A33225CC}">
      <dsp:nvSpPr>
        <dsp:cNvPr id="0" name=""/>
        <dsp:cNvSpPr/>
      </dsp:nvSpPr>
      <dsp:spPr>
        <a:xfrm>
          <a:off x="5555931" y="604099"/>
          <a:ext cx="1229418" cy="245090"/>
        </a:xfrm>
        <a:custGeom>
          <a:avLst/>
          <a:gdLst/>
          <a:ahLst/>
          <a:cxnLst/>
          <a:rect l="0" t="0" r="0" b="0"/>
          <a:pathLst>
            <a:path>
              <a:moveTo>
                <a:pt x="0" y="0"/>
              </a:moveTo>
              <a:lnTo>
                <a:pt x="0" y="169810"/>
              </a:lnTo>
              <a:lnTo>
                <a:pt x="1229418" y="169810"/>
              </a:lnTo>
              <a:lnTo>
                <a:pt x="1229418"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BD64C209-A7B0-47B9-A859-89497615BB8D}">
      <dsp:nvSpPr>
        <dsp:cNvPr id="0" name=""/>
        <dsp:cNvSpPr/>
      </dsp:nvSpPr>
      <dsp:spPr>
        <a:xfrm>
          <a:off x="4173552" y="1453290"/>
          <a:ext cx="359423" cy="4218633"/>
        </a:xfrm>
        <a:custGeom>
          <a:avLst/>
          <a:gdLst/>
          <a:ahLst/>
          <a:cxnLst/>
          <a:rect l="0" t="0" r="0" b="0"/>
          <a:pathLst>
            <a:path>
              <a:moveTo>
                <a:pt x="0" y="0"/>
              </a:moveTo>
              <a:lnTo>
                <a:pt x="0" y="4218633"/>
              </a:lnTo>
              <a:lnTo>
                <a:pt x="359423" y="421863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9442FAC-B0E9-4BAD-861B-AEA4355561EE}">
      <dsp:nvSpPr>
        <dsp:cNvPr id="0" name=""/>
        <dsp:cNvSpPr/>
      </dsp:nvSpPr>
      <dsp:spPr>
        <a:xfrm>
          <a:off x="4173552" y="1453290"/>
          <a:ext cx="259373" cy="3340564"/>
        </a:xfrm>
        <a:custGeom>
          <a:avLst/>
          <a:gdLst/>
          <a:ahLst/>
          <a:cxnLst/>
          <a:rect l="0" t="0" r="0" b="0"/>
          <a:pathLst>
            <a:path>
              <a:moveTo>
                <a:pt x="0" y="0"/>
              </a:moveTo>
              <a:lnTo>
                <a:pt x="0" y="3340564"/>
              </a:lnTo>
              <a:lnTo>
                <a:pt x="259373" y="33405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A5EFE90-79A7-45A5-998C-98AA3A25E535}">
      <dsp:nvSpPr>
        <dsp:cNvPr id="0" name=""/>
        <dsp:cNvSpPr/>
      </dsp:nvSpPr>
      <dsp:spPr>
        <a:xfrm>
          <a:off x="4173552" y="1453290"/>
          <a:ext cx="216830" cy="2515677"/>
        </a:xfrm>
        <a:custGeom>
          <a:avLst/>
          <a:gdLst/>
          <a:ahLst/>
          <a:cxnLst/>
          <a:rect l="0" t="0" r="0" b="0"/>
          <a:pathLst>
            <a:path>
              <a:moveTo>
                <a:pt x="0" y="0"/>
              </a:moveTo>
              <a:lnTo>
                <a:pt x="0" y="2515677"/>
              </a:lnTo>
              <a:lnTo>
                <a:pt x="216830" y="2515677"/>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B8C700B-8527-409D-ADF9-BFF88DA7E80C}">
      <dsp:nvSpPr>
        <dsp:cNvPr id="0" name=""/>
        <dsp:cNvSpPr/>
      </dsp:nvSpPr>
      <dsp:spPr>
        <a:xfrm>
          <a:off x="4173552" y="1453290"/>
          <a:ext cx="216830" cy="1818420"/>
        </a:xfrm>
        <a:custGeom>
          <a:avLst/>
          <a:gdLst/>
          <a:ahLst/>
          <a:cxnLst/>
          <a:rect l="0" t="0" r="0" b="0"/>
          <a:pathLst>
            <a:path>
              <a:moveTo>
                <a:pt x="0" y="0"/>
              </a:moveTo>
              <a:lnTo>
                <a:pt x="0" y="1818420"/>
              </a:lnTo>
              <a:lnTo>
                <a:pt x="216830" y="181842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D94DFB4-543B-4805-8D2B-6695EC59E5AF}">
      <dsp:nvSpPr>
        <dsp:cNvPr id="0" name=""/>
        <dsp:cNvSpPr/>
      </dsp:nvSpPr>
      <dsp:spPr>
        <a:xfrm>
          <a:off x="4173552"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FC1C23FE-41C3-45AB-B919-B5AEFCF7E4A0}">
      <dsp:nvSpPr>
        <dsp:cNvPr id="0" name=""/>
        <dsp:cNvSpPr/>
      </dsp:nvSpPr>
      <dsp:spPr>
        <a:xfrm>
          <a:off x="4173552" y="1453290"/>
          <a:ext cx="174286" cy="498359"/>
        </a:xfrm>
        <a:custGeom>
          <a:avLst/>
          <a:gdLst/>
          <a:ahLst/>
          <a:cxnLst/>
          <a:rect l="0" t="0" r="0" b="0"/>
          <a:pathLst>
            <a:path>
              <a:moveTo>
                <a:pt x="0" y="0"/>
              </a:moveTo>
              <a:lnTo>
                <a:pt x="0" y="498359"/>
              </a:lnTo>
              <a:lnTo>
                <a:pt x="174286" y="49835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974865C-4AAC-4F63-8401-750EBF08F041}">
      <dsp:nvSpPr>
        <dsp:cNvPr id="0" name=""/>
        <dsp:cNvSpPr/>
      </dsp:nvSpPr>
      <dsp:spPr>
        <a:xfrm>
          <a:off x="4876763" y="604099"/>
          <a:ext cx="679167" cy="245090"/>
        </a:xfrm>
        <a:custGeom>
          <a:avLst/>
          <a:gdLst/>
          <a:ahLst/>
          <a:cxnLst/>
          <a:rect l="0" t="0" r="0" b="0"/>
          <a:pathLst>
            <a:path>
              <a:moveTo>
                <a:pt x="679167" y="0"/>
              </a:moveTo>
              <a:lnTo>
                <a:pt x="679167"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D7DA46E-0BF2-4295-9AD5-E7231B6FBE5D}">
      <dsp:nvSpPr>
        <dsp:cNvPr id="0" name=""/>
        <dsp:cNvSpPr/>
      </dsp:nvSpPr>
      <dsp:spPr>
        <a:xfrm>
          <a:off x="2264966" y="1453290"/>
          <a:ext cx="295608" cy="4197356"/>
        </a:xfrm>
        <a:custGeom>
          <a:avLst/>
          <a:gdLst/>
          <a:ahLst/>
          <a:cxnLst/>
          <a:rect l="0" t="0" r="0" b="0"/>
          <a:pathLst>
            <a:path>
              <a:moveTo>
                <a:pt x="0" y="0"/>
              </a:moveTo>
              <a:lnTo>
                <a:pt x="0" y="4197356"/>
              </a:lnTo>
              <a:lnTo>
                <a:pt x="295608" y="419735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A4416B43-F3A4-4973-A232-A705A548F85A}">
      <dsp:nvSpPr>
        <dsp:cNvPr id="0" name=""/>
        <dsp:cNvSpPr/>
      </dsp:nvSpPr>
      <dsp:spPr>
        <a:xfrm>
          <a:off x="2264966" y="1453290"/>
          <a:ext cx="227462" cy="3383108"/>
        </a:xfrm>
        <a:custGeom>
          <a:avLst/>
          <a:gdLst/>
          <a:ahLst/>
          <a:cxnLst/>
          <a:rect l="0" t="0" r="0" b="0"/>
          <a:pathLst>
            <a:path>
              <a:moveTo>
                <a:pt x="0" y="0"/>
              </a:moveTo>
              <a:lnTo>
                <a:pt x="0" y="3383108"/>
              </a:lnTo>
              <a:lnTo>
                <a:pt x="227462" y="338310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47F2A7F-A133-4193-BF37-41A98E9AE399}">
      <dsp:nvSpPr>
        <dsp:cNvPr id="0" name=""/>
        <dsp:cNvSpPr/>
      </dsp:nvSpPr>
      <dsp:spPr>
        <a:xfrm>
          <a:off x="2264966" y="1453290"/>
          <a:ext cx="206197" cy="2643308"/>
        </a:xfrm>
        <a:custGeom>
          <a:avLst/>
          <a:gdLst/>
          <a:ahLst/>
          <a:cxnLst/>
          <a:rect l="0" t="0" r="0" b="0"/>
          <a:pathLst>
            <a:path>
              <a:moveTo>
                <a:pt x="0" y="0"/>
              </a:moveTo>
              <a:lnTo>
                <a:pt x="0" y="2643308"/>
              </a:lnTo>
              <a:lnTo>
                <a:pt x="206197" y="2643308"/>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D2802FED-9B21-4357-BE79-5F7955BAB013}">
      <dsp:nvSpPr>
        <dsp:cNvPr id="0" name=""/>
        <dsp:cNvSpPr/>
      </dsp:nvSpPr>
      <dsp:spPr>
        <a:xfrm>
          <a:off x="2264966" y="1453290"/>
          <a:ext cx="206197" cy="1924780"/>
        </a:xfrm>
        <a:custGeom>
          <a:avLst/>
          <a:gdLst/>
          <a:ahLst/>
          <a:cxnLst/>
          <a:rect l="0" t="0" r="0" b="0"/>
          <a:pathLst>
            <a:path>
              <a:moveTo>
                <a:pt x="0" y="0"/>
              </a:moveTo>
              <a:lnTo>
                <a:pt x="0" y="1924780"/>
              </a:lnTo>
              <a:lnTo>
                <a:pt x="206197" y="1924780"/>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6AFA3A5-1E4B-4A67-9D21-AFAE2916FDB8}">
      <dsp:nvSpPr>
        <dsp:cNvPr id="0" name=""/>
        <dsp:cNvSpPr/>
      </dsp:nvSpPr>
      <dsp:spPr>
        <a:xfrm>
          <a:off x="2264966" y="1453290"/>
          <a:ext cx="216830" cy="1121164"/>
        </a:xfrm>
        <a:custGeom>
          <a:avLst/>
          <a:gdLst/>
          <a:ahLst/>
          <a:cxnLst/>
          <a:rect l="0" t="0" r="0" b="0"/>
          <a:pathLst>
            <a:path>
              <a:moveTo>
                <a:pt x="0" y="0"/>
              </a:moveTo>
              <a:lnTo>
                <a:pt x="0" y="1121164"/>
              </a:lnTo>
              <a:lnTo>
                <a:pt x="216830" y="11211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8DEFE2F6-F03E-4E75-8B42-5AD6EA54AB63}">
      <dsp:nvSpPr>
        <dsp:cNvPr id="0" name=""/>
        <dsp:cNvSpPr/>
      </dsp:nvSpPr>
      <dsp:spPr>
        <a:xfrm>
          <a:off x="2264966" y="1453290"/>
          <a:ext cx="198232" cy="499685"/>
        </a:xfrm>
        <a:custGeom>
          <a:avLst/>
          <a:gdLst/>
          <a:ahLst/>
          <a:cxnLst/>
          <a:rect l="0" t="0" r="0" b="0"/>
          <a:pathLst>
            <a:path>
              <a:moveTo>
                <a:pt x="0" y="0"/>
              </a:moveTo>
              <a:lnTo>
                <a:pt x="0" y="499685"/>
              </a:lnTo>
              <a:lnTo>
                <a:pt x="198232" y="499685"/>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E956C72C-0695-4AF5-8F1B-AF3CF911254E}">
      <dsp:nvSpPr>
        <dsp:cNvPr id="0" name=""/>
        <dsp:cNvSpPr/>
      </dsp:nvSpPr>
      <dsp:spPr>
        <a:xfrm>
          <a:off x="2968177" y="604099"/>
          <a:ext cx="2587753" cy="245090"/>
        </a:xfrm>
        <a:custGeom>
          <a:avLst/>
          <a:gdLst/>
          <a:ahLst/>
          <a:cxnLst/>
          <a:rect l="0" t="0" r="0" b="0"/>
          <a:pathLst>
            <a:path>
              <a:moveTo>
                <a:pt x="2587753" y="0"/>
              </a:moveTo>
              <a:lnTo>
                <a:pt x="2587753"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1A4806-A056-49FA-A807-3507349E025F}">
      <dsp:nvSpPr>
        <dsp:cNvPr id="0" name=""/>
        <dsp:cNvSpPr/>
      </dsp:nvSpPr>
      <dsp:spPr>
        <a:xfrm>
          <a:off x="198158" y="1513700"/>
          <a:ext cx="290074" cy="4195761"/>
        </a:xfrm>
        <a:custGeom>
          <a:avLst/>
          <a:gdLst/>
          <a:ahLst/>
          <a:cxnLst/>
          <a:rect l="0" t="0" r="0" b="0"/>
          <a:pathLst>
            <a:path>
              <a:moveTo>
                <a:pt x="0" y="0"/>
              </a:moveTo>
              <a:lnTo>
                <a:pt x="0" y="4195761"/>
              </a:lnTo>
              <a:lnTo>
                <a:pt x="290074" y="4195761"/>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077EA319-D2C5-4551-A3AF-BBD742321036}">
      <dsp:nvSpPr>
        <dsp:cNvPr id="0" name=""/>
        <dsp:cNvSpPr/>
      </dsp:nvSpPr>
      <dsp:spPr>
        <a:xfrm>
          <a:off x="198158" y="1513700"/>
          <a:ext cx="243200" cy="3423089"/>
        </a:xfrm>
        <a:custGeom>
          <a:avLst/>
          <a:gdLst/>
          <a:ahLst/>
          <a:cxnLst/>
          <a:rect l="0" t="0" r="0" b="0"/>
          <a:pathLst>
            <a:path>
              <a:moveTo>
                <a:pt x="0" y="0"/>
              </a:moveTo>
              <a:lnTo>
                <a:pt x="0" y="3423089"/>
              </a:lnTo>
              <a:lnTo>
                <a:pt x="243200" y="3423089"/>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9FDCD71-00D1-4CBF-9A31-1E489E856A40}">
      <dsp:nvSpPr>
        <dsp:cNvPr id="0" name=""/>
        <dsp:cNvSpPr/>
      </dsp:nvSpPr>
      <dsp:spPr>
        <a:xfrm>
          <a:off x="198158" y="1513700"/>
          <a:ext cx="243200" cy="2650416"/>
        </a:xfrm>
        <a:custGeom>
          <a:avLst/>
          <a:gdLst/>
          <a:ahLst/>
          <a:cxnLst/>
          <a:rect l="0" t="0" r="0" b="0"/>
          <a:pathLst>
            <a:path>
              <a:moveTo>
                <a:pt x="0" y="0"/>
              </a:moveTo>
              <a:lnTo>
                <a:pt x="0" y="2650416"/>
              </a:lnTo>
              <a:lnTo>
                <a:pt x="243200" y="2650416"/>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43BA9691-70A2-49E9-901A-2FCF27528D5D}">
      <dsp:nvSpPr>
        <dsp:cNvPr id="0" name=""/>
        <dsp:cNvSpPr/>
      </dsp:nvSpPr>
      <dsp:spPr>
        <a:xfrm>
          <a:off x="198158" y="1513700"/>
          <a:ext cx="243200" cy="1877744"/>
        </a:xfrm>
        <a:custGeom>
          <a:avLst/>
          <a:gdLst/>
          <a:ahLst/>
          <a:cxnLst/>
          <a:rect l="0" t="0" r="0" b="0"/>
          <a:pathLst>
            <a:path>
              <a:moveTo>
                <a:pt x="0" y="0"/>
              </a:moveTo>
              <a:lnTo>
                <a:pt x="0" y="1877744"/>
              </a:lnTo>
              <a:lnTo>
                <a:pt x="243200" y="187774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398580D-8EEC-44BA-940A-E4D9004A0CF0}">
      <dsp:nvSpPr>
        <dsp:cNvPr id="0" name=""/>
        <dsp:cNvSpPr/>
      </dsp:nvSpPr>
      <dsp:spPr>
        <a:xfrm>
          <a:off x="198158" y="1513700"/>
          <a:ext cx="243200" cy="1131364"/>
        </a:xfrm>
        <a:custGeom>
          <a:avLst/>
          <a:gdLst/>
          <a:ahLst/>
          <a:cxnLst/>
          <a:rect l="0" t="0" r="0" b="0"/>
          <a:pathLst>
            <a:path>
              <a:moveTo>
                <a:pt x="0" y="0"/>
              </a:moveTo>
              <a:lnTo>
                <a:pt x="0" y="1131364"/>
              </a:lnTo>
              <a:lnTo>
                <a:pt x="243200" y="1131364"/>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C29EF2C-4297-4C3B-9B35-26D15FB09F87}">
      <dsp:nvSpPr>
        <dsp:cNvPr id="0" name=""/>
        <dsp:cNvSpPr/>
      </dsp:nvSpPr>
      <dsp:spPr>
        <a:xfrm>
          <a:off x="198158" y="1513700"/>
          <a:ext cx="259245" cy="504623"/>
        </a:xfrm>
        <a:custGeom>
          <a:avLst/>
          <a:gdLst/>
          <a:ahLst/>
          <a:cxnLst/>
          <a:rect l="0" t="0" r="0" b="0"/>
          <a:pathLst>
            <a:path>
              <a:moveTo>
                <a:pt x="0" y="0"/>
              </a:moveTo>
              <a:lnTo>
                <a:pt x="0" y="504623"/>
              </a:lnTo>
              <a:lnTo>
                <a:pt x="259245" y="504623"/>
              </a:lnTo>
            </a:path>
          </a:pathLst>
        </a:custGeom>
        <a:noFill/>
        <a:ln w="25400" cap="flat" cmpd="sng" algn="ctr">
          <a:solidFill>
            <a:schemeClr val="accent1">
              <a:shade val="8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829BF15-4119-41AB-879E-0A03001B34CB}">
      <dsp:nvSpPr>
        <dsp:cNvPr id="0" name=""/>
        <dsp:cNvSpPr/>
      </dsp:nvSpPr>
      <dsp:spPr>
        <a:xfrm>
          <a:off x="971690" y="604099"/>
          <a:ext cx="4584241" cy="245090"/>
        </a:xfrm>
        <a:custGeom>
          <a:avLst/>
          <a:gdLst/>
          <a:ahLst/>
          <a:cxnLst/>
          <a:rect l="0" t="0" r="0" b="0"/>
          <a:pathLst>
            <a:path>
              <a:moveTo>
                <a:pt x="4584241" y="0"/>
              </a:moveTo>
              <a:lnTo>
                <a:pt x="4584241" y="169810"/>
              </a:lnTo>
              <a:lnTo>
                <a:pt x="0" y="169810"/>
              </a:lnTo>
              <a:lnTo>
                <a:pt x="0" y="24509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8C398D-1F82-4B8E-87E2-540D1B2A40A0}">
      <dsp:nvSpPr>
        <dsp:cNvPr id="0" name=""/>
        <dsp:cNvSpPr/>
      </dsp:nvSpPr>
      <dsp:spPr>
        <a:xfrm>
          <a:off x="4524720" y="0"/>
          <a:ext cx="2062421" cy="604099"/>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445" tIns="4445" rIns="4445" bIns="4445" numCol="1" spcCol="1270" anchor="ctr" anchorCtr="0">
          <a:noAutofit/>
        </a:bodyPr>
        <a:lstStyle/>
        <a:p>
          <a:pPr marL="0" lvl="0" indent="0" algn="l" defTabSz="311150">
            <a:lnSpc>
              <a:spcPct val="90000"/>
            </a:lnSpc>
            <a:spcBef>
              <a:spcPct val="0"/>
            </a:spcBef>
            <a:spcAft>
              <a:spcPct val="35000"/>
            </a:spcAft>
            <a:buNone/>
          </a:pPr>
          <a:r>
            <a:rPr lang="en-IN" sz="700" b="1" kern="1200">
              <a:solidFill>
                <a:srgbClr val="FFFF00"/>
              </a:solidFill>
            </a:rPr>
            <a:t>Improve Productivity and Cost Efficiency</a:t>
          </a:r>
        </a:p>
        <a:p>
          <a:pPr marL="0" lvl="0" indent="0" algn="l" defTabSz="311150">
            <a:lnSpc>
              <a:spcPct val="90000"/>
            </a:lnSpc>
            <a:spcBef>
              <a:spcPct val="0"/>
            </a:spcBef>
            <a:spcAft>
              <a:spcPct val="35000"/>
            </a:spcAft>
            <a:buNone/>
          </a:pPr>
          <a:r>
            <a:rPr lang="en-IN" sz="800" kern="1200"/>
            <a:t>Effort Variance</a:t>
          </a:r>
        </a:p>
      </dsp:txBody>
      <dsp:txXfrm>
        <a:off x="4524720" y="0"/>
        <a:ext cx="2062421" cy="604099"/>
      </dsp:txXfrm>
    </dsp:sp>
    <dsp:sp modelId="{853FFB4D-1E55-4DDD-854F-C86298D938B0}">
      <dsp:nvSpPr>
        <dsp:cNvPr id="0" name=""/>
        <dsp:cNvSpPr/>
      </dsp:nvSpPr>
      <dsp:spPr>
        <a:xfrm>
          <a:off x="4775" y="849190"/>
          <a:ext cx="1933829" cy="66450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4445" tIns="4445" rIns="4445" bIns="4445" numCol="1" spcCol="1270" anchor="ctr" anchorCtr="0">
          <a:noAutofit/>
        </a:bodyPr>
        <a:lstStyle/>
        <a:p>
          <a:pPr marL="0" lvl="0" indent="0" algn="l" defTabSz="311150">
            <a:lnSpc>
              <a:spcPct val="90000"/>
            </a:lnSpc>
            <a:spcBef>
              <a:spcPct val="0"/>
            </a:spcBef>
            <a:spcAft>
              <a:spcPct val="35000"/>
            </a:spcAft>
            <a:buNone/>
          </a:pPr>
          <a:r>
            <a:rPr lang="en-IN" sz="700" b="1" kern="1200">
              <a:solidFill>
                <a:srgbClr val="FFFF00"/>
              </a:solidFill>
            </a:rPr>
            <a:t>Improve Quality of Delivery</a:t>
          </a:r>
        </a:p>
        <a:p>
          <a:pPr marL="0" lvl="0" indent="0" algn="l" defTabSz="311150">
            <a:lnSpc>
              <a:spcPct val="90000"/>
            </a:lnSpc>
            <a:spcBef>
              <a:spcPct val="0"/>
            </a:spcBef>
            <a:spcAft>
              <a:spcPct val="35000"/>
            </a:spcAft>
            <a:buNone/>
          </a:pPr>
          <a:r>
            <a:rPr lang="en-IN" sz="800" kern="1200"/>
            <a:t>Delivered Defect Density</a:t>
          </a:r>
        </a:p>
      </dsp:txBody>
      <dsp:txXfrm>
        <a:off x="4775" y="849190"/>
        <a:ext cx="1933829" cy="664509"/>
      </dsp:txXfrm>
    </dsp:sp>
    <dsp:sp modelId="{A15103E7-543E-4790-AE67-947E45BFBF80}">
      <dsp:nvSpPr>
        <dsp:cNvPr id="0" name=""/>
        <dsp:cNvSpPr/>
      </dsp:nvSpPr>
      <dsp:spPr>
        <a:xfrm>
          <a:off x="457404" y="1745582"/>
          <a:ext cx="1487343" cy="545482"/>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57404" y="1745582"/>
        <a:ext cx="1487343" cy="545482"/>
      </dsp:txXfrm>
    </dsp:sp>
    <dsp:sp modelId="{E96B1214-A9E7-4181-8CA8-92FB713D4A14}">
      <dsp:nvSpPr>
        <dsp:cNvPr id="0" name=""/>
        <dsp:cNvSpPr/>
      </dsp:nvSpPr>
      <dsp:spPr>
        <a:xfrm>
          <a:off x="441358" y="2360300"/>
          <a:ext cx="1487343" cy="569528"/>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3495" tIns="23495" rIns="23495" bIns="23495" numCol="1" spcCol="1270" anchor="ctr" anchorCtr="0">
          <a:noAutofit/>
        </a:bodyPr>
        <a:lstStyle/>
        <a:p>
          <a:pPr marL="0" lvl="0" indent="0" algn="l" defTabSz="1644650">
            <a:lnSpc>
              <a:spcPct val="90000"/>
            </a:lnSpc>
            <a:spcBef>
              <a:spcPct val="0"/>
            </a:spcBef>
            <a:spcAft>
              <a:spcPct val="35000"/>
            </a:spcAft>
            <a:buNone/>
          </a:pPr>
          <a:endParaRPr lang="en-IN" sz="3700" kern="1200"/>
        </a:p>
      </dsp:txBody>
      <dsp:txXfrm>
        <a:off x="441358" y="2360300"/>
        <a:ext cx="1487343" cy="569528"/>
      </dsp:txXfrm>
    </dsp:sp>
    <dsp:sp modelId="{856CFF55-E4E6-40F3-9F14-FD1536F40E0B}">
      <dsp:nvSpPr>
        <dsp:cNvPr id="0" name=""/>
        <dsp:cNvSpPr/>
      </dsp:nvSpPr>
      <dsp:spPr>
        <a:xfrm>
          <a:off x="441358" y="3080388"/>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3080388"/>
        <a:ext cx="1487343" cy="622113"/>
      </dsp:txXfrm>
    </dsp:sp>
    <dsp:sp modelId="{2490E369-58C0-4092-BC57-B6F9B7A8424A}">
      <dsp:nvSpPr>
        <dsp:cNvPr id="0" name=""/>
        <dsp:cNvSpPr/>
      </dsp:nvSpPr>
      <dsp:spPr>
        <a:xfrm>
          <a:off x="441358" y="3853060"/>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3853060"/>
        <a:ext cx="1487343" cy="622113"/>
      </dsp:txXfrm>
    </dsp:sp>
    <dsp:sp modelId="{7074A187-D177-4CA7-8FAD-19086FA2F2A3}">
      <dsp:nvSpPr>
        <dsp:cNvPr id="0" name=""/>
        <dsp:cNvSpPr/>
      </dsp:nvSpPr>
      <dsp:spPr>
        <a:xfrm>
          <a:off x="441358" y="4625732"/>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41358" y="4625732"/>
        <a:ext cx="1487343" cy="622113"/>
      </dsp:txXfrm>
    </dsp:sp>
    <dsp:sp modelId="{87B9EBD0-8BEE-4198-81B7-89C4056E1059}">
      <dsp:nvSpPr>
        <dsp:cNvPr id="0" name=""/>
        <dsp:cNvSpPr/>
      </dsp:nvSpPr>
      <dsp:spPr>
        <a:xfrm>
          <a:off x="488232" y="5398405"/>
          <a:ext cx="1487343" cy="622113"/>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488232" y="5398405"/>
        <a:ext cx="1487343" cy="622113"/>
      </dsp:txXfrm>
    </dsp:sp>
    <dsp:sp modelId="{A93E9E9D-8284-47DB-90D4-BE1DFF93A8F2}">
      <dsp:nvSpPr>
        <dsp:cNvPr id="0" name=""/>
        <dsp:cNvSpPr/>
      </dsp:nvSpPr>
      <dsp:spPr>
        <a:xfrm>
          <a:off x="2089164"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2089164" y="849190"/>
        <a:ext cx="1758027" cy="604099"/>
      </dsp:txXfrm>
    </dsp:sp>
    <dsp:sp modelId="{B0EBF5AF-CC42-4F77-830A-5EDB69B9E1FC}">
      <dsp:nvSpPr>
        <dsp:cNvPr id="0" name=""/>
        <dsp:cNvSpPr/>
      </dsp:nvSpPr>
      <dsp:spPr>
        <a:xfrm>
          <a:off x="2463199" y="1679627"/>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63199" y="1679627"/>
        <a:ext cx="1487343" cy="546697"/>
      </dsp:txXfrm>
    </dsp:sp>
    <dsp:sp modelId="{1729CE0B-3838-48AD-B589-B372F2B0C771}">
      <dsp:nvSpPr>
        <dsp:cNvPr id="0" name=""/>
        <dsp:cNvSpPr/>
      </dsp:nvSpPr>
      <dsp:spPr>
        <a:xfrm>
          <a:off x="2481796" y="2301105"/>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81796" y="2301105"/>
        <a:ext cx="1487343" cy="546697"/>
      </dsp:txXfrm>
    </dsp:sp>
    <dsp:sp modelId="{1B70E28B-3F55-4A34-B864-28329F2EE997}">
      <dsp:nvSpPr>
        <dsp:cNvPr id="0" name=""/>
        <dsp:cNvSpPr/>
      </dsp:nvSpPr>
      <dsp:spPr>
        <a:xfrm>
          <a:off x="2471164" y="3104721"/>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71164" y="3104721"/>
        <a:ext cx="1487343" cy="546697"/>
      </dsp:txXfrm>
    </dsp:sp>
    <dsp:sp modelId="{8EFA38DB-7372-4EF3-94A9-14D2F01FACFE}">
      <dsp:nvSpPr>
        <dsp:cNvPr id="0" name=""/>
        <dsp:cNvSpPr/>
      </dsp:nvSpPr>
      <dsp:spPr>
        <a:xfrm>
          <a:off x="2471164" y="382325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71164" y="3823250"/>
        <a:ext cx="1487343" cy="546697"/>
      </dsp:txXfrm>
    </dsp:sp>
    <dsp:sp modelId="{4B8036C8-82F6-4CAC-9705-E438507AC395}">
      <dsp:nvSpPr>
        <dsp:cNvPr id="0" name=""/>
        <dsp:cNvSpPr/>
      </dsp:nvSpPr>
      <dsp:spPr>
        <a:xfrm>
          <a:off x="2492429" y="456305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492429" y="4563050"/>
        <a:ext cx="1487343" cy="546697"/>
      </dsp:txXfrm>
    </dsp:sp>
    <dsp:sp modelId="{4A3627A3-97A7-4455-998E-33BC47472C19}">
      <dsp:nvSpPr>
        <dsp:cNvPr id="0" name=""/>
        <dsp:cNvSpPr/>
      </dsp:nvSpPr>
      <dsp:spPr>
        <a:xfrm>
          <a:off x="2560575" y="5377298"/>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2560575" y="5377298"/>
        <a:ext cx="1487343" cy="546697"/>
      </dsp:txXfrm>
    </dsp:sp>
    <dsp:sp modelId="{18D7EB7E-5345-47F5-A003-6DAA02A6F959}">
      <dsp:nvSpPr>
        <dsp:cNvPr id="0" name=""/>
        <dsp:cNvSpPr/>
      </dsp:nvSpPr>
      <dsp:spPr>
        <a:xfrm>
          <a:off x="3997750"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3997750" y="849190"/>
        <a:ext cx="1758027" cy="604099"/>
      </dsp:txXfrm>
    </dsp:sp>
    <dsp:sp modelId="{67BD0060-BFB1-4C4A-9D5B-6E6E87609C6C}">
      <dsp:nvSpPr>
        <dsp:cNvPr id="0" name=""/>
        <dsp:cNvSpPr/>
      </dsp:nvSpPr>
      <dsp:spPr>
        <a:xfrm rot="60000">
          <a:off x="4347839" y="1678300"/>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47839" y="1678300"/>
        <a:ext cx="1487343" cy="546697"/>
      </dsp:txXfrm>
    </dsp:sp>
    <dsp:sp modelId="{5451555C-535D-4995-B08E-92BDE4EE9F4E}">
      <dsp:nvSpPr>
        <dsp:cNvPr id="0" name=""/>
        <dsp:cNvSpPr/>
      </dsp:nvSpPr>
      <dsp:spPr>
        <a:xfrm rot="60000">
          <a:off x="4390382" y="2301105"/>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2301105"/>
        <a:ext cx="1487343" cy="546697"/>
      </dsp:txXfrm>
    </dsp:sp>
    <dsp:sp modelId="{67112E2D-DA08-4C12-BA18-598F9B59C2DD}">
      <dsp:nvSpPr>
        <dsp:cNvPr id="0" name=""/>
        <dsp:cNvSpPr/>
      </dsp:nvSpPr>
      <dsp:spPr>
        <a:xfrm rot="60000">
          <a:off x="4390382" y="2998362"/>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2998362"/>
        <a:ext cx="1487343" cy="546697"/>
      </dsp:txXfrm>
    </dsp:sp>
    <dsp:sp modelId="{450069CF-7114-46AF-B948-B59BD7BD3248}">
      <dsp:nvSpPr>
        <dsp:cNvPr id="0" name=""/>
        <dsp:cNvSpPr/>
      </dsp:nvSpPr>
      <dsp:spPr>
        <a:xfrm rot="60000">
          <a:off x="4390382" y="3695619"/>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390382" y="3695619"/>
        <a:ext cx="1487343" cy="546697"/>
      </dsp:txXfrm>
    </dsp:sp>
    <dsp:sp modelId="{0A0D7290-3BF8-4E1B-AF58-EEEFB663DEAB}">
      <dsp:nvSpPr>
        <dsp:cNvPr id="0" name=""/>
        <dsp:cNvSpPr/>
      </dsp:nvSpPr>
      <dsp:spPr>
        <a:xfrm rot="60000">
          <a:off x="4432926" y="4520506"/>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432926" y="4520506"/>
        <a:ext cx="1487343" cy="546697"/>
      </dsp:txXfrm>
    </dsp:sp>
    <dsp:sp modelId="{A9181D67-06C7-48A4-910B-0FB4C3B9B53D}">
      <dsp:nvSpPr>
        <dsp:cNvPr id="0" name=""/>
        <dsp:cNvSpPr/>
      </dsp:nvSpPr>
      <dsp:spPr>
        <a:xfrm>
          <a:off x="4532976" y="5398573"/>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4532976" y="5398573"/>
        <a:ext cx="1487343" cy="546701"/>
      </dsp:txXfrm>
    </dsp:sp>
    <dsp:sp modelId="{EBDC4F41-BB02-4045-BB2C-0F561DCA0C10}">
      <dsp:nvSpPr>
        <dsp:cNvPr id="0" name=""/>
        <dsp:cNvSpPr/>
      </dsp:nvSpPr>
      <dsp:spPr>
        <a:xfrm>
          <a:off x="5906336"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5906336" y="849190"/>
        <a:ext cx="1758027" cy="604099"/>
      </dsp:txXfrm>
    </dsp:sp>
    <dsp:sp modelId="{647420B5-B7F6-41E1-AC34-55D8867088E7}">
      <dsp:nvSpPr>
        <dsp:cNvPr id="0" name=""/>
        <dsp:cNvSpPr/>
      </dsp:nvSpPr>
      <dsp:spPr>
        <a:xfrm>
          <a:off x="6267064" y="1667664"/>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67064" y="1667664"/>
        <a:ext cx="1487343" cy="546697"/>
      </dsp:txXfrm>
    </dsp:sp>
    <dsp:sp modelId="{ABC7BB64-A90A-4CB7-9105-0A2AC9805564}">
      <dsp:nvSpPr>
        <dsp:cNvPr id="0" name=""/>
        <dsp:cNvSpPr/>
      </dsp:nvSpPr>
      <dsp:spPr>
        <a:xfrm>
          <a:off x="6277697" y="2364921"/>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77697" y="2364921"/>
        <a:ext cx="1487343" cy="546697"/>
      </dsp:txXfrm>
    </dsp:sp>
    <dsp:sp modelId="{AD7D396D-70EB-4F3A-AC22-78E8462178A0}">
      <dsp:nvSpPr>
        <dsp:cNvPr id="0" name=""/>
        <dsp:cNvSpPr/>
      </dsp:nvSpPr>
      <dsp:spPr>
        <a:xfrm>
          <a:off x="6298968" y="3040906"/>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98968" y="3040906"/>
        <a:ext cx="1487343" cy="546697"/>
      </dsp:txXfrm>
    </dsp:sp>
    <dsp:sp modelId="{39B8E77F-B22C-4656-8B22-473C50CE438F}">
      <dsp:nvSpPr>
        <dsp:cNvPr id="0" name=""/>
        <dsp:cNvSpPr/>
      </dsp:nvSpPr>
      <dsp:spPr>
        <a:xfrm>
          <a:off x="6298968" y="3695619"/>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298968" y="3695619"/>
        <a:ext cx="1487343" cy="546697"/>
      </dsp:txXfrm>
    </dsp:sp>
    <dsp:sp modelId="{DE90A0AF-EF96-426B-BDC2-9EE119692A07}">
      <dsp:nvSpPr>
        <dsp:cNvPr id="0" name=""/>
        <dsp:cNvSpPr/>
      </dsp:nvSpPr>
      <dsp:spPr>
        <a:xfrm>
          <a:off x="6320233" y="4531142"/>
          <a:ext cx="1487343"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320233" y="4531142"/>
        <a:ext cx="1487343" cy="546697"/>
      </dsp:txXfrm>
    </dsp:sp>
    <dsp:sp modelId="{0119EEB9-9A38-430C-8605-8FF3F804544F}">
      <dsp:nvSpPr>
        <dsp:cNvPr id="0" name=""/>
        <dsp:cNvSpPr/>
      </dsp:nvSpPr>
      <dsp:spPr>
        <a:xfrm>
          <a:off x="6377747" y="5356026"/>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6377747" y="5356026"/>
        <a:ext cx="1487343" cy="546701"/>
      </dsp:txXfrm>
    </dsp:sp>
    <dsp:sp modelId="{A258BD13-7871-4C9C-B418-43BE12BFB3E9}">
      <dsp:nvSpPr>
        <dsp:cNvPr id="0" name=""/>
        <dsp:cNvSpPr/>
      </dsp:nvSpPr>
      <dsp:spPr>
        <a:xfrm>
          <a:off x="7814922" y="849190"/>
          <a:ext cx="1758027" cy="604099"/>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4765" tIns="24765" rIns="24765" bIns="24765" numCol="1" spcCol="1270" anchor="ctr" anchorCtr="0">
          <a:noAutofit/>
        </a:bodyPr>
        <a:lstStyle/>
        <a:p>
          <a:pPr marL="0" lvl="0" indent="0" algn="l" defTabSz="1733550">
            <a:lnSpc>
              <a:spcPct val="90000"/>
            </a:lnSpc>
            <a:spcBef>
              <a:spcPct val="0"/>
            </a:spcBef>
            <a:spcAft>
              <a:spcPct val="35000"/>
            </a:spcAft>
            <a:buNone/>
          </a:pPr>
          <a:endParaRPr lang="en-IN" sz="3900" kern="1200"/>
        </a:p>
      </dsp:txBody>
      <dsp:txXfrm>
        <a:off x="7814922" y="849190"/>
        <a:ext cx="1758027" cy="604099"/>
      </dsp:txXfrm>
    </dsp:sp>
    <dsp:sp modelId="{FED6595E-1570-4891-AE46-CD4AC1DEF9EA}">
      <dsp:nvSpPr>
        <dsp:cNvPr id="0" name=""/>
        <dsp:cNvSpPr/>
      </dsp:nvSpPr>
      <dsp:spPr>
        <a:xfrm>
          <a:off x="8207554" y="1603849"/>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1603849"/>
        <a:ext cx="1447144" cy="546697"/>
      </dsp:txXfrm>
    </dsp:sp>
    <dsp:sp modelId="{7F8EFDBA-900F-4273-A7B0-E6FE5E02840D}">
      <dsp:nvSpPr>
        <dsp:cNvPr id="0" name=""/>
        <dsp:cNvSpPr/>
      </dsp:nvSpPr>
      <dsp:spPr>
        <a:xfrm>
          <a:off x="8207554" y="2301105"/>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2301105"/>
        <a:ext cx="1447144" cy="546697"/>
      </dsp:txXfrm>
    </dsp:sp>
    <dsp:sp modelId="{E140C6C5-E4A1-49E2-8B34-B36A9E45F7A0}">
      <dsp:nvSpPr>
        <dsp:cNvPr id="0" name=""/>
        <dsp:cNvSpPr/>
      </dsp:nvSpPr>
      <dsp:spPr>
        <a:xfrm>
          <a:off x="8207554" y="2998362"/>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2998362"/>
        <a:ext cx="1447144" cy="546697"/>
      </dsp:txXfrm>
    </dsp:sp>
    <dsp:sp modelId="{2915E1C8-90EE-4D3E-80C4-5A095B94CCE7}">
      <dsp:nvSpPr>
        <dsp:cNvPr id="0" name=""/>
        <dsp:cNvSpPr/>
      </dsp:nvSpPr>
      <dsp:spPr>
        <a:xfrm>
          <a:off x="8207554" y="3695619"/>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3695619"/>
        <a:ext cx="1447144" cy="546697"/>
      </dsp:txXfrm>
    </dsp:sp>
    <dsp:sp modelId="{8F6DC081-6798-4216-A738-17F2FC92AADF}">
      <dsp:nvSpPr>
        <dsp:cNvPr id="0" name=""/>
        <dsp:cNvSpPr/>
      </dsp:nvSpPr>
      <dsp:spPr>
        <a:xfrm>
          <a:off x="8207554" y="4392875"/>
          <a:ext cx="1447144" cy="546697"/>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07554" y="4392875"/>
        <a:ext cx="1447144" cy="546697"/>
      </dsp:txXfrm>
    </dsp:sp>
    <dsp:sp modelId="{334CBDC0-DC60-49FB-BE4F-5DC6001401F6}">
      <dsp:nvSpPr>
        <dsp:cNvPr id="0" name=""/>
        <dsp:cNvSpPr/>
      </dsp:nvSpPr>
      <dsp:spPr>
        <a:xfrm>
          <a:off x="8235680" y="5334044"/>
          <a:ext cx="1487343" cy="546701"/>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2225" tIns="22225" rIns="22225" bIns="22225" numCol="1" spcCol="1270" anchor="ctr" anchorCtr="0">
          <a:noAutofit/>
        </a:bodyPr>
        <a:lstStyle/>
        <a:p>
          <a:pPr marL="0" lvl="0" indent="0" algn="l" defTabSz="1555750">
            <a:lnSpc>
              <a:spcPct val="90000"/>
            </a:lnSpc>
            <a:spcBef>
              <a:spcPct val="0"/>
            </a:spcBef>
            <a:spcAft>
              <a:spcPct val="35000"/>
            </a:spcAft>
            <a:buNone/>
          </a:pPr>
          <a:endParaRPr lang="en-IN" sz="3500" kern="1200"/>
        </a:p>
      </dsp:txBody>
      <dsp:txXfrm>
        <a:off x="8235680" y="5334044"/>
        <a:ext cx="1487343" cy="546701"/>
      </dsp:txXfrm>
    </dsp:sp>
    <dsp:sp modelId="{735EB318-83B9-45F6-B3F9-31895D8D9C62}">
      <dsp:nvSpPr>
        <dsp:cNvPr id="0" name=""/>
        <dsp:cNvSpPr/>
      </dsp:nvSpPr>
      <dsp:spPr>
        <a:xfrm>
          <a:off x="9723508" y="849190"/>
          <a:ext cx="1428991" cy="619127"/>
        </a:xfrm>
        <a:prstGeom prst="rect">
          <a:avLst/>
        </a:prstGeom>
        <a:gradFill flip="none" rotWithShape="1">
          <a:gsLst>
            <a:gs pos="0">
              <a:srgbClr val="56426E"/>
            </a:gs>
            <a:gs pos="48000">
              <a:schemeClr val="accent4">
                <a:lumMod val="97000"/>
                <a:lumOff val="3000"/>
              </a:schemeClr>
            </a:gs>
            <a:gs pos="100000">
              <a:schemeClr val="accent4">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5400" tIns="25400" rIns="25400" bIns="25400" numCol="1" spcCol="1270" anchor="ctr" anchorCtr="0">
          <a:noAutofit/>
        </a:bodyPr>
        <a:lstStyle/>
        <a:p>
          <a:pPr marL="0" lvl="0" indent="0" algn="l" defTabSz="1778000">
            <a:lnSpc>
              <a:spcPct val="90000"/>
            </a:lnSpc>
            <a:spcBef>
              <a:spcPct val="0"/>
            </a:spcBef>
            <a:spcAft>
              <a:spcPct val="35000"/>
            </a:spcAft>
            <a:buNone/>
          </a:pPr>
          <a:endParaRPr lang="en-IN" sz="4000" kern="1200"/>
        </a:p>
      </dsp:txBody>
      <dsp:txXfrm>
        <a:off x="9723508" y="849190"/>
        <a:ext cx="1428991" cy="619127"/>
      </dsp:txXfrm>
    </dsp:sp>
    <dsp:sp modelId="{EB76186E-B8DD-4C2B-A16E-3DCCAC24AD9E}">
      <dsp:nvSpPr>
        <dsp:cNvPr id="0" name=""/>
        <dsp:cNvSpPr/>
      </dsp:nvSpPr>
      <dsp:spPr>
        <a:xfrm>
          <a:off x="10033881" y="1618876"/>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1618876"/>
        <a:ext cx="1487343" cy="522579"/>
      </dsp:txXfrm>
    </dsp:sp>
    <dsp:sp modelId="{94EA12D3-04D9-47DF-8815-13B679B7C734}">
      <dsp:nvSpPr>
        <dsp:cNvPr id="0" name=""/>
        <dsp:cNvSpPr/>
      </dsp:nvSpPr>
      <dsp:spPr>
        <a:xfrm>
          <a:off x="10033881" y="2292015"/>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2292015"/>
        <a:ext cx="1487343" cy="522579"/>
      </dsp:txXfrm>
    </dsp:sp>
    <dsp:sp modelId="{388559F6-A377-4E6B-8AFD-045922C575A5}">
      <dsp:nvSpPr>
        <dsp:cNvPr id="0" name=""/>
        <dsp:cNvSpPr/>
      </dsp:nvSpPr>
      <dsp:spPr>
        <a:xfrm>
          <a:off x="10033881" y="2965153"/>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2965153"/>
        <a:ext cx="1487343" cy="522579"/>
      </dsp:txXfrm>
    </dsp:sp>
    <dsp:sp modelId="{343E1092-F522-4487-A030-10090F0AF3AB}">
      <dsp:nvSpPr>
        <dsp:cNvPr id="0" name=""/>
        <dsp:cNvSpPr/>
      </dsp:nvSpPr>
      <dsp:spPr>
        <a:xfrm>
          <a:off x="10024504" y="3769539"/>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24504" y="3769539"/>
        <a:ext cx="1487343" cy="522579"/>
      </dsp:txXfrm>
    </dsp:sp>
    <dsp:sp modelId="{2314AD4C-5552-4E80-A3D0-6A7B329E2BF2}">
      <dsp:nvSpPr>
        <dsp:cNvPr id="0" name=""/>
        <dsp:cNvSpPr/>
      </dsp:nvSpPr>
      <dsp:spPr>
        <a:xfrm>
          <a:off x="10033881" y="4405178"/>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10033881" y="4405178"/>
        <a:ext cx="1487343" cy="522579"/>
      </dsp:txXfrm>
    </dsp:sp>
    <dsp:sp modelId="{DD5B3579-7DBE-4F3D-99DF-2C002955CF6D}">
      <dsp:nvSpPr>
        <dsp:cNvPr id="0" name=""/>
        <dsp:cNvSpPr/>
      </dsp:nvSpPr>
      <dsp:spPr>
        <a:xfrm>
          <a:off x="9987007" y="5303316"/>
          <a:ext cx="1487343" cy="522579"/>
        </a:xfrm>
        <a:prstGeom prst="rect">
          <a:avLst/>
        </a:prstGeom>
        <a:gradFill flip="none" rotWithShape="1">
          <a:gsLst>
            <a:gs pos="0">
              <a:srgbClr val="3C5078"/>
            </a:gs>
            <a:gs pos="48000">
              <a:schemeClr val="accent1">
                <a:lumMod val="97000"/>
                <a:lumOff val="3000"/>
              </a:schemeClr>
            </a:gs>
            <a:gs pos="100000">
              <a:schemeClr val="accent1">
                <a:lumMod val="60000"/>
                <a:lumOff val="40000"/>
              </a:schemeClr>
            </a:gs>
          </a:gsLst>
          <a:lin ang="16200000" scaled="1"/>
          <a:tileRect/>
        </a:gradFill>
        <a:ln>
          <a:noFill/>
        </a:ln>
        <a:effectLst>
          <a:outerShdw blurRad="40000" dist="20000" dir="5400000" rotWithShape="0">
            <a:srgbClr val="000000">
              <a:alpha val="38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1">
          <a:scrgbClr r="0" g="0" b="0"/>
        </a:effectRef>
        <a:fontRef idx="minor">
          <a:schemeClr val="lt1"/>
        </a:fontRef>
      </dsp:style>
      <dsp:txBody>
        <a:bodyPr spcFirstLastPara="0" vert="horz" wrap="square" lIns="21590" tIns="21590" rIns="21590" bIns="21590" numCol="1" spcCol="1270" anchor="ctr" anchorCtr="0">
          <a:noAutofit/>
        </a:bodyPr>
        <a:lstStyle/>
        <a:p>
          <a:pPr marL="0" lvl="0" indent="0" algn="l" defTabSz="1511300">
            <a:lnSpc>
              <a:spcPct val="90000"/>
            </a:lnSpc>
            <a:spcBef>
              <a:spcPct val="0"/>
            </a:spcBef>
            <a:spcAft>
              <a:spcPct val="35000"/>
            </a:spcAft>
            <a:buNone/>
          </a:pPr>
          <a:endParaRPr lang="en-IN" sz="3400" kern="1200"/>
        </a:p>
      </dsp:txBody>
      <dsp:txXfrm>
        <a:off x="9987007" y="5303316"/>
        <a:ext cx="1487343" cy="522579"/>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6.xml.rels><?xml version="1.0" encoding="UTF-8" standalone="yes"?>
<Relationships xmlns="http://schemas.openxmlformats.org/package/2006/relationships"><Relationship Id="rId8" Type="http://schemas.openxmlformats.org/officeDocument/2006/relationships/diagramQuickStyle" Target="../diagrams/quickStyle3.xml"/><Relationship Id="rId3" Type="http://schemas.openxmlformats.org/officeDocument/2006/relationships/diagramQuickStyle" Target="../diagrams/quickStyle2.xml"/><Relationship Id="rId7" Type="http://schemas.openxmlformats.org/officeDocument/2006/relationships/diagramLayout" Target="../diagrams/layout3.xml"/><Relationship Id="rId2" Type="http://schemas.openxmlformats.org/officeDocument/2006/relationships/diagramLayout" Target="../diagrams/layout2.xml"/><Relationship Id="rId1" Type="http://schemas.openxmlformats.org/officeDocument/2006/relationships/diagramData" Target="../diagrams/data2.xml"/><Relationship Id="rId6" Type="http://schemas.openxmlformats.org/officeDocument/2006/relationships/diagramData" Target="../diagrams/data3.xml"/><Relationship Id="rId5" Type="http://schemas.microsoft.com/office/2007/relationships/diagramDrawing" Target="../diagrams/drawing2.xml"/><Relationship Id="rId10" Type="http://schemas.microsoft.com/office/2007/relationships/diagramDrawing" Target="../diagrams/drawing3.xml"/><Relationship Id="rId4" Type="http://schemas.openxmlformats.org/officeDocument/2006/relationships/diagramColors" Target="../diagrams/colors2.xml"/><Relationship Id="rId9" Type="http://schemas.openxmlformats.org/officeDocument/2006/relationships/diagramColors" Target="../diagrams/colors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0</xdr:row>
          <xdr:rowOff>95250</xdr:rowOff>
        </xdr:from>
        <xdr:to>
          <xdr:col>6</xdr:col>
          <xdr:colOff>241300</xdr:colOff>
          <xdr:row>1</xdr:row>
          <xdr:rowOff>38100</xdr:rowOff>
        </xdr:to>
        <xdr:sp macro="" textlink="">
          <xdr:nvSpPr>
            <xdr:cNvPr id="574492" name="cmdGetAllMandatoryMetrics" hidden="1">
              <a:extLst>
                <a:ext uri="{63B3BB69-23CF-44E3-9099-C40C66FF867C}">
                  <a14:compatExt spid="_x0000_s574492"/>
                </a:ext>
                <a:ext uri="{FF2B5EF4-FFF2-40B4-BE49-F238E27FC236}">
                  <a16:creationId xmlns:a16="http://schemas.microsoft.com/office/drawing/2014/main" id="{00000000-0008-0000-0100-00001CC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1581150</xdr:colOff>
          <xdr:row>0</xdr:row>
          <xdr:rowOff>95250</xdr:rowOff>
        </xdr:from>
        <xdr:to>
          <xdr:col>7</xdr:col>
          <xdr:colOff>476250</xdr:colOff>
          <xdr:row>1</xdr:row>
          <xdr:rowOff>38100</xdr:rowOff>
        </xdr:to>
        <xdr:sp macro="" textlink="">
          <xdr:nvSpPr>
            <xdr:cNvPr id="574493" name="cmdDeleteRows" hidden="1">
              <a:extLst>
                <a:ext uri="{63B3BB69-23CF-44E3-9099-C40C66FF867C}">
                  <a14:compatExt spid="_x0000_s574493"/>
                </a:ext>
                <a:ext uri="{FF2B5EF4-FFF2-40B4-BE49-F238E27FC236}">
                  <a16:creationId xmlns:a16="http://schemas.microsoft.com/office/drawing/2014/main" id="{00000000-0008-0000-0100-00001DC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0</xdr:row>
          <xdr:rowOff>95250</xdr:rowOff>
        </xdr:from>
        <xdr:to>
          <xdr:col>6</xdr:col>
          <xdr:colOff>1543050</xdr:colOff>
          <xdr:row>1</xdr:row>
          <xdr:rowOff>38100</xdr:rowOff>
        </xdr:to>
        <xdr:sp macro="" textlink="">
          <xdr:nvSpPr>
            <xdr:cNvPr id="574494" name="cmdRefreshMetricList" hidden="1">
              <a:extLst>
                <a:ext uri="{63B3BB69-23CF-44E3-9099-C40C66FF867C}">
                  <a14:compatExt spid="_x0000_s574494"/>
                </a:ext>
                <a:ext uri="{FF2B5EF4-FFF2-40B4-BE49-F238E27FC236}">
                  <a16:creationId xmlns:a16="http://schemas.microsoft.com/office/drawing/2014/main" id="{00000000-0008-0000-0100-00001EC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50800</xdr:rowOff>
        </xdr:from>
        <xdr:to>
          <xdr:col>0</xdr:col>
          <xdr:colOff>1828800</xdr:colOff>
          <xdr:row>0</xdr:row>
          <xdr:rowOff>381000</xdr:rowOff>
        </xdr:to>
        <xdr:sp macro="" textlink="">
          <xdr:nvSpPr>
            <xdr:cNvPr id="552961" name="cmdGetAllMeasures" hidden="1">
              <a:extLst>
                <a:ext uri="{63B3BB69-23CF-44E3-9099-C40C66FF867C}">
                  <a14:compatExt spid="_x0000_s552961"/>
                </a:ext>
                <a:ext uri="{FF2B5EF4-FFF2-40B4-BE49-F238E27FC236}">
                  <a16:creationId xmlns:a16="http://schemas.microsoft.com/office/drawing/2014/main" id="{00000000-0008-0000-0300-0000017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1955800</xdr:colOff>
          <xdr:row>0</xdr:row>
          <xdr:rowOff>50800</xdr:rowOff>
        </xdr:from>
        <xdr:to>
          <xdr:col>0</xdr:col>
          <xdr:colOff>3219450</xdr:colOff>
          <xdr:row>0</xdr:row>
          <xdr:rowOff>381000</xdr:rowOff>
        </xdr:to>
        <xdr:sp macro="" textlink="">
          <xdr:nvSpPr>
            <xdr:cNvPr id="552962" name="cmdClear" hidden="1">
              <a:extLst>
                <a:ext uri="{63B3BB69-23CF-44E3-9099-C40C66FF867C}">
                  <a14:compatExt spid="_x0000_s552962"/>
                </a:ext>
                <a:ext uri="{FF2B5EF4-FFF2-40B4-BE49-F238E27FC236}">
                  <a16:creationId xmlns:a16="http://schemas.microsoft.com/office/drawing/2014/main" id="{00000000-0008-0000-0300-0000027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0</xdr:row>
          <xdr:rowOff>12700</xdr:rowOff>
        </xdr:from>
        <xdr:to>
          <xdr:col>2</xdr:col>
          <xdr:colOff>876300</xdr:colOff>
          <xdr:row>0</xdr:row>
          <xdr:rowOff>374650</xdr:rowOff>
        </xdr:to>
        <xdr:sp macro="" textlink="">
          <xdr:nvSpPr>
            <xdr:cNvPr id="552963" name="cmdSubmit" hidden="1">
              <a:extLst>
                <a:ext uri="{63B3BB69-23CF-44E3-9099-C40C66FF867C}">
                  <a14:compatExt spid="_x0000_s552963"/>
                </a:ext>
                <a:ext uri="{FF2B5EF4-FFF2-40B4-BE49-F238E27FC236}">
                  <a16:creationId xmlns:a16="http://schemas.microsoft.com/office/drawing/2014/main" id="{00000000-0008-0000-0300-0000037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50800</xdr:rowOff>
        </xdr:from>
        <xdr:to>
          <xdr:col>0</xdr:col>
          <xdr:colOff>2095500</xdr:colOff>
          <xdr:row>0</xdr:row>
          <xdr:rowOff>425450</xdr:rowOff>
        </xdr:to>
        <xdr:sp macro="" textlink="">
          <xdr:nvSpPr>
            <xdr:cNvPr id="553985" name="cmdDeleteRows" hidden="1">
              <a:extLst>
                <a:ext uri="{63B3BB69-23CF-44E3-9099-C40C66FF867C}">
                  <a14:compatExt spid="_x0000_s553985"/>
                </a:ext>
                <a:ext uri="{FF2B5EF4-FFF2-40B4-BE49-F238E27FC236}">
                  <a16:creationId xmlns:a16="http://schemas.microsoft.com/office/drawing/2014/main" id="{00000000-0008-0000-0400-0000017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34</xdr:col>
      <xdr:colOff>431800</xdr:colOff>
      <xdr:row>2</xdr:row>
      <xdr:rowOff>0</xdr:rowOff>
    </xdr:from>
    <xdr:to>
      <xdr:col>37</xdr:col>
      <xdr:colOff>431800</xdr:colOff>
      <xdr:row>14</xdr:row>
      <xdr:rowOff>123822</xdr:rowOff>
    </xdr:to>
    <mc:AlternateContent xmlns:mc="http://schemas.openxmlformats.org/markup-compatibility/2006" xmlns:a14="http://schemas.microsoft.com/office/drawing/2010/main">
      <mc:Choice Requires="a14">
        <xdr:graphicFrame macro="">
          <xdr:nvGraphicFramePr>
            <xdr:cNvPr id="5" name="Metric 1">
              <a:extLst>
                <a:ext uri="{FF2B5EF4-FFF2-40B4-BE49-F238E27FC236}">
                  <a16:creationId xmlns:a16="http://schemas.microsoft.com/office/drawing/2014/main" id="{ED89B744-DF61-4DA5-805E-29241D469A4C}"/>
                </a:ext>
              </a:extLst>
            </xdr:cNvPr>
            <xdr:cNvGraphicFramePr/>
          </xdr:nvGraphicFramePr>
          <xdr:xfrm>
            <a:off x="0" y="0"/>
            <a:ext cx="0" cy="0"/>
          </xdr:xfrm>
          <a:graphic>
            <a:graphicData uri="http://schemas.microsoft.com/office/drawing/2010/slicer">
              <sle:slicer xmlns:sle="http://schemas.microsoft.com/office/drawing/2010/slicer" name="Metric 1"/>
            </a:graphicData>
          </a:graphic>
        </xdr:graphicFrame>
      </mc:Choice>
      <mc:Fallback xmlns="">
        <xdr:sp macro="" textlink="">
          <xdr:nvSpPr>
            <xdr:cNvPr id="0" name=""/>
            <xdr:cNvSpPr>
              <a:spLocks noTextEdit="1"/>
            </xdr:cNvSpPr>
          </xdr:nvSpPr>
          <xdr:spPr>
            <a:xfrm>
              <a:off x="24149050" y="9525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38</xdr:col>
      <xdr:colOff>0</xdr:colOff>
      <xdr:row>2</xdr:row>
      <xdr:rowOff>0</xdr:rowOff>
    </xdr:from>
    <xdr:to>
      <xdr:col>46</xdr:col>
      <xdr:colOff>98425</xdr:colOff>
      <xdr:row>2</xdr:row>
      <xdr:rowOff>165100</xdr:rowOff>
    </xdr:to>
    <xdr:graphicFrame macro="">
      <xdr:nvGraphicFramePr>
        <xdr:cNvPr id="6" name="Chart 5">
          <a:extLst>
            <a:ext uri="{FF2B5EF4-FFF2-40B4-BE49-F238E27FC236}">
              <a16:creationId xmlns:a16="http://schemas.microsoft.com/office/drawing/2014/main" id="{A2F63CEA-3E20-44BC-AF6E-8532AD328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396874</xdr:colOff>
      <xdr:row>2</xdr:row>
      <xdr:rowOff>133350</xdr:rowOff>
    </xdr:from>
    <xdr:to>
      <xdr:col>14</xdr:col>
      <xdr:colOff>6349</xdr:colOff>
      <xdr:row>20</xdr:row>
      <xdr:rowOff>19050</xdr:rowOff>
    </xdr:to>
    <xdr:graphicFrame macro="">
      <xdr:nvGraphicFramePr>
        <xdr:cNvPr id="2" name="Chart 1">
          <a:extLst>
            <a:ext uri="{FF2B5EF4-FFF2-40B4-BE49-F238E27FC236}">
              <a16:creationId xmlns:a16="http://schemas.microsoft.com/office/drawing/2014/main" id="{FA821DBD-6FD7-50F3-E225-C54FF1C0C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279400</xdr:colOff>
      <xdr:row>8</xdr:row>
      <xdr:rowOff>133350</xdr:rowOff>
    </xdr:from>
    <xdr:to>
      <xdr:col>3</xdr:col>
      <xdr:colOff>146050</xdr:colOff>
      <xdr:row>23</xdr:row>
      <xdr:rowOff>85722</xdr:rowOff>
    </xdr:to>
    <mc:AlternateContent xmlns:mc="http://schemas.openxmlformats.org/markup-compatibility/2006" xmlns:a14="http://schemas.microsoft.com/office/drawing/2010/main">
      <mc:Choice Requires="a14">
        <xdr:graphicFrame macro="">
          <xdr:nvGraphicFramePr>
            <xdr:cNvPr id="3" name="Metric">
              <a:extLst>
                <a:ext uri="{FF2B5EF4-FFF2-40B4-BE49-F238E27FC236}">
                  <a16:creationId xmlns:a16="http://schemas.microsoft.com/office/drawing/2014/main" id="{99B3C5ED-DD01-7F62-EFD0-8B3751C757D0}"/>
                </a:ext>
              </a:extLst>
            </xdr:cNvPr>
            <xdr:cNvGraphicFramePr/>
          </xdr:nvGraphicFramePr>
          <xdr:xfrm>
            <a:off x="0" y="0"/>
            <a:ext cx="0" cy="0"/>
          </xdr:xfrm>
          <a:graphic>
            <a:graphicData uri="http://schemas.microsoft.com/office/drawing/2010/slicer">
              <sle:slicer xmlns:sle="http://schemas.microsoft.com/office/drawing/2010/slicer" name="Metric"/>
            </a:graphicData>
          </a:graphic>
        </xdr:graphicFrame>
      </mc:Choice>
      <mc:Fallback xmlns="">
        <xdr:sp macro="" textlink="">
          <xdr:nvSpPr>
            <xdr:cNvPr id="0" name=""/>
            <xdr:cNvSpPr>
              <a:spLocks noTextEdit="1"/>
            </xdr:cNvSpPr>
          </xdr:nvSpPr>
          <xdr:spPr>
            <a:xfrm>
              <a:off x="1187450" y="14033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12</xdr:col>
      <xdr:colOff>38100</xdr:colOff>
      <xdr:row>0</xdr:row>
      <xdr:rowOff>0</xdr:rowOff>
    </xdr:from>
    <xdr:to>
      <xdr:col>31</xdr:col>
      <xdr:colOff>28575</xdr:colOff>
      <xdr:row>38</xdr:row>
      <xdr:rowOff>76200</xdr:rowOff>
    </xdr:to>
    <xdr:graphicFrame macro="">
      <xdr:nvGraphicFramePr>
        <xdr:cNvPr id="47" name="Diagram 46">
          <a:extLst>
            <a:ext uri="{FF2B5EF4-FFF2-40B4-BE49-F238E27FC236}">
              <a16:creationId xmlns:a16="http://schemas.microsoft.com/office/drawing/2014/main" id="{00000000-0008-0000-0900-00002F000000}"/>
            </a:ext>
          </a:extLst>
        </xdr:cNvPr>
        <xdr:cNvGraphicFramePr>
          <a:graphicFrameLocks/>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0</xdr:row>
          <xdr:rowOff>0</xdr:rowOff>
        </xdr:from>
        <xdr:to>
          <xdr:col>3</xdr:col>
          <xdr:colOff>247650</xdr:colOff>
          <xdr:row>2</xdr:row>
          <xdr:rowOff>0</xdr:rowOff>
        </xdr:to>
        <xdr:sp macro="" textlink="">
          <xdr:nvSpPr>
            <xdr:cNvPr id="515073" name="cmdUpdatecHart" hidden="1">
              <a:extLst>
                <a:ext uri="{63B3BB69-23CF-44E3-9099-C40C66FF867C}">
                  <a14:compatExt spid="_x0000_s515073"/>
                </a:ext>
                <a:ext uri="{FF2B5EF4-FFF2-40B4-BE49-F238E27FC236}">
                  <a16:creationId xmlns:a16="http://schemas.microsoft.com/office/drawing/2014/main" id="{00000000-0008-0000-0F00-000001DC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0</xdr:rowOff>
    </xdr:from>
    <xdr:to>
      <xdr:col>18</xdr:col>
      <xdr:colOff>600075</xdr:colOff>
      <xdr:row>41</xdr:row>
      <xdr:rowOff>82550</xdr:rowOff>
    </xdr:to>
    <xdr:graphicFrame macro="">
      <xdr:nvGraphicFramePr>
        <xdr:cNvPr id="2" name="Diagram 1">
          <a:extLst>
            <a:ext uri="{FF2B5EF4-FFF2-40B4-BE49-F238E27FC236}">
              <a16:creationId xmlns:a16="http://schemas.microsoft.com/office/drawing/2014/main" id="{B951EDA7-A894-4A08-89E5-35E6BC86D5E3}"/>
            </a:ext>
          </a:extLst>
        </xdr:cNvPr>
        <xdr:cNvGraphicFramePr>
          <a:graphicFrameLocks/>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25</xdr:col>
      <xdr:colOff>0</xdr:colOff>
      <xdr:row>3</xdr:row>
      <xdr:rowOff>0</xdr:rowOff>
    </xdr:from>
    <xdr:to>
      <xdr:col>43</xdr:col>
      <xdr:colOff>600075</xdr:colOff>
      <xdr:row>41</xdr:row>
      <xdr:rowOff>82550</xdr:rowOff>
    </xdr:to>
    <xdr:graphicFrame macro="">
      <xdr:nvGraphicFramePr>
        <xdr:cNvPr id="3" name="Diagram 2">
          <a:extLst>
            <a:ext uri="{FF2B5EF4-FFF2-40B4-BE49-F238E27FC236}">
              <a16:creationId xmlns:a16="http://schemas.microsoft.com/office/drawing/2014/main" id="{3CCC79ED-7525-4E6E-9F76-BD8EDECC17FB}"/>
            </a:ext>
          </a:extLst>
        </xdr:cNvPr>
        <xdr:cNvGraphicFramePr>
          <a:graphicFrameLocks/>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Shreevidhya Meiyappan" id="{FDB35747-6EC7-4ACF-9DE0-2B3D0C13C19D}" userId="S::Shreevidhya.M@sonata-software.com::54e9a147-1c8f-42aa-90c6-c8d18515fdb0"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vathi V." refreshedDate="46174.667008217592" createdVersion="8" refreshedVersion="8" minRefreshableVersion="3" recordCount="194" xr:uid="{31A94DF6-1C0C-4C39-A823-371952AF235C}">
  <cacheSource type="worksheet">
    <worksheetSource ref="A2:I425" sheet="KPI Tracker"/>
  </cacheSource>
  <cacheFields count="9">
    <cacheField name="Metric" numFmtId="0">
      <sharedItems containsBlank="1" count="9">
        <s v="Delivered Defect Density"/>
        <s v="Commitment to Delivery %"/>
        <m/>
        <s v="Effort Variance" u="1"/>
        <s v="Velocity" u="1"/>
        <s v="s1" u="1"/>
        <s v="Ontime completion" u="1"/>
        <s v="Scope Fullfillment" u="1"/>
        <s v="Testing Defect Density" u="1"/>
      </sharedItems>
    </cacheField>
    <cacheField name="Frequency" numFmtId="0">
      <sharedItems containsBlank="1" count="5">
        <s v="Release"/>
        <s v="Sprint"/>
        <m/>
        <s v="Weekly" u="1"/>
        <s v="s" u="1"/>
      </sharedItems>
    </cacheField>
    <cacheField name="Frequency Name" numFmtId="0">
      <sharedItems containsBlank="1" count="18">
        <s v="R1"/>
        <s v="S1"/>
        <m/>
        <s v="W1" u="1"/>
        <s v="s2" u="1"/>
        <s v="Sprint 2" u="1"/>
        <s v="Sprint 2-R1" u="1"/>
        <s v="Sprint 3" u="1"/>
        <s v="Sprint 3-R1" u="1"/>
        <s v="Sprint 4" u="1"/>
        <s v="Sprint 4-R1" u="1"/>
        <s v="Sprint 5" u="1"/>
        <s v="Sprint 5-R1" u="1"/>
        <s v="Sprint 6" u="1"/>
        <s v="Sprint 6-R1" u="1"/>
        <s v="Sprint 1" u="1"/>
        <s v="Sprint 1-R1" u="1"/>
        <s v="Sprint 2R1" u="1"/>
      </sharedItems>
    </cacheField>
    <cacheField name="Actual Value" numFmtId="169">
      <sharedItems containsString="0" containsBlank="1" containsNumber="1" minValue="1.6666666666666666E-2" maxValue="1.6666666666666666E-2"/>
    </cacheField>
    <cacheField name="UOM" numFmtId="0">
      <sharedItems containsBlank="1"/>
    </cacheField>
    <cacheField name="Target opr" numFmtId="0">
      <sharedItems containsBlank="1"/>
    </cacheField>
    <cacheField name="Target" numFmtId="0">
      <sharedItems containsString="0" containsBlank="1" containsNumber="1" containsInteger="1" minValue="0" maxValue="95"/>
    </cacheField>
    <cacheField name="LSL" numFmtId="0">
      <sharedItems containsString="0" containsBlank="1" containsNumber="1" containsInteger="1" minValue="90" maxValue="90"/>
    </cacheField>
    <cacheField name="USL" numFmtId="0">
      <sharedItems containsNonDate="0" containsString="0" containsBlank="1"/>
    </cacheField>
  </cacheFields>
  <extLst>
    <ext xmlns:x14="http://schemas.microsoft.com/office/spreadsheetml/2009/9/main" uri="{725AE2AE-9491-48be-B2B4-4EB974FC3084}">
      <x14:pivotCacheDefinition pivotCacheId="192467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
  <r>
    <x v="0"/>
    <x v="0"/>
    <x v="0"/>
    <n v="1.6666666666666666E-2"/>
    <s v="Weighted Defects per Story Point-SP"/>
    <s v="&lt;="/>
    <n v="0"/>
    <m/>
    <m/>
  </r>
  <r>
    <x v="1"/>
    <x v="1"/>
    <x v="1"/>
    <m/>
    <s v="%"/>
    <s v="&gt;="/>
    <n v="95"/>
    <n v="90"/>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r>
    <x v="2"/>
    <x v="2"/>
    <x v="2"/>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074AD5-E343-41E7-9DC3-3DC75A684E7F}" name="PivotTable1" cacheId="0" applyNumberFormats="0" applyBorderFormats="0" applyFontFormats="0" applyPatternFormats="0" applyAlignmentFormats="0" applyWidthHeightFormats="1" dataCaption="Values" updatedVersion="8" minRefreshableVersion="3" useAutoFormatting="1" fieldPrintTitles="1" itemPrintTitles="1" createdVersion="8" indent="0" outline="1" outlineData="1" multipleFieldFilters="0" chartFormat="35">
  <location ref="A4:E6" firstHeaderRow="0" firstDataRow="1" firstDataCol="1" rowPageCount="2" colPageCount="1"/>
  <pivotFields count="9">
    <pivotField axis="axisPage" multipleItemSelectionAllowed="1" showAll="0">
      <items count="10">
        <item h="1" m="1" x="6"/>
        <item h="1" m="1" x="7"/>
        <item h="1" m="1" x="8"/>
        <item h="1" x="2"/>
        <item h="1" m="1" x="5"/>
        <item x="0"/>
        <item h="1" m="1" x="3"/>
        <item h="1" m="1" x="4"/>
        <item h="1" x="1"/>
        <item t="default"/>
      </items>
    </pivotField>
    <pivotField axis="axisPage" showAll="0">
      <items count="6">
        <item x="0"/>
        <item x="1"/>
        <item x="2"/>
        <item m="1" x="4"/>
        <item m="1" x="3"/>
        <item t="default"/>
      </items>
    </pivotField>
    <pivotField axis="axisRow" showAll="0">
      <items count="19">
        <item m="1" x="15"/>
        <item m="1" x="16"/>
        <item x="2"/>
        <item m="1" x="5"/>
        <item m="1" x="6"/>
        <item m="1" x="17"/>
        <item m="1" x="7"/>
        <item m="1" x="8"/>
        <item m="1" x="9"/>
        <item m="1" x="10"/>
        <item m="1" x="11"/>
        <item m="1" x="12"/>
        <item m="1" x="13"/>
        <item m="1" x="14"/>
        <item x="1"/>
        <item m="1" x="4"/>
        <item m="1" x="3"/>
        <item x="0"/>
        <item t="default"/>
      </items>
    </pivotField>
    <pivotField dataField="1" showAll="0"/>
    <pivotField showAll="0"/>
    <pivotField showAll="0"/>
    <pivotField dataField="1" showAll="0"/>
    <pivotField dataField="1" showAll="0"/>
    <pivotField dataField="1" showAll="0"/>
  </pivotFields>
  <rowFields count="1">
    <field x="2"/>
  </rowFields>
  <rowItems count="2">
    <i>
      <x v="17"/>
    </i>
    <i t="grand">
      <x/>
    </i>
  </rowItems>
  <colFields count="1">
    <field x="-2"/>
  </colFields>
  <colItems count="4">
    <i>
      <x/>
    </i>
    <i i="1">
      <x v="1"/>
    </i>
    <i i="2">
      <x v="2"/>
    </i>
    <i i="3">
      <x v="3"/>
    </i>
  </colItems>
  <pageFields count="2">
    <pageField fld="0" hier="-1"/>
    <pageField fld="1" hier="-1"/>
  </pageFields>
  <dataFields count="4">
    <dataField name=" Actual Value" fld="3" subtotal="average" baseField="2" baseItem="0"/>
    <dataField name=" USL" fld="8" subtotal="average" baseField="2" baseItem="0"/>
    <dataField name=" LSL" fld="7" subtotal="average" baseField="2" baseItem="0"/>
    <dataField name=" Target" fld="6" subtotal="average" baseField="2" baseItem="0"/>
  </dataFields>
  <formats count="6">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fieldPosition="0">
        <references count="1">
          <reference field="2" count="2">
            <x v="0"/>
            <x v="3"/>
          </reference>
        </references>
      </pivotArea>
    </format>
    <format dxfId="14">
      <pivotArea dataOnly="0" labelOnly="1" grandRow="1" outline="0" fieldPosition="0"/>
    </format>
    <format dxfId="13">
      <pivotArea dataOnly="0" labelOnly="1" outline="0" fieldPosition="0">
        <references count="1">
          <reference field="4294967294" count="4">
            <x v="0"/>
            <x v="1"/>
            <x v="2"/>
            <x v="3"/>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3"/>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1"/>
          </reference>
        </references>
      </pivotArea>
    </chartFormat>
    <chartFormat chart="33" format="8" series="1">
      <pivotArea type="data" outline="0" fieldPosition="0">
        <references count="1">
          <reference field="4294967294" count="1" selected="0">
            <x v="0"/>
          </reference>
        </references>
      </pivotArea>
    </chartFormat>
    <chartFormat chart="33" format="9" series="1">
      <pivotArea type="data" outline="0" fieldPosition="0">
        <references count="1">
          <reference field="4294967294" count="1" selected="0">
            <x v="1"/>
          </reference>
        </references>
      </pivotArea>
    </chartFormat>
    <chartFormat chart="33" format="10" series="1">
      <pivotArea type="data" outline="0" fieldPosition="0">
        <references count="1">
          <reference field="4294967294" count="1" selected="0">
            <x v="2"/>
          </reference>
        </references>
      </pivotArea>
    </chartFormat>
    <chartFormat chart="3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ic" xr10:uid="{318634FD-15D5-4C63-B894-786643E3965B}" sourceName="Metric">
  <pivotTables>
    <pivotTable tabId="103" name="PivotTable1"/>
  </pivotTables>
  <data>
    <tabular pivotCacheId="19246786" showMissing="0">
      <items count="9">
        <i x="1"/>
        <i x="0" s="1"/>
        <i x="2" nd="1"/>
        <i x="3" nd="1"/>
        <i x="6" nd="1"/>
        <i x="5" nd="1"/>
        <i x="7" nd="1"/>
        <i x="8"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1" xr10:uid="{028E0E9D-6C1E-4F78-AE27-8CB6D0A782E4}" cache="Slicer_Metric" caption="Metric" rowHeight="22013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ic" xr10:uid="{403CB2FB-9DBB-4240-9AE4-EF44C7624C4E}" cache="Slicer_Metric" caption="Metric" rowHeight="220133"/>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1" dT="2025-11-05T05:34:22.49" personId="{FDB35747-6EC7-4ACF-9DE0-2B3D0C13C19D}" id="{FBBF3D93-9A45-476F-A208-0E4673DCC0E2}">
    <text>Please mark M / O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2.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image" Target="../media/image4.emf"/><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3.xml"/><Relationship Id="rId5" Type="http://schemas.microsoft.com/office/2007/relationships/slicer" Target="../slicers/slicer1.xml"/><Relationship Id="rId4" Type="http://schemas.openxmlformats.org/officeDocument/2006/relationships/image" Target="../media/image7.emf"/></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8CD2F-C4B5-47D2-80CD-E2C9944B7F0E}">
  <sheetPr codeName="Sheet22"/>
  <dimension ref="A1:AB401"/>
  <sheetViews>
    <sheetView zoomScale="118" zoomScaleNormal="118" workbookViewId="0">
      <pane xSplit="2" ySplit="1" topLeftCell="C2" activePane="bottomRight" state="frozen"/>
      <selection pane="topRight" activeCell="C1" sqref="C1"/>
      <selection pane="bottomLeft" activeCell="A2" sqref="A2"/>
      <selection pane="bottomRight" activeCell="AB2" sqref="AB2"/>
    </sheetView>
  </sheetViews>
  <sheetFormatPr defaultColWidth="9.1796875" defaultRowHeight="13"/>
  <cols>
    <col min="1" max="1" width="18.7265625" style="16" bestFit="1" customWidth="1"/>
    <col min="2" max="2" width="17.7265625" style="16" bestFit="1" customWidth="1"/>
    <col min="3" max="3" width="22.7265625" style="16" customWidth="1"/>
    <col min="4" max="4" width="15.54296875" style="16" bestFit="1" customWidth="1"/>
    <col min="5" max="5" width="19" style="16" customWidth="1"/>
    <col min="6" max="6" width="18.453125" style="16" customWidth="1"/>
    <col min="7" max="7" width="26.81640625" style="16" customWidth="1"/>
    <col min="8" max="8" width="19.26953125" style="16" customWidth="1"/>
    <col min="9" max="9" width="72.81640625" style="16" customWidth="1"/>
    <col min="10" max="10" width="12.81640625" style="16" customWidth="1"/>
    <col min="11" max="11" width="9.1796875" style="16" customWidth="1"/>
    <col min="12" max="12" width="14.453125" style="16" bestFit="1" customWidth="1"/>
    <col min="13" max="13" width="39.453125" style="16" bestFit="1" customWidth="1"/>
    <col min="14" max="14" width="30.453125" style="16" customWidth="1"/>
    <col min="15" max="15" width="14.453125" style="16" customWidth="1"/>
    <col min="16" max="16" width="31.26953125" style="16" customWidth="1"/>
    <col min="17" max="17" width="24" style="16" customWidth="1"/>
    <col min="18" max="18" width="18.7265625" style="16" customWidth="1"/>
    <col min="19" max="19" width="12" style="18" customWidth="1"/>
    <col min="20" max="20" width="10" style="31" bestFit="1" customWidth="1"/>
    <col min="21" max="21" width="11.54296875" style="31" bestFit="1" customWidth="1"/>
    <col min="22" max="22" width="15" style="31" customWidth="1"/>
    <col min="23" max="23" width="26.54296875" style="31" customWidth="1"/>
    <col min="24" max="24" width="26.81640625" style="16" hidden="1" customWidth="1"/>
    <col min="25" max="26" width="8.81640625" style="279" customWidth="1"/>
    <col min="27" max="27" width="9.1796875" style="362"/>
    <col min="28" max="28" width="9.1796875" style="361"/>
    <col min="29" max="16384" width="9.1796875" style="16"/>
  </cols>
  <sheetData>
    <row r="1" spans="1:28" ht="52">
      <c r="A1" s="247" t="s">
        <v>0</v>
      </c>
      <c r="B1" s="247" t="s">
        <v>1</v>
      </c>
      <c r="C1" s="247" t="s">
        <v>2</v>
      </c>
      <c r="D1" s="247" t="s">
        <v>3</v>
      </c>
      <c r="E1" s="247" t="s">
        <v>4</v>
      </c>
      <c r="F1" s="247" t="s">
        <v>5</v>
      </c>
      <c r="G1" s="247" t="s">
        <v>6</v>
      </c>
      <c r="H1" s="247" t="s">
        <v>7</v>
      </c>
      <c r="I1" s="247" t="s">
        <v>8</v>
      </c>
      <c r="J1" s="247" t="s">
        <v>9</v>
      </c>
      <c r="K1" s="247" t="s">
        <v>10</v>
      </c>
      <c r="L1" s="247" t="s">
        <v>11</v>
      </c>
      <c r="M1" s="248" t="s">
        <v>12</v>
      </c>
      <c r="N1" s="248" t="s">
        <v>13</v>
      </c>
      <c r="O1" s="248" t="s">
        <v>14</v>
      </c>
      <c r="P1" s="247" t="s">
        <v>15</v>
      </c>
      <c r="Q1" s="247" t="s">
        <v>16</v>
      </c>
      <c r="R1" s="247" t="s">
        <v>17</v>
      </c>
      <c r="S1" s="249" t="s">
        <v>18</v>
      </c>
      <c r="T1" s="250" t="s">
        <v>19</v>
      </c>
      <c r="U1" s="251" t="s">
        <v>20</v>
      </c>
      <c r="V1" s="252" t="s">
        <v>21</v>
      </c>
      <c r="W1" s="251" t="s">
        <v>22</v>
      </c>
      <c r="X1" s="276" t="s">
        <v>23</v>
      </c>
      <c r="Y1" s="247" t="s">
        <v>24</v>
      </c>
      <c r="Z1" s="247" t="s">
        <v>25</v>
      </c>
      <c r="AA1" s="276" t="s">
        <v>26</v>
      </c>
      <c r="AB1" s="365" t="s">
        <v>27</v>
      </c>
    </row>
    <row r="2" spans="1:28" ht="91">
      <c r="A2" s="216" t="s">
        <v>28</v>
      </c>
      <c r="B2" s="216" t="s">
        <v>29</v>
      </c>
      <c r="C2" s="216"/>
      <c r="D2" s="216" t="s">
        <v>30</v>
      </c>
      <c r="E2" s="254" t="s">
        <v>31</v>
      </c>
      <c r="F2" s="254" t="str">
        <f>IF(A2&lt;&gt;"",A2,"")</f>
        <v>Business Objective</v>
      </c>
      <c r="G2" s="254" t="str">
        <f>IF(B2&lt;&gt;"",B2,"")</f>
        <v>Achieve Gross Margin target and improve</v>
      </c>
      <c r="H2" s="254" t="str">
        <f>IF(C2&lt;&gt;"",C2,"")</f>
        <v/>
      </c>
      <c r="I2" s="216" t="s">
        <v>32</v>
      </c>
      <c r="J2" s="216" t="s">
        <v>33</v>
      </c>
      <c r="K2" s="216" t="s">
        <v>34</v>
      </c>
      <c r="L2" s="216" t="s">
        <v>35</v>
      </c>
      <c r="M2" s="216" t="s">
        <v>36</v>
      </c>
      <c r="N2" s="216" t="s">
        <v>37</v>
      </c>
      <c r="O2" s="216" t="s">
        <v>38</v>
      </c>
      <c r="P2" s="216" t="s">
        <v>39</v>
      </c>
      <c r="Q2" s="216" t="s">
        <v>40</v>
      </c>
      <c r="R2" s="255" t="s">
        <v>41</v>
      </c>
      <c r="S2" s="260" t="s">
        <v>42</v>
      </c>
      <c r="T2" s="257" t="s">
        <v>43</v>
      </c>
      <c r="U2" s="215"/>
      <c r="V2" s="258" t="s">
        <v>44</v>
      </c>
      <c r="W2" s="215"/>
      <c r="X2" s="277" t="str">
        <f>IF(D2&lt;&gt;"",D2,"")</f>
        <v>Financial</v>
      </c>
      <c r="Y2" s="279" t="s">
        <v>45</v>
      </c>
      <c r="Z2" s="279">
        <v>40</v>
      </c>
    </row>
    <row r="3" spans="1:28" ht="91">
      <c r="A3" s="216" t="s">
        <v>46</v>
      </c>
      <c r="B3" s="216" t="s">
        <v>47</v>
      </c>
      <c r="C3" s="216"/>
      <c r="D3" s="216" t="s">
        <v>30</v>
      </c>
      <c r="E3" s="254" t="s">
        <v>48</v>
      </c>
      <c r="F3" s="254" t="str">
        <f t="shared" ref="F3:H66" si="0">IF(A3&lt;&gt;"",A3,"")</f>
        <v>Process Objective</v>
      </c>
      <c r="G3" s="254" t="str">
        <f t="shared" si="0"/>
        <v>Improve Billability</v>
      </c>
      <c r="H3" s="254" t="str">
        <f t="shared" si="0"/>
        <v/>
      </c>
      <c r="I3" s="216" t="s">
        <v>49</v>
      </c>
      <c r="J3" s="216" t="s">
        <v>50</v>
      </c>
      <c r="K3" s="216" t="s">
        <v>51</v>
      </c>
      <c r="L3" s="216" t="s">
        <v>35</v>
      </c>
      <c r="M3" s="216" t="s">
        <v>36</v>
      </c>
      <c r="N3" s="216" t="s">
        <v>52</v>
      </c>
      <c r="O3" s="216" t="s">
        <v>38</v>
      </c>
      <c r="P3" s="216" t="s">
        <v>53</v>
      </c>
      <c r="Q3" s="216" t="s">
        <v>54</v>
      </c>
      <c r="R3" s="255" t="s">
        <v>41</v>
      </c>
      <c r="S3" s="260" t="s">
        <v>42</v>
      </c>
      <c r="T3" s="257" t="s">
        <v>55</v>
      </c>
      <c r="U3" s="215"/>
      <c r="V3" s="258" t="s">
        <v>44</v>
      </c>
      <c r="W3" s="215"/>
      <c r="X3" s="277" t="str">
        <f t="shared" ref="X3:X66" si="1">IF(D3&lt;&gt;"",D3,"")</f>
        <v>Financial</v>
      </c>
    </row>
    <row r="4" spans="1:28" ht="91">
      <c r="A4" s="216" t="s">
        <v>46</v>
      </c>
      <c r="B4" s="216" t="s">
        <v>47</v>
      </c>
      <c r="C4" s="216"/>
      <c r="D4" s="216" t="s">
        <v>30</v>
      </c>
      <c r="E4" s="254" t="s">
        <v>56</v>
      </c>
      <c r="F4" s="254" t="str">
        <f t="shared" si="0"/>
        <v>Process Objective</v>
      </c>
      <c r="G4" s="254" t="str">
        <f t="shared" si="0"/>
        <v>Improve Billability</v>
      </c>
      <c r="H4" s="254" t="str">
        <f t="shared" si="0"/>
        <v/>
      </c>
      <c r="I4" s="216" t="s">
        <v>49</v>
      </c>
      <c r="J4" s="216" t="s">
        <v>50</v>
      </c>
      <c r="K4" s="216" t="s">
        <v>51</v>
      </c>
      <c r="L4" s="216" t="s">
        <v>35</v>
      </c>
      <c r="M4" s="216" t="s">
        <v>36</v>
      </c>
      <c r="N4" s="216" t="s">
        <v>52</v>
      </c>
      <c r="O4" s="216" t="s">
        <v>38</v>
      </c>
      <c r="P4" s="216" t="s">
        <v>53</v>
      </c>
      <c r="Q4" s="216" t="s">
        <v>54</v>
      </c>
      <c r="R4" s="255" t="s">
        <v>41</v>
      </c>
      <c r="S4" s="260" t="s">
        <v>42</v>
      </c>
      <c r="T4" s="257" t="s">
        <v>55</v>
      </c>
      <c r="U4" s="215"/>
      <c r="V4" s="258" t="s">
        <v>44</v>
      </c>
      <c r="W4" s="215"/>
      <c r="X4" s="277" t="str">
        <f t="shared" si="1"/>
        <v>Financial</v>
      </c>
    </row>
    <row r="5" spans="1:28" ht="91">
      <c r="A5" s="216" t="s">
        <v>46</v>
      </c>
      <c r="B5" s="216" t="s">
        <v>57</v>
      </c>
      <c r="C5" s="216"/>
      <c r="D5" s="216" t="s">
        <v>30</v>
      </c>
      <c r="E5" s="254" t="s">
        <v>58</v>
      </c>
      <c r="F5" s="254" t="str">
        <f t="shared" si="0"/>
        <v>Process Objective</v>
      </c>
      <c r="G5" s="254" t="str">
        <f t="shared" si="0"/>
        <v>Improve Productivity and Cost Efficiency</v>
      </c>
      <c r="H5" s="254" t="str">
        <f t="shared" si="0"/>
        <v/>
      </c>
      <c r="I5" s="216" t="s">
        <v>59</v>
      </c>
      <c r="J5" s="216" t="s">
        <v>60</v>
      </c>
      <c r="K5" s="216" t="s">
        <v>51</v>
      </c>
      <c r="L5" s="216" t="s">
        <v>61</v>
      </c>
      <c r="M5" s="216" t="s">
        <v>36</v>
      </c>
      <c r="N5" s="216" t="s">
        <v>52</v>
      </c>
      <c r="O5" s="216" t="s">
        <v>38</v>
      </c>
      <c r="P5" s="216" t="s">
        <v>62</v>
      </c>
      <c r="Q5" s="216" t="s">
        <v>54</v>
      </c>
      <c r="R5" s="255" t="s">
        <v>41</v>
      </c>
      <c r="S5" s="260" t="s">
        <v>42</v>
      </c>
      <c r="T5" s="257" t="s">
        <v>55</v>
      </c>
      <c r="U5" s="215"/>
      <c r="V5" s="258" t="s">
        <v>44</v>
      </c>
      <c r="W5" s="215"/>
      <c r="X5" s="277" t="str">
        <f t="shared" si="1"/>
        <v>Financial</v>
      </c>
    </row>
    <row r="6" spans="1:28" ht="91">
      <c r="A6" s="216" t="s">
        <v>46</v>
      </c>
      <c r="B6" s="216" t="s">
        <v>57</v>
      </c>
      <c r="C6" s="216"/>
      <c r="D6" s="216" t="s">
        <v>30</v>
      </c>
      <c r="E6" s="254" t="s">
        <v>63</v>
      </c>
      <c r="F6" s="254" t="str">
        <f t="shared" si="0"/>
        <v>Process Objective</v>
      </c>
      <c r="G6" s="254" t="str">
        <f t="shared" si="0"/>
        <v>Improve Productivity and Cost Efficiency</v>
      </c>
      <c r="H6" s="254" t="str">
        <f t="shared" si="0"/>
        <v/>
      </c>
      <c r="I6" s="216" t="s">
        <v>59</v>
      </c>
      <c r="J6" s="216" t="s">
        <v>50</v>
      </c>
      <c r="K6" s="216" t="s">
        <v>51</v>
      </c>
      <c r="L6" s="216" t="s">
        <v>61</v>
      </c>
      <c r="M6" s="216" t="s">
        <v>36</v>
      </c>
      <c r="N6" s="216" t="s">
        <v>52</v>
      </c>
      <c r="O6" s="216" t="s">
        <v>38</v>
      </c>
      <c r="P6" s="216" t="s">
        <v>62</v>
      </c>
      <c r="Q6" s="216" t="s">
        <v>54</v>
      </c>
      <c r="R6" s="255" t="s">
        <v>41</v>
      </c>
      <c r="S6" s="260" t="s">
        <v>42</v>
      </c>
      <c r="T6" s="257" t="s">
        <v>55</v>
      </c>
      <c r="U6" s="215"/>
      <c r="V6" s="258" t="s">
        <v>44</v>
      </c>
      <c r="W6" s="215"/>
      <c r="X6" s="277" t="str">
        <f t="shared" si="1"/>
        <v>Financial</v>
      </c>
    </row>
    <row r="7" spans="1:28" ht="91">
      <c r="A7" s="216" t="s">
        <v>46</v>
      </c>
      <c r="B7" s="216" t="s">
        <v>57</v>
      </c>
      <c r="C7" s="216" t="s">
        <v>29</v>
      </c>
      <c r="D7" s="216" t="s">
        <v>30</v>
      </c>
      <c r="E7" s="254" t="s">
        <v>64</v>
      </c>
      <c r="F7" s="254" t="str">
        <f t="shared" si="0"/>
        <v>Process Objective</v>
      </c>
      <c r="G7" s="254" t="str">
        <f t="shared" si="0"/>
        <v>Improve Productivity and Cost Efficiency</v>
      </c>
      <c r="H7" s="254" t="str">
        <f t="shared" si="0"/>
        <v>Achieve Gross Margin target and improve</v>
      </c>
      <c r="I7" s="216" t="s">
        <v>65</v>
      </c>
      <c r="J7" s="216" t="s">
        <v>66</v>
      </c>
      <c r="K7" s="216" t="s">
        <v>51</v>
      </c>
      <c r="L7" s="216" t="s">
        <v>67</v>
      </c>
      <c r="M7" s="216" t="s">
        <v>36</v>
      </c>
      <c r="N7" s="216" t="s">
        <v>37</v>
      </c>
      <c r="O7" s="216" t="s">
        <v>38</v>
      </c>
      <c r="P7" s="216" t="s">
        <v>68</v>
      </c>
      <c r="Q7" s="216" t="s">
        <v>69</v>
      </c>
      <c r="R7" s="255" t="s">
        <v>41</v>
      </c>
      <c r="S7" s="260" t="s">
        <v>42</v>
      </c>
      <c r="T7" s="257" t="s">
        <v>55</v>
      </c>
      <c r="U7" s="215"/>
      <c r="V7" s="258" t="s">
        <v>44</v>
      </c>
      <c r="W7" s="215"/>
      <c r="X7" s="277" t="str">
        <f t="shared" si="1"/>
        <v>Financial</v>
      </c>
      <c r="Y7" s="280" t="s">
        <v>70</v>
      </c>
      <c r="Z7" s="280"/>
      <c r="AA7" s="363" t="s">
        <v>71</v>
      </c>
    </row>
    <row r="8" spans="1:28" ht="91">
      <c r="A8" s="216" t="s">
        <v>46</v>
      </c>
      <c r="B8" s="216" t="s">
        <v>57</v>
      </c>
      <c r="C8" s="216" t="s">
        <v>29</v>
      </c>
      <c r="D8" s="216" t="s">
        <v>72</v>
      </c>
      <c r="E8" s="261" t="s">
        <v>73</v>
      </c>
      <c r="F8" s="254" t="str">
        <f t="shared" si="0"/>
        <v>Process Objective</v>
      </c>
      <c r="G8" s="254" t="str">
        <f t="shared" si="0"/>
        <v>Improve Productivity and Cost Efficiency</v>
      </c>
      <c r="H8" s="254" t="str">
        <f t="shared" si="0"/>
        <v>Achieve Gross Margin target and improve</v>
      </c>
      <c r="I8" s="216" t="s">
        <v>74</v>
      </c>
      <c r="J8" s="216" t="s">
        <v>33</v>
      </c>
      <c r="K8" s="216" t="s">
        <v>51</v>
      </c>
      <c r="L8" s="216" t="s">
        <v>35</v>
      </c>
      <c r="M8" s="216" t="s">
        <v>36</v>
      </c>
      <c r="N8" s="216" t="s">
        <v>37</v>
      </c>
      <c r="O8" s="216" t="s">
        <v>75</v>
      </c>
      <c r="P8" s="216" t="s">
        <v>76</v>
      </c>
      <c r="Q8" s="216" t="s">
        <v>77</v>
      </c>
      <c r="R8" s="255" t="s">
        <v>41</v>
      </c>
      <c r="S8" s="256" t="s">
        <v>78</v>
      </c>
      <c r="T8" s="257" t="s">
        <v>55</v>
      </c>
      <c r="U8" s="215"/>
      <c r="V8" s="258" t="s">
        <v>79</v>
      </c>
      <c r="W8" s="215"/>
      <c r="X8" s="277" t="str">
        <f t="shared" si="1"/>
        <v>Efficiency</v>
      </c>
    </row>
    <row r="9" spans="1:28" ht="91">
      <c r="A9" s="216" t="s">
        <v>46</v>
      </c>
      <c r="B9" s="216" t="s">
        <v>47</v>
      </c>
      <c r="C9" s="216" t="s">
        <v>29</v>
      </c>
      <c r="D9" s="216" t="s">
        <v>72</v>
      </c>
      <c r="E9" s="261" t="s">
        <v>80</v>
      </c>
      <c r="F9" s="254" t="str">
        <f t="shared" si="0"/>
        <v>Process Objective</v>
      </c>
      <c r="G9" s="254" t="str">
        <f t="shared" si="0"/>
        <v>Improve Billability</v>
      </c>
      <c r="H9" s="254" t="str">
        <f t="shared" si="0"/>
        <v>Achieve Gross Margin target and improve</v>
      </c>
      <c r="I9" s="216" t="s">
        <v>81</v>
      </c>
      <c r="J9" s="216" t="s">
        <v>33</v>
      </c>
      <c r="K9" s="216" t="s">
        <v>51</v>
      </c>
      <c r="L9" s="216" t="s">
        <v>35</v>
      </c>
      <c r="M9" s="216" t="s">
        <v>36</v>
      </c>
      <c r="N9" s="216" t="s">
        <v>37</v>
      </c>
      <c r="O9" s="216" t="s">
        <v>75</v>
      </c>
      <c r="P9" s="216" t="s">
        <v>82</v>
      </c>
      <c r="Q9" s="216" t="s">
        <v>83</v>
      </c>
      <c r="R9" s="255" t="s">
        <v>41</v>
      </c>
      <c r="S9" s="259" t="s">
        <v>84</v>
      </c>
      <c r="T9" s="257" t="s">
        <v>43</v>
      </c>
      <c r="U9" s="215" t="s">
        <v>85</v>
      </c>
      <c r="V9" s="258" t="s">
        <v>44</v>
      </c>
      <c r="W9" s="213"/>
      <c r="X9" s="277" t="str">
        <f t="shared" si="1"/>
        <v>Efficiency</v>
      </c>
      <c r="Y9" s="279">
        <v>100</v>
      </c>
      <c r="Z9" s="279">
        <v>95</v>
      </c>
    </row>
    <row r="10" spans="1:28" ht="91">
      <c r="A10" s="216" t="s">
        <v>28</v>
      </c>
      <c r="B10" s="216" t="s">
        <v>86</v>
      </c>
      <c r="C10" s="216"/>
      <c r="D10" s="216" t="s">
        <v>87</v>
      </c>
      <c r="E10" s="261" t="s">
        <v>88</v>
      </c>
      <c r="F10" s="254" t="str">
        <f t="shared" si="0"/>
        <v>Business Objective</v>
      </c>
      <c r="G10" s="254" t="str">
        <f t="shared" si="0"/>
        <v>Achieve Customer Satisfaction target and improve</v>
      </c>
      <c r="H10" s="254" t="str">
        <f t="shared" si="0"/>
        <v/>
      </c>
      <c r="I10" s="216" t="s">
        <v>89</v>
      </c>
      <c r="J10" s="216" t="s">
        <v>90</v>
      </c>
      <c r="K10" s="216" t="s">
        <v>34</v>
      </c>
      <c r="L10" s="216" t="s">
        <v>35</v>
      </c>
      <c r="M10" s="216" t="s">
        <v>36</v>
      </c>
      <c r="N10" s="216" t="s">
        <v>37</v>
      </c>
      <c r="O10" s="216" t="s">
        <v>38</v>
      </c>
      <c r="P10" s="216" t="s">
        <v>91</v>
      </c>
      <c r="Q10" s="216" t="s">
        <v>92</v>
      </c>
      <c r="R10" s="255" t="s">
        <v>93</v>
      </c>
      <c r="S10" s="256" t="s">
        <v>84</v>
      </c>
      <c r="T10" s="257" t="s">
        <v>43</v>
      </c>
      <c r="U10" s="215" t="s">
        <v>85</v>
      </c>
      <c r="V10" s="258" t="s">
        <v>44</v>
      </c>
      <c r="W10" s="215"/>
      <c r="X10" s="277" t="str">
        <f t="shared" si="1"/>
        <v>Stakeholder Perception</v>
      </c>
      <c r="Y10" s="279">
        <v>4</v>
      </c>
      <c r="Z10" s="279">
        <v>3</v>
      </c>
      <c r="AA10" s="362">
        <v>5</v>
      </c>
    </row>
    <row r="11" spans="1:28" ht="78">
      <c r="A11" s="216" t="s">
        <v>46</v>
      </c>
      <c r="B11" s="216" t="s">
        <v>94</v>
      </c>
      <c r="C11" s="216" t="s">
        <v>86</v>
      </c>
      <c r="D11" s="216" t="s">
        <v>95</v>
      </c>
      <c r="E11" s="261" t="s">
        <v>96</v>
      </c>
      <c r="F11" s="254" t="str">
        <f t="shared" si="0"/>
        <v>Process Objective</v>
      </c>
      <c r="G11" s="254" t="str">
        <f t="shared" si="0"/>
        <v>Improve Quality of Delivery</v>
      </c>
      <c r="H11" s="254" t="str">
        <f t="shared" si="0"/>
        <v>Achieve Customer Satisfaction target and improve</v>
      </c>
      <c r="I11" s="216" t="s">
        <v>97</v>
      </c>
      <c r="J11" s="216" t="s">
        <v>33</v>
      </c>
      <c r="K11" s="216" t="s">
        <v>51</v>
      </c>
      <c r="L11" s="216" t="s">
        <v>35</v>
      </c>
      <c r="M11" s="216" t="s">
        <v>98</v>
      </c>
      <c r="N11" s="216" t="s">
        <v>37</v>
      </c>
      <c r="O11" s="216" t="s">
        <v>38</v>
      </c>
      <c r="P11" s="216" t="s">
        <v>99</v>
      </c>
      <c r="Q11" s="216" t="s">
        <v>100</v>
      </c>
      <c r="R11" s="255" t="s">
        <v>101</v>
      </c>
      <c r="S11" s="256" t="s">
        <v>84</v>
      </c>
      <c r="T11" s="257" t="s">
        <v>55</v>
      </c>
      <c r="U11" s="215" t="s">
        <v>85</v>
      </c>
      <c r="V11" s="258" t="s">
        <v>44</v>
      </c>
      <c r="W11" s="215"/>
      <c r="X11" s="277" t="str">
        <f t="shared" si="1"/>
        <v>Internal Quality</v>
      </c>
      <c r="Y11" s="279">
        <v>87.5</v>
      </c>
      <c r="Z11" s="279">
        <v>75</v>
      </c>
    </row>
    <row r="12" spans="1:28" ht="78">
      <c r="A12" s="216" t="s">
        <v>102</v>
      </c>
      <c r="B12" s="216" t="s">
        <v>103</v>
      </c>
      <c r="C12" s="216" t="s">
        <v>57</v>
      </c>
      <c r="D12" s="216" t="s">
        <v>104</v>
      </c>
      <c r="E12" s="261" t="s">
        <v>105</v>
      </c>
      <c r="F12" s="254" t="str">
        <f t="shared" si="0"/>
        <v>Sub-process Objective</v>
      </c>
      <c r="G12" s="254" t="str">
        <f t="shared" si="0"/>
        <v>Improve Delivery Capability</v>
      </c>
      <c r="H12" s="254" t="str">
        <f t="shared" si="0"/>
        <v>Improve Productivity and Cost Efficiency</v>
      </c>
      <c r="I12" s="216" t="s">
        <v>106</v>
      </c>
      <c r="J12" s="216" t="s">
        <v>33</v>
      </c>
      <c r="K12" s="216" t="s">
        <v>51</v>
      </c>
      <c r="L12" s="216" t="s">
        <v>35</v>
      </c>
      <c r="M12" s="216" t="s">
        <v>98</v>
      </c>
      <c r="N12" s="216" t="s">
        <v>37</v>
      </c>
      <c r="O12" s="216" t="s">
        <v>38</v>
      </c>
      <c r="P12" s="216" t="s">
        <v>107</v>
      </c>
      <c r="Q12" s="216" t="s">
        <v>108</v>
      </c>
      <c r="R12" s="255" t="s">
        <v>109</v>
      </c>
      <c r="S12" s="259" t="s">
        <v>84</v>
      </c>
      <c r="T12" s="257" t="s">
        <v>110</v>
      </c>
      <c r="U12" s="215"/>
      <c r="V12" s="258" t="s">
        <v>44</v>
      </c>
      <c r="W12" s="215"/>
      <c r="X12" s="277" t="str">
        <f t="shared" si="1"/>
        <v>Delivery Capabilty</v>
      </c>
    </row>
    <row r="13" spans="1:28" ht="156">
      <c r="A13" s="216" t="s">
        <v>102</v>
      </c>
      <c r="B13" s="216" t="s">
        <v>103</v>
      </c>
      <c r="C13" s="216" t="s">
        <v>94</v>
      </c>
      <c r="D13" s="216" t="s">
        <v>104</v>
      </c>
      <c r="E13" s="261" t="s">
        <v>111</v>
      </c>
      <c r="F13" s="254" t="str">
        <f t="shared" si="0"/>
        <v>Sub-process Objective</v>
      </c>
      <c r="G13" s="254" t="str">
        <f t="shared" si="0"/>
        <v>Improve Delivery Capability</v>
      </c>
      <c r="H13" s="254" t="str">
        <f t="shared" si="0"/>
        <v>Improve Quality of Delivery</v>
      </c>
      <c r="I13" s="216" t="s">
        <v>112</v>
      </c>
      <c r="J13" s="216" t="s">
        <v>33</v>
      </c>
      <c r="K13" s="216" t="s">
        <v>51</v>
      </c>
      <c r="L13" s="216" t="s">
        <v>35</v>
      </c>
      <c r="M13" s="216" t="s">
        <v>98</v>
      </c>
      <c r="N13" s="216" t="s">
        <v>37</v>
      </c>
      <c r="O13" s="216" t="s">
        <v>38</v>
      </c>
      <c r="P13" s="216" t="s">
        <v>113</v>
      </c>
      <c r="Q13" s="216" t="s">
        <v>114</v>
      </c>
      <c r="R13" s="255" t="s">
        <v>115</v>
      </c>
      <c r="S13" s="259" t="s">
        <v>84</v>
      </c>
      <c r="T13" s="257" t="s">
        <v>110</v>
      </c>
      <c r="U13" s="215"/>
      <c r="V13" s="258" t="s">
        <v>44</v>
      </c>
      <c r="W13" s="215"/>
      <c r="X13" s="277" t="str">
        <f t="shared" si="1"/>
        <v>Delivery Capabilty</v>
      </c>
    </row>
    <row r="14" spans="1:28" ht="143">
      <c r="A14" s="216" t="s">
        <v>102</v>
      </c>
      <c r="B14" s="216" t="s">
        <v>103</v>
      </c>
      <c r="C14" s="216" t="s">
        <v>94</v>
      </c>
      <c r="D14" s="216" t="s">
        <v>104</v>
      </c>
      <c r="E14" s="261" t="s">
        <v>116</v>
      </c>
      <c r="F14" s="254" t="str">
        <f t="shared" si="0"/>
        <v>Sub-process Objective</v>
      </c>
      <c r="G14" s="254" t="str">
        <f t="shared" si="0"/>
        <v>Improve Delivery Capability</v>
      </c>
      <c r="H14" s="254" t="str">
        <f t="shared" si="0"/>
        <v>Improve Quality of Delivery</v>
      </c>
      <c r="I14" s="216" t="s">
        <v>117</v>
      </c>
      <c r="J14" s="216" t="s">
        <v>33</v>
      </c>
      <c r="K14" s="216" t="s">
        <v>51</v>
      </c>
      <c r="L14" s="216" t="s">
        <v>35</v>
      </c>
      <c r="M14" s="216" t="s">
        <v>98</v>
      </c>
      <c r="N14" s="216" t="s">
        <v>37</v>
      </c>
      <c r="O14" s="216" t="s">
        <v>38</v>
      </c>
      <c r="P14" s="216" t="s">
        <v>118</v>
      </c>
      <c r="Q14" s="216" t="s">
        <v>114</v>
      </c>
      <c r="R14" s="255" t="s">
        <v>115</v>
      </c>
      <c r="S14" s="259" t="s">
        <v>84</v>
      </c>
      <c r="T14" s="257" t="s">
        <v>110</v>
      </c>
      <c r="U14" s="215"/>
      <c r="V14" s="258" t="s">
        <v>44</v>
      </c>
      <c r="W14" s="215"/>
      <c r="X14" s="277" t="str">
        <f t="shared" si="1"/>
        <v>Delivery Capabilty</v>
      </c>
    </row>
    <row r="15" spans="1:28" ht="156">
      <c r="A15" s="216" t="s">
        <v>102</v>
      </c>
      <c r="B15" s="216" t="s">
        <v>103</v>
      </c>
      <c r="C15" s="216" t="s">
        <v>94</v>
      </c>
      <c r="D15" s="216" t="s">
        <v>104</v>
      </c>
      <c r="E15" s="261" t="s">
        <v>119</v>
      </c>
      <c r="F15" s="254" t="str">
        <f t="shared" si="0"/>
        <v>Sub-process Objective</v>
      </c>
      <c r="G15" s="254" t="str">
        <f t="shared" si="0"/>
        <v>Improve Delivery Capability</v>
      </c>
      <c r="H15" s="254" t="str">
        <f t="shared" si="0"/>
        <v>Improve Quality of Delivery</v>
      </c>
      <c r="I15" s="216" t="s">
        <v>120</v>
      </c>
      <c r="J15" s="216" t="s">
        <v>33</v>
      </c>
      <c r="K15" s="216" t="s">
        <v>51</v>
      </c>
      <c r="L15" s="216" t="s">
        <v>35</v>
      </c>
      <c r="M15" s="216" t="s">
        <v>98</v>
      </c>
      <c r="N15" s="216" t="s">
        <v>37</v>
      </c>
      <c r="O15" s="216" t="s">
        <v>38</v>
      </c>
      <c r="P15" s="216" t="s">
        <v>121</v>
      </c>
      <c r="Q15" s="216" t="s">
        <v>114</v>
      </c>
      <c r="R15" s="255" t="s">
        <v>115</v>
      </c>
      <c r="S15" s="259" t="s">
        <v>84</v>
      </c>
      <c r="T15" s="257" t="s">
        <v>110</v>
      </c>
      <c r="U15" s="215"/>
      <c r="V15" s="258" t="s">
        <v>44</v>
      </c>
      <c r="W15" s="215"/>
      <c r="X15" s="277" t="str">
        <f t="shared" si="1"/>
        <v>Delivery Capabilty</v>
      </c>
    </row>
    <row r="16" spans="1:28" ht="78">
      <c r="A16" s="216" t="s">
        <v>102</v>
      </c>
      <c r="B16" s="216" t="s">
        <v>103</v>
      </c>
      <c r="C16" s="216" t="s">
        <v>57</v>
      </c>
      <c r="D16" s="216" t="s">
        <v>104</v>
      </c>
      <c r="E16" s="261" t="s">
        <v>122</v>
      </c>
      <c r="F16" s="254" t="str">
        <f t="shared" si="0"/>
        <v>Sub-process Objective</v>
      </c>
      <c r="G16" s="254" t="str">
        <f t="shared" si="0"/>
        <v>Improve Delivery Capability</v>
      </c>
      <c r="H16" s="254" t="str">
        <f t="shared" si="0"/>
        <v>Improve Productivity and Cost Efficiency</v>
      </c>
      <c r="I16" s="216" t="s">
        <v>123</v>
      </c>
      <c r="J16" s="216" t="s">
        <v>33</v>
      </c>
      <c r="K16" s="216" t="s">
        <v>51</v>
      </c>
      <c r="L16" s="216" t="s">
        <v>35</v>
      </c>
      <c r="M16" s="216" t="s">
        <v>98</v>
      </c>
      <c r="N16" s="216" t="s">
        <v>37</v>
      </c>
      <c r="O16" s="216" t="s">
        <v>38</v>
      </c>
      <c r="P16" s="216" t="s">
        <v>124</v>
      </c>
      <c r="Q16" s="216" t="s">
        <v>125</v>
      </c>
      <c r="R16" s="255" t="s">
        <v>115</v>
      </c>
      <c r="S16" s="259" t="s">
        <v>84</v>
      </c>
      <c r="T16" s="257" t="s">
        <v>110</v>
      </c>
      <c r="U16" s="215"/>
      <c r="V16" s="258" t="s">
        <v>44</v>
      </c>
      <c r="W16" s="215"/>
      <c r="X16" s="277" t="str">
        <f t="shared" si="1"/>
        <v>Delivery Capabilty</v>
      </c>
    </row>
    <row r="17" spans="1:27" ht="78">
      <c r="A17" s="216" t="s">
        <v>102</v>
      </c>
      <c r="B17" s="216" t="s">
        <v>126</v>
      </c>
      <c r="C17" s="216" t="s">
        <v>57</v>
      </c>
      <c r="D17" s="216" t="s">
        <v>104</v>
      </c>
      <c r="E17" s="261" t="s">
        <v>127</v>
      </c>
      <c r="F17" s="254" t="str">
        <f t="shared" si="0"/>
        <v>Sub-process Objective</v>
      </c>
      <c r="G17" s="254" t="str">
        <f t="shared" si="0"/>
        <v>Improve People Satisfaction and Engagement</v>
      </c>
      <c r="H17" s="254" t="str">
        <f t="shared" si="0"/>
        <v>Improve Productivity and Cost Efficiency</v>
      </c>
      <c r="I17" s="216" t="s">
        <v>128</v>
      </c>
      <c r="J17" s="216" t="s">
        <v>33</v>
      </c>
      <c r="K17" s="216" t="s">
        <v>51</v>
      </c>
      <c r="L17" s="216" t="s">
        <v>35</v>
      </c>
      <c r="M17" s="216" t="s">
        <v>98</v>
      </c>
      <c r="N17" s="216" t="s">
        <v>37</v>
      </c>
      <c r="O17" s="216" t="s">
        <v>38</v>
      </c>
      <c r="P17" s="216" t="s">
        <v>129</v>
      </c>
      <c r="Q17" s="216" t="s">
        <v>130</v>
      </c>
      <c r="R17" s="255" t="s">
        <v>115</v>
      </c>
      <c r="S17" s="256" t="s">
        <v>84</v>
      </c>
      <c r="T17" s="257" t="s">
        <v>55</v>
      </c>
      <c r="U17" s="215" t="s">
        <v>85</v>
      </c>
      <c r="V17" s="258" t="s">
        <v>44</v>
      </c>
      <c r="W17" s="215"/>
      <c r="X17" s="277" t="str">
        <f t="shared" si="1"/>
        <v>Delivery Capabilty</v>
      </c>
      <c r="Y17" s="279">
        <v>95</v>
      </c>
      <c r="Z17" s="279">
        <v>85</v>
      </c>
    </row>
    <row r="18" spans="1:27" ht="65">
      <c r="A18" s="216" t="s">
        <v>46</v>
      </c>
      <c r="B18" s="216" t="s">
        <v>57</v>
      </c>
      <c r="C18" s="216" t="s">
        <v>29</v>
      </c>
      <c r="D18" s="216" t="s">
        <v>72</v>
      </c>
      <c r="E18" s="254" t="s">
        <v>131</v>
      </c>
      <c r="F18" s="254" t="str">
        <f t="shared" si="0"/>
        <v>Process Objective</v>
      </c>
      <c r="G18" s="254" t="str">
        <f t="shared" si="0"/>
        <v>Improve Productivity and Cost Efficiency</v>
      </c>
      <c r="H18" s="254" t="str">
        <f t="shared" si="0"/>
        <v>Achieve Gross Margin target and improve</v>
      </c>
      <c r="I18" s="216" t="s">
        <v>132</v>
      </c>
      <c r="J18" s="216" t="s">
        <v>33</v>
      </c>
      <c r="K18" s="216" t="s">
        <v>34</v>
      </c>
      <c r="L18" s="216" t="s">
        <v>61</v>
      </c>
      <c r="M18" s="216" t="s">
        <v>133</v>
      </c>
      <c r="N18" s="216" t="s">
        <v>134</v>
      </c>
      <c r="O18" s="216" t="s">
        <v>135</v>
      </c>
      <c r="P18" s="216" t="s">
        <v>136</v>
      </c>
      <c r="Q18" s="216" t="s">
        <v>125</v>
      </c>
      <c r="R18" s="255" t="s">
        <v>41</v>
      </c>
      <c r="S18" s="259" t="s">
        <v>137</v>
      </c>
      <c r="T18" s="257" t="s">
        <v>43</v>
      </c>
      <c r="U18" s="215" t="s">
        <v>85</v>
      </c>
      <c r="V18" s="258" t="s">
        <v>79</v>
      </c>
      <c r="W18" s="213" t="s">
        <v>138</v>
      </c>
      <c r="X18" s="277" t="str">
        <f t="shared" si="1"/>
        <v>Efficiency</v>
      </c>
      <c r="Y18" s="279">
        <v>10</v>
      </c>
      <c r="AA18" s="362">
        <v>15</v>
      </c>
    </row>
    <row r="19" spans="1:27" ht="52">
      <c r="A19" s="216" t="s">
        <v>46</v>
      </c>
      <c r="B19" s="216" t="s">
        <v>139</v>
      </c>
      <c r="C19" s="216" t="s">
        <v>86</v>
      </c>
      <c r="D19" s="216" t="s">
        <v>140</v>
      </c>
      <c r="E19" s="254" t="s">
        <v>141</v>
      </c>
      <c r="F19" s="254" t="str">
        <f t="shared" si="0"/>
        <v>Process Objective</v>
      </c>
      <c r="G19" s="254" t="str">
        <f t="shared" si="0"/>
        <v>Improve Ontime and Speed of Delivery</v>
      </c>
      <c r="H19" s="254" t="str">
        <f t="shared" si="0"/>
        <v>Achieve Customer Satisfaction target and improve</v>
      </c>
      <c r="I19" s="216" t="s">
        <v>142</v>
      </c>
      <c r="J19" s="216" t="s">
        <v>33</v>
      </c>
      <c r="K19" s="216" t="s">
        <v>34</v>
      </c>
      <c r="L19" s="216" t="s">
        <v>61</v>
      </c>
      <c r="M19" s="216" t="s">
        <v>143</v>
      </c>
      <c r="N19" s="216" t="s">
        <v>144</v>
      </c>
      <c r="O19" s="216" t="s">
        <v>135</v>
      </c>
      <c r="P19" s="216" t="s">
        <v>145</v>
      </c>
      <c r="Q19" s="216" t="s">
        <v>146</v>
      </c>
      <c r="R19" s="255" t="s">
        <v>41</v>
      </c>
      <c r="S19" s="259" t="s">
        <v>137</v>
      </c>
      <c r="T19" s="257" t="s">
        <v>147</v>
      </c>
      <c r="U19" s="215" t="s">
        <v>85</v>
      </c>
      <c r="V19" s="258" t="s">
        <v>79</v>
      </c>
      <c r="W19" s="213" t="s">
        <v>138</v>
      </c>
      <c r="X19" s="277" t="str">
        <f t="shared" si="1"/>
        <v>Time &amp; Speed</v>
      </c>
      <c r="Y19" s="279">
        <v>2.5</v>
      </c>
      <c r="AA19" s="362">
        <v>5</v>
      </c>
    </row>
    <row r="20" spans="1:27" ht="78">
      <c r="A20" s="216" t="s">
        <v>46</v>
      </c>
      <c r="B20" s="216" t="s">
        <v>148</v>
      </c>
      <c r="C20" s="216" t="s">
        <v>86</v>
      </c>
      <c r="D20" s="216" t="s">
        <v>149</v>
      </c>
      <c r="E20" s="254" t="s">
        <v>150</v>
      </c>
      <c r="F20" s="254" t="str">
        <f t="shared" si="0"/>
        <v>Process Objective</v>
      </c>
      <c r="G20" s="254" t="str">
        <f t="shared" si="0"/>
        <v>Deliver committed scope</v>
      </c>
      <c r="H20" s="254" t="str">
        <f t="shared" si="0"/>
        <v>Achieve Customer Satisfaction target and improve</v>
      </c>
      <c r="I20" s="216" t="s">
        <v>151</v>
      </c>
      <c r="J20" s="216" t="s">
        <v>33</v>
      </c>
      <c r="K20" s="216" t="s">
        <v>34</v>
      </c>
      <c r="L20" s="216" t="s">
        <v>35</v>
      </c>
      <c r="M20" s="216" t="s">
        <v>98</v>
      </c>
      <c r="N20" s="216" t="s">
        <v>37</v>
      </c>
      <c r="O20" s="216" t="s">
        <v>38</v>
      </c>
      <c r="P20" s="216" t="s">
        <v>152</v>
      </c>
      <c r="Q20" s="216" t="s">
        <v>153</v>
      </c>
      <c r="R20" s="255" t="s">
        <v>109</v>
      </c>
      <c r="S20" s="259" t="s">
        <v>137</v>
      </c>
      <c r="T20" s="257" t="s">
        <v>43</v>
      </c>
      <c r="U20" s="215" t="s">
        <v>85</v>
      </c>
      <c r="V20" s="258" t="s">
        <v>79</v>
      </c>
      <c r="W20" s="213" t="s">
        <v>138</v>
      </c>
      <c r="X20" s="277" t="str">
        <f t="shared" si="1"/>
        <v>Scope</v>
      </c>
      <c r="Y20" s="279">
        <v>98</v>
      </c>
      <c r="Z20" s="279">
        <v>95</v>
      </c>
    </row>
    <row r="21" spans="1:27" ht="117">
      <c r="A21" s="216" t="s">
        <v>46</v>
      </c>
      <c r="B21" s="216" t="s">
        <v>94</v>
      </c>
      <c r="C21" s="216" t="s">
        <v>86</v>
      </c>
      <c r="D21" s="216" t="s">
        <v>154</v>
      </c>
      <c r="E21" s="254" t="s">
        <v>155</v>
      </c>
      <c r="F21" s="254" t="str">
        <f t="shared" si="0"/>
        <v>Process Objective</v>
      </c>
      <c r="G21" s="254" t="str">
        <f t="shared" si="0"/>
        <v>Improve Quality of Delivery</v>
      </c>
      <c r="H21" s="254" t="str">
        <f t="shared" si="0"/>
        <v>Achieve Customer Satisfaction target and improve</v>
      </c>
      <c r="I21" s="216" t="s">
        <v>156</v>
      </c>
      <c r="J21" s="216" t="s">
        <v>157</v>
      </c>
      <c r="K21" s="216" t="s">
        <v>34</v>
      </c>
      <c r="L21" s="216" t="s">
        <v>61</v>
      </c>
      <c r="M21" s="216" t="s">
        <v>158</v>
      </c>
      <c r="N21" s="216" t="s">
        <v>159</v>
      </c>
      <c r="O21" s="216" t="s">
        <v>38</v>
      </c>
      <c r="P21" s="216" t="s">
        <v>160</v>
      </c>
      <c r="Q21" s="216" t="s">
        <v>161</v>
      </c>
      <c r="R21" s="255" t="s">
        <v>162</v>
      </c>
      <c r="S21" s="256" t="s">
        <v>84</v>
      </c>
      <c r="T21" s="217" t="s">
        <v>43</v>
      </c>
      <c r="U21" s="215" t="s">
        <v>85</v>
      </c>
      <c r="V21" s="262" t="s">
        <v>44</v>
      </c>
      <c r="W21" s="215"/>
      <c r="X21" s="277" t="str">
        <f t="shared" si="1"/>
        <v>Delivered Quality</v>
      </c>
    </row>
    <row r="22" spans="1:27" ht="78">
      <c r="A22" s="216" t="s">
        <v>46</v>
      </c>
      <c r="B22" s="216" t="s">
        <v>94</v>
      </c>
      <c r="C22" s="216" t="s">
        <v>86</v>
      </c>
      <c r="D22" s="216" t="s">
        <v>154</v>
      </c>
      <c r="E22" s="254" t="s">
        <v>163</v>
      </c>
      <c r="F22" s="254" t="str">
        <f t="shared" si="0"/>
        <v>Process Objective</v>
      </c>
      <c r="G22" s="254" t="str">
        <f t="shared" si="0"/>
        <v>Improve Quality of Delivery</v>
      </c>
      <c r="H22" s="254" t="str">
        <f t="shared" si="0"/>
        <v>Achieve Customer Satisfaction target and improve</v>
      </c>
      <c r="I22" s="216" t="s">
        <v>164</v>
      </c>
      <c r="J22" s="216" t="s">
        <v>165</v>
      </c>
      <c r="K22" s="216" t="s">
        <v>34</v>
      </c>
      <c r="L22" s="216" t="s">
        <v>61</v>
      </c>
      <c r="M22" s="216" t="s">
        <v>158</v>
      </c>
      <c r="N22" s="216" t="s">
        <v>159</v>
      </c>
      <c r="O22" s="216" t="s">
        <v>38</v>
      </c>
      <c r="P22" s="216" t="s">
        <v>166</v>
      </c>
      <c r="Q22" s="216" t="s">
        <v>167</v>
      </c>
      <c r="R22" s="255" t="s">
        <v>162</v>
      </c>
      <c r="S22" s="256" t="s">
        <v>84</v>
      </c>
      <c r="T22" s="217" t="s">
        <v>43</v>
      </c>
      <c r="U22" s="215" t="s">
        <v>85</v>
      </c>
      <c r="V22" s="262" t="s">
        <v>44</v>
      </c>
      <c r="W22" s="215"/>
      <c r="X22" s="277" t="str">
        <f t="shared" si="1"/>
        <v>Delivered Quality</v>
      </c>
      <c r="Y22" s="279">
        <v>1.7999999999999999E-2</v>
      </c>
      <c r="AA22" s="362">
        <v>0.09</v>
      </c>
    </row>
    <row r="23" spans="1:27" ht="143">
      <c r="A23" s="216" t="s">
        <v>46</v>
      </c>
      <c r="B23" s="216" t="s">
        <v>94</v>
      </c>
      <c r="C23" s="216" t="s">
        <v>86</v>
      </c>
      <c r="D23" s="216" t="s">
        <v>95</v>
      </c>
      <c r="E23" s="254" t="s">
        <v>168</v>
      </c>
      <c r="F23" s="254" t="str">
        <f t="shared" si="0"/>
        <v>Process Objective</v>
      </c>
      <c r="G23" s="254" t="str">
        <f t="shared" si="0"/>
        <v>Improve Quality of Delivery</v>
      </c>
      <c r="H23" s="254" t="str">
        <f t="shared" si="0"/>
        <v>Achieve Customer Satisfaction target and improve</v>
      </c>
      <c r="I23" s="216" t="s">
        <v>169</v>
      </c>
      <c r="J23" s="216" t="s">
        <v>157</v>
      </c>
      <c r="K23" s="216" t="s">
        <v>34</v>
      </c>
      <c r="L23" s="216" t="s">
        <v>61</v>
      </c>
      <c r="M23" s="216" t="s">
        <v>158</v>
      </c>
      <c r="N23" s="216" t="s">
        <v>159</v>
      </c>
      <c r="O23" s="216" t="s">
        <v>38</v>
      </c>
      <c r="P23" s="216" t="s">
        <v>170</v>
      </c>
      <c r="Q23" s="216" t="s">
        <v>161</v>
      </c>
      <c r="R23" s="255" t="s">
        <v>162</v>
      </c>
      <c r="S23" s="259" t="s">
        <v>84</v>
      </c>
      <c r="T23" s="217" t="s">
        <v>55</v>
      </c>
      <c r="U23" s="215"/>
      <c r="V23" s="262" t="s">
        <v>44</v>
      </c>
      <c r="W23" s="215"/>
      <c r="X23" s="277" t="str">
        <f t="shared" si="1"/>
        <v>Internal Quality</v>
      </c>
    </row>
    <row r="24" spans="1:27" ht="117">
      <c r="A24" s="216" t="s">
        <v>46</v>
      </c>
      <c r="B24" s="216" t="s">
        <v>94</v>
      </c>
      <c r="C24" s="216" t="s">
        <v>86</v>
      </c>
      <c r="D24" s="216" t="s">
        <v>95</v>
      </c>
      <c r="E24" s="254" t="s">
        <v>171</v>
      </c>
      <c r="F24" s="254" t="str">
        <f t="shared" si="0"/>
        <v>Process Objective</v>
      </c>
      <c r="G24" s="254" t="str">
        <f t="shared" si="0"/>
        <v>Improve Quality of Delivery</v>
      </c>
      <c r="H24" s="254" t="str">
        <f t="shared" si="0"/>
        <v>Achieve Customer Satisfaction target and improve</v>
      </c>
      <c r="I24" s="216" t="s">
        <v>172</v>
      </c>
      <c r="J24" s="216" t="s">
        <v>165</v>
      </c>
      <c r="K24" s="216" t="s">
        <v>34</v>
      </c>
      <c r="L24" s="216" t="s">
        <v>61</v>
      </c>
      <c r="M24" s="216" t="s">
        <v>158</v>
      </c>
      <c r="N24" s="216" t="s">
        <v>159</v>
      </c>
      <c r="O24" s="216" t="s">
        <v>38</v>
      </c>
      <c r="P24" s="216" t="s">
        <v>173</v>
      </c>
      <c r="Q24" s="216" t="s">
        <v>167</v>
      </c>
      <c r="R24" s="255" t="s">
        <v>162</v>
      </c>
      <c r="S24" s="259" t="s">
        <v>84</v>
      </c>
      <c r="T24" s="217" t="s">
        <v>55</v>
      </c>
      <c r="U24" s="215"/>
      <c r="V24" s="262" t="s">
        <v>44</v>
      </c>
      <c r="W24" s="215"/>
      <c r="X24" s="277" t="str">
        <f t="shared" si="1"/>
        <v>Internal Quality</v>
      </c>
      <c r="Y24" s="279">
        <v>0.7</v>
      </c>
      <c r="AA24" s="362">
        <v>0.8</v>
      </c>
    </row>
    <row r="25" spans="1:27" ht="78">
      <c r="A25" s="216" t="s">
        <v>102</v>
      </c>
      <c r="B25" s="216" t="s">
        <v>174</v>
      </c>
      <c r="C25" s="216" t="s">
        <v>94</v>
      </c>
      <c r="D25" s="216" t="s">
        <v>175</v>
      </c>
      <c r="E25" s="254" t="s">
        <v>176</v>
      </c>
      <c r="F25" s="254" t="str">
        <f t="shared" si="0"/>
        <v>Sub-process Objective</v>
      </c>
      <c r="G25" s="254" t="str">
        <f t="shared" si="0"/>
        <v>Improve System Performance</v>
      </c>
      <c r="H25" s="254" t="str">
        <f t="shared" si="0"/>
        <v>Improve Quality of Delivery</v>
      </c>
      <c r="I25" s="216" t="s">
        <v>177</v>
      </c>
      <c r="J25" s="216" t="s">
        <v>33</v>
      </c>
      <c r="K25" s="216" t="s">
        <v>34</v>
      </c>
      <c r="L25" s="216" t="s">
        <v>35</v>
      </c>
      <c r="M25" s="216" t="s">
        <v>158</v>
      </c>
      <c r="N25" s="216" t="s">
        <v>159</v>
      </c>
      <c r="O25" s="216" t="s">
        <v>38</v>
      </c>
      <c r="P25" s="216" t="s">
        <v>178</v>
      </c>
      <c r="Q25" s="216" t="s">
        <v>179</v>
      </c>
      <c r="R25" s="255" t="s">
        <v>180</v>
      </c>
      <c r="S25" s="259" t="s">
        <v>181</v>
      </c>
      <c r="T25" s="217" t="s">
        <v>110</v>
      </c>
      <c r="U25" s="215"/>
      <c r="V25" s="258" t="s">
        <v>79</v>
      </c>
      <c r="W25" s="215"/>
      <c r="X25" s="277" t="str">
        <f t="shared" si="1"/>
        <v>Non-functional-Performance</v>
      </c>
    </row>
    <row r="26" spans="1:27" ht="78">
      <c r="A26" s="216" t="s">
        <v>102</v>
      </c>
      <c r="B26" s="216" t="s">
        <v>174</v>
      </c>
      <c r="C26" s="216" t="s">
        <v>94</v>
      </c>
      <c r="D26" s="216" t="s">
        <v>175</v>
      </c>
      <c r="E26" s="254" t="s">
        <v>182</v>
      </c>
      <c r="F26" s="254" t="str">
        <f t="shared" si="0"/>
        <v>Sub-process Objective</v>
      </c>
      <c r="G26" s="254" t="str">
        <f t="shared" si="0"/>
        <v>Improve System Performance</v>
      </c>
      <c r="H26" s="254" t="str">
        <f t="shared" si="0"/>
        <v>Improve Quality of Delivery</v>
      </c>
      <c r="I26" s="216" t="s">
        <v>183</v>
      </c>
      <c r="J26" s="216" t="s">
        <v>184</v>
      </c>
      <c r="K26" s="216" t="s">
        <v>34</v>
      </c>
      <c r="L26" s="216" t="s">
        <v>35</v>
      </c>
      <c r="M26" s="216" t="s">
        <v>185</v>
      </c>
      <c r="N26" s="216" t="s">
        <v>159</v>
      </c>
      <c r="O26" s="216" t="s">
        <v>38</v>
      </c>
      <c r="P26" s="216" t="s">
        <v>186</v>
      </c>
      <c r="Q26" s="216" t="s">
        <v>179</v>
      </c>
      <c r="R26" s="255" t="s">
        <v>180</v>
      </c>
      <c r="S26" s="259" t="s">
        <v>181</v>
      </c>
      <c r="T26" s="217" t="s">
        <v>110</v>
      </c>
      <c r="U26" s="215"/>
      <c r="V26" s="258" t="s">
        <v>79</v>
      </c>
      <c r="W26" s="215"/>
      <c r="X26" s="277" t="str">
        <f t="shared" si="1"/>
        <v>Non-functional-Performance</v>
      </c>
    </row>
    <row r="27" spans="1:27" ht="78">
      <c r="A27" s="216" t="s">
        <v>102</v>
      </c>
      <c r="B27" s="216" t="s">
        <v>187</v>
      </c>
      <c r="C27" s="216" t="s">
        <v>94</v>
      </c>
      <c r="D27" s="216" t="s">
        <v>188</v>
      </c>
      <c r="E27" s="254" t="s">
        <v>189</v>
      </c>
      <c r="F27" s="254" t="str">
        <f t="shared" si="0"/>
        <v>Sub-process Objective</v>
      </c>
      <c r="G27" s="254" t="str">
        <f t="shared" si="0"/>
        <v>Improve System Security</v>
      </c>
      <c r="H27" s="254" t="str">
        <f t="shared" si="0"/>
        <v>Improve Quality of Delivery</v>
      </c>
      <c r="I27" s="216" t="s">
        <v>190</v>
      </c>
      <c r="J27" s="216" t="s">
        <v>33</v>
      </c>
      <c r="K27" s="216" t="s">
        <v>34</v>
      </c>
      <c r="L27" s="216" t="s">
        <v>35</v>
      </c>
      <c r="M27" s="216" t="s">
        <v>185</v>
      </c>
      <c r="N27" s="216" t="s">
        <v>159</v>
      </c>
      <c r="O27" s="216" t="s">
        <v>38</v>
      </c>
      <c r="P27" s="216" t="s">
        <v>191</v>
      </c>
      <c r="Q27" s="216" t="s">
        <v>192</v>
      </c>
      <c r="R27" s="255" t="s">
        <v>193</v>
      </c>
      <c r="S27" s="259" t="s">
        <v>181</v>
      </c>
      <c r="T27" s="217" t="s">
        <v>110</v>
      </c>
      <c r="U27" s="215"/>
      <c r="V27" s="258" t="s">
        <v>79</v>
      </c>
      <c r="W27" s="215"/>
      <c r="X27" s="277" t="str">
        <f t="shared" si="1"/>
        <v>Non-functional-Security</v>
      </c>
    </row>
    <row r="28" spans="1:27" ht="91">
      <c r="A28" s="216" t="s">
        <v>102</v>
      </c>
      <c r="B28" s="216" t="s">
        <v>187</v>
      </c>
      <c r="C28" s="216" t="s">
        <v>148</v>
      </c>
      <c r="D28" s="216" t="s">
        <v>188</v>
      </c>
      <c r="E28" s="254" t="s">
        <v>194</v>
      </c>
      <c r="F28" s="254" t="str">
        <f t="shared" si="0"/>
        <v>Sub-process Objective</v>
      </c>
      <c r="G28" s="254" t="str">
        <f t="shared" si="0"/>
        <v>Improve System Security</v>
      </c>
      <c r="H28" s="254" t="str">
        <f t="shared" si="0"/>
        <v>Deliver committed scope</v>
      </c>
      <c r="I28" s="216" t="s">
        <v>195</v>
      </c>
      <c r="J28" s="216" t="s">
        <v>33</v>
      </c>
      <c r="K28" s="216" t="s">
        <v>34</v>
      </c>
      <c r="L28" s="216" t="s">
        <v>35</v>
      </c>
      <c r="M28" s="216" t="s">
        <v>36</v>
      </c>
      <c r="N28" s="216" t="s">
        <v>37</v>
      </c>
      <c r="O28" s="216" t="s">
        <v>38</v>
      </c>
      <c r="P28" s="216" t="s">
        <v>196</v>
      </c>
      <c r="Q28" s="216" t="s">
        <v>197</v>
      </c>
      <c r="R28" s="255" t="s">
        <v>41</v>
      </c>
      <c r="S28" s="259" t="s">
        <v>181</v>
      </c>
      <c r="T28" s="217" t="s">
        <v>110</v>
      </c>
      <c r="U28" s="215"/>
      <c r="V28" s="258" t="s">
        <v>79</v>
      </c>
      <c r="W28" s="215"/>
      <c r="X28" s="277" t="str">
        <f t="shared" si="1"/>
        <v>Non-functional-Security</v>
      </c>
    </row>
    <row r="29" spans="1:27" ht="130">
      <c r="A29" s="216" t="s">
        <v>102</v>
      </c>
      <c r="B29" s="216" t="s">
        <v>198</v>
      </c>
      <c r="C29" s="216" t="s">
        <v>94</v>
      </c>
      <c r="D29" s="216" t="s">
        <v>199</v>
      </c>
      <c r="E29" s="254" t="s">
        <v>200</v>
      </c>
      <c r="F29" s="254" t="str">
        <f t="shared" si="0"/>
        <v>Sub-process Objective</v>
      </c>
      <c r="G29" s="254" t="str">
        <f t="shared" si="0"/>
        <v>Improve System Usability</v>
      </c>
      <c r="H29" s="254" t="str">
        <f t="shared" si="0"/>
        <v>Improve Quality of Delivery</v>
      </c>
      <c r="I29" s="263" t="s">
        <v>201</v>
      </c>
      <c r="J29" s="216" t="s">
        <v>33</v>
      </c>
      <c r="K29" s="216" t="s">
        <v>34</v>
      </c>
      <c r="L29" s="216" t="s">
        <v>35</v>
      </c>
      <c r="M29" s="216" t="s">
        <v>185</v>
      </c>
      <c r="N29" s="216" t="s">
        <v>159</v>
      </c>
      <c r="O29" s="216" t="s">
        <v>38</v>
      </c>
      <c r="P29" s="263" t="s">
        <v>202</v>
      </c>
      <c r="Q29" s="216" t="s">
        <v>203</v>
      </c>
      <c r="R29" s="255" t="s">
        <v>204</v>
      </c>
      <c r="S29" s="256" t="s">
        <v>181</v>
      </c>
      <c r="T29" s="217" t="s">
        <v>110</v>
      </c>
      <c r="U29" s="215"/>
      <c r="V29" s="258" t="s">
        <v>79</v>
      </c>
      <c r="W29" s="215"/>
      <c r="X29" s="277" t="str">
        <f t="shared" si="1"/>
        <v>Non-functional-Usability</v>
      </c>
    </row>
    <row r="30" spans="1:27" ht="78">
      <c r="A30" s="216" t="s">
        <v>102</v>
      </c>
      <c r="B30" s="216" t="s">
        <v>205</v>
      </c>
      <c r="C30" s="216" t="s">
        <v>94</v>
      </c>
      <c r="D30" s="216" t="s">
        <v>206</v>
      </c>
      <c r="E30" s="254" t="s">
        <v>207</v>
      </c>
      <c r="F30" s="254" t="str">
        <f t="shared" si="0"/>
        <v>Sub-process Objective</v>
      </c>
      <c r="G30" s="254" t="str">
        <f t="shared" si="0"/>
        <v>Improve System Maintainability</v>
      </c>
      <c r="H30" s="254" t="str">
        <f t="shared" si="0"/>
        <v>Improve Quality of Delivery</v>
      </c>
      <c r="I30" s="216" t="s">
        <v>208</v>
      </c>
      <c r="J30" s="216" t="s">
        <v>209</v>
      </c>
      <c r="K30" s="216" t="s">
        <v>34</v>
      </c>
      <c r="L30" s="216" t="s">
        <v>61</v>
      </c>
      <c r="M30" s="216" t="s">
        <v>185</v>
      </c>
      <c r="N30" s="216" t="s">
        <v>159</v>
      </c>
      <c r="O30" s="216" t="s">
        <v>38</v>
      </c>
      <c r="P30" s="216" t="s">
        <v>210</v>
      </c>
      <c r="Q30" s="216" t="s">
        <v>211</v>
      </c>
      <c r="R30" s="255" t="s">
        <v>212</v>
      </c>
      <c r="S30" s="259" t="s">
        <v>137</v>
      </c>
      <c r="T30" s="217" t="s">
        <v>110</v>
      </c>
      <c r="U30" s="215"/>
      <c r="V30" s="258" t="s">
        <v>79</v>
      </c>
      <c r="W30" s="215"/>
      <c r="X30" s="277" t="str">
        <f t="shared" si="1"/>
        <v>Non-functional-Maintainability</v>
      </c>
    </row>
    <row r="31" spans="1:27" ht="78">
      <c r="A31" s="216" t="s">
        <v>102</v>
      </c>
      <c r="B31" s="216" t="s">
        <v>205</v>
      </c>
      <c r="C31" s="216" t="s">
        <v>94</v>
      </c>
      <c r="D31" s="216" t="s">
        <v>206</v>
      </c>
      <c r="E31" s="254" t="s">
        <v>213</v>
      </c>
      <c r="F31" s="254" t="str">
        <f t="shared" si="0"/>
        <v>Sub-process Objective</v>
      </c>
      <c r="G31" s="254" t="str">
        <f t="shared" si="0"/>
        <v>Improve System Maintainability</v>
      </c>
      <c r="H31" s="254" t="str">
        <f t="shared" si="0"/>
        <v>Improve Quality of Delivery</v>
      </c>
      <c r="I31" s="216" t="s">
        <v>214</v>
      </c>
      <c r="J31" s="216" t="s">
        <v>90</v>
      </c>
      <c r="K31" s="216" t="s">
        <v>51</v>
      </c>
      <c r="L31" s="216" t="s">
        <v>61</v>
      </c>
      <c r="M31" s="216" t="s">
        <v>185</v>
      </c>
      <c r="N31" s="216" t="s">
        <v>159</v>
      </c>
      <c r="O31" s="216" t="s">
        <v>38</v>
      </c>
      <c r="P31" s="216" t="s">
        <v>215</v>
      </c>
      <c r="Q31" s="216" t="s">
        <v>211</v>
      </c>
      <c r="R31" s="255" t="s">
        <v>212</v>
      </c>
      <c r="S31" s="259" t="s">
        <v>137</v>
      </c>
      <c r="T31" s="217" t="s">
        <v>110</v>
      </c>
      <c r="U31" s="215"/>
      <c r="V31" s="258" t="s">
        <v>79</v>
      </c>
      <c r="W31" s="215"/>
      <c r="X31" s="277" t="str">
        <f t="shared" si="1"/>
        <v>Non-functional-Maintainability</v>
      </c>
    </row>
    <row r="32" spans="1:27" ht="78">
      <c r="A32" s="216" t="s">
        <v>102</v>
      </c>
      <c r="B32" s="216" t="s">
        <v>205</v>
      </c>
      <c r="C32" s="216" t="s">
        <v>94</v>
      </c>
      <c r="D32" s="216" t="s">
        <v>206</v>
      </c>
      <c r="E32" s="254" t="s">
        <v>216</v>
      </c>
      <c r="F32" s="254" t="str">
        <f t="shared" si="0"/>
        <v>Sub-process Objective</v>
      </c>
      <c r="G32" s="254" t="str">
        <f t="shared" si="0"/>
        <v>Improve System Maintainability</v>
      </c>
      <c r="H32" s="254" t="str">
        <f t="shared" si="0"/>
        <v>Improve Quality of Delivery</v>
      </c>
      <c r="I32" s="216" t="s">
        <v>217</v>
      </c>
      <c r="J32" s="216" t="s">
        <v>90</v>
      </c>
      <c r="K32" s="216" t="s">
        <v>51</v>
      </c>
      <c r="L32" s="216" t="s">
        <v>61</v>
      </c>
      <c r="M32" s="216" t="s">
        <v>185</v>
      </c>
      <c r="N32" s="216" t="s">
        <v>159</v>
      </c>
      <c r="O32" s="216" t="s">
        <v>38</v>
      </c>
      <c r="P32" s="216" t="s">
        <v>218</v>
      </c>
      <c r="Q32" s="216" t="s">
        <v>219</v>
      </c>
      <c r="R32" s="255" t="s">
        <v>212</v>
      </c>
      <c r="S32" s="259" t="s">
        <v>137</v>
      </c>
      <c r="T32" s="217" t="s">
        <v>110</v>
      </c>
      <c r="U32" s="215"/>
      <c r="V32" s="258" t="s">
        <v>79</v>
      </c>
      <c r="W32" s="215"/>
      <c r="X32" s="277" t="str">
        <f t="shared" si="1"/>
        <v>Non-functional-Maintainability</v>
      </c>
    </row>
    <row r="33" spans="1:26" ht="78">
      <c r="A33" s="216" t="s">
        <v>102</v>
      </c>
      <c r="B33" s="216" t="s">
        <v>205</v>
      </c>
      <c r="C33" s="216" t="s">
        <v>94</v>
      </c>
      <c r="D33" s="216" t="s">
        <v>206</v>
      </c>
      <c r="E33" s="254" t="s">
        <v>220</v>
      </c>
      <c r="F33" s="254" t="str">
        <f t="shared" si="0"/>
        <v>Sub-process Objective</v>
      </c>
      <c r="G33" s="254" t="str">
        <f t="shared" si="0"/>
        <v>Improve System Maintainability</v>
      </c>
      <c r="H33" s="254" t="str">
        <f t="shared" si="0"/>
        <v>Improve Quality of Delivery</v>
      </c>
      <c r="I33" s="216" t="s">
        <v>221</v>
      </c>
      <c r="J33" s="216" t="s">
        <v>90</v>
      </c>
      <c r="K33" s="216" t="s">
        <v>34</v>
      </c>
      <c r="L33" s="216" t="s">
        <v>35</v>
      </c>
      <c r="M33" s="216" t="s">
        <v>185</v>
      </c>
      <c r="N33" s="216" t="s">
        <v>159</v>
      </c>
      <c r="O33" s="216" t="s">
        <v>38</v>
      </c>
      <c r="P33" s="216" t="s">
        <v>222</v>
      </c>
      <c r="Q33" s="216" t="s">
        <v>211</v>
      </c>
      <c r="R33" s="255" t="s">
        <v>212</v>
      </c>
      <c r="S33" s="259" t="s">
        <v>137</v>
      </c>
      <c r="T33" s="217" t="s">
        <v>110</v>
      </c>
      <c r="U33" s="215"/>
      <c r="V33" s="258" t="s">
        <v>79</v>
      </c>
      <c r="W33" s="215"/>
      <c r="X33" s="277" t="str">
        <f t="shared" si="1"/>
        <v>Non-functional-Maintainability</v>
      </c>
    </row>
    <row r="34" spans="1:26" ht="104">
      <c r="A34" s="216" t="s">
        <v>102</v>
      </c>
      <c r="B34" s="216" t="s">
        <v>205</v>
      </c>
      <c r="C34" s="216" t="s">
        <v>94</v>
      </c>
      <c r="D34" s="216" t="s">
        <v>206</v>
      </c>
      <c r="E34" s="254" t="s">
        <v>223</v>
      </c>
      <c r="F34" s="254" t="str">
        <f t="shared" si="0"/>
        <v>Sub-process Objective</v>
      </c>
      <c r="G34" s="254" t="str">
        <f t="shared" si="0"/>
        <v>Improve System Maintainability</v>
      </c>
      <c r="H34" s="254" t="str">
        <f t="shared" si="0"/>
        <v>Improve Quality of Delivery</v>
      </c>
      <c r="I34" s="216" t="s">
        <v>224</v>
      </c>
      <c r="J34" s="216" t="s">
        <v>33</v>
      </c>
      <c r="K34" s="216" t="s">
        <v>51</v>
      </c>
      <c r="L34" s="216" t="s">
        <v>35</v>
      </c>
      <c r="M34" s="216" t="s">
        <v>185</v>
      </c>
      <c r="N34" s="216" t="s">
        <v>159</v>
      </c>
      <c r="O34" s="216" t="s">
        <v>38</v>
      </c>
      <c r="P34" s="216" t="s">
        <v>225</v>
      </c>
      <c r="Q34" s="216" t="s">
        <v>211</v>
      </c>
      <c r="R34" s="255" t="s">
        <v>212</v>
      </c>
      <c r="S34" s="259" t="s">
        <v>137</v>
      </c>
      <c r="T34" s="217" t="s">
        <v>110</v>
      </c>
      <c r="U34" s="215"/>
      <c r="V34" s="258" t="s">
        <v>79</v>
      </c>
      <c r="W34" s="215"/>
      <c r="X34" s="277" t="str">
        <f t="shared" si="1"/>
        <v>Non-functional-Maintainability</v>
      </c>
    </row>
    <row r="35" spans="1:26" ht="156">
      <c r="A35" s="216" t="s">
        <v>46</v>
      </c>
      <c r="B35" s="216" t="s">
        <v>57</v>
      </c>
      <c r="C35" s="216" t="s">
        <v>29</v>
      </c>
      <c r="D35" s="216" t="s">
        <v>30</v>
      </c>
      <c r="E35" s="254" t="s">
        <v>226</v>
      </c>
      <c r="F35" s="254" t="str">
        <f t="shared" si="0"/>
        <v>Process Objective</v>
      </c>
      <c r="G35" s="254" t="str">
        <f t="shared" si="0"/>
        <v>Improve Productivity and Cost Efficiency</v>
      </c>
      <c r="H35" s="254" t="str">
        <f t="shared" si="0"/>
        <v>Achieve Gross Margin target and improve</v>
      </c>
      <c r="I35" s="216" t="s">
        <v>227</v>
      </c>
      <c r="J35" s="216" t="s">
        <v>228</v>
      </c>
      <c r="K35" s="216" t="s">
        <v>34</v>
      </c>
      <c r="L35" s="216" t="s">
        <v>61</v>
      </c>
      <c r="M35" s="216" t="s">
        <v>98</v>
      </c>
      <c r="N35" s="216" t="s">
        <v>37</v>
      </c>
      <c r="O35" s="216" t="s">
        <v>38</v>
      </c>
      <c r="P35" s="216" t="s">
        <v>229</v>
      </c>
      <c r="Q35" s="216" t="s">
        <v>230</v>
      </c>
      <c r="R35" s="255" t="s">
        <v>115</v>
      </c>
      <c r="S35" s="256" t="s">
        <v>137</v>
      </c>
      <c r="T35" s="217" t="s">
        <v>147</v>
      </c>
      <c r="U35" s="215"/>
      <c r="V35" s="262" t="s">
        <v>44</v>
      </c>
      <c r="W35" s="213" t="s">
        <v>231</v>
      </c>
      <c r="X35" s="277" t="str">
        <f t="shared" si="1"/>
        <v>Financial</v>
      </c>
    </row>
    <row r="36" spans="1:26" ht="156">
      <c r="A36" s="216" t="s">
        <v>46</v>
      </c>
      <c r="B36" s="216" t="s">
        <v>57</v>
      </c>
      <c r="C36" s="216" t="s">
        <v>86</v>
      </c>
      <c r="D36" s="216" t="s">
        <v>72</v>
      </c>
      <c r="E36" s="261" t="s">
        <v>232</v>
      </c>
      <c r="F36" s="254" t="str">
        <f t="shared" si="0"/>
        <v>Process Objective</v>
      </c>
      <c r="G36" s="254" t="str">
        <f t="shared" si="0"/>
        <v>Improve Productivity and Cost Efficiency</v>
      </c>
      <c r="H36" s="254" t="str">
        <f t="shared" si="0"/>
        <v>Achieve Customer Satisfaction target and improve</v>
      </c>
      <c r="I36" s="216" t="s">
        <v>233</v>
      </c>
      <c r="J36" s="216" t="s">
        <v>234</v>
      </c>
      <c r="K36" s="216" t="s">
        <v>34</v>
      </c>
      <c r="L36" s="216" t="s">
        <v>35</v>
      </c>
      <c r="M36" s="216" t="s">
        <v>235</v>
      </c>
      <c r="N36" s="216" t="s">
        <v>236</v>
      </c>
      <c r="O36" s="216" t="s">
        <v>38</v>
      </c>
      <c r="P36" s="216" t="s">
        <v>237</v>
      </c>
      <c r="Q36" s="216" t="s">
        <v>238</v>
      </c>
      <c r="R36" s="255" t="s">
        <v>239</v>
      </c>
      <c r="S36" s="256" t="s">
        <v>84</v>
      </c>
      <c r="T36" s="257" t="s">
        <v>43</v>
      </c>
      <c r="U36" s="215" t="s">
        <v>85</v>
      </c>
      <c r="V36" s="262" t="s">
        <v>79</v>
      </c>
      <c r="W36" s="213"/>
      <c r="X36" s="277" t="str">
        <f t="shared" si="1"/>
        <v>Efficiency</v>
      </c>
      <c r="Y36" s="281" t="s">
        <v>240</v>
      </c>
      <c r="Z36" s="281" t="s">
        <v>241</v>
      </c>
    </row>
    <row r="37" spans="1:26" ht="169">
      <c r="A37" s="216" t="s">
        <v>46</v>
      </c>
      <c r="B37" s="216" t="s">
        <v>57</v>
      </c>
      <c r="C37" s="216" t="s">
        <v>29</v>
      </c>
      <c r="D37" s="216" t="s">
        <v>72</v>
      </c>
      <c r="E37" s="261" t="s">
        <v>242</v>
      </c>
      <c r="F37" s="254" t="str">
        <f t="shared" si="0"/>
        <v>Process Objective</v>
      </c>
      <c r="G37" s="254" t="str">
        <f t="shared" si="0"/>
        <v>Improve Productivity and Cost Efficiency</v>
      </c>
      <c r="H37" s="254" t="str">
        <f t="shared" si="0"/>
        <v>Achieve Gross Margin target and improve</v>
      </c>
      <c r="I37" s="216" t="s">
        <v>243</v>
      </c>
      <c r="J37" s="216" t="s">
        <v>244</v>
      </c>
      <c r="K37" s="216" t="s">
        <v>34</v>
      </c>
      <c r="L37" s="216" t="s">
        <v>61</v>
      </c>
      <c r="M37" s="216" t="s">
        <v>235</v>
      </c>
      <c r="N37" s="216" t="s">
        <v>236</v>
      </c>
      <c r="O37" s="216" t="s">
        <v>38</v>
      </c>
      <c r="P37" s="216" t="s">
        <v>245</v>
      </c>
      <c r="Q37" s="216" t="s">
        <v>238</v>
      </c>
      <c r="R37" s="255" t="s">
        <v>239</v>
      </c>
      <c r="S37" s="256" t="s">
        <v>84</v>
      </c>
      <c r="T37" s="257" t="s">
        <v>43</v>
      </c>
      <c r="U37" s="215" t="s">
        <v>85</v>
      </c>
      <c r="V37" s="262" t="s">
        <v>79</v>
      </c>
      <c r="W37" s="213"/>
      <c r="X37" s="277" t="str">
        <f t="shared" si="1"/>
        <v>Efficiency</v>
      </c>
    </row>
    <row r="38" spans="1:26" ht="182">
      <c r="A38" s="216" t="s">
        <v>46</v>
      </c>
      <c r="B38" s="216" t="s">
        <v>139</v>
      </c>
      <c r="C38" s="216" t="s">
        <v>86</v>
      </c>
      <c r="D38" s="216" t="s">
        <v>140</v>
      </c>
      <c r="E38" s="261" t="s">
        <v>246</v>
      </c>
      <c r="F38" s="254" t="str">
        <f t="shared" si="0"/>
        <v>Process Objective</v>
      </c>
      <c r="G38" s="254" t="str">
        <f t="shared" si="0"/>
        <v>Improve Ontime and Speed of Delivery</v>
      </c>
      <c r="H38" s="254" t="str">
        <f t="shared" si="0"/>
        <v>Achieve Customer Satisfaction target and improve</v>
      </c>
      <c r="I38" s="216" t="s">
        <v>247</v>
      </c>
      <c r="J38" s="216" t="s">
        <v>248</v>
      </c>
      <c r="K38" s="216" t="s">
        <v>34</v>
      </c>
      <c r="L38" s="216" t="s">
        <v>35</v>
      </c>
      <c r="M38" s="216" t="s">
        <v>249</v>
      </c>
      <c r="N38" s="216" t="s">
        <v>236</v>
      </c>
      <c r="O38" s="216" t="s">
        <v>38</v>
      </c>
      <c r="P38" s="216" t="s">
        <v>250</v>
      </c>
      <c r="Q38" s="216" t="s">
        <v>251</v>
      </c>
      <c r="R38" s="255" t="s">
        <v>252</v>
      </c>
      <c r="S38" s="256" t="s">
        <v>84</v>
      </c>
      <c r="T38" s="257" t="s">
        <v>147</v>
      </c>
      <c r="U38" s="215"/>
      <c r="V38" s="262" t="s">
        <v>44</v>
      </c>
      <c r="W38" s="213" t="s">
        <v>231</v>
      </c>
      <c r="X38" s="277" t="str">
        <f t="shared" si="1"/>
        <v>Time &amp; Speed</v>
      </c>
    </row>
    <row r="39" spans="1:26" ht="169">
      <c r="A39" s="216" t="s">
        <v>46</v>
      </c>
      <c r="B39" s="216" t="s">
        <v>139</v>
      </c>
      <c r="C39" s="216" t="s">
        <v>86</v>
      </c>
      <c r="D39" s="216" t="s">
        <v>140</v>
      </c>
      <c r="E39" s="261" t="s">
        <v>253</v>
      </c>
      <c r="F39" s="254" t="str">
        <f t="shared" si="0"/>
        <v>Process Objective</v>
      </c>
      <c r="G39" s="254" t="str">
        <f t="shared" si="0"/>
        <v>Improve Ontime and Speed of Delivery</v>
      </c>
      <c r="H39" s="254" t="str">
        <f t="shared" si="0"/>
        <v>Achieve Customer Satisfaction target and improve</v>
      </c>
      <c r="I39" s="216" t="s">
        <v>254</v>
      </c>
      <c r="J39" s="216" t="s">
        <v>255</v>
      </c>
      <c r="K39" s="216" t="s">
        <v>34</v>
      </c>
      <c r="L39" s="216" t="s">
        <v>35</v>
      </c>
      <c r="M39" s="216" t="s">
        <v>249</v>
      </c>
      <c r="N39" s="216" t="s">
        <v>236</v>
      </c>
      <c r="O39" s="216" t="s">
        <v>38</v>
      </c>
      <c r="P39" s="216" t="s">
        <v>256</v>
      </c>
      <c r="Q39" s="216" t="s">
        <v>251</v>
      </c>
      <c r="R39" s="255" t="s">
        <v>252</v>
      </c>
      <c r="S39" s="260" t="s">
        <v>84</v>
      </c>
      <c r="T39" s="257" t="s">
        <v>110</v>
      </c>
      <c r="U39" s="215"/>
      <c r="V39" s="262" t="s">
        <v>44</v>
      </c>
      <c r="W39" s="213"/>
      <c r="X39" s="277" t="str">
        <f t="shared" si="1"/>
        <v>Time &amp; Speed</v>
      </c>
    </row>
    <row r="40" spans="1:26" ht="156">
      <c r="A40" s="216" t="s">
        <v>46</v>
      </c>
      <c r="B40" s="216" t="s">
        <v>139</v>
      </c>
      <c r="C40" s="216" t="s">
        <v>86</v>
      </c>
      <c r="D40" s="216" t="s">
        <v>140</v>
      </c>
      <c r="E40" s="261" t="s">
        <v>257</v>
      </c>
      <c r="F40" s="254" t="str">
        <f t="shared" si="0"/>
        <v>Process Objective</v>
      </c>
      <c r="G40" s="254" t="str">
        <f t="shared" si="0"/>
        <v>Improve Ontime and Speed of Delivery</v>
      </c>
      <c r="H40" s="254" t="str">
        <f t="shared" si="0"/>
        <v>Achieve Customer Satisfaction target and improve</v>
      </c>
      <c r="I40" s="216" t="s">
        <v>258</v>
      </c>
      <c r="J40" s="216" t="s">
        <v>259</v>
      </c>
      <c r="K40" s="216" t="s">
        <v>34</v>
      </c>
      <c r="L40" s="216" t="s">
        <v>35</v>
      </c>
      <c r="M40" s="216" t="s">
        <v>249</v>
      </c>
      <c r="N40" s="216" t="s">
        <v>236</v>
      </c>
      <c r="O40" s="216" t="s">
        <v>38</v>
      </c>
      <c r="P40" s="216" t="s">
        <v>260</v>
      </c>
      <c r="Q40" s="216" t="s">
        <v>261</v>
      </c>
      <c r="R40" s="255" t="s">
        <v>252</v>
      </c>
      <c r="S40" s="256" t="s">
        <v>84</v>
      </c>
      <c r="T40" s="257" t="s">
        <v>147</v>
      </c>
      <c r="U40" s="215"/>
      <c r="V40" s="262" t="s">
        <v>44</v>
      </c>
      <c r="W40" s="213" t="s">
        <v>231</v>
      </c>
      <c r="X40" s="277" t="str">
        <f t="shared" si="1"/>
        <v>Time &amp; Speed</v>
      </c>
    </row>
    <row r="41" spans="1:26" ht="78">
      <c r="A41" s="216" t="s">
        <v>102</v>
      </c>
      <c r="B41" s="216" t="s">
        <v>262</v>
      </c>
      <c r="C41" s="216" t="s">
        <v>57</v>
      </c>
      <c r="D41" s="216" t="s">
        <v>72</v>
      </c>
      <c r="E41" s="254" t="s">
        <v>263</v>
      </c>
      <c r="F41" s="254" t="str">
        <f t="shared" si="0"/>
        <v>Sub-process Objective</v>
      </c>
      <c r="G41" s="254" t="str">
        <f t="shared" si="0"/>
        <v xml:space="preserve">Improve Sub-process Productivity </v>
      </c>
      <c r="H41" s="254" t="str">
        <f t="shared" si="0"/>
        <v>Improve Productivity and Cost Efficiency</v>
      </c>
      <c r="I41" s="216" t="s">
        <v>264</v>
      </c>
      <c r="J41" s="216" t="s">
        <v>33</v>
      </c>
      <c r="K41" s="216" t="s">
        <v>265</v>
      </c>
      <c r="L41" s="216" t="s">
        <v>61</v>
      </c>
      <c r="M41" s="216" t="s">
        <v>249</v>
      </c>
      <c r="N41" s="216" t="s">
        <v>236</v>
      </c>
      <c r="O41" s="216" t="s">
        <v>38</v>
      </c>
      <c r="P41" s="216" t="s">
        <v>266</v>
      </c>
      <c r="Q41" s="216" t="s">
        <v>267</v>
      </c>
      <c r="R41" s="255" t="s">
        <v>109</v>
      </c>
      <c r="S41" s="260" t="s">
        <v>84</v>
      </c>
      <c r="T41" s="217" t="s">
        <v>110</v>
      </c>
      <c r="U41" s="215"/>
      <c r="V41" s="258" t="s">
        <v>79</v>
      </c>
      <c r="W41" s="215"/>
      <c r="X41" s="277" t="str">
        <f t="shared" si="1"/>
        <v>Efficiency</v>
      </c>
    </row>
    <row r="42" spans="1:26" ht="117">
      <c r="A42" s="216" t="s">
        <v>102</v>
      </c>
      <c r="B42" s="216" t="s">
        <v>262</v>
      </c>
      <c r="C42" s="216" t="s">
        <v>57</v>
      </c>
      <c r="D42" s="216" t="s">
        <v>268</v>
      </c>
      <c r="E42" s="254" t="s">
        <v>269</v>
      </c>
      <c r="F42" s="254" t="str">
        <f t="shared" si="0"/>
        <v>Sub-process Objective</v>
      </c>
      <c r="G42" s="254" t="str">
        <f t="shared" si="0"/>
        <v xml:space="preserve">Improve Sub-process Productivity </v>
      </c>
      <c r="H42" s="254" t="str">
        <f t="shared" si="0"/>
        <v>Improve Productivity and Cost Efficiency</v>
      </c>
      <c r="I42" s="216" t="s">
        <v>270</v>
      </c>
      <c r="J42" s="216" t="s">
        <v>33</v>
      </c>
      <c r="K42" s="216" t="s">
        <v>51</v>
      </c>
      <c r="L42" s="216" t="s">
        <v>35</v>
      </c>
      <c r="M42" s="216" t="s">
        <v>271</v>
      </c>
      <c r="N42" s="216" t="s">
        <v>272</v>
      </c>
      <c r="O42" s="216" t="s">
        <v>38</v>
      </c>
      <c r="P42" s="216" t="s">
        <v>273</v>
      </c>
      <c r="Q42" s="216" t="s">
        <v>274</v>
      </c>
      <c r="R42" s="255" t="s">
        <v>41</v>
      </c>
      <c r="S42" s="260" t="s">
        <v>78</v>
      </c>
      <c r="T42" s="257" t="s">
        <v>147</v>
      </c>
      <c r="U42" s="215"/>
      <c r="V42" s="258" t="s">
        <v>79</v>
      </c>
      <c r="W42" s="213" t="s">
        <v>275</v>
      </c>
      <c r="X42" s="277" t="str">
        <f t="shared" si="1"/>
        <v xml:space="preserve">Knowledge &amp; Reuse </v>
      </c>
    </row>
    <row r="43" spans="1:26" ht="78">
      <c r="A43" s="216" t="s">
        <v>102</v>
      </c>
      <c r="B43" s="216" t="s">
        <v>262</v>
      </c>
      <c r="C43" s="216" t="s">
        <v>57</v>
      </c>
      <c r="D43" s="216" t="s">
        <v>268</v>
      </c>
      <c r="E43" s="261" t="s">
        <v>276</v>
      </c>
      <c r="F43" s="254" t="str">
        <f t="shared" si="0"/>
        <v>Sub-process Objective</v>
      </c>
      <c r="G43" s="254" t="str">
        <f t="shared" si="0"/>
        <v xml:space="preserve">Improve Sub-process Productivity </v>
      </c>
      <c r="H43" s="254" t="str">
        <f t="shared" si="0"/>
        <v>Improve Productivity and Cost Efficiency</v>
      </c>
      <c r="I43" s="216" t="s">
        <v>277</v>
      </c>
      <c r="J43" s="216" t="s">
        <v>33</v>
      </c>
      <c r="K43" s="216" t="s">
        <v>51</v>
      </c>
      <c r="L43" s="216" t="s">
        <v>35</v>
      </c>
      <c r="M43" s="216" t="s">
        <v>271</v>
      </c>
      <c r="N43" s="216" t="s">
        <v>278</v>
      </c>
      <c r="O43" s="216" t="s">
        <v>38</v>
      </c>
      <c r="P43" s="216" t="s">
        <v>279</v>
      </c>
      <c r="Q43" s="216" t="s">
        <v>280</v>
      </c>
      <c r="R43" s="255" t="s">
        <v>41</v>
      </c>
      <c r="S43" s="260" t="s">
        <v>78</v>
      </c>
      <c r="T43" s="257" t="s">
        <v>147</v>
      </c>
      <c r="U43" s="215"/>
      <c r="V43" s="258" t="s">
        <v>79</v>
      </c>
      <c r="W43" s="213" t="s">
        <v>275</v>
      </c>
      <c r="X43" s="277" t="str">
        <f t="shared" si="1"/>
        <v xml:space="preserve">Knowledge &amp; Reuse </v>
      </c>
    </row>
    <row r="44" spans="1:26" ht="78">
      <c r="A44" s="216" t="s">
        <v>102</v>
      </c>
      <c r="B44" s="216" t="s">
        <v>281</v>
      </c>
      <c r="C44" s="216" t="s">
        <v>94</v>
      </c>
      <c r="D44" s="216" t="s">
        <v>268</v>
      </c>
      <c r="E44" s="261" t="s">
        <v>282</v>
      </c>
      <c r="F44" s="254" t="str">
        <f t="shared" si="0"/>
        <v>Sub-process Objective</v>
      </c>
      <c r="G44" s="254" t="str">
        <f t="shared" si="0"/>
        <v>Improve Internal Quality</v>
      </c>
      <c r="H44" s="254" t="str">
        <f t="shared" si="0"/>
        <v>Improve Quality of Delivery</v>
      </c>
      <c r="I44" s="216" t="s">
        <v>283</v>
      </c>
      <c r="J44" s="216" t="s">
        <v>33</v>
      </c>
      <c r="K44" s="216" t="s">
        <v>51</v>
      </c>
      <c r="L44" s="216" t="s">
        <v>35</v>
      </c>
      <c r="M44" s="216" t="s">
        <v>271</v>
      </c>
      <c r="N44" s="216" t="s">
        <v>278</v>
      </c>
      <c r="O44" s="216" t="s">
        <v>38</v>
      </c>
      <c r="P44" s="216" t="s">
        <v>284</v>
      </c>
      <c r="Q44" s="216" t="s">
        <v>280</v>
      </c>
      <c r="R44" s="255" t="s">
        <v>41</v>
      </c>
      <c r="S44" s="260" t="s">
        <v>78</v>
      </c>
      <c r="T44" s="257" t="s">
        <v>147</v>
      </c>
      <c r="U44" s="215"/>
      <c r="V44" s="258" t="s">
        <v>79</v>
      </c>
      <c r="W44" s="213" t="s">
        <v>275</v>
      </c>
      <c r="X44" s="277" t="str">
        <f t="shared" si="1"/>
        <v xml:space="preserve">Knowledge &amp; Reuse </v>
      </c>
    </row>
    <row r="45" spans="1:26" ht="52">
      <c r="A45" s="216" t="s">
        <v>102</v>
      </c>
      <c r="B45" s="216" t="s">
        <v>285</v>
      </c>
      <c r="C45" s="216" t="s">
        <v>148</v>
      </c>
      <c r="D45" s="216" t="s">
        <v>149</v>
      </c>
      <c r="E45" s="261" t="s">
        <v>286</v>
      </c>
      <c r="F45" s="254" t="str">
        <f t="shared" si="0"/>
        <v>Sub-process Objective</v>
      </c>
      <c r="G45" s="254" t="str">
        <f t="shared" si="0"/>
        <v>Ensure Scope Management</v>
      </c>
      <c r="H45" s="254" t="str">
        <f t="shared" si="0"/>
        <v>Deliver committed scope</v>
      </c>
      <c r="I45" s="216" t="s">
        <v>287</v>
      </c>
      <c r="J45" s="216" t="s">
        <v>33</v>
      </c>
      <c r="K45" s="216" t="s">
        <v>265</v>
      </c>
      <c r="L45" s="216" t="s">
        <v>288</v>
      </c>
      <c r="M45" s="216" t="s">
        <v>249</v>
      </c>
      <c r="N45" s="216" t="s">
        <v>236</v>
      </c>
      <c r="O45" s="216" t="s">
        <v>135</v>
      </c>
      <c r="P45" s="216" t="s">
        <v>289</v>
      </c>
      <c r="Q45" s="216" t="s">
        <v>290</v>
      </c>
      <c r="R45" s="255" t="s">
        <v>41</v>
      </c>
      <c r="S45" s="260" t="s">
        <v>137</v>
      </c>
      <c r="T45" s="257" t="s">
        <v>55</v>
      </c>
      <c r="U45" s="215"/>
      <c r="V45" s="258" t="s">
        <v>79</v>
      </c>
      <c r="W45" s="213"/>
      <c r="X45" s="277" t="str">
        <f t="shared" si="1"/>
        <v>Scope</v>
      </c>
    </row>
    <row r="46" spans="1:26" ht="52">
      <c r="A46" s="216" t="s">
        <v>102</v>
      </c>
      <c r="B46" s="216" t="s">
        <v>285</v>
      </c>
      <c r="C46" s="216" t="s">
        <v>148</v>
      </c>
      <c r="D46" s="216" t="s">
        <v>149</v>
      </c>
      <c r="E46" s="261" t="s">
        <v>291</v>
      </c>
      <c r="F46" s="254" t="str">
        <f t="shared" si="0"/>
        <v>Sub-process Objective</v>
      </c>
      <c r="G46" s="254" t="str">
        <f t="shared" si="0"/>
        <v>Ensure Scope Management</v>
      </c>
      <c r="H46" s="254" t="str">
        <f t="shared" si="0"/>
        <v>Deliver committed scope</v>
      </c>
      <c r="I46" s="216" t="s">
        <v>292</v>
      </c>
      <c r="J46" s="216" t="s">
        <v>33</v>
      </c>
      <c r="K46" s="216" t="s">
        <v>265</v>
      </c>
      <c r="L46" s="216" t="s">
        <v>288</v>
      </c>
      <c r="M46" s="216" t="s">
        <v>249</v>
      </c>
      <c r="N46" s="216" t="s">
        <v>236</v>
      </c>
      <c r="O46" s="216" t="s">
        <v>135</v>
      </c>
      <c r="P46" s="216" t="s">
        <v>293</v>
      </c>
      <c r="Q46" s="216" t="s">
        <v>294</v>
      </c>
      <c r="R46" s="255" t="s">
        <v>41</v>
      </c>
      <c r="S46" s="260" t="s">
        <v>84</v>
      </c>
      <c r="T46" s="257" t="s">
        <v>147</v>
      </c>
      <c r="U46" s="215"/>
      <c r="V46" s="258" t="s">
        <v>79</v>
      </c>
      <c r="W46" s="213" t="s">
        <v>295</v>
      </c>
      <c r="X46" s="277" t="str">
        <f t="shared" si="1"/>
        <v>Scope</v>
      </c>
    </row>
    <row r="47" spans="1:26" ht="65">
      <c r="A47" s="216" t="s">
        <v>46</v>
      </c>
      <c r="B47" s="216" t="s">
        <v>139</v>
      </c>
      <c r="C47" s="216" t="s">
        <v>86</v>
      </c>
      <c r="D47" s="216" t="s">
        <v>140</v>
      </c>
      <c r="E47" s="261" t="s">
        <v>296</v>
      </c>
      <c r="F47" s="254" t="str">
        <f t="shared" si="0"/>
        <v>Process Objective</v>
      </c>
      <c r="G47" s="254" t="str">
        <f t="shared" si="0"/>
        <v>Improve Ontime and Speed of Delivery</v>
      </c>
      <c r="H47" s="254" t="str">
        <f t="shared" si="0"/>
        <v>Achieve Customer Satisfaction target and improve</v>
      </c>
      <c r="I47" s="216" t="s">
        <v>297</v>
      </c>
      <c r="J47" s="216" t="s">
        <v>90</v>
      </c>
      <c r="K47" s="216" t="s">
        <v>34</v>
      </c>
      <c r="L47" s="216" t="s">
        <v>67</v>
      </c>
      <c r="M47" s="216" t="s">
        <v>271</v>
      </c>
      <c r="N47" s="216" t="s">
        <v>278</v>
      </c>
      <c r="O47" s="216" t="s">
        <v>135</v>
      </c>
      <c r="P47" s="216" t="s">
        <v>298</v>
      </c>
      <c r="Q47" s="216" t="s">
        <v>299</v>
      </c>
      <c r="R47" s="255" t="s">
        <v>41</v>
      </c>
      <c r="S47" s="260" t="s">
        <v>137</v>
      </c>
      <c r="T47" s="257" t="s">
        <v>43</v>
      </c>
      <c r="U47" s="215" t="s">
        <v>85</v>
      </c>
      <c r="V47" s="258" t="s">
        <v>79</v>
      </c>
      <c r="W47" s="213"/>
      <c r="X47" s="277" t="str">
        <f t="shared" si="1"/>
        <v>Time &amp; Speed</v>
      </c>
    </row>
    <row r="48" spans="1:26" ht="65">
      <c r="A48" s="216" t="s">
        <v>46</v>
      </c>
      <c r="B48" s="216" t="s">
        <v>139</v>
      </c>
      <c r="C48" s="216" t="s">
        <v>86</v>
      </c>
      <c r="D48" s="216" t="s">
        <v>140</v>
      </c>
      <c r="E48" s="261" t="s">
        <v>300</v>
      </c>
      <c r="F48" s="254" t="str">
        <f t="shared" si="0"/>
        <v>Process Objective</v>
      </c>
      <c r="G48" s="254" t="str">
        <f t="shared" si="0"/>
        <v>Improve Ontime and Speed of Delivery</v>
      </c>
      <c r="H48" s="254" t="str">
        <f t="shared" si="0"/>
        <v>Achieve Customer Satisfaction target and improve</v>
      </c>
      <c r="I48" s="216" t="s">
        <v>301</v>
      </c>
      <c r="J48" s="216" t="s">
        <v>302</v>
      </c>
      <c r="K48" s="216" t="s">
        <v>34</v>
      </c>
      <c r="L48" s="216" t="s">
        <v>67</v>
      </c>
      <c r="M48" s="216" t="s">
        <v>271</v>
      </c>
      <c r="N48" s="216" t="s">
        <v>278</v>
      </c>
      <c r="O48" s="216" t="s">
        <v>135</v>
      </c>
      <c r="P48" s="216" t="s">
        <v>298</v>
      </c>
      <c r="Q48" s="216" t="s">
        <v>299</v>
      </c>
      <c r="R48" s="255" t="s">
        <v>41</v>
      </c>
      <c r="S48" s="260" t="s">
        <v>137</v>
      </c>
      <c r="T48" s="257" t="s">
        <v>55</v>
      </c>
      <c r="U48" s="215"/>
      <c r="V48" s="258" t="s">
        <v>79</v>
      </c>
      <c r="W48" s="213"/>
      <c r="X48" s="277" t="str">
        <f t="shared" si="1"/>
        <v>Time &amp; Speed</v>
      </c>
    </row>
    <row r="49" spans="1:27" ht="65">
      <c r="A49" s="216" t="s">
        <v>46</v>
      </c>
      <c r="B49" s="216" t="s">
        <v>57</v>
      </c>
      <c r="C49" s="216" t="s">
        <v>29</v>
      </c>
      <c r="D49" s="216" t="s">
        <v>72</v>
      </c>
      <c r="E49" s="261" t="s">
        <v>303</v>
      </c>
      <c r="F49" s="254" t="str">
        <f t="shared" si="0"/>
        <v>Process Objective</v>
      </c>
      <c r="G49" s="254" t="str">
        <f t="shared" si="0"/>
        <v>Improve Productivity and Cost Efficiency</v>
      </c>
      <c r="H49" s="254" t="str">
        <f t="shared" si="0"/>
        <v>Achieve Gross Margin target and improve</v>
      </c>
      <c r="I49" s="216" t="s">
        <v>304</v>
      </c>
      <c r="J49" s="216" t="s">
        <v>90</v>
      </c>
      <c r="K49" s="216" t="s">
        <v>34</v>
      </c>
      <c r="L49" s="216" t="s">
        <v>67</v>
      </c>
      <c r="M49" s="216" t="s">
        <v>271</v>
      </c>
      <c r="N49" s="216" t="s">
        <v>278</v>
      </c>
      <c r="O49" s="216" t="s">
        <v>135</v>
      </c>
      <c r="P49" s="216" t="s">
        <v>305</v>
      </c>
      <c r="Q49" s="216" t="s">
        <v>299</v>
      </c>
      <c r="R49" s="255" t="s">
        <v>41</v>
      </c>
      <c r="S49" s="260" t="s">
        <v>137</v>
      </c>
      <c r="T49" s="257" t="s">
        <v>43</v>
      </c>
      <c r="U49" s="215" t="s">
        <v>85</v>
      </c>
      <c r="V49" s="258" t="s">
        <v>44</v>
      </c>
      <c r="W49" s="213"/>
      <c r="X49" s="277" t="str">
        <f t="shared" si="1"/>
        <v>Efficiency</v>
      </c>
    </row>
    <row r="50" spans="1:27" ht="65">
      <c r="A50" s="216" t="s">
        <v>46</v>
      </c>
      <c r="B50" s="216" t="s">
        <v>57</v>
      </c>
      <c r="C50" s="216" t="s">
        <v>29</v>
      </c>
      <c r="D50" s="216" t="s">
        <v>72</v>
      </c>
      <c r="E50" s="261" t="s">
        <v>306</v>
      </c>
      <c r="F50" s="254" t="str">
        <f t="shared" si="0"/>
        <v>Process Objective</v>
      </c>
      <c r="G50" s="254" t="str">
        <f t="shared" si="0"/>
        <v>Improve Productivity and Cost Efficiency</v>
      </c>
      <c r="H50" s="254" t="str">
        <f t="shared" si="0"/>
        <v>Achieve Gross Margin target and improve</v>
      </c>
      <c r="I50" s="216" t="s">
        <v>307</v>
      </c>
      <c r="J50" s="216" t="s">
        <v>302</v>
      </c>
      <c r="K50" s="216" t="s">
        <v>34</v>
      </c>
      <c r="L50" s="216" t="s">
        <v>67</v>
      </c>
      <c r="M50" s="216" t="s">
        <v>271</v>
      </c>
      <c r="N50" s="216" t="s">
        <v>278</v>
      </c>
      <c r="O50" s="216" t="s">
        <v>135</v>
      </c>
      <c r="P50" s="216" t="s">
        <v>305</v>
      </c>
      <c r="Q50" s="216" t="s">
        <v>299</v>
      </c>
      <c r="R50" s="255" t="s">
        <v>41</v>
      </c>
      <c r="S50" s="260" t="s">
        <v>137</v>
      </c>
      <c r="T50" s="257" t="s">
        <v>55</v>
      </c>
      <c r="U50" s="215"/>
      <c r="V50" s="262" t="s">
        <v>44</v>
      </c>
      <c r="W50" s="213"/>
      <c r="X50" s="277" t="str">
        <f t="shared" si="1"/>
        <v>Efficiency</v>
      </c>
    </row>
    <row r="51" spans="1:27" ht="65">
      <c r="A51" s="216" t="s">
        <v>46</v>
      </c>
      <c r="B51" s="216" t="s">
        <v>57</v>
      </c>
      <c r="C51" s="216" t="s">
        <v>29</v>
      </c>
      <c r="D51" s="216" t="s">
        <v>149</v>
      </c>
      <c r="E51" s="261" t="s">
        <v>308</v>
      </c>
      <c r="F51" s="254" t="str">
        <f t="shared" si="0"/>
        <v>Process Objective</v>
      </c>
      <c r="G51" s="254" t="str">
        <f t="shared" si="0"/>
        <v>Improve Productivity and Cost Efficiency</v>
      </c>
      <c r="H51" s="254" t="str">
        <f t="shared" si="0"/>
        <v>Achieve Gross Margin target and improve</v>
      </c>
      <c r="I51" s="216" t="s">
        <v>309</v>
      </c>
      <c r="J51" s="216" t="s">
        <v>33</v>
      </c>
      <c r="K51" s="216" t="s">
        <v>51</v>
      </c>
      <c r="L51" s="216" t="s">
        <v>35</v>
      </c>
      <c r="M51" s="216" t="s">
        <v>271</v>
      </c>
      <c r="N51" s="216" t="s">
        <v>278</v>
      </c>
      <c r="O51" s="216" t="s">
        <v>135</v>
      </c>
      <c r="P51" s="216" t="s">
        <v>310</v>
      </c>
      <c r="Q51" s="216" t="s">
        <v>294</v>
      </c>
      <c r="R51" s="255" t="s">
        <v>41</v>
      </c>
      <c r="S51" s="260" t="s">
        <v>84</v>
      </c>
      <c r="T51" s="257" t="s">
        <v>43</v>
      </c>
      <c r="U51" s="215" t="s">
        <v>85</v>
      </c>
      <c r="V51" s="258" t="s">
        <v>44</v>
      </c>
      <c r="W51" s="213"/>
      <c r="X51" s="277" t="str">
        <f t="shared" si="1"/>
        <v>Scope</v>
      </c>
    </row>
    <row r="52" spans="1:27" ht="78">
      <c r="A52" s="216" t="s">
        <v>102</v>
      </c>
      <c r="B52" s="216" t="s">
        <v>281</v>
      </c>
      <c r="C52" s="216" t="s">
        <v>94</v>
      </c>
      <c r="D52" s="216" t="s">
        <v>95</v>
      </c>
      <c r="E52" s="254" t="s">
        <v>311</v>
      </c>
      <c r="F52" s="254" t="str">
        <f t="shared" si="0"/>
        <v>Sub-process Objective</v>
      </c>
      <c r="G52" s="254" t="str">
        <f t="shared" si="0"/>
        <v>Improve Internal Quality</v>
      </c>
      <c r="H52" s="254" t="str">
        <f t="shared" si="0"/>
        <v>Improve Quality of Delivery</v>
      </c>
      <c r="I52" s="216" t="s">
        <v>312</v>
      </c>
      <c r="J52" s="216" t="s">
        <v>33</v>
      </c>
      <c r="K52" s="216" t="s">
        <v>51</v>
      </c>
      <c r="L52" s="216" t="s">
        <v>313</v>
      </c>
      <c r="M52" s="216" t="s">
        <v>271</v>
      </c>
      <c r="N52" s="216" t="s">
        <v>278</v>
      </c>
      <c r="O52" s="216" t="s">
        <v>38</v>
      </c>
      <c r="P52" s="216" t="s">
        <v>314</v>
      </c>
      <c r="Q52" s="216" t="s">
        <v>294</v>
      </c>
      <c r="R52" s="255" t="s">
        <v>41</v>
      </c>
      <c r="S52" s="260" t="s">
        <v>84</v>
      </c>
      <c r="T52" s="257" t="s">
        <v>55</v>
      </c>
      <c r="U52" s="215" t="s">
        <v>85</v>
      </c>
      <c r="V52" s="262" t="s">
        <v>79</v>
      </c>
      <c r="W52" s="215"/>
      <c r="X52" s="277" t="str">
        <f t="shared" si="1"/>
        <v>Internal Quality</v>
      </c>
    </row>
    <row r="53" spans="1:27" ht="78">
      <c r="A53" s="216" t="s">
        <v>102</v>
      </c>
      <c r="B53" s="216" t="s">
        <v>281</v>
      </c>
      <c r="C53" s="216" t="s">
        <v>94</v>
      </c>
      <c r="D53" s="216" t="s">
        <v>95</v>
      </c>
      <c r="E53" s="254" t="s">
        <v>315</v>
      </c>
      <c r="F53" s="254" t="str">
        <f t="shared" si="0"/>
        <v>Sub-process Objective</v>
      </c>
      <c r="G53" s="254" t="str">
        <f t="shared" si="0"/>
        <v>Improve Internal Quality</v>
      </c>
      <c r="H53" s="254" t="str">
        <f t="shared" si="0"/>
        <v>Improve Quality of Delivery</v>
      </c>
      <c r="I53" s="216" t="s">
        <v>316</v>
      </c>
      <c r="J53" s="216" t="s">
        <v>165</v>
      </c>
      <c r="K53" s="216" t="s">
        <v>51</v>
      </c>
      <c r="L53" s="216" t="s">
        <v>35</v>
      </c>
      <c r="M53" s="216" t="s">
        <v>271</v>
      </c>
      <c r="N53" s="216" t="s">
        <v>278</v>
      </c>
      <c r="O53" s="216" t="s">
        <v>38</v>
      </c>
      <c r="P53" s="216" t="s">
        <v>317</v>
      </c>
      <c r="Q53" s="216" t="s">
        <v>125</v>
      </c>
      <c r="R53" s="255" t="s">
        <v>239</v>
      </c>
      <c r="S53" s="260" t="s">
        <v>84</v>
      </c>
      <c r="T53" s="257" t="s">
        <v>55</v>
      </c>
      <c r="U53" s="215"/>
      <c r="V53" s="262" t="s">
        <v>79</v>
      </c>
      <c r="W53" s="215"/>
      <c r="X53" s="277" t="str">
        <f t="shared" si="1"/>
        <v>Internal Quality</v>
      </c>
    </row>
    <row r="54" spans="1:27" ht="78">
      <c r="A54" s="216" t="s">
        <v>102</v>
      </c>
      <c r="B54" s="216" t="s">
        <v>281</v>
      </c>
      <c r="C54" s="216" t="s">
        <v>94</v>
      </c>
      <c r="D54" s="216" t="s">
        <v>95</v>
      </c>
      <c r="E54" s="254" t="s">
        <v>318</v>
      </c>
      <c r="F54" s="254" t="str">
        <f t="shared" si="0"/>
        <v>Sub-process Objective</v>
      </c>
      <c r="G54" s="254" t="str">
        <f t="shared" si="0"/>
        <v>Improve Internal Quality</v>
      </c>
      <c r="H54" s="254" t="str">
        <f t="shared" si="0"/>
        <v>Improve Quality of Delivery</v>
      </c>
      <c r="I54" s="216" t="s">
        <v>319</v>
      </c>
      <c r="J54" s="216" t="s">
        <v>165</v>
      </c>
      <c r="K54" s="216" t="s">
        <v>51</v>
      </c>
      <c r="L54" s="216" t="s">
        <v>35</v>
      </c>
      <c r="M54" s="216" t="s">
        <v>271</v>
      </c>
      <c r="N54" s="216" t="s">
        <v>278</v>
      </c>
      <c r="O54" s="216" t="s">
        <v>38</v>
      </c>
      <c r="P54" s="216" t="s">
        <v>320</v>
      </c>
      <c r="Q54" s="216" t="s">
        <v>321</v>
      </c>
      <c r="R54" s="255" t="s">
        <v>322</v>
      </c>
      <c r="S54" s="260" t="s">
        <v>84</v>
      </c>
      <c r="T54" s="257" t="s">
        <v>110</v>
      </c>
      <c r="U54" s="215"/>
      <c r="V54" s="262" t="s">
        <v>79</v>
      </c>
      <c r="W54" s="215"/>
      <c r="X54" s="277" t="str">
        <f t="shared" si="1"/>
        <v>Internal Quality</v>
      </c>
    </row>
    <row r="55" spans="1:27" ht="78">
      <c r="A55" s="216" t="s">
        <v>102</v>
      </c>
      <c r="B55" s="216" t="s">
        <v>281</v>
      </c>
      <c r="C55" s="216" t="s">
        <v>94</v>
      </c>
      <c r="D55" s="216" t="s">
        <v>95</v>
      </c>
      <c r="E55" s="254" t="s">
        <v>323</v>
      </c>
      <c r="F55" s="254" t="str">
        <f t="shared" si="0"/>
        <v>Sub-process Objective</v>
      </c>
      <c r="G55" s="254" t="str">
        <f t="shared" si="0"/>
        <v>Improve Internal Quality</v>
      </c>
      <c r="H55" s="254" t="str">
        <f t="shared" si="0"/>
        <v>Improve Quality of Delivery</v>
      </c>
      <c r="I55" s="216" t="s">
        <v>324</v>
      </c>
      <c r="J55" s="216" t="s">
        <v>33</v>
      </c>
      <c r="K55" s="216" t="s">
        <v>51</v>
      </c>
      <c r="L55" s="216" t="s">
        <v>35</v>
      </c>
      <c r="M55" s="216" t="s">
        <v>325</v>
      </c>
      <c r="N55" s="216" t="s">
        <v>278</v>
      </c>
      <c r="O55" s="216" t="s">
        <v>38</v>
      </c>
      <c r="P55" s="216" t="s">
        <v>326</v>
      </c>
      <c r="Q55" s="216" t="s">
        <v>327</v>
      </c>
      <c r="R55" s="255" t="s">
        <v>328</v>
      </c>
      <c r="S55" s="260" t="s">
        <v>84</v>
      </c>
      <c r="T55" s="217" t="s">
        <v>147</v>
      </c>
      <c r="U55" s="215" t="s">
        <v>85</v>
      </c>
      <c r="V55" s="258" t="s">
        <v>79</v>
      </c>
      <c r="W55" s="213" t="s">
        <v>329</v>
      </c>
      <c r="X55" s="277" t="str">
        <f t="shared" si="1"/>
        <v>Internal Quality</v>
      </c>
      <c r="Y55" s="279">
        <v>75</v>
      </c>
      <c r="Z55" s="279">
        <v>70</v>
      </c>
    </row>
    <row r="56" spans="1:27" ht="78">
      <c r="A56" s="216" t="s">
        <v>102</v>
      </c>
      <c r="B56" s="216" t="s">
        <v>281</v>
      </c>
      <c r="C56" s="216" t="s">
        <v>94</v>
      </c>
      <c r="D56" s="216" t="s">
        <v>95</v>
      </c>
      <c r="E56" s="254" t="s">
        <v>330</v>
      </c>
      <c r="F56" s="254" t="str">
        <f t="shared" si="0"/>
        <v>Sub-process Objective</v>
      </c>
      <c r="G56" s="254" t="str">
        <f t="shared" si="0"/>
        <v>Improve Internal Quality</v>
      </c>
      <c r="H56" s="254" t="str">
        <f t="shared" si="0"/>
        <v>Improve Quality of Delivery</v>
      </c>
      <c r="I56" s="216" t="s">
        <v>331</v>
      </c>
      <c r="J56" s="216" t="s">
        <v>33</v>
      </c>
      <c r="K56" s="216" t="s">
        <v>51</v>
      </c>
      <c r="L56" s="216" t="s">
        <v>35</v>
      </c>
      <c r="M56" s="216" t="s">
        <v>325</v>
      </c>
      <c r="N56" s="216" t="s">
        <v>278</v>
      </c>
      <c r="O56" s="216" t="s">
        <v>38</v>
      </c>
      <c r="P56" s="216" t="s">
        <v>332</v>
      </c>
      <c r="Q56" s="216" t="s">
        <v>327</v>
      </c>
      <c r="R56" s="255" t="s">
        <v>333</v>
      </c>
      <c r="S56" s="256" t="s">
        <v>84</v>
      </c>
      <c r="T56" s="217" t="s">
        <v>43</v>
      </c>
      <c r="U56" s="215" t="s">
        <v>85</v>
      </c>
      <c r="V56" s="258" t="s">
        <v>79</v>
      </c>
      <c r="W56" s="215"/>
      <c r="X56" s="277" t="str">
        <f t="shared" si="1"/>
        <v>Internal Quality</v>
      </c>
    </row>
    <row r="57" spans="1:27" ht="78">
      <c r="A57" s="216" t="s">
        <v>102</v>
      </c>
      <c r="B57" s="216" t="s">
        <v>281</v>
      </c>
      <c r="C57" s="216" t="s">
        <v>94</v>
      </c>
      <c r="D57" s="216" t="s">
        <v>95</v>
      </c>
      <c r="E57" s="254" t="s">
        <v>334</v>
      </c>
      <c r="F57" s="254" t="str">
        <f t="shared" si="0"/>
        <v>Sub-process Objective</v>
      </c>
      <c r="G57" s="254" t="str">
        <f t="shared" si="0"/>
        <v>Improve Internal Quality</v>
      </c>
      <c r="H57" s="254" t="str">
        <f t="shared" si="0"/>
        <v>Improve Quality of Delivery</v>
      </c>
      <c r="I57" s="216" t="s">
        <v>335</v>
      </c>
      <c r="J57" s="216" t="s">
        <v>336</v>
      </c>
      <c r="K57" s="216" t="s">
        <v>51</v>
      </c>
      <c r="L57" s="216" t="s">
        <v>35</v>
      </c>
      <c r="M57" s="216" t="s">
        <v>271</v>
      </c>
      <c r="N57" s="216" t="s">
        <v>278</v>
      </c>
      <c r="O57" s="216" t="s">
        <v>38</v>
      </c>
      <c r="P57" s="216" t="s">
        <v>337</v>
      </c>
      <c r="Q57" s="216" t="s">
        <v>338</v>
      </c>
      <c r="R57" s="255" t="s">
        <v>41</v>
      </c>
      <c r="S57" s="260" t="s">
        <v>137</v>
      </c>
      <c r="T57" s="217" t="s">
        <v>55</v>
      </c>
      <c r="U57" s="215"/>
      <c r="V57" s="258" t="s">
        <v>79</v>
      </c>
      <c r="W57" s="215"/>
      <c r="X57" s="277" t="str">
        <f t="shared" si="1"/>
        <v>Internal Quality</v>
      </c>
    </row>
    <row r="58" spans="1:27" ht="78">
      <c r="A58" s="216" t="s">
        <v>102</v>
      </c>
      <c r="B58" s="216" t="s">
        <v>281</v>
      </c>
      <c r="C58" s="216" t="s">
        <v>94</v>
      </c>
      <c r="D58" s="216" t="s">
        <v>95</v>
      </c>
      <c r="E58" s="261" t="s">
        <v>339</v>
      </c>
      <c r="F58" s="254" t="str">
        <f t="shared" si="0"/>
        <v>Sub-process Objective</v>
      </c>
      <c r="G58" s="254" t="str">
        <f t="shared" si="0"/>
        <v>Improve Internal Quality</v>
      </c>
      <c r="H58" s="254" t="str">
        <f t="shared" si="0"/>
        <v>Improve Quality of Delivery</v>
      </c>
      <c r="I58" s="216" t="s">
        <v>340</v>
      </c>
      <c r="J58" s="216" t="s">
        <v>33</v>
      </c>
      <c r="K58" s="216" t="s">
        <v>265</v>
      </c>
      <c r="L58" s="216" t="s">
        <v>288</v>
      </c>
      <c r="M58" s="216" t="s">
        <v>271</v>
      </c>
      <c r="N58" s="216" t="s">
        <v>278</v>
      </c>
      <c r="O58" s="216" t="s">
        <v>38</v>
      </c>
      <c r="P58" s="216" t="s">
        <v>340</v>
      </c>
      <c r="Q58" s="216" t="s">
        <v>341</v>
      </c>
      <c r="R58" s="255" t="s">
        <v>342</v>
      </c>
      <c r="S58" s="260" t="s">
        <v>84</v>
      </c>
      <c r="T58" s="217" t="s">
        <v>55</v>
      </c>
      <c r="U58" s="215"/>
      <c r="V58" s="258" t="s">
        <v>79</v>
      </c>
      <c r="W58" s="215"/>
      <c r="X58" s="277" t="str">
        <f t="shared" si="1"/>
        <v>Internal Quality</v>
      </c>
    </row>
    <row r="59" spans="1:27" ht="104">
      <c r="A59" s="216" t="s">
        <v>102</v>
      </c>
      <c r="B59" s="216" t="s">
        <v>281</v>
      </c>
      <c r="C59" s="216" t="s">
        <v>94</v>
      </c>
      <c r="D59" s="216" t="s">
        <v>95</v>
      </c>
      <c r="E59" s="254" t="s">
        <v>343</v>
      </c>
      <c r="F59" s="254" t="str">
        <f t="shared" si="0"/>
        <v>Sub-process Objective</v>
      </c>
      <c r="G59" s="254" t="str">
        <f t="shared" si="0"/>
        <v>Improve Internal Quality</v>
      </c>
      <c r="H59" s="254" t="str">
        <f t="shared" si="0"/>
        <v>Improve Quality of Delivery</v>
      </c>
      <c r="I59" s="216" t="s">
        <v>344</v>
      </c>
      <c r="J59" s="216" t="s">
        <v>157</v>
      </c>
      <c r="K59" s="216" t="s">
        <v>51</v>
      </c>
      <c r="L59" s="216" t="s">
        <v>313</v>
      </c>
      <c r="M59" s="216" t="s">
        <v>271</v>
      </c>
      <c r="N59" s="216" t="s">
        <v>278</v>
      </c>
      <c r="O59" s="216" t="s">
        <v>38</v>
      </c>
      <c r="P59" s="216" t="s">
        <v>345</v>
      </c>
      <c r="Q59" s="216" t="s">
        <v>346</v>
      </c>
      <c r="R59" s="255" t="s">
        <v>347</v>
      </c>
      <c r="S59" s="256" t="s">
        <v>348</v>
      </c>
      <c r="T59" s="217" t="s">
        <v>43</v>
      </c>
      <c r="U59" s="215" t="s">
        <v>85</v>
      </c>
      <c r="V59" s="258" t="s">
        <v>79</v>
      </c>
      <c r="W59" s="215"/>
      <c r="X59" s="277" t="str">
        <f t="shared" si="1"/>
        <v>Internal Quality</v>
      </c>
    </row>
    <row r="60" spans="1:27" ht="104">
      <c r="A60" s="216" t="s">
        <v>102</v>
      </c>
      <c r="B60" s="216" t="s">
        <v>281</v>
      </c>
      <c r="C60" s="216" t="s">
        <v>94</v>
      </c>
      <c r="D60" s="216" t="s">
        <v>95</v>
      </c>
      <c r="E60" s="254" t="s">
        <v>349</v>
      </c>
      <c r="F60" s="254" t="str">
        <f t="shared" si="0"/>
        <v>Sub-process Objective</v>
      </c>
      <c r="G60" s="254" t="str">
        <f t="shared" si="0"/>
        <v>Improve Internal Quality</v>
      </c>
      <c r="H60" s="254" t="str">
        <f t="shared" si="0"/>
        <v>Improve Quality of Delivery</v>
      </c>
      <c r="I60" s="216" t="s">
        <v>350</v>
      </c>
      <c r="J60" s="216" t="s">
        <v>165</v>
      </c>
      <c r="K60" s="216" t="s">
        <v>51</v>
      </c>
      <c r="L60" s="216" t="s">
        <v>313</v>
      </c>
      <c r="M60" s="216" t="s">
        <v>271</v>
      </c>
      <c r="N60" s="216" t="s">
        <v>278</v>
      </c>
      <c r="O60" s="216" t="s">
        <v>38</v>
      </c>
      <c r="P60" s="216" t="s">
        <v>351</v>
      </c>
      <c r="Q60" s="216" t="s">
        <v>352</v>
      </c>
      <c r="R60" s="255" t="s">
        <v>347</v>
      </c>
      <c r="S60" s="256" t="s">
        <v>348</v>
      </c>
      <c r="T60" s="217" t="s">
        <v>43</v>
      </c>
      <c r="U60" s="215" t="s">
        <v>85</v>
      </c>
      <c r="V60" s="258" t="s">
        <v>79</v>
      </c>
      <c r="W60" s="215"/>
      <c r="X60" s="277" t="str">
        <f t="shared" si="1"/>
        <v>Internal Quality</v>
      </c>
    </row>
    <row r="61" spans="1:27" ht="130">
      <c r="A61" s="216" t="s">
        <v>102</v>
      </c>
      <c r="B61" s="216" t="s">
        <v>281</v>
      </c>
      <c r="C61" s="216" t="s">
        <v>94</v>
      </c>
      <c r="D61" s="216" t="s">
        <v>95</v>
      </c>
      <c r="E61" s="254" t="s">
        <v>353</v>
      </c>
      <c r="F61" s="254" t="str">
        <f t="shared" si="0"/>
        <v>Sub-process Objective</v>
      </c>
      <c r="G61" s="254" t="str">
        <f t="shared" si="0"/>
        <v>Improve Internal Quality</v>
      </c>
      <c r="H61" s="254" t="str">
        <f t="shared" si="0"/>
        <v>Improve Quality of Delivery</v>
      </c>
      <c r="I61" s="216" t="s">
        <v>354</v>
      </c>
      <c r="J61" s="216" t="s">
        <v>157</v>
      </c>
      <c r="K61" s="216" t="s">
        <v>51</v>
      </c>
      <c r="L61" s="216" t="s">
        <v>313</v>
      </c>
      <c r="M61" s="216" t="s">
        <v>271</v>
      </c>
      <c r="N61" s="216" t="s">
        <v>278</v>
      </c>
      <c r="O61" s="216" t="s">
        <v>38</v>
      </c>
      <c r="P61" s="216" t="s">
        <v>355</v>
      </c>
      <c r="Q61" s="216" t="s">
        <v>356</v>
      </c>
      <c r="R61" s="255" t="s">
        <v>322</v>
      </c>
      <c r="S61" s="256" t="s">
        <v>137</v>
      </c>
      <c r="T61" s="217" t="s">
        <v>43</v>
      </c>
      <c r="U61" s="215" t="s">
        <v>85</v>
      </c>
      <c r="V61" s="258" t="s">
        <v>79</v>
      </c>
      <c r="W61" s="215"/>
      <c r="X61" s="277" t="str">
        <f t="shared" si="1"/>
        <v>Internal Quality</v>
      </c>
    </row>
    <row r="62" spans="1:27" ht="91">
      <c r="A62" s="216" t="s">
        <v>102</v>
      </c>
      <c r="B62" s="216" t="s">
        <v>281</v>
      </c>
      <c r="C62" s="216" t="s">
        <v>94</v>
      </c>
      <c r="D62" s="216" t="s">
        <v>95</v>
      </c>
      <c r="E62" s="254" t="s">
        <v>357</v>
      </c>
      <c r="F62" s="254" t="str">
        <f t="shared" si="0"/>
        <v>Sub-process Objective</v>
      </c>
      <c r="G62" s="254" t="str">
        <f t="shared" si="0"/>
        <v>Improve Internal Quality</v>
      </c>
      <c r="H62" s="254" t="str">
        <f t="shared" si="0"/>
        <v>Improve Quality of Delivery</v>
      </c>
      <c r="I62" s="216" t="s">
        <v>358</v>
      </c>
      <c r="J62" s="216" t="s">
        <v>165</v>
      </c>
      <c r="K62" s="216" t="s">
        <v>51</v>
      </c>
      <c r="L62" s="216" t="s">
        <v>313</v>
      </c>
      <c r="M62" s="216" t="s">
        <v>271</v>
      </c>
      <c r="N62" s="216" t="s">
        <v>278</v>
      </c>
      <c r="O62" s="216" t="s">
        <v>38</v>
      </c>
      <c r="P62" s="216" t="s">
        <v>359</v>
      </c>
      <c r="Q62" s="216" t="s">
        <v>360</v>
      </c>
      <c r="R62" s="255" t="s">
        <v>361</v>
      </c>
      <c r="S62" s="256" t="s">
        <v>137</v>
      </c>
      <c r="T62" s="217" t="s">
        <v>43</v>
      </c>
      <c r="U62" s="215" t="s">
        <v>85</v>
      </c>
      <c r="V62" s="258" t="s">
        <v>79</v>
      </c>
      <c r="W62" s="215"/>
      <c r="X62" s="277" t="str">
        <f t="shared" si="1"/>
        <v>Internal Quality</v>
      </c>
      <c r="Y62" s="279">
        <v>0.2</v>
      </c>
      <c r="AA62" s="362">
        <v>0.33</v>
      </c>
    </row>
    <row r="63" spans="1:27" ht="78">
      <c r="A63" s="216" t="s">
        <v>102</v>
      </c>
      <c r="B63" s="216" t="s">
        <v>281</v>
      </c>
      <c r="C63" s="216" t="s">
        <v>94</v>
      </c>
      <c r="D63" s="216" t="s">
        <v>95</v>
      </c>
      <c r="E63" s="254" t="s">
        <v>362</v>
      </c>
      <c r="F63" s="254" t="str">
        <f t="shared" si="0"/>
        <v>Sub-process Objective</v>
      </c>
      <c r="G63" s="254" t="str">
        <f t="shared" si="0"/>
        <v>Improve Internal Quality</v>
      </c>
      <c r="H63" s="254" t="str">
        <f t="shared" si="0"/>
        <v>Improve Quality of Delivery</v>
      </c>
      <c r="I63" s="216" t="s">
        <v>363</v>
      </c>
      <c r="J63" s="216" t="s">
        <v>33</v>
      </c>
      <c r="K63" s="216" t="s">
        <v>265</v>
      </c>
      <c r="L63" s="216" t="s">
        <v>35</v>
      </c>
      <c r="M63" s="216" t="s">
        <v>271</v>
      </c>
      <c r="N63" s="216" t="s">
        <v>278</v>
      </c>
      <c r="O63" s="216" t="s">
        <v>38</v>
      </c>
      <c r="P63" s="216" t="s">
        <v>364</v>
      </c>
      <c r="Q63" s="216" t="s">
        <v>365</v>
      </c>
      <c r="R63" s="255" t="s">
        <v>366</v>
      </c>
      <c r="S63" s="260" t="s">
        <v>84</v>
      </c>
      <c r="T63" s="217" t="s">
        <v>110</v>
      </c>
      <c r="U63" s="215"/>
      <c r="V63" s="262" t="s">
        <v>79</v>
      </c>
      <c r="W63" s="215"/>
      <c r="X63" s="277" t="str">
        <f t="shared" si="1"/>
        <v>Internal Quality</v>
      </c>
    </row>
    <row r="64" spans="1:27" ht="104">
      <c r="A64" s="216" t="s">
        <v>102</v>
      </c>
      <c r="B64" s="216" t="s">
        <v>262</v>
      </c>
      <c r="C64" s="216" t="s">
        <v>57</v>
      </c>
      <c r="D64" s="216" t="s">
        <v>72</v>
      </c>
      <c r="E64" s="254" t="s">
        <v>367</v>
      </c>
      <c r="F64" s="254" t="str">
        <f t="shared" si="0"/>
        <v>Sub-process Objective</v>
      </c>
      <c r="G64" s="254" t="str">
        <f t="shared" si="0"/>
        <v xml:space="preserve">Improve Sub-process Productivity </v>
      </c>
      <c r="H64" s="254" t="str">
        <f t="shared" si="0"/>
        <v>Improve Productivity and Cost Efficiency</v>
      </c>
      <c r="I64" s="216" t="s">
        <v>368</v>
      </c>
      <c r="J64" s="216" t="s">
        <v>369</v>
      </c>
      <c r="K64" s="216" t="s">
        <v>51</v>
      </c>
      <c r="L64" s="216" t="s">
        <v>313</v>
      </c>
      <c r="M64" s="216" t="s">
        <v>370</v>
      </c>
      <c r="N64" s="216" t="s">
        <v>278</v>
      </c>
      <c r="O64" s="216" t="s">
        <v>38</v>
      </c>
      <c r="P64" s="216" t="s">
        <v>371</v>
      </c>
      <c r="Q64" s="216" t="s">
        <v>338</v>
      </c>
      <c r="R64" s="255" t="s">
        <v>239</v>
      </c>
      <c r="S64" s="260" t="s">
        <v>84</v>
      </c>
      <c r="T64" s="217" t="s">
        <v>55</v>
      </c>
      <c r="U64" s="215"/>
      <c r="V64" s="258" t="s">
        <v>79</v>
      </c>
      <c r="W64" s="215"/>
      <c r="X64" s="277" t="str">
        <f t="shared" si="1"/>
        <v>Efficiency</v>
      </c>
    </row>
    <row r="65" spans="1:26" ht="78">
      <c r="A65" s="216" t="s">
        <v>102</v>
      </c>
      <c r="B65" s="216" t="s">
        <v>262</v>
      </c>
      <c r="C65" s="216" t="s">
        <v>57</v>
      </c>
      <c r="D65" s="216" t="s">
        <v>72</v>
      </c>
      <c r="E65" s="254" t="s">
        <v>372</v>
      </c>
      <c r="F65" s="254" t="str">
        <f t="shared" si="0"/>
        <v>Sub-process Objective</v>
      </c>
      <c r="G65" s="254" t="str">
        <f t="shared" si="0"/>
        <v xml:space="preserve">Improve Sub-process Productivity </v>
      </c>
      <c r="H65" s="254" t="str">
        <f t="shared" si="0"/>
        <v>Improve Productivity and Cost Efficiency</v>
      </c>
      <c r="I65" s="216" t="s">
        <v>373</v>
      </c>
      <c r="J65" s="216" t="s">
        <v>369</v>
      </c>
      <c r="K65" s="216" t="s">
        <v>51</v>
      </c>
      <c r="L65" s="216" t="s">
        <v>313</v>
      </c>
      <c r="M65" s="216" t="s">
        <v>271</v>
      </c>
      <c r="N65" s="216" t="s">
        <v>278</v>
      </c>
      <c r="O65" s="216" t="s">
        <v>38</v>
      </c>
      <c r="P65" s="216" t="s">
        <v>374</v>
      </c>
      <c r="Q65" s="216" t="s">
        <v>338</v>
      </c>
      <c r="R65" s="255" t="s">
        <v>239</v>
      </c>
      <c r="S65" s="260" t="s">
        <v>84</v>
      </c>
      <c r="T65" s="217" t="s">
        <v>55</v>
      </c>
      <c r="U65" s="215"/>
      <c r="V65" s="258" t="s">
        <v>79</v>
      </c>
      <c r="W65" s="215"/>
      <c r="X65" s="277" t="str">
        <f t="shared" si="1"/>
        <v>Efficiency</v>
      </c>
    </row>
    <row r="66" spans="1:26" ht="78">
      <c r="A66" s="216" t="s">
        <v>102</v>
      </c>
      <c r="B66" s="216" t="s">
        <v>262</v>
      </c>
      <c r="C66" s="216" t="s">
        <v>57</v>
      </c>
      <c r="D66" s="216" t="s">
        <v>72</v>
      </c>
      <c r="E66" s="254" t="s">
        <v>375</v>
      </c>
      <c r="F66" s="254" t="str">
        <f t="shared" si="0"/>
        <v>Sub-process Objective</v>
      </c>
      <c r="G66" s="254" t="str">
        <f t="shared" si="0"/>
        <v xml:space="preserve">Improve Sub-process Productivity </v>
      </c>
      <c r="H66" s="254" t="str">
        <f t="shared" si="0"/>
        <v>Improve Productivity and Cost Efficiency</v>
      </c>
      <c r="I66" s="216" t="s">
        <v>376</v>
      </c>
      <c r="J66" s="216" t="s">
        <v>369</v>
      </c>
      <c r="K66" s="216" t="s">
        <v>51</v>
      </c>
      <c r="L66" s="216" t="s">
        <v>313</v>
      </c>
      <c r="M66" s="216" t="s">
        <v>271</v>
      </c>
      <c r="N66" s="216" t="s">
        <v>278</v>
      </c>
      <c r="O66" s="216" t="s">
        <v>38</v>
      </c>
      <c r="P66" s="216" t="s">
        <v>377</v>
      </c>
      <c r="Q66" s="216" t="s">
        <v>338</v>
      </c>
      <c r="R66" s="255" t="s">
        <v>239</v>
      </c>
      <c r="S66" s="260" t="s">
        <v>84</v>
      </c>
      <c r="T66" s="217" t="s">
        <v>55</v>
      </c>
      <c r="U66" s="215"/>
      <c r="V66" s="258" t="s">
        <v>79</v>
      </c>
      <c r="W66" s="215"/>
      <c r="X66" s="277" t="str">
        <f t="shared" si="1"/>
        <v>Efficiency</v>
      </c>
    </row>
    <row r="67" spans="1:26" ht="78">
      <c r="A67" s="216" t="s">
        <v>102</v>
      </c>
      <c r="B67" s="216" t="s">
        <v>262</v>
      </c>
      <c r="C67" s="216" t="s">
        <v>94</v>
      </c>
      <c r="D67" s="216" t="s">
        <v>95</v>
      </c>
      <c r="E67" s="254" t="s">
        <v>378</v>
      </c>
      <c r="F67" s="254" t="str">
        <f t="shared" ref="F67:H107" si="2">IF(A67&lt;&gt;"",A67,"")</f>
        <v>Sub-process Objective</v>
      </c>
      <c r="G67" s="254" t="str">
        <f t="shared" si="2"/>
        <v xml:space="preserve">Improve Sub-process Productivity </v>
      </c>
      <c r="H67" s="254" t="str">
        <f t="shared" si="2"/>
        <v>Improve Quality of Delivery</v>
      </c>
      <c r="I67" s="216" t="s">
        <v>379</v>
      </c>
      <c r="J67" s="216" t="s">
        <v>369</v>
      </c>
      <c r="K67" s="216" t="s">
        <v>51</v>
      </c>
      <c r="L67" s="216" t="s">
        <v>313</v>
      </c>
      <c r="M67" s="216" t="s">
        <v>271</v>
      </c>
      <c r="N67" s="216" t="s">
        <v>278</v>
      </c>
      <c r="O67" s="216" t="s">
        <v>38</v>
      </c>
      <c r="P67" s="216" t="s">
        <v>380</v>
      </c>
      <c r="Q67" s="216" t="s">
        <v>338</v>
      </c>
      <c r="R67" s="255" t="s">
        <v>239</v>
      </c>
      <c r="S67" s="260" t="s">
        <v>84</v>
      </c>
      <c r="T67" s="217" t="s">
        <v>55</v>
      </c>
      <c r="U67" s="215"/>
      <c r="V67" s="258" t="s">
        <v>79</v>
      </c>
      <c r="W67" s="215"/>
      <c r="X67" s="277" t="str">
        <f t="shared" ref="X67:X107" si="3">IF(D67&lt;&gt;"",D67,"")</f>
        <v>Internal Quality</v>
      </c>
    </row>
    <row r="68" spans="1:26" ht="104">
      <c r="A68" s="216" t="s">
        <v>102</v>
      </c>
      <c r="B68" s="216" t="s">
        <v>262</v>
      </c>
      <c r="C68" s="216" t="s">
        <v>57</v>
      </c>
      <c r="D68" s="216" t="s">
        <v>72</v>
      </c>
      <c r="E68" s="254" t="s">
        <v>381</v>
      </c>
      <c r="F68" s="254" t="str">
        <f t="shared" si="2"/>
        <v>Sub-process Objective</v>
      </c>
      <c r="G68" s="254" t="str">
        <f t="shared" si="2"/>
        <v xml:space="preserve">Improve Sub-process Productivity </v>
      </c>
      <c r="H68" s="254" t="str">
        <f t="shared" si="2"/>
        <v>Improve Productivity and Cost Efficiency</v>
      </c>
      <c r="I68" s="216" t="s">
        <v>382</v>
      </c>
      <c r="J68" s="216" t="s">
        <v>369</v>
      </c>
      <c r="K68" s="216" t="s">
        <v>51</v>
      </c>
      <c r="L68" s="216" t="s">
        <v>313</v>
      </c>
      <c r="M68" s="216" t="s">
        <v>370</v>
      </c>
      <c r="N68" s="216" t="s">
        <v>278</v>
      </c>
      <c r="O68" s="216" t="s">
        <v>38</v>
      </c>
      <c r="P68" s="216" t="s">
        <v>383</v>
      </c>
      <c r="Q68" s="216" t="s">
        <v>338</v>
      </c>
      <c r="R68" s="255" t="s">
        <v>239</v>
      </c>
      <c r="S68" s="260" t="s">
        <v>84</v>
      </c>
      <c r="T68" s="217" t="s">
        <v>55</v>
      </c>
      <c r="U68" s="215"/>
      <c r="V68" s="258" t="s">
        <v>79</v>
      </c>
      <c r="W68" s="215"/>
      <c r="X68" s="277" t="str">
        <f t="shared" si="3"/>
        <v>Efficiency</v>
      </c>
    </row>
    <row r="69" spans="1:26" ht="104">
      <c r="A69" s="216" t="s">
        <v>102</v>
      </c>
      <c r="B69" s="216" t="s">
        <v>281</v>
      </c>
      <c r="C69" s="216" t="s">
        <v>94</v>
      </c>
      <c r="D69" s="216" t="s">
        <v>95</v>
      </c>
      <c r="E69" s="254" t="s">
        <v>384</v>
      </c>
      <c r="F69" s="254" t="str">
        <f t="shared" si="2"/>
        <v>Sub-process Objective</v>
      </c>
      <c r="G69" s="254" t="str">
        <f t="shared" si="2"/>
        <v>Improve Internal Quality</v>
      </c>
      <c r="H69" s="254" t="str">
        <f t="shared" si="2"/>
        <v>Improve Quality of Delivery</v>
      </c>
      <c r="I69" s="216" t="s">
        <v>385</v>
      </c>
      <c r="J69" s="216" t="s">
        <v>369</v>
      </c>
      <c r="K69" s="216" t="s">
        <v>51</v>
      </c>
      <c r="L69" s="216" t="s">
        <v>313</v>
      </c>
      <c r="M69" s="216" t="s">
        <v>370</v>
      </c>
      <c r="N69" s="216" t="s">
        <v>278</v>
      </c>
      <c r="O69" s="216" t="s">
        <v>38</v>
      </c>
      <c r="P69" s="216" t="s">
        <v>386</v>
      </c>
      <c r="Q69" s="216" t="s">
        <v>338</v>
      </c>
      <c r="R69" s="255" t="s">
        <v>239</v>
      </c>
      <c r="S69" s="260" t="s">
        <v>84</v>
      </c>
      <c r="T69" s="217" t="s">
        <v>55</v>
      </c>
      <c r="U69" s="215"/>
      <c r="V69" s="258" t="s">
        <v>79</v>
      </c>
      <c r="W69" s="215"/>
      <c r="X69" s="277" t="str">
        <f t="shared" si="3"/>
        <v>Internal Quality</v>
      </c>
    </row>
    <row r="70" spans="1:26" ht="117">
      <c r="A70" s="216" t="s">
        <v>102</v>
      </c>
      <c r="B70" s="216" t="s">
        <v>262</v>
      </c>
      <c r="C70" s="216" t="s">
        <v>57</v>
      </c>
      <c r="D70" s="216" t="s">
        <v>72</v>
      </c>
      <c r="E70" s="254" t="s">
        <v>387</v>
      </c>
      <c r="F70" s="254" t="str">
        <f t="shared" si="2"/>
        <v>Sub-process Objective</v>
      </c>
      <c r="G70" s="254" t="str">
        <f t="shared" si="2"/>
        <v xml:space="preserve">Improve Sub-process Productivity </v>
      </c>
      <c r="H70" s="254" t="str">
        <f t="shared" si="2"/>
        <v>Improve Productivity and Cost Efficiency</v>
      </c>
      <c r="I70" s="216" t="s">
        <v>388</v>
      </c>
      <c r="J70" s="216" t="s">
        <v>369</v>
      </c>
      <c r="K70" s="216" t="s">
        <v>51</v>
      </c>
      <c r="L70" s="216" t="s">
        <v>313</v>
      </c>
      <c r="M70" s="216" t="s">
        <v>370</v>
      </c>
      <c r="N70" s="216" t="s">
        <v>278</v>
      </c>
      <c r="O70" s="216" t="s">
        <v>38</v>
      </c>
      <c r="P70" s="216" t="s">
        <v>389</v>
      </c>
      <c r="Q70" s="216" t="s">
        <v>338</v>
      </c>
      <c r="R70" s="255" t="s">
        <v>239</v>
      </c>
      <c r="S70" s="260" t="s">
        <v>84</v>
      </c>
      <c r="T70" s="217" t="s">
        <v>55</v>
      </c>
      <c r="U70" s="215"/>
      <c r="V70" s="258" t="s">
        <v>79</v>
      </c>
      <c r="W70" s="215"/>
      <c r="X70" s="277" t="str">
        <f t="shared" si="3"/>
        <v>Efficiency</v>
      </c>
    </row>
    <row r="71" spans="1:26" ht="78">
      <c r="A71" s="216" t="s">
        <v>46</v>
      </c>
      <c r="B71" s="216" t="s">
        <v>139</v>
      </c>
      <c r="C71" s="216" t="s">
        <v>86</v>
      </c>
      <c r="D71" s="216" t="s">
        <v>140</v>
      </c>
      <c r="E71" s="254" t="s">
        <v>390</v>
      </c>
      <c r="F71" s="254" t="str">
        <f t="shared" si="2"/>
        <v>Process Objective</v>
      </c>
      <c r="G71" s="254" t="str">
        <f t="shared" si="2"/>
        <v>Improve Ontime and Speed of Delivery</v>
      </c>
      <c r="H71" s="254" t="str">
        <f t="shared" si="2"/>
        <v>Achieve Customer Satisfaction target and improve</v>
      </c>
      <c r="I71" s="216" t="s">
        <v>391</v>
      </c>
      <c r="J71" s="216" t="s">
        <v>392</v>
      </c>
      <c r="K71" s="216" t="s">
        <v>51</v>
      </c>
      <c r="L71" s="216" t="s">
        <v>67</v>
      </c>
      <c r="M71" s="216" t="s">
        <v>271</v>
      </c>
      <c r="N71" s="216" t="s">
        <v>393</v>
      </c>
      <c r="O71" s="216" t="s">
        <v>38</v>
      </c>
      <c r="P71" s="216" t="s">
        <v>391</v>
      </c>
      <c r="Q71" s="216" t="s">
        <v>394</v>
      </c>
      <c r="R71" s="255" t="s">
        <v>366</v>
      </c>
      <c r="S71" s="256" t="s">
        <v>84</v>
      </c>
      <c r="T71" s="257" t="s">
        <v>43</v>
      </c>
      <c r="U71" s="215"/>
      <c r="V71" s="262" t="s">
        <v>79</v>
      </c>
      <c r="W71" s="215"/>
      <c r="X71" s="277" t="str">
        <f t="shared" si="3"/>
        <v>Time &amp; Speed</v>
      </c>
    </row>
    <row r="72" spans="1:26" ht="78">
      <c r="A72" s="216" t="s">
        <v>46</v>
      </c>
      <c r="B72" s="216" t="s">
        <v>148</v>
      </c>
      <c r="C72" s="216" t="s">
        <v>86</v>
      </c>
      <c r="D72" s="216" t="s">
        <v>149</v>
      </c>
      <c r="E72" s="254" t="s">
        <v>395</v>
      </c>
      <c r="F72" s="254" t="str">
        <f t="shared" si="2"/>
        <v>Process Objective</v>
      </c>
      <c r="G72" s="254" t="str">
        <f t="shared" si="2"/>
        <v>Deliver committed scope</v>
      </c>
      <c r="H72" s="254" t="str">
        <f t="shared" si="2"/>
        <v>Achieve Customer Satisfaction target and improve</v>
      </c>
      <c r="I72" s="216" t="s">
        <v>396</v>
      </c>
      <c r="J72" s="216" t="s">
        <v>33</v>
      </c>
      <c r="K72" s="216" t="s">
        <v>51</v>
      </c>
      <c r="L72" s="216" t="s">
        <v>35</v>
      </c>
      <c r="M72" s="216" t="s">
        <v>271</v>
      </c>
      <c r="N72" s="216" t="s">
        <v>393</v>
      </c>
      <c r="O72" s="216" t="s">
        <v>38</v>
      </c>
      <c r="P72" s="216" t="s">
        <v>397</v>
      </c>
      <c r="Q72" s="216" t="s">
        <v>398</v>
      </c>
      <c r="R72" s="255" t="s">
        <v>366</v>
      </c>
      <c r="S72" s="256" t="s">
        <v>137</v>
      </c>
      <c r="T72" s="257" t="s">
        <v>43</v>
      </c>
      <c r="U72" s="215" t="s">
        <v>85</v>
      </c>
      <c r="V72" s="262" t="s">
        <v>79</v>
      </c>
      <c r="W72" s="213"/>
      <c r="X72" s="277" t="str">
        <f t="shared" si="3"/>
        <v>Scope</v>
      </c>
      <c r="Y72" s="279">
        <v>98</v>
      </c>
      <c r="Z72" s="279">
        <v>95</v>
      </c>
    </row>
    <row r="73" spans="1:26" ht="78">
      <c r="A73" s="216" t="s">
        <v>46</v>
      </c>
      <c r="B73" s="216" t="s">
        <v>139</v>
      </c>
      <c r="C73" s="216" t="s">
        <v>86</v>
      </c>
      <c r="D73" s="216" t="s">
        <v>140</v>
      </c>
      <c r="E73" s="261" t="s">
        <v>399</v>
      </c>
      <c r="F73" s="254" t="str">
        <f t="shared" si="2"/>
        <v>Process Objective</v>
      </c>
      <c r="G73" s="254" t="str">
        <f t="shared" si="2"/>
        <v>Improve Ontime and Speed of Delivery</v>
      </c>
      <c r="H73" s="254" t="str">
        <f t="shared" si="2"/>
        <v>Achieve Customer Satisfaction target and improve</v>
      </c>
      <c r="I73" s="216" t="s">
        <v>400</v>
      </c>
      <c r="J73" s="216" t="s">
        <v>33</v>
      </c>
      <c r="K73" s="216" t="s">
        <v>34</v>
      </c>
      <c r="L73" s="216" t="s">
        <v>67</v>
      </c>
      <c r="M73" s="216" t="s">
        <v>271</v>
      </c>
      <c r="N73" s="216" t="s">
        <v>393</v>
      </c>
      <c r="O73" s="216" t="s">
        <v>38</v>
      </c>
      <c r="P73" s="216" t="s">
        <v>401</v>
      </c>
      <c r="Q73" s="216" t="s">
        <v>402</v>
      </c>
      <c r="R73" s="255" t="s">
        <v>366</v>
      </c>
      <c r="S73" s="260" t="s">
        <v>84</v>
      </c>
      <c r="T73" s="257" t="s">
        <v>147</v>
      </c>
      <c r="U73" s="215" t="s">
        <v>85</v>
      </c>
      <c r="V73" s="262" t="s">
        <v>44</v>
      </c>
      <c r="W73" s="213" t="s">
        <v>403</v>
      </c>
      <c r="X73" s="277" t="str">
        <f t="shared" si="3"/>
        <v>Time &amp; Speed</v>
      </c>
    </row>
    <row r="74" spans="1:26" ht="78">
      <c r="A74" s="216" t="s">
        <v>46</v>
      </c>
      <c r="B74" s="216" t="s">
        <v>57</v>
      </c>
      <c r="C74" s="216" t="s">
        <v>86</v>
      </c>
      <c r="D74" s="216" t="s">
        <v>72</v>
      </c>
      <c r="E74" s="254" t="s">
        <v>404</v>
      </c>
      <c r="F74" s="254" t="str">
        <f t="shared" si="2"/>
        <v>Process Objective</v>
      </c>
      <c r="G74" s="254" t="str">
        <f t="shared" si="2"/>
        <v>Improve Productivity and Cost Efficiency</v>
      </c>
      <c r="H74" s="254" t="str">
        <f t="shared" si="2"/>
        <v>Achieve Customer Satisfaction target and improve</v>
      </c>
      <c r="I74" s="216" t="s">
        <v>405</v>
      </c>
      <c r="J74" s="216" t="s">
        <v>33</v>
      </c>
      <c r="K74" s="216" t="s">
        <v>51</v>
      </c>
      <c r="L74" s="216" t="s">
        <v>67</v>
      </c>
      <c r="M74" s="216" t="s">
        <v>325</v>
      </c>
      <c r="N74" s="216" t="s">
        <v>406</v>
      </c>
      <c r="O74" s="216" t="s">
        <v>38</v>
      </c>
      <c r="P74" s="216" t="s">
        <v>407</v>
      </c>
      <c r="Q74" s="216" t="s">
        <v>398</v>
      </c>
      <c r="R74" s="255" t="s">
        <v>408</v>
      </c>
      <c r="S74" s="256" t="s">
        <v>137</v>
      </c>
      <c r="T74" s="257" t="s">
        <v>43</v>
      </c>
      <c r="U74" s="215"/>
      <c r="V74" s="262" t="s">
        <v>79</v>
      </c>
      <c r="W74" s="213"/>
      <c r="X74" s="277" t="str">
        <f t="shared" si="3"/>
        <v>Efficiency</v>
      </c>
    </row>
    <row r="75" spans="1:26" ht="78">
      <c r="A75" s="216" t="s">
        <v>46</v>
      </c>
      <c r="B75" s="216" t="s">
        <v>148</v>
      </c>
      <c r="C75" s="216" t="s">
        <v>86</v>
      </c>
      <c r="D75" s="216" t="s">
        <v>149</v>
      </c>
      <c r="E75" s="254" t="s">
        <v>409</v>
      </c>
      <c r="F75" s="254" t="str">
        <f t="shared" si="2"/>
        <v>Process Objective</v>
      </c>
      <c r="G75" s="254" t="str">
        <f t="shared" si="2"/>
        <v>Deliver committed scope</v>
      </c>
      <c r="H75" s="254" t="str">
        <f t="shared" si="2"/>
        <v>Achieve Customer Satisfaction target and improve</v>
      </c>
      <c r="I75" s="216" t="s">
        <v>410</v>
      </c>
      <c r="J75" s="216" t="s">
        <v>33</v>
      </c>
      <c r="K75" s="216" t="s">
        <v>51</v>
      </c>
      <c r="L75" s="216" t="s">
        <v>67</v>
      </c>
      <c r="M75" s="216" t="s">
        <v>271</v>
      </c>
      <c r="N75" s="216" t="s">
        <v>393</v>
      </c>
      <c r="O75" s="216" t="s">
        <v>38</v>
      </c>
      <c r="P75" s="216" t="s">
        <v>411</v>
      </c>
      <c r="Q75" s="216" t="s">
        <v>398</v>
      </c>
      <c r="R75" s="255" t="s">
        <v>366</v>
      </c>
      <c r="S75" s="260" t="s">
        <v>137</v>
      </c>
      <c r="T75" s="257" t="s">
        <v>147</v>
      </c>
      <c r="U75" s="215"/>
      <c r="V75" s="262" t="s">
        <v>44</v>
      </c>
      <c r="W75" s="213" t="s">
        <v>403</v>
      </c>
      <c r="X75" s="277" t="str">
        <f t="shared" si="3"/>
        <v>Scope</v>
      </c>
    </row>
    <row r="76" spans="1:26" ht="78">
      <c r="A76" s="216" t="s">
        <v>46</v>
      </c>
      <c r="B76" s="216" t="s">
        <v>139</v>
      </c>
      <c r="C76" s="216" t="s">
        <v>86</v>
      </c>
      <c r="D76" s="216" t="s">
        <v>140</v>
      </c>
      <c r="E76" s="254" t="s">
        <v>412</v>
      </c>
      <c r="F76" s="254" t="str">
        <f t="shared" si="2"/>
        <v>Process Objective</v>
      </c>
      <c r="G76" s="254" t="str">
        <f t="shared" si="2"/>
        <v>Improve Ontime and Speed of Delivery</v>
      </c>
      <c r="H76" s="254" t="str">
        <f t="shared" si="2"/>
        <v>Achieve Customer Satisfaction target and improve</v>
      </c>
      <c r="I76" s="216" t="s">
        <v>413</v>
      </c>
      <c r="J76" s="216" t="s">
        <v>392</v>
      </c>
      <c r="K76" s="216" t="s">
        <v>51</v>
      </c>
      <c r="L76" s="216" t="s">
        <v>61</v>
      </c>
      <c r="M76" s="216" t="s">
        <v>414</v>
      </c>
      <c r="N76" s="216" t="s">
        <v>415</v>
      </c>
      <c r="O76" s="216" t="s">
        <v>38</v>
      </c>
      <c r="P76" s="216" t="s">
        <v>416</v>
      </c>
      <c r="Q76" s="216" t="s">
        <v>417</v>
      </c>
      <c r="R76" s="255" t="s">
        <v>418</v>
      </c>
      <c r="S76" s="256" t="s">
        <v>419</v>
      </c>
      <c r="T76" s="217" t="s">
        <v>43</v>
      </c>
      <c r="U76" s="215"/>
      <c r="V76" s="262" t="s">
        <v>79</v>
      </c>
      <c r="W76" s="213"/>
      <c r="X76" s="277" t="str">
        <f t="shared" si="3"/>
        <v>Time &amp; Speed</v>
      </c>
    </row>
    <row r="77" spans="1:26" ht="78">
      <c r="A77" s="216" t="s">
        <v>46</v>
      </c>
      <c r="B77" s="216" t="s">
        <v>57</v>
      </c>
      <c r="C77" s="216" t="s">
        <v>29</v>
      </c>
      <c r="D77" s="216" t="s">
        <v>72</v>
      </c>
      <c r="E77" s="254" t="s">
        <v>420</v>
      </c>
      <c r="F77" s="254" t="str">
        <f t="shared" si="2"/>
        <v>Process Objective</v>
      </c>
      <c r="G77" s="254" t="str">
        <f t="shared" si="2"/>
        <v>Improve Productivity and Cost Efficiency</v>
      </c>
      <c r="H77" s="254" t="str">
        <f t="shared" si="2"/>
        <v>Achieve Gross Margin target and improve</v>
      </c>
      <c r="I77" s="216" t="s">
        <v>421</v>
      </c>
      <c r="J77" s="216" t="s">
        <v>392</v>
      </c>
      <c r="K77" s="216" t="s">
        <v>34</v>
      </c>
      <c r="L77" s="216" t="s">
        <v>35</v>
      </c>
      <c r="M77" s="216" t="s">
        <v>414</v>
      </c>
      <c r="N77" s="216" t="s">
        <v>415</v>
      </c>
      <c r="O77" s="216" t="s">
        <v>38</v>
      </c>
      <c r="P77" s="216" t="s">
        <v>422</v>
      </c>
      <c r="Q77" s="216" t="s">
        <v>417</v>
      </c>
      <c r="R77" s="255" t="s">
        <v>418</v>
      </c>
      <c r="S77" s="256" t="s">
        <v>84</v>
      </c>
      <c r="T77" s="217" t="s">
        <v>43</v>
      </c>
      <c r="U77" s="215" t="s">
        <v>85</v>
      </c>
      <c r="V77" s="262" t="s">
        <v>79</v>
      </c>
      <c r="W77" s="213"/>
      <c r="X77" s="277" t="str">
        <f t="shared" si="3"/>
        <v>Efficiency</v>
      </c>
    </row>
    <row r="78" spans="1:26" ht="78">
      <c r="A78" s="216" t="s">
        <v>46</v>
      </c>
      <c r="B78" s="216" t="s">
        <v>139</v>
      </c>
      <c r="C78" s="216" t="s">
        <v>86</v>
      </c>
      <c r="D78" s="216" t="s">
        <v>140</v>
      </c>
      <c r="E78" s="254" t="s">
        <v>423</v>
      </c>
      <c r="F78" s="254" t="str">
        <f t="shared" si="2"/>
        <v>Process Objective</v>
      </c>
      <c r="G78" s="254" t="str">
        <f t="shared" si="2"/>
        <v>Improve Ontime and Speed of Delivery</v>
      </c>
      <c r="H78" s="254" t="str">
        <f t="shared" si="2"/>
        <v>Achieve Customer Satisfaction target and improve</v>
      </c>
      <c r="I78" s="216" t="s">
        <v>424</v>
      </c>
      <c r="J78" s="216" t="s">
        <v>425</v>
      </c>
      <c r="K78" s="216" t="s">
        <v>34</v>
      </c>
      <c r="L78" s="216" t="s">
        <v>426</v>
      </c>
      <c r="M78" s="216" t="s">
        <v>414</v>
      </c>
      <c r="N78" s="216" t="s">
        <v>415</v>
      </c>
      <c r="O78" s="216" t="s">
        <v>38</v>
      </c>
      <c r="P78" s="216" t="s">
        <v>427</v>
      </c>
      <c r="Q78" s="216" t="s">
        <v>417</v>
      </c>
      <c r="R78" s="255" t="s">
        <v>418</v>
      </c>
      <c r="S78" s="256" t="s">
        <v>84</v>
      </c>
      <c r="T78" s="217" t="s">
        <v>43</v>
      </c>
      <c r="U78" s="215" t="s">
        <v>85</v>
      </c>
      <c r="V78" s="262" t="s">
        <v>79</v>
      </c>
      <c r="W78" s="213"/>
      <c r="X78" s="277" t="str">
        <f t="shared" si="3"/>
        <v>Time &amp; Speed</v>
      </c>
    </row>
    <row r="79" spans="1:26" ht="78">
      <c r="A79" s="216" t="s">
        <v>46</v>
      </c>
      <c r="B79" s="216" t="s">
        <v>139</v>
      </c>
      <c r="C79" s="216" t="s">
        <v>86</v>
      </c>
      <c r="D79" s="216" t="s">
        <v>140</v>
      </c>
      <c r="E79" s="254" t="s">
        <v>428</v>
      </c>
      <c r="F79" s="254" t="str">
        <f t="shared" si="2"/>
        <v>Process Objective</v>
      </c>
      <c r="G79" s="254" t="str">
        <f t="shared" si="2"/>
        <v>Improve Ontime and Speed of Delivery</v>
      </c>
      <c r="H79" s="254" t="str">
        <f t="shared" si="2"/>
        <v>Achieve Customer Satisfaction target and improve</v>
      </c>
      <c r="I79" s="216" t="s">
        <v>429</v>
      </c>
      <c r="J79" s="216" t="s">
        <v>425</v>
      </c>
      <c r="K79" s="216" t="s">
        <v>34</v>
      </c>
      <c r="L79" s="216" t="s">
        <v>61</v>
      </c>
      <c r="M79" s="216" t="s">
        <v>414</v>
      </c>
      <c r="N79" s="216" t="s">
        <v>415</v>
      </c>
      <c r="O79" s="216" t="s">
        <v>38</v>
      </c>
      <c r="P79" s="216" t="s">
        <v>430</v>
      </c>
      <c r="Q79" s="216" t="s">
        <v>417</v>
      </c>
      <c r="R79" s="255" t="s">
        <v>418</v>
      </c>
      <c r="S79" s="260" t="s">
        <v>84</v>
      </c>
      <c r="T79" s="217" t="s">
        <v>55</v>
      </c>
      <c r="U79" s="215"/>
      <c r="V79" s="262" t="s">
        <v>79</v>
      </c>
      <c r="W79" s="213"/>
      <c r="X79" s="277" t="str">
        <f t="shared" si="3"/>
        <v>Time &amp; Speed</v>
      </c>
    </row>
    <row r="80" spans="1:26" ht="78">
      <c r="A80" s="216" t="s">
        <v>102</v>
      </c>
      <c r="B80" s="216" t="s">
        <v>281</v>
      </c>
      <c r="C80" s="216" t="s">
        <v>94</v>
      </c>
      <c r="D80" s="216" t="s">
        <v>95</v>
      </c>
      <c r="E80" s="254" t="s">
        <v>431</v>
      </c>
      <c r="F80" s="254" t="str">
        <f t="shared" si="2"/>
        <v>Sub-process Objective</v>
      </c>
      <c r="G80" s="254" t="str">
        <f t="shared" si="2"/>
        <v>Improve Internal Quality</v>
      </c>
      <c r="H80" s="254" t="str">
        <f t="shared" si="2"/>
        <v>Improve Quality of Delivery</v>
      </c>
      <c r="I80" s="216" t="s">
        <v>432</v>
      </c>
      <c r="J80" s="216" t="s">
        <v>33</v>
      </c>
      <c r="K80" s="216" t="s">
        <v>265</v>
      </c>
      <c r="L80" s="216" t="s">
        <v>35</v>
      </c>
      <c r="M80" s="216" t="s">
        <v>433</v>
      </c>
      <c r="N80" s="216" t="s">
        <v>434</v>
      </c>
      <c r="O80" s="216" t="s">
        <v>38</v>
      </c>
      <c r="P80" s="216" t="s">
        <v>435</v>
      </c>
      <c r="Q80" s="216" t="s">
        <v>436</v>
      </c>
      <c r="R80" s="255" t="s">
        <v>437</v>
      </c>
      <c r="S80" s="260" t="s">
        <v>84</v>
      </c>
      <c r="T80" s="257" t="s">
        <v>55</v>
      </c>
      <c r="U80" s="215"/>
      <c r="V80" s="262" t="s">
        <v>79</v>
      </c>
      <c r="W80" s="215"/>
      <c r="X80" s="277" t="str">
        <f t="shared" si="3"/>
        <v>Internal Quality</v>
      </c>
    </row>
    <row r="81" spans="1:27" ht="78">
      <c r="A81" s="216" t="s">
        <v>46</v>
      </c>
      <c r="B81" s="216" t="s">
        <v>438</v>
      </c>
      <c r="C81" s="216" t="s">
        <v>86</v>
      </c>
      <c r="D81" s="216" t="s">
        <v>140</v>
      </c>
      <c r="E81" s="261" t="s">
        <v>439</v>
      </c>
      <c r="F81" s="254" t="str">
        <f t="shared" si="2"/>
        <v>Process Objective</v>
      </c>
      <c r="G81" s="254" t="str">
        <f t="shared" si="2"/>
        <v xml:space="preserve">Improve  Service Level Performance </v>
      </c>
      <c r="H81" s="254" t="str">
        <f t="shared" si="2"/>
        <v>Achieve Customer Satisfaction target and improve</v>
      </c>
      <c r="I81" s="216" t="s">
        <v>440</v>
      </c>
      <c r="J81" s="216" t="s">
        <v>33</v>
      </c>
      <c r="K81" s="216" t="s">
        <v>34</v>
      </c>
      <c r="L81" s="216" t="s">
        <v>35</v>
      </c>
      <c r="M81" s="216" t="s">
        <v>441</v>
      </c>
      <c r="N81" s="216" t="s">
        <v>442</v>
      </c>
      <c r="O81" s="216" t="s">
        <v>38</v>
      </c>
      <c r="P81" s="216" t="s">
        <v>443</v>
      </c>
      <c r="Q81" s="216" t="s">
        <v>444</v>
      </c>
      <c r="R81" s="255" t="s">
        <v>41</v>
      </c>
      <c r="S81" s="260" t="s">
        <v>137</v>
      </c>
      <c r="T81" s="257" t="s">
        <v>147</v>
      </c>
      <c r="U81" s="215" t="s">
        <v>85</v>
      </c>
      <c r="V81" s="262" t="s">
        <v>44</v>
      </c>
      <c r="W81" s="213" t="s">
        <v>445</v>
      </c>
      <c r="X81" s="277" t="str">
        <f t="shared" si="3"/>
        <v>Time &amp; Speed</v>
      </c>
      <c r="Y81" s="279">
        <v>95</v>
      </c>
      <c r="Z81" s="279">
        <v>90</v>
      </c>
    </row>
    <row r="82" spans="1:27" ht="78">
      <c r="A82" s="216" t="s">
        <v>46</v>
      </c>
      <c r="B82" s="216" t="s">
        <v>438</v>
      </c>
      <c r="C82" s="216" t="s">
        <v>86</v>
      </c>
      <c r="D82" s="216" t="s">
        <v>140</v>
      </c>
      <c r="E82" s="261" t="s">
        <v>446</v>
      </c>
      <c r="F82" s="254" t="str">
        <f t="shared" si="2"/>
        <v>Process Objective</v>
      </c>
      <c r="G82" s="254" t="str">
        <f t="shared" si="2"/>
        <v xml:space="preserve">Improve  Service Level Performance </v>
      </c>
      <c r="H82" s="254" t="str">
        <f t="shared" si="2"/>
        <v>Achieve Customer Satisfaction target and improve</v>
      </c>
      <c r="I82" s="216" t="s">
        <v>447</v>
      </c>
      <c r="J82" s="216" t="s">
        <v>33</v>
      </c>
      <c r="K82" s="216" t="s">
        <v>34</v>
      </c>
      <c r="L82" s="216" t="s">
        <v>35</v>
      </c>
      <c r="M82" s="216" t="s">
        <v>441</v>
      </c>
      <c r="N82" s="216" t="s">
        <v>442</v>
      </c>
      <c r="O82" s="216" t="s">
        <v>38</v>
      </c>
      <c r="P82" s="216" t="s">
        <v>448</v>
      </c>
      <c r="Q82" s="216" t="s">
        <v>444</v>
      </c>
      <c r="R82" s="255" t="s">
        <v>41</v>
      </c>
      <c r="S82" s="260" t="s">
        <v>137</v>
      </c>
      <c r="T82" s="257" t="s">
        <v>147</v>
      </c>
      <c r="U82" s="215" t="s">
        <v>85</v>
      </c>
      <c r="V82" s="262" t="s">
        <v>44</v>
      </c>
      <c r="W82" s="213" t="s">
        <v>445</v>
      </c>
      <c r="X82" s="277" t="str">
        <f t="shared" si="3"/>
        <v>Time &amp; Speed</v>
      </c>
    </row>
    <row r="83" spans="1:27" ht="78">
      <c r="A83" s="216" t="s">
        <v>46</v>
      </c>
      <c r="B83" s="216" t="s">
        <v>94</v>
      </c>
      <c r="C83" s="216" t="s">
        <v>86</v>
      </c>
      <c r="D83" s="216" t="s">
        <v>154</v>
      </c>
      <c r="E83" s="261" t="s">
        <v>449</v>
      </c>
      <c r="F83" s="254" t="str">
        <f t="shared" si="2"/>
        <v>Process Objective</v>
      </c>
      <c r="G83" s="254" t="str">
        <f t="shared" si="2"/>
        <v>Improve Quality of Delivery</v>
      </c>
      <c r="H83" s="254" t="str">
        <f t="shared" si="2"/>
        <v>Achieve Customer Satisfaction target and improve</v>
      </c>
      <c r="I83" s="216" t="s">
        <v>450</v>
      </c>
      <c r="J83" s="216" t="s">
        <v>33</v>
      </c>
      <c r="K83" s="216" t="s">
        <v>34</v>
      </c>
      <c r="L83" s="216" t="s">
        <v>35</v>
      </c>
      <c r="M83" s="216" t="s">
        <v>441</v>
      </c>
      <c r="N83" s="216" t="s">
        <v>442</v>
      </c>
      <c r="O83" s="216" t="s">
        <v>38</v>
      </c>
      <c r="P83" s="216" t="s">
        <v>451</v>
      </c>
      <c r="Q83" s="216" t="s">
        <v>444</v>
      </c>
      <c r="R83" s="255" t="s">
        <v>41</v>
      </c>
      <c r="S83" s="256" t="s">
        <v>137</v>
      </c>
      <c r="T83" s="257" t="s">
        <v>43</v>
      </c>
      <c r="U83" s="215" t="s">
        <v>85</v>
      </c>
      <c r="V83" s="262" t="s">
        <v>44</v>
      </c>
      <c r="W83" s="215"/>
      <c r="X83" s="277" t="str">
        <f t="shared" si="3"/>
        <v>Delivered Quality</v>
      </c>
      <c r="Y83" s="279">
        <v>100</v>
      </c>
      <c r="Z83" s="279">
        <v>95</v>
      </c>
    </row>
    <row r="84" spans="1:27" ht="78">
      <c r="A84" s="216" t="s">
        <v>46</v>
      </c>
      <c r="B84" s="216" t="s">
        <v>57</v>
      </c>
      <c r="C84" s="216" t="s">
        <v>29</v>
      </c>
      <c r="D84" s="216" t="s">
        <v>72</v>
      </c>
      <c r="E84" s="261" t="s">
        <v>452</v>
      </c>
      <c r="F84" s="254" t="str">
        <f t="shared" si="2"/>
        <v>Process Objective</v>
      </c>
      <c r="G84" s="254" t="str">
        <f t="shared" si="2"/>
        <v>Improve Productivity and Cost Efficiency</v>
      </c>
      <c r="H84" s="254" t="str">
        <f t="shared" si="2"/>
        <v>Achieve Gross Margin target and improve</v>
      </c>
      <c r="I84" s="216" t="s">
        <v>453</v>
      </c>
      <c r="J84" s="216" t="s">
        <v>454</v>
      </c>
      <c r="K84" s="216" t="s">
        <v>34</v>
      </c>
      <c r="L84" s="216" t="s">
        <v>61</v>
      </c>
      <c r="M84" s="216" t="s">
        <v>441</v>
      </c>
      <c r="N84" s="216" t="s">
        <v>442</v>
      </c>
      <c r="O84" s="216" t="s">
        <v>38</v>
      </c>
      <c r="P84" s="216" t="s">
        <v>455</v>
      </c>
      <c r="Q84" s="216" t="s">
        <v>456</v>
      </c>
      <c r="R84" s="255" t="s">
        <v>41</v>
      </c>
      <c r="S84" s="256" t="s">
        <v>137</v>
      </c>
      <c r="T84" s="257" t="s">
        <v>43</v>
      </c>
      <c r="U84" s="215" t="s">
        <v>85</v>
      </c>
      <c r="V84" s="262" t="s">
        <v>79</v>
      </c>
      <c r="W84" s="215"/>
      <c r="X84" s="277" t="str">
        <f t="shared" si="3"/>
        <v>Efficiency</v>
      </c>
    </row>
    <row r="85" spans="1:27" ht="78">
      <c r="A85" s="216" t="s">
        <v>46</v>
      </c>
      <c r="B85" s="216" t="s">
        <v>148</v>
      </c>
      <c r="C85" s="216" t="s">
        <v>86</v>
      </c>
      <c r="D85" s="216" t="s">
        <v>149</v>
      </c>
      <c r="E85" s="261" t="s">
        <v>457</v>
      </c>
      <c r="F85" s="254" t="str">
        <f t="shared" si="2"/>
        <v>Process Objective</v>
      </c>
      <c r="G85" s="254" t="str">
        <f t="shared" si="2"/>
        <v>Deliver committed scope</v>
      </c>
      <c r="H85" s="254" t="str">
        <f t="shared" si="2"/>
        <v>Achieve Customer Satisfaction target and improve</v>
      </c>
      <c r="I85" s="216" t="s">
        <v>458</v>
      </c>
      <c r="J85" s="216" t="s">
        <v>459</v>
      </c>
      <c r="K85" s="216" t="s">
        <v>265</v>
      </c>
      <c r="L85" s="216" t="s">
        <v>288</v>
      </c>
      <c r="M85" s="216" t="s">
        <v>441</v>
      </c>
      <c r="N85" s="216" t="s">
        <v>442</v>
      </c>
      <c r="O85" s="216" t="s">
        <v>38</v>
      </c>
      <c r="P85" s="216" t="s">
        <v>460</v>
      </c>
      <c r="Q85" s="216" t="s">
        <v>456</v>
      </c>
      <c r="R85" s="255" t="s">
        <v>41</v>
      </c>
      <c r="S85" s="260" t="s">
        <v>137</v>
      </c>
      <c r="T85" s="257" t="s">
        <v>110</v>
      </c>
      <c r="U85" s="215"/>
      <c r="V85" s="262" t="s">
        <v>79</v>
      </c>
      <c r="W85" s="215"/>
      <c r="X85" s="277" t="str">
        <f t="shared" si="3"/>
        <v>Scope</v>
      </c>
    </row>
    <row r="86" spans="1:27" ht="78">
      <c r="A86" s="216" t="s">
        <v>46</v>
      </c>
      <c r="B86" s="216" t="s">
        <v>148</v>
      </c>
      <c r="C86" s="216" t="s">
        <v>86</v>
      </c>
      <c r="D86" s="216" t="s">
        <v>149</v>
      </c>
      <c r="E86" s="261" t="s">
        <v>461</v>
      </c>
      <c r="F86" s="254" t="str">
        <f t="shared" si="2"/>
        <v>Process Objective</v>
      </c>
      <c r="G86" s="254" t="str">
        <f t="shared" si="2"/>
        <v>Deliver committed scope</v>
      </c>
      <c r="H86" s="254" t="str">
        <f t="shared" si="2"/>
        <v>Achieve Customer Satisfaction target and improve</v>
      </c>
      <c r="I86" s="216" t="s">
        <v>462</v>
      </c>
      <c r="J86" s="216" t="s">
        <v>33</v>
      </c>
      <c r="K86" s="216" t="s">
        <v>265</v>
      </c>
      <c r="L86" s="216" t="s">
        <v>67</v>
      </c>
      <c r="M86" s="216" t="s">
        <v>441</v>
      </c>
      <c r="N86" s="216" t="s">
        <v>442</v>
      </c>
      <c r="O86" s="216" t="s">
        <v>38</v>
      </c>
      <c r="P86" s="216" t="s">
        <v>463</v>
      </c>
      <c r="Q86" s="216" t="s">
        <v>444</v>
      </c>
      <c r="R86" s="255" t="s">
        <v>41</v>
      </c>
      <c r="S86" s="260" t="s">
        <v>137</v>
      </c>
      <c r="T86" s="257" t="s">
        <v>55</v>
      </c>
      <c r="U86" s="215"/>
      <c r="V86" s="262" t="s">
        <v>79</v>
      </c>
      <c r="W86" s="215"/>
      <c r="X86" s="277" t="str">
        <f t="shared" si="3"/>
        <v>Scope</v>
      </c>
      <c r="Y86" s="279">
        <v>1</v>
      </c>
      <c r="Z86" s="279">
        <v>0.95</v>
      </c>
    </row>
    <row r="87" spans="1:27" ht="78">
      <c r="A87" s="216" t="s">
        <v>46</v>
      </c>
      <c r="B87" s="216" t="s">
        <v>57</v>
      </c>
      <c r="C87" s="216" t="s">
        <v>86</v>
      </c>
      <c r="D87" s="216" t="s">
        <v>72</v>
      </c>
      <c r="E87" s="261" t="s">
        <v>464</v>
      </c>
      <c r="F87" s="254" t="str">
        <f t="shared" si="2"/>
        <v>Process Objective</v>
      </c>
      <c r="G87" s="254" t="str">
        <f t="shared" si="2"/>
        <v>Improve Productivity and Cost Efficiency</v>
      </c>
      <c r="H87" s="254" t="str">
        <f t="shared" si="2"/>
        <v>Achieve Customer Satisfaction target and improve</v>
      </c>
      <c r="I87" s="216" t="s">
        <v>465</v>
      </c>
      <c r="J87" s="216" t="s">
        <v>33</v>
      </c>
      <c r="K87" s="216" t="s">
        <v>265</v>
      </c>
      <c r="L87" s="216" t="s">
        <v>67</v>
      </c>
      <c r="M87" s="216" t="s">
        <v>441</v>
      </c>
      <c r="N87" s="216" t="s">
        <v>442</v>
      </c>
      <c r="O87" s="216" t="s">
        <v>38</v>
      </c>
      <c r="P87" s="216" t="s">
        <v>466</v>
      </c>
      <c r="Q87" s="216" t="s">
        <v>467</v>
      </c>
      <c r="R87" s="255" t="s">
        <v>41</v>
      </c>
      <c r="S87" s="260" t="s">
        <v>137</v>
      </c>
      <c r="T87" s="257" t="s">
        <v>110</v>
      </c>
      <c r="U87" s="215"/>
      <c r="V87" s="262" t="s">
        <v>79</v>
      </c>
      <c r="W87" s="213"/>
      <c r="X87" s="277" t="str">
        <f t="shared" si="3"/>
        <v>Efficiency</v>
      </c>
    </row>
    <row r="88" spans="1:27" ht="78">
      <c r="A88" s="216" t="s">
        <v>102</v>
      </c>
      <c r="B88" s="216" t="s">
        <v>468</v>
      </c>
      <c r="C88" s="216" t="s">
        <v>139</v>
      </c>
      <c r="D88" s="216" t="s">
        <v>140</v>
      </c>
      <c r="E88" s="261" t="s">
        <v>469</v>
      </c>
      <c r="F88" s="254" t="str">
        <f t="shared" si="2"/>
        <v>Sub-process Objective</v>
      </c>
      <c r="G88" s="254" t="str">
        <f t="shared" si="2"/>
        <v>Improve Sub-process Cycle time</v>
      </c>
      <c r="H88" s="254" t="str">
        <f t="shared" si="2"/>
        <v>Improve Ontime and Speed of Delivery</v>
      </c>
      <c r="I88" s="216" t="s">
        <v>470</v>
      </c>
      <c r="J88" s="216" t="s">
        <v>33</v>
      </c>
      <c r="K88" s="216" t="s">
        <v>34</v>
      </c>
      <c r="L88" s="216" t="s">
        <v>35</v>
      </c>
      <c r="M88" s="216" t="s">
        <v>471</v>
      </c>
      <c r="N88" s="216" t="s">
        <v>472</v>
      </c>
      <c r="O88" s="216" t="s">
        <v>38</v>
      </c>
      <c r="P88" s="216" t="s">
        <v>473</v>
      </c>
      <c r="Q88" s="216" t="s">
        <v>467</v>
      </c>
      <c r="R88" s="255" t="s">
        <v>41</v>
      </c>
      <c r="S88" s="260" t="s">
        <v>137</v>
      </c>
      <c r="T88" s="257" t="s">
        <v>147</v>
      </c>
      <c r="U88" s="215" t="s">
        <v>85</v>
      </c>
      <c r="V88" s="262" t="s">
        <v>79</v>
      </c>
      <c r="W88" s="213" t="s">
        <v>474</v>
      </c>
      <c r="X88" s="277" t="str">
        <f t="shared" si="3"/>
        <v>Time &amp; Speed</v>
      </c>
      <c r="Y88" s="279">
        <v>95</v>
      </c>
      <c r="Z88" s="279">
        <v>90</v>
      </c>
    </row>
    <row r="89" spans="1:27" ht="78">
      <c r="A89" s="216" t="s">
        <v>102</v>
      </c>
      <c r="B89" s="216" t="s">
        <v>468</v>
      </c>
      <c r="C89" s="216" t="s">
        <v>139</v>
      </c>
      <c r="D89" s="216" t="s">
        <v>140</v>
      </c>
      <c r="E89" s="261" t="s">
        <v>475</v>
      </c>
      <c r="F89" s="254" t="str">
        <f t="shared" si="2"/>
        <v>Sub-process Objective</v>
      </c>
      <c r="G89" s="254" t="str">
        <f t="shared" si="2"/>
        <v>Improve Sub-process Cycle time</v>
      </c>
      <c r="H89" s="254" t="str">
        <f t="shared" si="2"/>
        <v>Improve Ontime and Speed of Delivery</v>
      </c>
      <c r="I89" s="216" t="s">
        <v>476</v>
      </c>
      <c r="J89" s="213" t="s">
        <v>477</v>
      </c>
      <c r="K89" s="216" t="s">
        <v>265</v>
      </c>
      <c r="L89" s="216" t="s">
        <v>61</v>
      </c>
      <c r="M89" s="216" t="s">
        <v>478</v>
      </c>
      <c r="N89" s="216" t="s">
        <v>442</v>
      </c>
      <c r="O89" s="216" t="s">
        <v>38</v>
      </c>
      <c r="P89" s="216" t="s">
        <v>479</v>
      </c>
      <c r="Q89" s="216" t="s">
        <v>467</v>
      </c>
      <c r="R89" s="255" t="s">
        <v>41</v>
      </c>
      <c r="S89" s="260" t="s">
        <v>137</v>
      </c>
      <c r="T89" s="257" t="s">
        <v>147</v>
      </c>
      <c r="U89" s="215"/>
      <c r="V89" s="262" t="s">
        <v>79</v>
      </c>
      <c r="W89" s="213" t="s">
        <v>445</v>
      </c>
      <c r="X89" s="277" t="str">
        <f t="shared" si="3"/>
        <v>Time &amp; Speed</v>
      </c>
    </row>
    <row r="90" spans="1:27" ht="78">
      <c r="A90" s="216" t="s">
        <v>102</v>
      </c>
      <c r="B90" s="216" t="s">
        <v>468</v>
      </c>
      <c r="C90" s="216" t="s">
        <v>139</v>
      </c>
      <c r="D90" s="216" t="s">
        <v>140</v>
      </c>
      <c r="E90" s="261" t="s">
        <v>480</v>
      </c>
      <c r="F90" s="254" t="str">
        <f t="shared" si="2"/>
        <v>Sub-process Objective</v>
      </c>
      <c r="G90" s="254" t="str">
        <f t="shared" si="2"/>
        <v>Improve Sub-process Cycle time</v>
      </c>
      <c r="H90" s="254" t="str">
        <f t="shared" si="2"/>
        <v>Improve Ontime and Speed of Delivery</v>
      </c>
      <c r="I90" s="216" t="s">
        <v>481</v>
      </c>
      <c r="J90" s="213" t="s">
        <v>482</v>
      </c>
      <c r="K90" s="216" t="s">
        <v>265</v>
      </c>
      <c r="L90" s="216" t="s">
        <v>61</v>
      </c>
      <c r="M90" s="216" t="s">
        <v>478</v>
      </c>
      <c r="N90" s="216" t="s">
        <v>442</v>
      </c>
      <c r="O90" s="216" t="s">
        <v>38</v>
      </c>
      <c r="P90" s="216" t="s">
        <v>483</v>
      </c>
      <c r="Q90" s="216" t="s">
        <v>467</v>
      </c>
      <c r="R90" s="255" t="s">
        <v>41</v>
      </c>
      <c r="S90" s="260" t="s">
        <v>137</v>
      </c>
      <c r="T90" s="257" t="s">
        <v>147</v>
      </c>
      <c r="U90" s="215"/>
      <c r="V90" s="262" t="s">
        <v>79</v>
      </c>
      <c r="W90" s="213" t="s">
        <v>445</v>
      </c>
      <c r="X90" s="277" t="str">
        <f t="shared" si="3"/>
        <v>Time &amp; Speed</v>
      </c>
    </row>
    <row r="91" spans="1:27" ht="78">
      <c r="A91" s="216" t="s">
        <v>46</v>
      </c>
      <c r="B91" s="216" t="s">
        <v>438</v>
      </c>
      <c r="C91" s="216" t="s">
        <v>86</v>
      </c>
      <c r="D91" s="216" t="s">
        <v>72</v>
      </c>
      <c r="E91" s="261" t="s">
        <v>484</v>
      </c>
      <c r="F91" s="254" t="str">
        <f t="shared" si="2"/>
        <v>Process Objective</v>
      </c>
      <c r="G91" s="254" t="str">
        <f t="shared" si="2"/>
        <v xml:space="preserve">Improve  Service Level Performance </v>
      </c>
      <c r="H91" s="254" t="str">
        <f t="shared" si="2"/>
        <v>Achieve Customer Satisfaction target and improve</v>
      </c>
      <c r="I91" s="216" t="s">
        <v>485</v>
      </c>
      <c r="J91" s="216" t="s">
        <v>33</v>
      </c>
      <c r="K91" s="216" t="s">
        <v>34</v>
      </c>
      <c r="L91" s="216" t="s">
        <v>35</v>
      </c>
      <c r="M91" s="216" t="s">
        <v>478</v>
      </c>
      <c r="N91" s="216" t="s">
        <v>442</v>
      </c>
      <c r="O91" s="216" t="s">
        <v>38</v>
      </c>
      <c r="P91" s="216" t="s">
        <v>486</v>
      </c>
      <c r="Q91" s="216" t="s">
        <v>487</v>
      </c>
      <c r="R91" s="255" t="s">
        <v>41</v>
      </c>
      <c r="S91" s="260" t="s">
        <v>137</v>
      </c>
      <c r="T91" s="257" t="s">
        <v>110</v>
      </c>
      <c r="U91" s="215" t="s">
        <v>85</v>
      </c>
      <c r="V91" s="262" t="s">
        <v>79</v>
      </c>
      <c r="W91" s="215"/>
      <c r="X91" s="277" t="str">
        <f t="shared" si="3"/>
        <v>Efficiency</v>
      </c>
    </row>
    <row r="92" spans="1:27" ht="78">
      <c r="A92" s="216" t="s">
        <v>46</v>
      </c>
      <c r="B92" s="216" t="s">
        <v>148</v>
      </c>
      <c r="C92" s="216" t="s">
        <v>86</v>
      </c>
      <c r="D92" s="216" t="s">
        <v>149</v>
      </c>
      <c r="E92" s="261" t="s">
        <v>488</v>
      </c>
      <c r="F92" s="254" t="str">
        <f t="shared" si="2"/>
        <v>Process Objective</v>
      </c>
      <c r="G92" s="254" t="str">
        <f t="shared" si="2"/>
        <v>Deliver committed scope</v>
      </c>
      <c r="H92" s="254" t="str">
        <f t="shared" si="2"/>
        <v>Achieve Customer Satisfaction target and improve</v>
      </c>
      <c r="I92" s="216" t="s">
        <v>489</v>
      </c>
      <c r="J92" s="216" t="s">
        <v>33</v>
      </c>
      <c r="K92" s="216" t="s">
        <v>51</v>
      </c>
      <c r="L92" s="216" t="s">
        <v>61</v>
      </c>
      <c r="M92" s="216" t="s">
        <v>490</v>
      </c>
      <c r="N92" s="216" t="s">
        <v>442</v>
      </c>
      <c r="O92" s="216" t="s">
        <v>38</v>
      </c>
      <c r="P92" s="216" t="s">
        <v>491</v>
      </c>
      <c r="Q92" s="216" t="s">
        <v>467</v>
      </c>
      <c r="R92" s="255" t="s">
        <v>41</v>
      </c>
      <c r="S92" s="260" t="s">
        <v>137</v>
      </c>
      <c r="T92" s="257" t="s">
        <v>110</v>
      </c>
      <c r="U92" s="215" t="s">
        <v>85</v>
      </c>
      <c r="V92" s="262" t="s">
        <v>79</v>
      </c>
      <c r="W92" s="215"/>
      <c r="X92" s="277" t="str">
        <f t="shared" si="3"/>
        <v>Scope</v>
      </c>
    </row>
    <row r="93" spans="1:27" ht="78">
      <c r="A93" s="216" t="s">
        <v>46</v>
      </c>
      <c r="B93" s="216" t="s">
        <v>94</v>
      </c>
      <c r="C93" s="216" t="s">
        <v>86</v>
      </c>
      <c r="D93" s="216" t="s">
        <v>95</v>
      </c>
      <c r="E93" s="261" t="s">
        <v>492</v>
      </c>
      <c r="F93" s="254" t="str">
        <f t="shared" si="2"/>
        <v>Process Objective</v>
      </c>
      <c r="G93" s="254" t="str">
        <f t="shared" si="2"/>
        <v>Improve Quality of Delivery</v>
      </c>
      <c r="H93" s="254" t="str">
        <f t="shared" si="2"/>
        <v>Achieve Customer Satisfaction target and improve</v>
      </c>
      <c r="I93" s="216" t="s">
        <v>493</v>
      </c>
      <c r="J93" s="216" t="s">
        <v>33</v>
      </c>
      <c r="K93" s="216" t="s">
        <v>51</v>
      </c>
      <c r="L93" s="216" t="s">
        <v>61</v>
      </c>
      <c r="M93" s="216" t="s">
        <v>490</v>
      </c>
      <c r="N93" s="216" t="s">
        <v>442</v>
      </c>
      <c r="O93" s="216" t="s">
        <v>38</v>
      </c>
      <c r="P93" s="216" t="s">
        <v>494</v>
      </c>
      <c r="Q93" s="216" t="s">
        <v>467</v>
      </c>
      <c r="R93" s="255" t="s">
        <v>41</v>
      </c>
      <c r="S93" s="260" t="s">
        <v>137</v>
      </c>
      <c r="T93" s="257" t="s">
        <v>110</v>
      </c>
      <c r="U93" s="215" t="s">
        <v>85</v>
      </c>
      <c r="V93" s="262" t="s">
        <v>79</v>
      </c>
      <c r="W93" s="213"/>
      <c r="X93" s="277" t="str">
        <f t="shared" si="3"/>
        <v>Internal Quality</v>
      </c>
      <c r="Y93" s="279">
        <v>0</v>
      </c>
      <c r="AA93" s="362">
        <v>5</v>
      </c>
    </row>
    <row r="94" spans="1:27" ht="78">
      <c r="A94" s="216" t="s">
        <v>102</v>
      </c>
      <c r="B94" s="216" t="s">
        <v>262</v>
      </c>
      <c r="C94" s="216" t="s">
        <v>57</v>
      </c>
      <c r="D94" s="216" t="s">
        <v>72</v>
      </c>
      <c r="E94" s="254" t="s">
        <v>495</v>
      </c>
      <c r="F94" s="254" t="str">
        <f t="shared" si="2"/>
        <v>Sub-process Objective</v>
      </c>
      <c r="G94" s="254" t="str">
        <f t="shared" si="2"/>
        <v xml:space="preserve">Improve Sub-process Productivity </v>
      </c>
      <c r="H94" s="254" t="str">
        <f t="shared" si="2"/>
        <v>Improve Productivity and Cost Efficiency</v>
      </c>
      <c r="I94" s="216" t="s">
        <v>496</v>
      </c>
      <c r="J94" s="216" t="s">
        <v>497</v>
      </c>
      <c r="K94" s="216" t="s">
        <v>51</v>
      </c>
      <c r="L94" s="216" t="s">
        <v>35</v>
      </c>
      <c r="M94" s="216" t="s">
        <v>498</v>
      </c>
      <c r="N94" s="216" t="s">
        <v>499</v>
      </c>
      <c r="O94" s="216" t="s">
        <v>38</v>
      </c>
      <c r="P94" s="216" t="s">
        <v>500</v>
      </c>
      <c r="Q94" s="216" t="s">
        <v>501</v>
      </c>
      <c r="R94" s="255" t="s">
        <v>437</v>
      </c>
      <c r="S94" s="256" t="s">
        <v>84</v>
      </c>
      <c r="T94" s="217" t="s">
        <v>43</v>
      </c>
      <c r="U94" s="215" t="s">
        <v>85</v>
      </c>
      <c r="V94" s="258" t="s">
        <v>79</v>
      </c>
      <c r="W94" s="215"/>
      <c r="X94" s="277" t="str">
        <f t="shared" si="3"/>
        <v>Efficiency</v>
      </c>
    </row>
    <row r="95" spans="1:27" ht="78">
      <c r="A95" s="216" t="s">
        <v>102</v>
      </c>
      <c r="B95" s="216" t="s">
        <v>262</v>
      </c>
      <c r="C95" s="216" t="s">
        <v>57</v>
      </c>
      <c r="D95" s="216" t="s">
        <v>72</v>
      </c>
      <c r="E95" s="254" t="s">
        <v>502</v>
      </c>
      <c r="F95" s="254" t="str">
        <f t="shared" si="2"/>
        <v>Sub-process Objective</v>
      </c>
      <c r="G95" s="254" t="str">
        <f t="shared" si="2"/>
        <v xml:space="preserve">Improve Sub-process Productivity </v>
      </c>
      <c r="H95" s="254" t="str">
        <f t="shared" si="2"/>
        <v>Improve Productivity and Cost Efficiency</v>
      </c>
      <c r="I95" s="216" t="s">
        <v>503</v>
      </c>
      <c r="J95" s="216" t="s">
        <v>497</v>
      </c>
      <c r="K95" s="216" t="s">
        <v>51</v>
      </c>
      <c r="L95" s="216" t="s">
        <v>35</v>
      </c>
      <c r="M95" s="216" t="s">
        <v>498</v>
      </c>
      <c r="N95" s="216" t="s">
        <v>499</v>
      </c>
      <c r="O95" s="216" t="s">
        <v>38</v>
      </c>
      <c r="P95" s="216" t="s">
        <v>504</v>
      </c>
      <c r="Q95" s="216" t="s">
        <v>501</v>
      </c>
      <c r="R95" s="255" t="s">
        <v>437</v>
      </c>
      <c r="S95" s="256" t="s">
        <v>84</v>
      </c>
      <c r="T95" s="217" t="s">
        <v>43</v>
      </c>
      <c r="U95" s="215" t="s">
        <v>85</v>
      </c>
      <c r="V95" s="258" t="s">
        <v>79</v>
      </c>
      <c r="W95" s="215"/>
      <c r="X95" s="277" t="str">
        <f t="shared" si="3"/>
        <v>Efficiency</v>
      </c>
    </row>
    <row r="96" spans="1:27" ht="78">
      <c r="A96" s="216" t="s">
        <v>102</v>
      </c>
      <c r="B96" s="216" t="s">
        <v>281</v>
      </c>
      <c r="C96" s="216" t="s">
        <v>94</v>
      </c>
      <c r="D96" s="216" t="s">
        <v>149</v>
      </c>
      <c r="E96" s="254" t="s">
        <v>505</v>
      </c>
      <c r="F96" s="254" t="str">
        <f t="shared" si="2"/>
        <v>Sub-process Objective</v>
      </c>
      <c r="G96" s="254" t="str">
        <f t="shared" si="2"/>
        <v>Improve Internal Quality</v>
      </c>
      <c r="H96" s="254" t="str">
        <f t="shared" si="2"/>
        <v>Improve Quality of Delivery</v>
      </c>
      <c r="I96" s="216" t="s">
        <v>506</v>
      </c>
      <c r="J96" s="216" t="s">
        <v>33</v>
      </c>
      <c r="K96" s="216" t="s">
        <v>51</v>
      </c>
      <c r="L96" s="216" t="s">
        <v>35</v>
      </c>
      <c r="M96" s="216" t="s">
        <v>507</v>
      </c>
      <c r="N96" s="216" t="s">
        <v>508</v>
      </c>
      <c r="O96" s="216" t="s">
        <v>38</v>
      </c>
      <c r="P96" s="216" t="s">
        <v>509</v>
      </c>
      <c r="Q96" s="216" t="s">
        <v>510</v>
      </c>
      <c r="R96" s="255" t="s">
        <v>437</v>
      </c>
      <c r="S96" s="260" t="s">
        <v>84</v>
      </c>
      <c r="T96" s="257" t="s">
        <v>55</v>
      </c>
      <c r="U96" s="215" t="s">
        <v>85</v>
      </c>
      <c r="V96" s="262" t="s">
        <v>79</v>
      </c>
      <c r="W96" s="215"/>
      <c r="X96" s="277" t="str">
        <f t="shared" si="3"/>
        <v>Scope</v>
      </c>
      <c r="Y96" s="279">
        <v>100</v>
      </c>
      <c r="Z96" s="279">
        <v>95</v>
      </c>
    </row>
    <row r="97" spans="1:28" ht="78">
      <c r="A97" s="216" t="s">
        <v>102</v>
      </c>
      <c r="B97" s="216" t="s">
        <v>281</v>
      </c>
      <c r="C97" s="216" t="s">
        <v>94</v>
      </c>
      <c r="D97" s="216" t="s">
        <v>149</v>
      </c>
      <c r="E97" s="254" t="s">
        <v>511</v>
      </c>
      <c r="F97" s="254" t="str">
        <f t="shared" si="2"/>
        <v>Sub-process Objective</v>
      </c>
      <c r="G97" s="254" t="str">
        <f t="shared" si="2"/>
        <v>Improve Internal Quality</v>
      </c>
      <c r="H97" s="254" t="str">
        <f t="shared" si="2"/>
        <v>Improve Quality of Delivery</v>
      </c>
      <c r="I97" s="216" t="s">
        <v>512</v>
      </c>
      <c r="J97" s="216" t="s">
        <v>33</v>
      </c>
      <c r="K97" s="216" t="s">
        <v>51</v>
      </c>
      <c r="L97" s="216" t="s">
        <v>35</v>
      </c>
      <c r="M97" s="216" t="s">
        <v>507</v>
      </c>
      <c r="N97" s="216" t="s">
        <v>508</v>
      </c>
      <c r="O97" s="216" t="s">
        <v>38</v>
      </c>
      <c r="P97" s="216" t="s">
        <v>513</v>
      </c>
      <c r="Q97" s="216" t="s">
        <v>514</v>
      </c>
      <c r="R97" s="255" t="s">
        <v>437</v>
      </c>
      <c r="S97" s="260" t="s">
        <v>84</v>
      </c>
      <c r="T97" s="257" t="s">
        <v>55</v>
      </c>
      <c r="U97" s="215" t="s">
        <v>85</v>
      </c>
      <c r="V97" s="262" t="s">
        <v>79</v>
      </c>
      <c r="W97" s="213"/>
      <c r="X97" s="277" t="str">
        <f t="shared" si="3"/>
        <v>Scope</v>
      </c>
    </row>
    <row r="98" spans="1:28" ht="78">
      <c r="A98" s="216" t="s">
        <v>102</v>
      </c>
      <c r="B98" s="216" t="s">
        <v>281</v>
      </c>
      <c r="C98" s="216" t="s">
        <v>94</v>
      </c>
      <c r="D98" s="216" t="s">
        <v>149</v>
      </c>
      <c r="E98" s="254" t="s">
        <v>515</v>
      </c>
      <c r="F98" s="254" t="str">
        <f t="shared" si="2"/>
        <v>Sub-process Objective</v>
      </c>
      <c r="G98" s="254" t="str">
        <f t="shared" si="2"/>
        <v>Improve Internal Quality</v>
      </c>
      <c r="H98" s="254" t="str">
        <f t="shared" si="2"/>
        <v>Improve Quality of Delivery</v>
      </c>
      <c r="I98" s="216" t="s">
        <v>516</v>
      </c>
      <c r="J98" s="216" t="s">
        <v>33</v>
      </c>
      <c r="K98" s="216" t="s">
        <v>51</v>
      </c>
      <c r="L98" s="216" t="s">
        <v>35</v>
      </c>
      <c r="M98" s="216" t="s">
        <v>507</v>
      </c>
      <c r="N98" s="216" t="s">
        <v>508</v>
      </c>
      <c r="O98" s="216" t="s">
        <v>38</v>
      </c>
      <c r="P98" s="216" t="s">
        <v>517</v>
      </c>
      <c r="Q98" s="216" t="s">
        <v>518</v>
      </c>
      <c r="R98" s="255" t="s">
        <v>437</v>
      </c>
      <c r="S98" s="260" t="s">
        <v>84</v>
      </c>
      <c r="T98" s="257" t="s">
        <v>147</v>
      </c>
      <c r="U98" s="215" t="s">
        <v>85</v>
      </c>
      <c r="V98" s="262" t="s">
        <v>79</v>
      </c>
      <c r="W98" s="213" t="s">
        <v>519</v>
      </c>
      <c r="X98" s="277" t="str">
        <f t="shared" si="3"/>
        <v>Scope</v>
      </c>
      <c r="Y98" s="279">
        <v>90</v>
      </c>
      <c r="Z98" s="279">
        <v>80</v>
      </c>
    </row>
    <row r="99" spans="1:28" ht="78">
      <c r="A99" s="216" t="s">
        <v>46</v>
      </c>
      <c r="B99" s="216" t="s">
        <v>94</v>
      </c>
      <c r="C99" s="216" t="s">
        <v>86</v>
      </c>
      <c r="D99" s="216" t="s">
        <v>95</v>
      </c>
      <c r="E99" s="254" t="s">
        <v>520</v>
      </c>
      <c r="F99" s="254" t="str">
        <f t="shared" si="2"/>
        <v>Process Objective</v>
      </c>
      <c r="G99" s="254" t="str">
        <f t="shared" si="2"/>
        <v>Improve Quality of Delivery</v>
      </c>
      <c r="H99" s="254" t="str">
        <f t="shared" si="2"/>
        <v>Achieve Customer Satisfaction target and improve</v>
      </c>
      <c r="I99" s="216" t="s">
        <v>521</v>
      </c>
      <c r="J99" s="216" t="s">
        <v>33</v>
      </c>
      <c r="K99" s="216" t="s">
        <v>51</v>
      </c>
      <c r="L99" s="216" t="s">
        <v>35</v>
      </c>
      <c r="M99" s="216" t="s">
        <v>507</v>
      </c>
      <c r="N99" s="216" t="s">
        <v>508</v>
      </c>
      <c r="O99" s="216" t="s">
        <v>38</v>
      </c>
      <c r="P99" s="216" t="s">
        <v>522</v>
      </c>
      <c r="Q99" s="216" t="s">
        <v>523</v>
      </c>
      <c r="R99" s="255" t="s">
        <v>437</v>
      </c>
      <c r="S99" s="256" t="s">
        <v>84</v>
      </c>
      <c r="T99" s="257" t="s">
        <v>43</v>
      </c>
      <c r="U99" s="215" t="s">
        <v>85</v>
      </c>
      <c r="V99" s="262" t="s">
        <v>79</v>
      </c>
      <c r="W99" s="215"/>
      <c r="X99" s="277" t="str">
        <f t="shared" si="3"/>
        <v>Internal Quality</v>
      </c>
      <c r="Y99" s="279">
        <v>100</v>
      </c>
      <c r="Z99" s="279">
        <v>95</v>
      </c>
    </row>
    <row r="100" spans="1:28" ht="78">
      <c r="A100" s="216" t="s">
        <v>46</v>
      </c>
      <c r="B100" s="216" t="s">
        <v>94</v>
      </c>
      <c r="C100" s="216" t="s">
        <v>86</v>
      </c>
      <c r="D100" s="216" t="s">
        <v>95</v>
      </c>
      <c r="E100" s="254" t="s">
        <v>524</v>
      </c>
      <c r="F100" s="254" t="str">
        <f t="shared" si="2"/>
        <v>Process Objective</v>
      </c>
      <c r="G100" s="254" t="str">
        <f t="shared" si="2"/>
        <v>Improve Quality of Delivery</v>
      </c>
      <c r="H100" s="254" t="str">
        <f t="shared" si="2"/>
        <v>Achieve Customer Satisfaction target and improve</v>
      </c>
      <c r="I100" s="216" t="s">
        <v>525</v>
      </c>
      <c r="J100" s="216" t="s">
        <v>33</v>
      </c>
      <c r="K100" s="216" t="s">
        <v>51</v>
      </c>
      <c r="L100" s="216" t="s">
        <v>61</v>
      </c>
      <c r="M100" s="216" t="s">
        <v>507</v>
      </c>
      <c r="N100" s="216" t="s">
        <v>508</v>
      </c>
      <c r="O100" s="216" t="s">
        <v>38</v>
      </c>
      <c r="P100" s="216" t="s">
        <v>526</v>
      </c>
      <c r="Q100" s="216" t="s">
        <v>518</v>
      </c>
      <c r="R100" s="255" t="s">
        <v>437</v>
      </c>
      <c r="S100" s="256" t="s">
        <v>84</v>
      </c>
      <c r="T100" s="257" t="s">
        <v>147</v>
      </c>
      <c r="U100" s="215" t="s">
        <v>85</v>
      </c>
      <c r="V100" s="262" t="s">
        <v>79</v>
      </c>
      <c r="W100" s="213" t="s">
        <v>519</v>
      </c>
      <c r="X100" s="277" t="str">
        <f t="shared" si="3"/>
        <v>Internal Quality</v>
      </c>
      <c r="Y100" s="279">
        <v>0</v>
      </c>
      <c r="AA100" s="362">
        <v>3</v>
      </c>
    </row>
    <row r="101" spans="1:28" ht="78">
      <c r="A101" s="216" t="s">
        <v>46</v>
      </c>
      <c r="B101" s="216" t="s">
        <v>94</v>
      </c>
      <c r="C101" s="216" t="s">
        <v>86</v>
      </c>
      <c r="D101" s="216" t="s">
        <v>95</v>
      </c>
      <c r="E101" s="254" t="s">
        <v>527</v>
      </c>
      <c r="F101" s="254" t="str">
        <f t="shared" si="2"/>
        <v>Process Objective</v>
      </c>
      <c r="G101" s="254" t="str">
        <f t="shared" si="2"/>
        <v>Improve Quality of Delivery</v>
      </c>
      <c r="H101" s="254" t="str">
        <f t="shared" si="2"/>
        <v>Achieve Customer Satisfaction target and improve</v>
      </c>
      <c r="I101" s="216" t="s">
        <v>528</v>
      </c>
      <c r="J101" s="216" t="s">
        <v>33</v>
      </c>
      <c r="K101" s="216" t="s">
        <v>51</v>
      </c>
      <c r="L101" s="216" t="s">
        <v>61</v>
      </c>
      <c r="M101" s="216" t="s">
        <v>507</v>
      </c>
      <c r="N101" s="216" t="s">
        <v>508</v>
      </c>
      <c r="O101" s="216" t="s">
        <v>38</v>
      </c>
      <c r="P101" s="216" t="s">
        <v>529</v>
      </c>
      <c r="Q101" s="216" t="s">
        <v>514</v>
      </c>
      <c r="R101" s="255" t="s">
        <v>437</v>
      </c>
      <c r="S101" s="256" t="s">
        <v>84</v>
      </c>
      <c r="T101" s="257" t="s">
        <v>55</v>
      </c>
      <c r="U101" s="215" t="s">
        <v>85</v>
      </c>
      <c r="V101" s="262" t="s">
        <v>79</v>
      </c>
      <c r="W101" s="215"/>
      <c r="X101" s="277" t="str">
        <f t="shared" si="3"/>
        <v>Internal Quality</v>
      </c>
      <c r="Y101" s="279">
        <v>0</v>
      </c>
      <c r="AA101" s="362">
        <v>3</v>
      </c>
    </row>
    <row r="102" spans="1:28" ht="78">
      <c r="A102" s="216" t="s">
        <v>46</v>
      </c>
      <c r="B102" s="216" t="s">
        <v>94</v>
      </c>
      <c r="C102" s="216" t="s">
        <v>86</v>
      </c>
      <c r="D102" s="216" t="s">
        <v>154</v>
      </c>
      <c r="E102" s="254" t="s">
        <v>530</v>
      </c>
      <c r="F102" s="254" t="str">
        <f t="shared" si="2"/>
        <v>Process Objective</v>
      </c>
      <c r="G102" s="254" t="str">
        <f t="shared" si="2"/>
        <v>Improve Quality of Delivery</v>
      </c>
      <c r="H102" s="254" t="str">
        <f t="shared" si="2"/>
        <v>Achieve Customer Satisfaction target and improve</v>
      </c>
      <c r="I102" s="216" t="s">
        <v>531</v>
      </c>
      <c r="J102" s="216" t="s">
        <v>33</v>
      </c>
      <c r="K102" s="216" t="s">
        <v>34</v>
      </c>
      <c r="L102" s="216" t="s">
        <v>35</v>
      </c>
      <c r="M102" s="216" t="s">
        <v>507</v>
      </c>
      <c r="N102" s="216" t="s">
        <v>532</v>
      </c>
      <c r="O102" s="216" t="s">
        <v>38</v>
      </c>
      <c r="P102" s="216" t="s">
        <v>533</v>
      </c>
      <c r="Q102" s="216" t="s">
        <v>523</v>
      </c>
      <c r="R102" s="255" t="s">
        <v>437</v>
      </c>
      <c r="S102" s="256" t="s">
        <v>84</v>
      </c>
      <c r="T102" s="257" t="s">
        <v>43</v>
      </c>
      <c r="U102" s="215" t="s">
        <v>85</v>
      </c>
      <c r="V102" s="262" t="s">
        <v>79</v>
      </c>
      <c r="W102" s="215"/>
      <c r="X102" s="277" t="str">
        <f t="shared" si="3"/>
        <v>Delivered Quality</v>
      </c>
      <c r="Y102" s="279">
        <v>97</v>
      </c>
      <c r="Z102" s="279">
        <v>95</v>
      </c>
    </row>
    <row r="103" spans="1:28" ht="39">
      <c r="A103" s="216" t="s">
        <v>46</v>
      </c>
      <c r="B103" s="216" t="s">
        <v>139</v>
      </c>
      <c r="C103" s="216" t="s">
        <v>29</v>
      </c>
      <c r="D103" s="216" t="s">
        <v>140</v>
      </c>
      <c r="E103" s="264" t="s">
        <v>534</v>
      </c>
      <c r="F103" s="254" t="str">
        <f t="shared" si="2"/>
        <v>Process Objective</v>
      </c>
      <c r="G103" s="254" t="str">
        <f t="shared" si="2"/>
        <v>Improve Ontime and Speed of Delivery</v>
      </c>
      <c r="H103" s="254" t="str">
        <f t="shared" si="2"/>
        <v>Achieve Gross Margin target and improve</v>
      </c>
      <c r="I103" s="265" t="s">
        <v>535</v>
      </c>
      <c r="J103" s="265" t="s">
        <v>536</v>
      </c>
      <c r="K103" s="216" t="s">
        <v>51</v>
      </c>
      <c r="L103" s="216" t="s">
        <v>61</v>
      </c>
      <c r="M103" s="216" t="s">
        <v>537</v>
      </c>
      <c r="N103" s="216" t="s">
        <v>538</v>
      </c>
      <c r="O103" s="216" t="s">
        <v>75</v>
      </c>
      <c r="P103" s="265" t="s">
        <v>539</v>
      </c>
      <c r="Q103" s="265" t="s">
        <v>108</v>
      </c>
      <c r="R103" s="266" t="s">
        <v>109</v>
      </c>
      <c r="S103" s="256" t="s">
        <v>84</v>
      </c>
      <c r="T103" s="216" t="s">
        <v>43</v>
      </c>
      <c r="U103" s="215"/>
      <c r="V103" s="260" t="s">
        <v>79</v>
      </c>
      <c r="W103" s="215"/>
      <c r="X103" s="277" t="str">
        <f t="shared" si="3"/>
        <v>Time &amp; Speed</v>
      </c>
    </row>
    <row r="104" spans="1:28" ht="39">
      <c r="A104" s="216" t="s">
        <v>46</v>
      </c>
      <c r="B104" s="216" t="s">
        <v>148</v>
      </c>
      <c r="C104" s="216" t="s">
        <v>86</v>
      </c>
      <c r="D104" s="216" t="s">
        <v>149</v>
      </c>
      <c r="E104" s="254" t="s">
        <v>540</v>
      </c>
      <c r="F104" s="254" t="str">
        <f t="shared" si="2"/>
        <v>Process Objective</v>
      </c>
      <c r="G104" s="254" t="str">
        <f t="shared" si="2"/>
        <v>Deliver committed scope</v>
      </c>
      <c r="H104" s="254" t="str">
        <f t="shared" si="2"/>
        <v>Achieve Customer Satisfaction target and improve</v>
      </c>
      <c r="I104" s="216" t="s">
        <v>541</v>
      </c>
      <c r="J104" s="216" t="s">
        <v>33</v>
      </c>
      <c r="K104" s="216" t="s">
        <v>34</v>
      </c>
      <c r="L104" s="216" t="s">
        <v>61</v>
      </c>
      <c r="M104" s="216" t="s">
        <v>537</v>
      </c>
      <c r="N104" s="216" t="s">
        <v>538</v>
      </c>
      <c r="O104" s="216" t="s">
        <v>75</v>
      </c>
      <c r="P104" s="216" t="s">
        <v>542</v>
      </c>
      <c r="Q104" s="216" t="s">
        <v>108</v>
      </c>
      <c r="R104" s="255" t="s">
        <v>109</v>
      </c>
      <c r="S104" s="256" t="s">
        <v>84</v>
      </c>
      <c r="T104" s="257" t="s">
        <v>43</v>
      </c>
      <c r="U104" s="215"/>
      <c r="V104" s="258" t="s">
        <v>44</v>
      </c>
      <c r="W104" s="215"/>
      <c r="X104" s="277" t="str">
        <f t="shared" si="3"/>
        <v>Scope</v>
      </c>
    </row>
    <row r="105" spans="1:28" ht="91">
      <c r="A105" s="216" t="s">
        <v>46</v>
      </c>
      <c r="B105" s="216" t="s">
        <v>57</v>
      </c>
      <c r="C105" s="216" t="s">
        <v>29</v>
      </c>
      <c r="D105" s="216" t="s">
        <v>72</v>
      </c>
      <c r="E105" s="254" t="s">
        <v>543</v>
      </c>
      <c r="F105" s="254" t="str">
        <f t="shared" si="2"/>
        <v>Process Objective</v>
      </c>
      <c r="G105" s="254" t="str">
        <f t="shared" si="2"/>
        <v>Improve Productivity and Cost Efficiency</v>
      </c>
      <c r="H105" s="254" t="str">
        <f t="shared" si="2"/>
        <v>Achieve Gross Margin target and improve</v>
      </c>
      <c r="I105" s="265" t="s">
        <v>544</v>
      </c>
      <c r="J105" s="265" t="s">
        <v>545</v>
      </c>
      <c r="K105" s="216" t="s">
        <v>34</v>
      </c>
      <c r="L105" s="216" t="s">
        <v>61</v>
      </c>
      <c r="M105" s="216" t="s">
        <v>537</v>
      </c>
      <c r="N105" s="216" t="s">
        <v>538</v>
      </c>
      <c r="O105" s="216" t="s">
        <v>75</v>
      </c>
      <c r="P105" s="265" t="s">
        <v>546</v>
      </c>
      <c r="Q105" s="216" t="s">
        <v>108</v>
      </c>
      <c r="R105" s="255" t="s">
        <v>109</v>
      </c>
      <c r="S105" s="256" t="s">
        <v>84</v>
      </c>
      <c r="T105" s="257" t="s">
        <v>43</v>
      </c>
      <c r="U105" s="215"/>
      <c r="V105" s="258" t="s">
        <v>44</v>
      </c>
      <c r="W105" s="215"/>
      <c r="X105" s="277" t="str">
        <f t="shared" si="3"/>
        <v>Efficiency</v>
      </c>
    </row>
    <row r="106" spans="1:28" ht="52">
      <c r="A106" s="216" t="s">
        <v>46</v>
      </c>
      <c r="B106" s="216" t="s">
        <v>94</v>
      </c>
      <c r="C106" s="216" t="s">
        <v>86</v>
      </c>
      <c r="D106" s="216" t="s">
        <v>154</v>
      </c>
      <c r="E106" s="254" t="s">
        <v>547</v>
      </c>
      <c r="F106" s="254" t="str">
        <f t="shared" si="2"/>
        <v>Process Objective</v>
      </c>
      <c r="G106" s="254" t="str">
        <f t="shared" si="2"/>
        <v>Improve Quality of Delivery</v>
      </c>
      <c r="H106" s="254" t="str">
        <f t="shared" si="2"/>
        <v>Achieve Customer Satisfaction target and improve</v>
      </c>
      <c r="I106" s="216" t="s">
        <v>548</v>
      </c>
      <c r="J106" s="216" t="s">
        <v>33</v>
      </c>
      <c r="K106" s="216" t="s">
        <v>34</v>
      </c>
      <c r="L106" s="216" t="s">
        <v>61</v>
      </c>
      <c r="M106" s="216" t="s">
        <v>537</v>
      </c>
      <c r="N106" s="216" t="s">
        <v>538</v>
      </c>
      <c r="O106" s="216" t="s">
        <v>75</v>
      </c>
      <c r="P106" s="216" t="s">
        <v>549</v>
      </c>
      <c r="Q106" s="216" t="s">
        <v>108</v>
      </c>
      <c r="R106" s="255" t="s">
        <v>109</v>
      </c>
      <c r="S106" s="256" t="s">
        <v>84</v>
      </c>
      <c r="T106" s="257" t="s">
        <v>43</v>
      </c>
      <c r="U106" s="215"/>
      <c r="V106" s="258" t="s">
        <v>44</v>
      </c>
      <c r="W106" s="215"/>
      <c r="X106" s="277" t="str">
        <f t="shared" si="3"/>
        <v>Delivered Quality</v>
      </c>
    </row>
    <row r="107" spans="1:28" ht="52">
      <c r="A107" s="216" t="s">
        <v>102</v>
      </c>
      <c r="B107" s="216" t="s">
        <v>281</v>
      </c>
      <c r="C107" s="216" t="s">
        <v>94</v>
      </c>
      <c r="D107" s="216" t="s">
        <v>95</v>
      </c>
      <c r="E107" s="254" t="s">
        <v>550</v>
      </c>
      <c r="F107" s="254" t="str">
        <f t="shared" si="2"/>
        <v>Sub-process Objective</v>
      </c>
      <c r="G107" s="254" t="str">
        <f t="shared" si="2"/>
        <v>Improve Internal Quality</v>
      </c>
      <c r="H107" s="254" t="str">
        <f t="shared" si="2"/>
        <v>Improve Quality of Delivery</v>
      </c>
      <c r="I107" s="216" t="s">
        <v>551</v>
      </c>
      <c r="J107" s="216" t="s">
        <v>33</v>
      </c>
      <c r="K107" s="216" t="s">
        <v>34</v>
      </c>
      <c r="L107" s="216" t="s">
        <v>61</v>
      </c>
      <c r="M107" s="216" t="s">
        <v>537</v>
      </c>
      <c r="N107" s="216" t="s">
        <v>538</v>
      </c>
      <c r="O107" s="216" t="s">
        <v>75</v>
      </c>
      <c r="P107" s="216" t="s">
        <v>552</v>
      </c>
      <c r="Q107" s="216" t="s">
        <v>108</v>
      </c>
      <c r="R107" s="255" t="s">
        <v>109</v>
      </c>
      <c r="S107" s="256" t="s">
        <v>84</v>
      </c>
      <c r="T107" s="257" t="s">
        <v>43</v>
      </c>
      <c r="U107" s="215"/>
      <c r="V107" s="258" t="s">
        <v>44</v>
      </c>
      <c r="W107" s="215"/>
      <c r="X107" s="277" t="str">
        <f t="shared" si="3"/>
        <v>Internal Quality</v>
      </c>
    </row>
    <row r="108" spans="1:28" s="271" customFormat="1">
      <c r="A108" s="253"/>
      <c r="B108" s="253"/>
      <c r="C108" s="253"/>
      <c r="D108" s="253"/>
      <c r="E108" s="267"/>
      <c r="F108" s="274" t="str">
        <f>IF(A108&lt;&gt;"",A108,"")</f>
        <v/>
      </c>
      <c r="G108" s="274" t="str">
        <f>IF(B108&lt;&gt;"",B108,"")</f>
        <v/>
      </c>
      <c r="H108" s="274" t="str">
        <f>IF(C108&lt;&gt;"",C108,"")</f>
        <v/>
      </c>
      <c r="I108" s="17"/>
      <c r="J108" s="17"/>
      <c r="K108" s="253"/>
      <c r="L108" s="253"/>
      <c r="M108" s="253"/>
      <c r="N108" s="253"/>
      <c r="O108" s="253"/>
      <c r="P108" s="17"/>
      <c r="Q108" s="17"/>
      <c r="R108" s="180"/>
      <c r="S108" s="181"/>
      <c r="T108" s="268"/>
      <c r="U108" s="269"/>
      <c r="V108" s="270"/>
      <c r="W108" s="269"/>
      <c r="X108" s="278" t="str">
        <f>IF(D108&lt;&gt;"",D108,"")</f>
        <v/>
      </c>
      <c r="Y108" s="282"/>
      <c r="Z108" s="282"/>
      <c r="AA108" s="364"/>
      <c r="AB108" s="361"/>
    </row>
    <row r="109" spans="1:28" s="271" customFormat="1">
      <c r="A109" s="253"/>
      <c r="B109" s="253"/>
      <c r="C109" s="253"/>
      <c r="D109" s="253"/>
      <c r="E109" s="267"/>
      <c r="F109" s="274" t="str">
        <f t="shared" ref="F109:H172" si="4">IF(A109&lt;&gt;"",A109,"")</f>
        <v/>
      </c>
      <c r="G109" s="274" t="str">
        <f t="shared" si="4"/>
        <v/>
      </c>
      <c r="H109" s="274" t="str">
        <f t="shared" si="4"/>
        <v/>
      </c>
      <c r="I109" s="17"/>
      <c r="J109" s="17"/>
      <c r="K109" s="253"/>
      <c r="L109" s="253"/>
      <c r="M109" s="253"/>
      <c r="N109" s="253"/>
      <c r="O109" s="253"/>
      <c r="P109" s="17"/>
      <c r="Q109" s="17"/>
      <c r="R109" s="180"/>
      <c r="S109" s="181"/>
      <c r="T109" s="268"/>
      <c r="U109" s="269"/>
      <c r="V109" s="270"/>
      <c r="W109" s="269"/>
      <c r="X109" s="278" t="str">
        <f t="shared" ref="X109:X172" si="5">IF(D109&lt;&gt;"",D109,"")</f>
        <v/>
      </c>
      <c r="Y109" s="282"/>
      <c r="Z109" s="282"/>
      <c r="AA109" s="364"/>
      <c r="AB109" s="361"/>
    </row>
    <row r="110" spans="1:28" s="271" customFormat="1">
      <c r="A110" s="253"/>
      <c r="B110" s="253"/>
      <c r="C110" s="253"/>
      <c r="D110" s="253"/>
      <c r="E110" s="267"/>
      <c r="F110" s="274" t="str">
        <f t="shared" si="4"/>
        <v/>
      </c>
      <c r="G110" s="274" t="str">
        <f t="shared" si="4"/>
        <v/>
      </c>
      <c r="H110" s="274" t="str">
        <f t="shared" si="4"/>
        <v/>
      </c>
      <c r="I110" s="17"/>
      <c r="J110" s="17"/>
      <c r="K110" s="253"/>
      <c r="L110" s="253"/>
      <c r="M110" s="253"/>
      <c r="N110" s="253"/>
      <c r="O110" s="253"/>
      <c r="P110" s="17"/>
      <c r="Q110" s="17"/>
      <c r="R110" s="180"/>
      <c r="S110" s="181"/>
      <c r="T110" s="268"/>
      <c r="U110" s="269"/>
      <c r="V110" s="270"/>
      <c r="W110" s="269"/>
      <c r="X110" s="278" t="str">
        <f t="shared" si="5"/>
        <v/>
      </c>
      <c r="Y110" s="282"/>
      <c r="Z110" s="282"/>
      <c r="AA110" s="364"/>
      <c r="AB110" s="361"/>
    </row>
    <row r="111" spans="1:28" s="271" customFormat="1">
      <c r="A111" s="253"/>
      <c r="B111" s="253"/>
      <c r="C111" s="253"/>
      <c r="D111" s="253"/>
      <c r="E111" s="267"/>
      <c r="F111" s="274" t="str">
        <f t="shared" si="4"/>
        <v/>
      </c>
      <c r="G111" s="274" t="str">
        <f t="shared" si="4"/>
        <v/>
      </c>
      <c r="H111" s="274" t="str">
        <f t="shared" si="4"/>
        <v/>
      </c>
      <c r="I111" s="17"/>
      <c r="J111" s="17"/>
      <c r="K111" s="253"/>
      <c r="L111" s="253"/>
      <c r="M111" s="253"/>
      <c r="N111" s="253"/>
      <c r="O111" s="253"/>
      <c r="P111" s="17"/>
      <c r="Q111" s="17"/>
      <c r="R111" s="180"/>
      <c r="S111" s="181"/>
      <c r="T111" s="268"/>
      <c r="U111" s="269"/>
      <c r="V111" s="270"/>
      <c r="W111" s="269"/>
      <c r="X111" s="278" t="str">
        <f t="shared" si="5"/>
        <v/>
      </c>
      <c r="Y111" s="282"/>
      <c r="Z111" s="282"/>
      <c r="AA111" s="364"/>
      <c r="AB111" s="361"/>
    </row>
    <row r="112" spans="1:28" s="271" customFormat="1">
      <c r="A112" s="253"/>
      <c r="B112" s="253"/>
      <c r="C112" s="253"/>
      <c r="D112" s="253"/>
      <c r="E112" s="267"/>
      <c r="F112" s="274" t="str">
        <f t="shared" si="4"/>
        <v/>
      </c>
      <c r="G112" s="274" t="str">
        <f t="shared" si="4"/>
        <v/>
      </c>
      <c r="H112" s="274" t="str">
        <f t="shared" si="4"/>
        <v/>
      </c>
      <c r="I112" s="17"/>
      <c r="J112" s="17"/>
      <c r="K112" s="253"/>
      <c r="L112" s="253"/>
      <c r="M112" s="253"/>
      <c r="N112" s="253"/>
      <c r="O112" s="253"/>
      <c r="P112" s="17"/>
      <c r="Q112" s="17"/>
      <c r="R112" s="180"/>
      <c r="S112" s="181"/>
      <c r="T112" s="268"/>
      <c r="U112" s="269"/>
      <c r="V112" s="270"/>
      <c r="W112" s="269"/>
      <c r="X112" s="278" t="str">
        <f t="shared" si="5"/>
        <v/>
      </c>
      <c r="Y112" s="282"/>
      <c r="Z112" s="282"/>
      <c r="AA112" s="364"/>
      <c r="AB112" s="361"/>
    </row>
    <row r="113" spans="1:28" s="271" customFormat="1">
      <c r="A113" s="253"/>
      <c r="B113" s="253"/>
      <c r="C113" s="253"/>
      <c r="D113" s="253"/>
      <c r="E113" s="267"/>
      <c r="F113" s="274" t="str">
        <f t="shared" si="4"/>
        <v/>
      </c>
      <c r="G113" s="274" t="str">
        <f t="shared" si="4"/>
        <v/>
      </c>
      <c r="H113" s="274" t="str">
        <f t="shared" si="4"/>
        <v/>
      </c>
      <c r="I113" s="17"/>
      <c r="J113" s="17"/>
      <c r="K113" s="253"/>
      <c r="L113" s="253"/>
      <c r="M113" s="253"/>
      <c r="N113" s="253"/>
      <c r="O113" s="253"/>
      <c r="P113" s="17"/>
      <c r="Q113" s="17"/>
      <c r="R113" s="180"/>
      <c r="S113" s="181"/>
      <c r="T113" s="268"/>
      <c r="U113" s="269"/>
      <c r="V113" s="270"/>
      <c r="W113" s="269"/>
      <c r="X113" s="278" t="str">
        <f t="shared" si="5"/>
        <v/>
      </c>
      <c r="Y113" s="282"/>
      <c r="Z113" s="282"/>
      <c r="AA113" s="364"/>
      <c r="AB113" s="361"/>
    </row>
    <row r="114" spans="1:28" s="271" customFormat="1">
      <c r="A114" s="253"/>
      <c r="B114" s="253"/>
      <c r="C114" s="253"/>
      <c r="D114" s="253"/>
      <c r="E114" s="267"/>
      <c r="F114" s="274" t="str">
        <f t="shared" si="4"/>
        <v/>
      </c>
      <c r="G114" s="274" t="str">
        <f t="shared" si="4"/>
        <v/>
      </c>
      <c r="H114" s="274" t="str">
        <f t="shared" si="4"/>
        <v/>
      </c>
      <c r="I114" s="17"/>
      <c r="J114" s="17"/>
      <c r="K114" s="253"/>
      <c r="L114" s="253"/>
      <c r="M114" s="253"/>
      <c r="N114" s="253"/>
      <c r="O114" s="253"/>
      <c r="P114" s="17"/>
      <c r="Q114" s="17"/>
      <c r="R114" s="180"/>
      <c r="S114" s="181"/>
      <c r="T114" s="268"/>
      <c r="U114" s="269"/>
      <c r="V114" s="270"/>
      <c r="W114" s="269"/>
      <c r="X114" s="278" t="str">
        <f t="shared" si="5"/>
        <v/>
      </c>
      <c r="Y114" s="282"/>
      <c r="Z114" s="282"/>
      <c r="AA114" s="364"/>
      <c r="AB114" s="361"/>
    </row>
    <row r="115" spans="1:28" s="271" customFormat="1">
      <c r="A115" s="253"/>
      <c r="B115" s="253"/>
      <c r="C115" s="253"/>
      <c r="D115" s="253"/>
      <c r="E115" s="267"/>
      <c r="F115" s="274" t="str">
        <f t="shared" si="4"/>
        <v/>
      </c>
      <c r="G115" s="274" t="str">
        <f t="shared" si="4"/>
        <v/>
      </c>
      <c r="H115" s="274" t="str">
        <f t="shared" si="4"/>
        <v/>
      </c>
      <c r="I115" s="17"/>
      <c r="J115" s="17"/>
      <c r="K115" s="253"/>
      <c r="L115" s="253"/>
      <c r="M115" s="253"/>
      <c r="N115" s="253"/>
      <c r="O115" s="253"/>
      <c r="P115" s="17"/>
      <c r="Q115" s="17"/>
      <c r="R115" s="180"/>
      <c r="S115" s="181"/>
      <c r="T115" s="268"/>
      <c r="U115" s="269"/>
      <c r="V115" s="270"/>
      <c r="W115" s="269"/>
      <c r="X115" s="278" t="str">
        <f t="shared" si="5"/>
        <v/>
      </c>
      <c r="Y115" s="282"/>
      <c r="Z115" s="282"/>
      <c r="AA115" s="364"/>
      <c r="AB115" s="361"/>
    </row>
    <row r="116" spans="1:28" s="271" customFormat="1">
      <c r="A116" s="253"/>
      <c r="B116" s="253"/>
      <c r="C116" s="253"/>
      <c r="D116" s="253"/>
      <c r="E116" s="267"/>
      <c r="F116" s="274" t="str">
        <f t="shared" si="4"/>
        <v/>
      </c>
      <c r="G116" s="274" t="str">
        <f t="shared" si="4"/>
        <v/>
      </c>
      <c r="H116" s="274" t="str">
        <f t="shared" si="4"/>
        <v/>
      </c>
      <c r="I116" s="17"/>
      <c r="J116" s="17"/>
      <c r="K116" s="253"/>
      <c r="L116" s="253"/>
      <c r="M116" s="253"/>
      <c r="N116" s="253"/>
      <c r="O116" s="253"/>
      <c r="P116" s="17"/>
      <c r="Q116" s="17"/>
      <c r="R116" s="180"/>
      <c r="S116" s="181"/>
      <c r="T116" s="268"/>
      <c r="U116" s="269"/>
      <c r="V116" s="270"/>
      <c r="W116" s="269"/>
      <c r="X116" s="278" t="str">
        <f t="shared" si="5"/>
        <v/>
      </c>
      <c r="Y116" s="282"/>
      <c r="Z116" s="282"/>
      <c r="AA116" s="364"/>
      <c r="AB116" s="361"/>
    </row>
    <row r="117" spans="1:28" s="271" customFormat="1">
      <c r="A117" s="253"/>
      <c r="B117" s="253"/>
      <c r="C117" s="253"/>
      <c r="D117" s="253"/>
      <c r="E117" s="267"/>
      <c r="F117" s="274" t="str">
        <f t="shared" si="4"/>
        <v/>
      </c>
      <c r="G117" s="274" t="str">
        <f t="shared" si="4"/>
        <v/>
      </c>
      <c r="H117" s="274" t="str">
        <f t="shared" si="4"/>
        <v/>
      </c>
      <c r="I117" s="17"/>
      <c r="J117" s="17"/>
      <c r="K117" s="253"/>
      <c r="L117" s="253"/>
      <c r="M117" s="253"/>
      <c r="N117" s="253"/>
      <c r="O117" s="253"/>
      <c r="P117" s="17"/>
      <c r="Q117" s="17"/>
      <c r="R117" s="180"/>
      <c r="S117" s="181"/>
      <c r="T117" s="268"/>
      <c r="U117" s="269"/>
      <c r="V117" s="270"/>
      <c r="W117" s="269"/>
      <c r="X117" s="278" t="str">
        <f t="shared" si="5"/>
        <v/>
      </c>
      <c r="Y117" s="282"/>
      <c r="Z117" s="282"/>
      <c r="AA117" s="364"/>
      <c r="AB117" s="361"/>
    </row>
    <row r="118" spans="1:28" s="271" customFormat="1">
      <c r="A118" s="253"/>
      <c r="B118" s="253"/>
      <c r="C118" s="253"/>
      <c r="D118" s="253"/>
      <c r="E118" s="267"/>
      <c r="F118" s="274" t="str">
        <f t="shared" si="4"/>
        <v/>
      </c>
      <c r="G118" s="274" t="str">
        <f t="shared" si="4"/>
        <v/>
      </c>
      <c r="H118" s="274" t="str">
        <f t="shared" si="4"/>
        <v/>
      </c>
      <c r="I118" s="17"/>
      <c r="J118" s="17"/>
      <c r="K118" s="253"/>
      <c r="L118" s="253"/>
      <c r="M118" s="253"/>
      <c r="N118" s="253"/>
      <c r="O118" s="253"/>
      <c r="P118" s="17"/>
      <c r="Q118" s="17"/>
      <c r="R118" s="180"/>
      <c r="S118" s="181"/>
      <c r="T118" s="268"/>
      <c r="U118" s="269"/>
      <c r="V118" s="270"/>
      <c r="W118" s="269"/>
      <c r="X118" s="278" t="str">
        <f t="shared" si="5"/>
        <v/>
      </c>
      <c r="Y118" s="282"/>
      <c r="Z118" s="282"/>
      <c r="AA118" s="364"/>
      <c r="AB118" s="361"/>
    </row>
    <row r="119" spans="1:28" s="271" customFormat="1">
      <c r="A119" s="253"/>
      <c r="B119" s="253"/>
      <c r="C119" s="253"/>
      <c r="D119" s="253"/>
      <c r="E119" s="267"/>
      <c r="F119" s="274" t="str">
        <f t="shared" si="4"/>
        <v/>
      </c>
      <c r="G119" s="274" t="str">
        <f t="shared" si="4"/>
        <v/>
      </c>
      <c r="H119" s="274" t="str">
        <f t="shared" si="4"/>
        <v/>
      </c>
      <c r="I119" s="17"/>
      <c r="J119" s="17"/>
      <c r="K119" s="253"/>
      <c r="L119" s="253"/>
      <c r="M119" s="253"/>
      <c r="N119" s="253"/>
      <c r="O119" s="253"/>
      <c r="P119" s="17"/>
      <c r="Q119" s="17"/>
      <c r="R119" s="180"/>
      <c r="S119" s="181"/>
      <c r="T119" s="268"/>
      <c r="U119" s="269"/>
      <c r="V119" s="270"/>
      <c r="W119" s="269"/>
      <c r="X119" s="278" t="str">
        <f t="shared" si="5"/>
        <v/>
      </c>
      <c r="Y119" s="282"/>
      <c r="Z119" s="282"/>
      <c r="AA119" s="364"/>
      <c r="AB119" s="361"/>
    </row>
    <row r="120" spans="1:28" s="271" customFormat="1">
      <c r="A120" s="253"/>
      <c r="B120" s="253"/>
      <c r="C120" s="253"/>
      <c r="D120" s="253"/>
      <c r="E120" s="267"/>
      <c r="F120" s="274" t="str">
        <f t="shared" si="4"/>
        <v/>
      </c>
      <c r="G120" s="274" t="str">
        <f t="shared" si="4"/>
        <v/>
      </c>
      <c r="H120" s="274" t="str">
        <f t="shared" si="4"/>
        <v/>
      </c>
      <c r="I120" s="17"/>
      <c r="J120" s="17"/>
      <c r="K120" s="253"/>
      <c r="L120" s="253"/>
      <c r="M120" s="253"/>
      <c r="N120" s="253"/>
      <c r="O120" s="253"/>
      <c r="P120" s="17"/>
      <c r="Q120" s="17"/>
      <c r="R120" s="180"/>
      <c r="S120" s="181"/>
      <c r="T120" s="268"/>
      <c r="U120" s="269"/>
      <c r="V120" s="270"/>
      <c r="W120" s="269"/>
      <c r="X120" s="278" t="str">
        <f t="shared" si="5"/>
        <v/>
      </c>
      <c r="Y120" s="282"/>
      <c r="Z120" s="282"/>
      <c r="AA120" s="364"/>
      <c r="AB120" s="361"/>
    </row>
    <row r="121" spans="1:28" s="271" customFormat="1">
      <c r="A121" s="253"/>
      <c r="B121" s="253"/>
      <c r="C121" s="253"/>
      <c r="D121" s="253"/>
      <c r="E121" s="267"/>
      <c r="F121" s="274" t="str">
        <f t="shared" si="4"/>
        <v/>
      </c>
      <c r="G121" s="274" t="str">
        <f t="shared" si="4"/>
        <v/>
      </c>
      <c r="H121" s="274" t="str">
        <f t="shared" si="4"/>
        <v/>
      </c>
      <c r="I121" s="17"/>
      <c r="J121" s="17"/>
      <c r="K121" s="253"/>
      <c r="L121" s="253"/>
      <c r="M121" s="253"/>
      <c r="N121" s="253"/>
      <c r="O121" s="253"/>
      <c r="P121" s="17"/>
      <c r="Q121" s="17"/>
      <c r="R121" s="180"/>
      <c r="S121" s="181"/>
      <c r="T121" s="268"/>
      <c r="U121" s="269"/>
      <c r="V121" s="270"/>
      <c r="W121" s="269"/>
      <c r="X121" s="278" t="str">
        <f t="shared" si="5"/>
        <v/>
      </c>
      <c r="Y121" s="282"/>
      <c r="Z121" s="282"/>
      <c r="AA121" s="364"/>
      <c r="AB121" s="361"/>
    </row>
    <row r="122" spans="1:28" s="271" customFormat="1">
      <c r="A122" s="253"/>
      <c r="B122" s="253"/>
      <c r="C122" s="253"/>
      <c r="D122" s="253"/>
      <c r="E122" s="267"/>
      <c r="F122" s="274" t="str">
        <f t="shared" si="4"/>
        <v/>
      </c>
      <c r="G122" s="274" t="str">
        <f t="shared" si="4"/>
        <v/>
      </c>
      <c r="H122" s="274" t="str">
        <f t="shared" si="4"/>
        <v/>
      </c>
      <c r="I122" s="17"/>
      <c r="J122" s="17"/>
      <c r="K122" s="253"/>
      <c r="L122" s="253"/>
      <c r="M122" s="253"/>
      <c r="N122" s="253"/>
      <c r="O122" s="253"/>
      <c r="P122" s="17"/>
      <c r="Q122" s="17"/>
      <c r="R122" s="180"/>
      <c r="S122" s="181"/>
      <c r="T122" s="268"/>
      <c r="U122" s="269"/>
      <c r="V122" s="270"/>
      <c r="W122" s="269"/>
      <c r="X122" s="278" t="str">
        <f t="shared" si="5"/>
        <v/>
      </c>
      <c r="Y122" s="282"/>
      <c r="Z122" s="282"/>
      <c r="AA122" s="364"/>
      <c r="AB122" s="361"/>
    </row>
    <row r="123" spans="1:28" s="271" customFormat="1">
      <c r="A123" s="253"/>
      <c r="B123" s="253"/>
      <c r="C123" s="253"/>
      <c r="D123" s="253"/>
      <c r="E123" s="267"/>
      <c r="F123" s="274" t="str">
        <f t="shared" si="4"/>
        <v/>
      </c>
      <c r="G123" s="274" t="str">
        <f t="shared" si="4"/>
        <v/>
      </c>
      <c r="H123" s="274" t="str">
        <f t="shared" si="4"/>
        <v/>
      </c>
      <c r="I123" s="17"/>
      <c r="J123" s="17"/>
      <c r="K123" s="253"/>
      <c r="L123" s="253"/>
      <c r="M123" s="253"/>
      <c r="N123" s="253"/>
      <c r="O123" s="253"/>
      <c r="P123" s="17"/>
      <c r="Q123" s="17"/>
      <c r="R123" s="180"/>
      <c r="S123" s="181"/>
      <c r="T123" s="268"/>
      <c r="U123" s="269"/>
      <c r="V123" s="270"/>
      <c r="W123" s="269"/>
      <c r="X123" s="278" t="str">
        <f t="shared" si="5"/>
        <v/>
      </c>
      <c r="Y123" s="282"/>
      <c r="Z123" s="282"/>
      <c r="AA123" s="364"/>
      <c r="AB123" s="361"/>
    </row>
    <row r="124" spans="1:28" s="271" customFormat="1">
      <c r="A124" s="253"/>
      <c r="B124" s="253"/>
      <c r="C124" s="253"/>
      <c r="D124" s="253"/>
      <c r="E124" s="267"/>
      <c r="F124" s="274" t="str">
        <f t="shared" si="4"/>
        <v/>
      </c>
      <c r="G124" s="274" t="str">
        <f t="shared" si="4"/>
        <v/>
      </c>
      <c r="H124" s="274" t="str">
        <f t="shared" si="4"/>
        <v/>
      </c>
      <c r="I124" s="17"/>
      <c r="J124" s="17"/>
      <c r="K124" s="253"/>
      <c r="L124" s="253"/>
      <c r="M124" s="253"/>
      <c r="N124" s="253"/>
      <c r="O124" s="253"/>
      <c r="P124" s="17"/>
      <c r="Q124" s="17"/>
      <c r="R124" s="180"/>
      <c r="S124" s="181"/>
      <c r="T124" s="268"/>
      <c r="U124" s="269"/>
      <c r="V124" s="270"/>
      <c r="W124" s="269"/>
      <c r="X124" s="278" t="str">
        <f t="shared" si="5"/>
        <v/>
      </c>
      <c r="Y124" s="282"/>
      <c r="Z124" s="282"/>
      <c r="AA124" s="364"/>
      <c r="AB124" s="361"/>
    </row>
    <row r="125" spans="1:28" s="271" customFormat="1">
      <c r="A125" s="253"/>
      <c r="B125" s="253"/>
      <c r="C125" s="253"/>
      <c r="D125" s="253"/>
      <c r="E125" s="267"/>
      <c r="F125" s="274" t="str">
        <f t="shared" si="4"/>
        <v/>
      </c>
      <c r="G125" s="274" t="str">
        <f t="shared" si="4"/>
        <v/>
      </c>
      <c r="H125" s="274" t="str">
        <f t="shared" si="4"/>
        <v/>
      </c>
      <c r="I125" s="17"/>
      <c r="J125" s="17"/>
      <c r="K125" s="253"/>
      <c r="L125" s="253"/>
      <c r="M125" s="253"/>
      <c r="N125" s="253"/>
      <c r="O125" s="253"/>
      <c r="P125" s="17"/>
      <c r="Q125" s="17"/>
      <c r="R125" s="180"/>
      <c r="S125" s="181"/>
      <c r="T125" s="268"/>
      <c r="U125" s="269"/>
      <c r="V125" s="270"/>
      <c r="W125" s="269"/>
      <c r="X125" s="278" t="str">
        <f t="shared" si="5"/>
        <v/>
      </c>
      <c r="Y125" s="282"/>
      <c r="Z125" s="282"/>
      <c r="AA125" s="364"/>
      <c r="AB125" s="361"/>
    </row>
    <row r="126" spans="1:28" s="271" customFormat="1">
      <c r="A126" s="253"/>
      <c r="B126" s="253"/>
      <c r="C126" s="253"/>
      <c r="D126" s="253"/>
      <c r="E126" s="267"/>
      <c r="F126" s="274" t="str">
        <f t="shared" si="4"/>
        <v/>
      </c>
      <c r="G126" s="274" t="str">
        <f t="shared" si="4"/>
        <v/>
      </c>
      <c r="H126" s="274" t="str">
        <f t="shared" si="4"/>
        <v/>
      </c>
      <c r="I126" s="17"/>
      <c r="J126" s="17"/>
      <c r="K126" s="253"/>
      <c r="L126" s="253"/>
      <c r="M126" s="253"/>
      <c r="N126" s="253"/>
      <c r="O126" s="253"/>
      <c r="P126" s="17"/>
      <c r="Q126" s="17"/>
      <c r="R126" s="180"/>
      <c r="S126" s="181"/>
      <c r="T126" s="268"/>
      <c r="U126" s="269"/>
      <c r="V126" s="270"/>
      <c r="W126" s="269"/>
      <c r="X126" s="278" t="str">
        <f t="shared" si="5"/>
        <v/>
      </c>
      <c r="Y126" s="282"/>
      <c r="Z126" s="282"/>
      <c r="AA126" s="364"/>
      <c r="AB126" s="361"/>
    </row>
    <row r="127" spans="1:28" s="271" customFormat="1">
      <c r="A127" s="253"/>
      <c r="B127" s="253"/>
      <c r="C127" s="253"/>
      <c r="D127" s="253"/>
      <c r="E127" s="267"/>
      <c r="F127" s="274" t="str">
        <f t="shared" si="4"/>
        <v/>
      </c>
      <c r="G127" s="274" t="str">
        <f t="shared" si="4"/>
        <v/>
      </c>
      <c r="H127" s="274" t="str">
        <f t="shared" si="4"/>
        <v/>
      </c>
      <c r="I127" s="17"/>
      <c r="J127" s="17"/>
      <c r="K127" s="253"/>
      <c r="L127" s="253"/>
      <c r="M127" s="253"/>
      <c r="N127" s="253"/>
      <c r="O127" s="253"/>
      <c r="P127" s="17"/>
      <c r="Q127" s="17"/>
      <c r="R127" s="180"/>
      <c r="S127" s="181"/>
      <c r="T127" s="268"/>
      <c r="U127" s="269"/>
      <c r="V127" s="270"/>
      <c r="W127" s="269"/>
      <c r="X127" s="278" t="str">
        <f t="shared" si="5"/>
        <v/>
      </c>
      <c r="Y127" s="282"/>
      <c r="Z127" s="282"/>
      <c r="AA127" s="364"/>
      <c r="AB127" s="361"/>
    </row>
    <row r="128" spans="1:28" s="271" customFormat="1">
      <c r="A128" s="253"/>
      <c r="B128" s="253"/>
      <c r="C128" s="253"/>
      <c r="D128" s="253"/>
      <c r="E128" s="267"/>
      <c r="F128" s="274" t="str">
        <f t="shared" si="4"/>
        <v/>
      </c>
      <c r="G128" s="274" t="str">
        <f t="shared" si="4"/>
        <v/>
      </c>
      <c r="H128" s="274" t="str">
        <f t="shared" si="4"/>
        <v/>
      </c>
      <c r="I128" s="17"/>
      <c r="J128" s="17"/>
      <c r="K128" s="253"/>
      <c r="L128" s="253"/>
      <c r="M128" s="253"/>
      <c r="N128" s="253"/>
      <c r="O128" s="253"/>
      <c r="P128" s="17"/>
      <c r="Q128" s="17"/>
      <c r="R128" s="180"/>
      <c r="S128" s="181"/>
      <c r="T128" s="268"/>
      <c r="U128" s="269"/>
      <c r="V128" s="270"/>
      <c r="W128" s="269"/>
      <c r="X128" s="278" t="str">
        <f t="shared" si="5"/>
        <v/>
      </c>
      <c r="Y128" s="282"/>
      <c r="Z128" s="282"/>
      <c r="AA128" s="364"/>
      <c r="AB128" s="361"/>
    </row>
    <row r="129" spans="1:28" s="271" customFormat="1">
      <c r="A129" s="253"/>
      <c r="B129" s="253"/>
      <c r="C129" s="253"/>
      <c r="D129" s="253"/>
      <c r="E129" s="267"/>
      <c r="F129" s="274" t="str">
        <f t="shared" si="4"/>
        <v/>
      </c>
      <c r="G129" s="274" t="str">
        <f t="shared" si="4"/>
        <v/>
      </c>
      <c r="H129" s="274" t="str">
        <f t="shared" si="4"/>
        <v/>
      </c>
      <c r="I129" s="17"/>
      <c r="J129" s="17"/>
      <c r="K129" s="253"/>
      <c r="L129" s="253"/>
      <c r="M129" s="253"/>
      <c r="N129" s="253"/>
      <c r="O129" s="253"/>
      <c r="P129" s="17"/>
      <c r="Q129" s="17"/>
      <c r="R129" s="180"/>
      <c r="S129" s="181"/>
      <c r="T129" s="268"/>
      <c r="U129" s="269"/>
      <c r="V129" s="270"/>
      <c r="W129" s="269"/>
      <c r="X129" s="278" t="str">
        <f t="shared" si="5"/>
        <v/>
      </c>
      <c r="Y129" s="282"/>
      <c r="Z129" s="282"/>
      <c r="AA129" s="364"/>
      <c r="AB129" s="361"/>
    </row>
    <row r="130" spans="1:28" s="271" customFormat="1">
      <c r="A130" s="253"/>
      <c r="B130" s="253"/>
      <c r="C130" s="253"/>
      <c r="D130" s="253"/>
      <c r="E130" s="267"/>
      <c r="F130" s="274" t="str">
        <f t="shared" si="4"/>
        <v/>
      </c>
      <c r="G130" s="274" t="str">
        <f t="shared" si="4"/>
        <v/>
      </c>
      <c r="H130" s="274" t="str">
        <f t="shared" si="4"/>
        <v/>
      </c>
      <c r="I130" s="17"/>
      <c r="J130" s="17"/>
      <c r="K130" s="253"/>
      <c r="L130" s="253"/>
      <c r="M130" s="253"/>
      <c r="N130" s="253"/>
      <c r="O130" s="253"/>
      <c r="P130" s="17"/>
      <c r="Q130" s="17"/>
      <c r="R130" s="180"/>
      <c r="S130" s="181"/>
      <c r="T130" s="268"/>
      <c r="U130" s="269"/>
      <c r="V130" s="270"/>
      <c r="W130" s="269"/>
      <c r="X130" s="278" t="str">
        <f t="shared" si="5"/>
        <v/>
      </c>
      <c r="Y130" s="282"/>
      <c r="Z130" s="282"/>
      <c r="AA130" s="364"/>
      <c r="AB130" s="361"/>
    </row>
    <row r="131" spans="1:28" s="271" customFormat="1">
      <c r="A131" s="253"/>
      <c r="B131" s="253"/>
      <c r="C131" s="253"/>
      <c r="D131" s="253"/>
      <c r="E131" s="267"/>
      <c r="F131" s="274" t="str">
        <f t="shared" si="4"/>
        <v/>
      </c>
      <c r="G131" s="274" t="str">
        <f t="shared" si="4"/>
        <v/>
      </c>
      <c r="H131" s="274" t="str">
        <f t="shared" si="4"/>
        <v/>
      </c>
      <c r="I131" s="17"/>
      <c r="J131" s="17"/>
      <c r="K131" s="253"/>
      <c r="L131" s="253"/>
      <c r="M131" s="253"/>
      <c r="N131" s="253"/>
      <c r="O131" s="253"/>
      <c r="P131" s="17"/>
      <c r="Q131" s="17"/>
      <c r="R131" s="180"/>
      <c r="S131" s="181"/>
      <c r="T131" s="268"/>
      <c r="U131" s="269"/>
      <c r="V131" s="270"/>
      <c r="W131" s="269"/>
      <c r="X131" s="278" t="str">
        <f t="shared" si="5"/>
        <v/>
      </c>
      <c r="Y131" s="282"/>
      <c r="Z131" s="282"/>
      <c r="AA131" s="364"/>
      <c r="AB131" s="361"/>
    </row>
    <row r="132" spans="1:28" s="271" customFormat="1">
      <c r="A132" s="253"/>
      <c r="B132" s="253"/>
      <c r="C132" s="253"/>
      <c r="D132" s="253"/>
      <c r="E132" s="267"/>
      <c r="F132" s="274" t="str">
        <f t="shared" si="4"/>
        <v/>
      </c>
      <c r="G132" s="274" t="str">
        <f t="shared" si="4"/>
        <v/>
      </c>
      <c r="H132" s="274" t="str">
        <f t="shared" si="4"/>
        <v/>
      </c>
      <c r="I132" s="17"/>
      <c r="J132" s="17"/>
      <c r="K132" s="253"/>
      <c r="L132" s="253"/>
      <c r="M132" s="253"/>
      <c r="N132" s="253"/>
      <c r="O132" s="253"/>
      <c r="P132" s="17"/>
      <c r="Q132" s="17"/>
      <c r="R132" s="180"/>
      <c r="S132" s="181"/>
      <c r="T132" s="268"/>
      <c r="U132" s="269"/>
      <c r="V132" s="270"/>
      <c r="W132" s="269"/>
      <c r="X132" s="278" t="str">
        <f t="shared" si="5"/>
        <v/>
      </c>
      <c r="Y132" s="282"/>
      <c r="Z132" s="282"/>
      <c r="AA132" s="364"/>
      <c r="AB132" s="361"/>
    </row>
    <row r="133" spans="1:28" s="271" customFormat="1">
      <c r="A133" s="253"/>
      <c r="B133" s="253"/>
      <c r="C133" s="253"/>
      <c r="D133" s="253"/>
      <c r="E133" s="267"/>
      <c r="F133" s="274" t="str">
        <f t="shared" si="4"/>
        <v/>
      </c>
      <c r="G133" s="274" t="str">
        <f t="shared" si="4"/>
        <v/>
      </c>
      <c r="H133" s="274" t="str">
        <f t="shared" si="4"/>
        <v/>
      </c>
      <c r="I133" s="17"/>
      <c r="J133" s="17"/>
      <c r="K133" s="253"/>
      <c r="L133" s="253"/>
      <c r="M133" s="253"/>
      <c r="N133" s="253"/>
      <c r="O133" s="253"/>
      <c r="P133" s="17"/>
      <c r="Q133" s="17"/>
      <c r="R133" s="180"/>
      <c r="S133" s="181"/>
      <c r="T133" s="268"/>
      <c r="U133" s="269"/>
      <c r="V133" s="270"/>
      <c r="W133" s="269"/>
      <c r="X133" s="278" t="str">
        <f t="shared" si="5"/>
        <v/>
      </c>
      <c r="Y133" s="282"/>
      <c r="Z133" s="282"/>
      <c r="AA133" s="364"/>
      <c r="AB133" s="361"/>
    </row>
    <row r="134" spans="1:28" s="271" customFormat="1">
      <c r="A134" s="253"/>
      <c r="B134" s="253"/>
      <c r="C134" s="253"/>
      <c r="D134" s="253"/>
      <c r="E134" s="267"/>
      <c r="F134" s="274" t="str">
        <f t="shared" si="4"/>
        <v/>
      </c>
      <c r="G134" s="274" t="str">
        <f t="shared" si="4"/>
        <v/>
      </c>
      <c r="H134" s="274" t="str">
        <f t="shared" si="4"/>
        <v/>
      </c>
      <c r="I134" s="17"/>
      <c r="J134" s="17"/>
      <c r="K134" s="253"/>
      <c r="L134" s="253"/>
      <c r="M134" s="253"/>
      <c r="N134" s="253"/>
      <c r="O134" s="253"/>
      <c r="P134" s="17"/>
      <c r="Q134" s="17"/>
      <c r="R134" s="180"/>
      <c r="S134" s="181"/>
      <c r="T134" s="268"/>
      <c r="U134" s="269"/>
      <c r="V134" s="270"/>
      <c r="W134" s="269"/>
      <c r="X134" s="278" t="str">
        <f t="shared" si="5"/>
        <v/>
      </c>
      <c r="Y134" s="282"/>
      <c r="Z134" s="282"/>
      <c r="AA134" s="364"/>
      <c r="AB134" s="361"/>
    </row>
    <row r="135" spans="1:28" s="271" customFormat="1">
      <c r="A135" s="253"/>
      <c r="B135" s="253"/>
      <c r="C135" s="253"/>
      <c r="D135" s="253"/>
      <c r="E135" s="267"/>
      <c r="F135" s="274" t="str">
        <f t="shared" si="4"/>
        <v/>
      </c>
      <c r="G135" s="274" t="str">
        <f t="shared" si="4"/>
        <v/>
      </c>
      <c r="H135" s="274" t="str">
        <f t="shared" si="4"/>
        <v/>
      </c>
      <c r="I135" s="17"/>
      <c r="J135" s="17"/>
      <c r="K135" s="253"/>
      <c r="L135" s="253"/>
      <c r="M135" s="253"/>
      <c r="N135" s="253"/>
      <c r="O135" s="253"/>
      <c r="P135" s="17"/>
      <c r="Q135" s="17"/>
      <c r="R135" s="180"/>
      <c r="S135" s="181"/>
      <c r="T135" s="268"/>
      <c r="U135" s="269"/>
      <c r="V135" s="270"/>
      <c r="W135" s="269"/>
      <c r="X135" s="278" t="str">
        <f t="shared" si="5"/>
        <v/>
      </c>
      <c r="Y135" s="282"/>
      <c r="Z135" s="282"/>
      <c r="AA135" s="364"/>
      <c r="AB135" s="361"/>
    </row>
    <row r="136" spans="1:28" s="271" customFormat="1">
      <c r="A136" s="253"/>
      <c r="B136" s="253"/>
      <c r="C136" s="253"/>
      <c r="D136" s="253"/>
      <c r="E136" s="267"/>
      <c r="F136" s="274" t="str">
        <f t="shared" si="4"/>
        <v/>
      </c>
      <c r="G136" s="274" t="str">
        <f t="shared" si="4"/>
        <v/>
      </c>
      <c r="H136" s="274" t="str">
        <f t="shared" si="4"/>
        <v/>
      </c>
      <c r="I136" s="17"/>
      <c r="J136" s="17"/>
      <c r="K136" s="253"/>
      <c r="L136" s="253"/>
      <c r="M136" s="253"/>
      <c r="N136" s="253"/>
      <c r="O136" s="253"/>
      <c r="P136" s="17"/>
      <c r="Q136" s="17"/>
      <c r="R136" s="180"/>
      <c r="S136" s="181"/>
      <c r="T136" s="268"/>
      <c r="U136" s="269"/>
      <c r="V136" s="270"/>
      <c r="W136" s="269"/>
      <c r="X136" s="278" t="str">
        <f t="shared" si="5"/>
        <v/>
      </c>
      <c r="Y136" s="282"/>
      <c r="Z136" s="282"/>
      <c r="AA136" s="364"/>
      <c r="AB136" s="361"/>
    </row>
    <row r="137" spans="1:28" s="271" customFormat="1">
      <c r="A137" s="253"/>
      <c r="B137" s="253"/>
      <c r="C137" s="253"/>
      <c r="D137" s="253"/>
      <c r="E137" s="267"/>
      <c r="F137" s="274" t="str">
        <f t="shared" si="4"/>
        <v/>
      </c>
      <c r="G137" s="274" t="str">
        <f t="shared" si="4"/>
        <v/>
      </c>
      <c r="H137" s="274" t="str">
        <f t="shared" si="4"/>
        <v/>
      </c>
      <c r="I137" s="17"/>
      <c r="J137" s="17"/>
      <c r="K137" s="253"/>
      <c r="L137" s="253"/>
      <c r="M137" s="253"/>
      <c r="N137" s="253"/>
      <c r="O137" s="253"/>
      <c r="P137" s="17"/>
      <c r="Q137" s="17"/>
      <c r="R137" s="180"/>
      <c r="S137" s="181"/>
      <c r="T137" s="268"/>
      <c r="U137" s="269"/>
      <c r="V137" s="270"/>
      <c r="W137" s="269"/>
      <c r="X137" s="278" t="str">
        <f t="shared" si="5"/>
        <v/>
      </c>
      <c r="Y137" s="282"/>
      <c r="Z137" s="282"/>
      <c r="AA137" s="364"/>
      <c r="AB137" s="361"/>
    </row>
    <row r="138" spans="1:28" s="271" customFormat="1">
      <c r="A138" s="253"/>
      <c r="B138" s="253"/>
      <c r="C138" s="253"/>
      <c r="D138" s="253"/>
      <c r="E138" s="267"/>
      <c r="F138" s="274" t="str">
        <f t="shared" si="4"/>
        <v/>
      </c>
      <c r="G138" s="274" t="str">
        <f t="shared" si="4"/>
        <v/>
      </c>
      <c r="H138" s="274" t="str">
        <f t="shared" si="4"/>
        <v/>
      </c>
      <c r="I138" s="17"/>
      <c r="J138" s="17"/>
      <c r="K138" s="253"/>
      <c r="L138" s="253"/>
      <c r="M138" s="253"/>
      <c r="N138" s="253"/>
      <c r="O138" s="253"/>
      <c r="P138" s="17"/>
      <c r="Q138" s="17"/>
      <c r="R138" s="180"/>
      <c r="S138" s="181"/>
      <c r="T138" s="268"/>
      <c r="U138" s="269"/>
      <c r="V138" s="270"/>
      <c r="W138" s="269"/>
      <c r="X138" s="278" t="str">
        <f t="shared" si="5"/>
        <v/>
      </c>
      <c r="Y138" s="282"/>
      <c r="Z138" s="282"/>
      <c r="AA138" s="364"/>
      <c r="AB138" s="361"/>
    </row>
    <row r="139" spans="1:28" s="271" customFormat="1">
      <c r="A139" s="253"/>
      <c r="B139" s="253"/>
      <c r="C139" s="253"/>
      <c r="D139" s="253"/>
      <c r="E139" s="267"/>
      <c r="F139" s="274" t="str">
        <f t="shared" si="4"/>
        <v/>
      </c>
      <c r="G139" s="274" t="str">
        <f t="shared" si="4"/>
        <v/>
      </c>
      <c r="H139" s="274" t="str">
        <f t="shared" si="4"/>
        <v/>
      </c>
      <c r="I139" s="17"/>
      <c r="J139" s="17"/>
      <c r="K139" s="253"/>
      <c r="L139" s="253"/>
      <c r="M139" s="253"/>
      <c r="N139" s="253"/>
      <c r="O139" s="253"/>
      <c r="P139" s="17"/>
      <c r="Q139" s="17"/>
      <c r="R139" s="180"/>
      <c r="S139" s="181"/>
      <c r="T139" s="268"/>
      <c r="U139" s="269"/>
      <c r="V139" s="270"/>
      <c r="W139" s="269"/>
      <c r="X139" s="278" t="str">
        <f t="shared" si="5"/>
        <v/>
      </c>
      <c r="Y139" s="282"/>
      <c r="Z139" s="282"/>
      <c r="AA139" s="364"/>
      <c r="AB139" s="361"/>
    </row>
    <row r="140" spans="1:28" s="271" customFormat="1">
      <c r="A140" s="253"/>
      <c r="B140" s="253"/>
      <c r="C140" s="253"/>
      <c r="D140" s="253"/>
      <c r="E140" s="267"/>
      <c r="F140" s="274" t="str">
        <f t="shared" si="4"/>
        <v/>
      </c>
      <c r="G140" s="274" t="str">
        <f t="shared" si="4"/>
        <v/>
      </c>
      <c r="H140" s="274" t="str">
        <f t="shared" si="4"/>
        <v/>
      </c>
      <c r="I140" s="17"/>
      <c r="J140" s="17"/>
      <c r="K140" s="253"/>
      <c r="L140" s="253"/>
      <c r="M140" s="253"/>
      <c r="N140" s="253"/>
      <c r="O140" s="253"/>
      <c r="P140" s="17"/>
      <c r="Q140" s="17"/>
      <c r="R140" s="180"/>
      <c r="S140" s="181"/>
      <c r="T140" s="268"/>
      <c r="U140" s="269"/>
      <c r="V140" s="270"/>
      <c r="W140" s="269"/>
      <c r="X140" s="278" t="str">
        <f t="shared" si="5"/>
        <v/>
      </c>
      <c r="Y140" s="282"/>
      <c r="Z140" s="282"/>
      <c r="AA140" s="364"/>
      <c r="AB140" s="361"/>
    </row>
    <row r="141" spans="1:28" s="271" customFormat="1">
      <c r="A141" s="253"/>
      <c r="B141" s="253"/>
      <c r="C141" s="253"/>
      <c r="D141" s="253"/>
      <c r="E141" s="267"/>
      <c r="F141" s="274" t="str">
        <f t="shared" si="4"/>
        <v/>
      </c>
      <c r="G141" s="274" t="str">
        <f t="shared" si="4"/>
        <v/>
      </c>
      <c r="H141" s="274" t="str">
        <f t="shared" si="4"/>
        <v/>
      </c>
      <c r="I141" s="17"/>
      <c r="J141" s="17"/>
      <c r="K141" s="253"/>
      <c r="L141" s="253"/>
      <c r="M141" s="253"/>
      <c r="N141" s="253"/>
      <c r="O141" s="253"/>
      <c r="P141" s="17"/>
      <c r="Q141" s="17"/>
      <c r="R141" s="180"/>
      <c r="S141" s="181"/>
      <c r="T141" s="268"/>
      <c r="U141" s="269"/>
      <c r="V141" s="270"/>
      <c r="W141" s="269"/>
      <c r="X141" s="278" t="str">
        <f t="shared" si="5"/>
        <v/>
      </c>
      <c r="Y141" s="282"/>
      <c r="Z141" s="282"/>
      <c r="AA141" s="364"/>
      <c r="AB141" s="361"/>
    </row>
    <row r="142" spans="1:28" s="271" customFormat="1">
      <c r="A142" s="253"/>
      <c r="B142" s="253"/>
      <c r="C142" s="253"/>
      <c r="D142" s="253"/>
      <c r="E142" s="267"/>
      <c r="F142" s="274" t="str">
        <f t="shared" si="4"/>
        <v/>
      </c>
      <c r="G142" s="274" t="str">
        <f t="shared" si="4"/>
        <v/>
      </c>
      <c r="H142" s="274" t="str">
        <f t="shared" si="4"/>
        <v/>
      </c>
      <c r="I142" s="17"/>
      <c r="J142" s="17"/>
      <c r="K142" s="253"/>
      <c r="L142" s="253"/>
      <c r="M142" s="253"/>
      <c r="N142" s="253"/>
      <c r="O142" s="253"/>
      <c r="P142" s="17"/>
      <c r="Q142" s="17"/>
      <c r="R142" s="180"/>
      <c r="S142" s="181"/>
      <c r="T142" s="268"/>
      <c r="U142" s="269"/>
      <c r="V142" s="270"/>
      <c r="W142" s="269"/>
      <c r="X142" s="278" t="str">
        <f t="shared" si="5"/>
        <v/>
      </c>
      <c r="Y142" s="282"/>
      <c r="Z142" s="282"/>
      <c r="AA142" s="364"/>
      <c r="AB142" s="361"/>
    </row>
    <row r="143" spans="1:28" s="271" customFormat="1">
      <c r="A143" s="253"/>
      <c r="B143" s="253"/>
      <c r="C143" s="253"/>
      <c r="D143" s="253"/>
      <c r="E143" s="267"/>
      <c r="F143" s="274" t="str">
        <f t="shared" si="4"/>
        <v/>
      </c>
      <c r="G143" s="274" t="str">
        <f t="shared" si="4"/>
        <v/>
      </c>
      <c r="H143" s="274" t="str">
        <f t="shared" si="4"/>
        <v/>
      </c>
      <c r="I143" s="17"/>
      <c r="J143" s="17"/>
      <c r="K143" s="253"/>
      <c r="L143" s="253"/>
      <c r="M143" s="253"/>
      <c r="N143" s="253"/>
      <c r="O143" s="253"/>
      <c r="P143" s="17"/>
      <c r="Q143" s="17"/>
      <c r="R143" s="180"/>
      <c r="S143" s="181"/>
      <c r="T143" s="268"/>
      <c r="U143" s="269"/>
      <c r="V143" s="270"/>
      <c r="W143" s="269"/>
      <c r="X143" s="278" t="str">
        <f t="shared" si="5"/>
        <v/>
      </c>
      <c r="Y143" s="282"/>
      <c r="Z143" s="282"/>
      <c r="AA143" s="364"/>
      <c r="AB143" s="361"/>
    </row>
    <row r="144" spans="1:28" s="271" customFormat="1">
      <c r="A144" s="253"/>
      <c r="B144" s="253"/>
      <c r="C144" s="253"/>
      <c r="D144" s="253"/>
      <c r="E144" s="267"/>
      <c r="F144" s="274" t="str">
        <f t="shared" si="4"/>
        <v/>
      </c>
      <c r="G144" s="274" t="str">
        <f t="shared" si="4"/>
        <v/>
      </c>
      <c r="H144" s="274" t="str">
        <f t="shared" si="4"/>
        <v/>
      </c>
      <c r="I144" s="17"/>
      <c r="J144" s="17"/>
      <c r="K144" s="253"/>
      <c r="L144" s="253"/>
      <c r="M144" s="253"/>
      <c r="N144" s="253"/>
      <c r="O144" s="253"/>
      <c r="P144" s="17"/>
      <c r="Q144" s="17"/>
      <c r="R144" s="180"/>
      <c r="S144" s="181"/>
      <c r="T144" s="268"/>
      <c r="U144" s="269"/>
      <c r="V144" s="270"/>
      <c r="W144" s="269"/>
      <c r="X144" s="278" t="str">
        <f t="shared" si="5"/>
        <v/>
      </c>
      <c r="Y144" s="282"/>
      <c r="Z144" s="282"/>
      <c r="AA144" s="364"/>
      <c r="AB144" s="361"/>
    </row>
    <row r="145" spans="1:28" s="271" customFormat="1">
      <c r="A145" s="253"/>
      <c r="B145" s="253"/>
      <c r="C145" s="253"/>
      <c r="D145" s="253"/>
      <c r="E145" s="267"/>
      <c r="F145" s="274" t="str">
        <f t="shared" si="4"/>
        <v/>
      </c>
      <c r="G145" s="274" t="str">
        <f t="shared" si="4"/>
        <v/>
      </c>
      <c r="H145" s="274" t="str">
        <f t="shared" si="4"/>
        <v/>
      </c>
      <c r="I145" s="17"/>
      <c r="J145" s="17"/>
      <c r="K145" s="253"/>
      <c r="L145" s="253"/>
      <c r="M145" s="253"/>
      <c r="N145" s="253"/>
      <c r="O145" s="253"/>
      <c r="P145" s="17"/>
      <c r="Q145" s="17"/>
      <c r="R145" s="180"/>
      <c r="S145" s="181"/>
      <c r="T145" s="268"/>
      <c r="U145" s="269"/>
      <c r="V145" s="270"/>
      <c r="W145" s="269"/>
      <c r="X145" s="278" t="str">
        <f t="shared" si="5"/>
        <v/>
      </c>
      <c r="Y145" s="282"/>
      <c r="Z145" s="282"/>
      <c r="AA145" s="364"/>
      <c r="AB145" s="361"/>
    </row>
    <row r="146" spans="1:28" s="271" customFormat="1">
      <c r="A146" s="253"/>
      <c r="B146" s="253"/>
      <c r="C146" s="253"/>
      <c r="D146" s="253"/>
      <c r="E146" s="267"/>
      <c r="F146" s="274" t="str">
        <f t="shared" si="4"/>
        <v/>
      </c>
      <c r="G146" s="274" t="str">
        <f t="shared" si="4"/>
        <v/>
      </c>
      <c r="H146" s="274" t="str">
        <f t="shared" si="4"/>
        <v/>
      </c>
      <c r="I146" s="17"/>
      <c r="J146" s="17"/>
      <c r="K146" s="253"/>
      <c r="L146" s="253"/>
      <c r="M146" s="253"/>
      <c r="N146" s="253"/>
      <c r="O146" s="253"/>
      <c r="P146" s="17"/>
      <c r="Q146" s="17"/>
      <c r="R146" s="180"/>
      <c r="S146" s="181"/>
      <c r="T146" s="268"/>
      <c r="U146" s="269"/>
      <c r="V146" s="270"/>
      <c r="W146" s="269"/>
      <c r="X146" s="278" t="str">
        <f t="shared" si="5"/>
        <v/>
      </c>
      <c r="Y146" s="282"/>
      <c r="Z146" s="282"/>
      <c r="AA146" s="364"/>
      <c r="AB146" s="361"/>
    </row>
    <row r="147" spans="1:28" s="271" customFormat="1">
      <c r="A147" s="253"/>
      <c r="B147" s="253"/>
      <c r="C147" s="253"/>
      <c r="D147" s="253"/>
      <c r="E147" s="267"/>
      <c r="F147" s="274" t="str">
        <f t="shared" si="4"/>
        <v/>
      </c>
      <c r="G147" s="274" t="str">
        <f t="shared" si="4"/>
        <v/>
      </c>
      <c r="H147" s="274" t="str">
        <f t="shared" si="4"/>
        <v/>
      </c>
      <c r="I147" s="17"/>
      <c r="J147" s="17"/>
      <c r="K147" s="253"/>
      <c r="L147" s="253"/>
      <c r="M147" s="253"/>
      <c r="N147" s="253"/>
      <c r="O147" s="253"/>
      <c r="P147" s="17"/>
      <c r="Q147" s="17"/>
      <c r="R147" s="180"/>
      <c r="S147" s="181"/>
      <c r="T147" s="268"/>
      <c r="U147" s="269"/>
      <c r="V147" s="270"/>
      <c r="W147" s="269"/>
      <c r="X147" s="278" t="str">
        <f t="shared" si="5"/>
        <v/>
      </c>
      <c r="Y147" s="282"/>
      <c r="Z147" s="282"/>
      <c r="AA147" s="364"/>
      <c r="AB147" s="361"/>
    </row>
    <row r="148" spans="1:28" s="271" customFormat="1">
      <c r="A148" s="253"/>
      <c r="B148" s="253"/>
      <c r="C148" s="253"/>
      <c r="D148" s="253"/>
      <c r="E148" s="267"/>
      <c r="F148" s="274" t="str">
        <f t="shared" si="4"/>
        <v/>
      </c>
      <c r="G148" s="274" t="str">
        <f t="shared" si="4"/>
        <v/>
      </c>
      <c r="H148" s="274" t="str">
        <f t="shared" si="4"/>
        <v/>
      </c>
      <c r="I148" s="17"/>
      <c r="J148" s="17"/>
      <c r="K148" s="253"/>
      <c r="L148" s="253"/>
      <c r="M148" s="253"/>
      <c r="N148" s="253"/>
      <c r="O148" s="253"/>
      <c r="P148" s="17"/>
      <c r="Q148" s="17"/>
      <c r="R148" s="180"/>
      <c r="S148" s="181"/>
      <c r="T148" s="268"/>
      <c r="U148" s="269"/>
      <c r="V148" s="270"/>
      <c r="W148" s="269"/>
      <c r="X148" s="278" t="str">
        <f t="shared" si="5"/>
        <v/>
      </c>
      <c r="Y148" s="282"/>
      <c r="Z148" s="282"/>
      <c r="AA148" s="364"/>
      <c r="AB148" s="361"/>
    </row>
    <row r="149" spans="1:28" s="271" customFormat="1">
      <c r="A149" s="253"/>
      <c r="B149" s="253"/>
      <c r="C149" s="253"/>
      <c r="D149" s="253"/>
      <c r="E149" s="267"/>
      <c r="F149" s="274" t="str">
        <f t="shared" si="4"/>
        <v/>
      </c>
      <c r="G149" s="274" t="str">
        <f t="shared" si="4"/>
        <v/>
      </c>
      <c r="H149" s="274" t="str">
        <f t="shared" si="4"/>
        <v/>
      </c>
      <c r="I149" s="17"/>
      <c r="J149" s="17"/>
      <c r="K149" s="253"/>
      <c r="L149" s="253"/>
      <c r="M149" s="253"/>
      <c r="N149" s="253"/>
      <c r="O149" s="253"/>
      <c r="P149" s="17"/>
      <c r="Q149" s="17"/>
      <c r="R149" s="180"/>
      <c r="S149" s="181"/>
      <c r="T149" s="268"/>
      <c r="U149" s="269"/>
      <c r="V149" s="270"/>
      <c r="W149" s="269"/>
      <c r="X149" s="278" t="str">
        <f t="shared" si="5"/>
        <v/>
      </c>
      <c r="Y149" s="282"/>
      <c r="Z149" s="282"/>
      <c r="AA149" s="364"/>
      <c r="AB149" s="361"/>
    </row>
    <row r="150" spans="1:28" s="271" customFormat="1">
      <c r="A150" s="253"/>
      <c r="B150" s="253"/>
      <c r="C150" s="253"/>
      <c r="D150" s="253"/>
      <c r="E150" s="267"/>
      <c r="F150" s="274" t="str">
        <f t="shared" si="4"/>
        <v/>
      </c>
      <c r="G150" s="274" t="str">
        <f t="shared" si="4"/>
        <v/>
      </c>
      <c r="H150" s="274" t="str">
        <f t="shared" si="4"/>
        <v/>
      </c>
      <c r="I150" s="17"/>
      <c r="J150" s="17"/>
      <c r="K150" s="253"/>
      <c r="L150" s="253"/>
      <c r="M150" s="253"/>
      <c r="N150" s="253"/>
      <c r="O150" s="253"/>
      <c r="P150" s="17"/>
      <c r="Q150" s="17"/>
      <c r="R150" s="180"/>
      <c r="S150" s="181"/>
      <c r="T150" s="268"/>
      <c r="U150" s="269"/>
      <c r="V150" s="270"/>
      <c r="W150" s="269"/>
      <c r="X150" s="278" t="str">
        <f t="shared" si="5"/>
        <v/>
      </c>
      <c r="Y150" s="282"/>
      <c r="Z150" s="282"/>
      <c r="AA150" s="364"/>
      <c r="AB150" s="361"/>
    </row>
    <row r="151" spans="1:28" s="271" customFormat="1">
      <c r="A151" s="253"/>
      <c r="B151" s="253"/>
      <c r="C151" s="253"/>
      <c r="D151" s="253"/>
      <c r="E151" s="267"/>
      <c r="F151" s="274" t="str">
        <f t="shared" si="4"/>
        <v/>
      </c>
      <c r="G151" s="274" t="str">
        <f t="shared" si="4"/>
        <v/>
      </c>
      <c r="H151" s="274" t="str">
        <f t="shared" si="4"/>
        <v/>
      </c>
      <c r="I151" s="17"/>
      <c r="J151" s="17"/>
      <c r="K151" s="253"/>
      <c r="L151" s="253"/>
      <c r="M151" s="253"/>
      <c r="N151" s="253"/>
      <c r="O151" s="253"/>
      <c r="P151" s="17"/>
      <c r="Q151" s="17"/>
      <c r="R151" s="180"/>
      <c r="S151" s="181"/>
      <c r="T151" s="268"/>
      <c r="U151" s="269"/>
      <c r="V151" s="270"/>
      <c r="W151" s="269"/>
      <c r="X151" s="278" t="str">
        <f t="shared" si="5"/>
        <v/>
      </c>
      <c r="Y151" s="282"/>
      <c r="Z151" s="282"/>
      <c r="AA151" s="364"/>
      <c r="AB151" s="361"/>
    </row>
    <row r="152" spans="1:28" s="271" customFormat="1">
      <c r="A152" s="253"/>
      <c r="B152" s="253"/>
      <c r="C152" s="253"/>
      <c r="D152" s="253"/>
      <c r="E152" s="267"/>
      <c r="F152" s="274" t="str">
        <f t="shared" si="4"/>
        <v/>
      </c>
      <c r="G152" s="274" t="str">
        <f t="shared" si="4"/>
        <v/>
      </c>
      <c r="H152" s="274" t="str">
        <f t="shared" si="4"/>
        <v/>
      </c>
      <c r="I152" s="17"/>
      <c r="J152" s="17"/>
      <c r="K152" s="253"/>
      <c r="L152" s="253"/>
      <c r="M152" s="253"/>
      <c r="N152" s="253"/>
      <c r="O152" s="253"/>
      <c r="P152" s="17"/>
      <c r="Q152" s="17"/>
      <c r="R152" s="180"/>
      <c r="S152" s="181"/>
      <c r="T152" s="268"/>
      <c r="U152" s="269"/>
      <c r="V152" s="270"/>
      <c r="W152" s="269"/>
      <c r="X152" s="278" t="str">
        <f t="shared" si="5"/>
        <v/>
      </c>
      <c r="Y152" s="282"/>
      <c r="Z152" s="282"/>
      <c r="AA152" s="364"/>
      <c r="AB152" s="361"/>
    </row>
    <row r="153" spans="1:28" s="271" customFormat="1">
      <c r="A153" s="253"/>
      <c r="B153" s="253"/>
      <c r="C153" s="253"/>
      <c r="D153" s="253"/>
      <c r="E153" s="267"/>
      <c r="F153" s="274" t="str">
        <f t="shared" si="4"/>
        <v/>
      </c>
      <c r="G153" s="274" t="str">
        <f t="shared" si="4"/>
        <v/>
      </c>
      <c r="H153" s="274" t="str">
        <f t="shared" si="4"/>
        <v/>
      </c>
      <c r="I153" s="17"/>
      <c r="J153" s="17"/>
      <c r="K153" s="253"/>
      <c r="L153" s="253"/>
      <c r="M153" s="253"/>
      <c r="N153" s="253"/>
      <c r="O153" s="253"/>
      <c r="P153" s="17"/>
      <c r="Q153" s="17"/>
      <c r="R153" s="180"/>
      <c r="S153" s="181"/>
      <c r="T153" s="268"/>
      <c r="U153" s="269"/>
      <c r="V153" s="270"/>
      <c r="W153" s="269"/>
      <c r="X153" s="278" t="str">
        <f t="shared" si="5"/>
        <v/>
      </c>
      <c r="Y153" s="282"/>
      <c r="Z153" s="282"/>
      <c r="AA153" s="364"/>
      <c r="AB153" s="361"/>
    </row>
    <row r="154" spans="1:28" s="271" customFormat="1">
      <c r="A154" s="253"/>
      <c r="B154" s="253"/>
      <c r="C154" s="253"/>
      <c r="D154" s="253"/>
      <c r="E154" s="267"/>
      <c r="F154" s="274" t="str">
        <f t="shared" si="4"/>
        <v/>
      </c>
      <c r="G154" s="274" t="str">
        <f t="shared" si="4"/>
        <v/>
      </c>
      <c r="H154" s="274" t="str">
        <f t="shared" si="4"/>
        <v/>
      </c>
      <c r="I154" s="17"/>
      <c r="J154" s="17"/>
      <c r="K154" s="253"/>
      <c r="L154" s="253"/>
      <c r="M154" s="253"/>
      <c r="N154" s="253"/>
      <c r="O154" s="253"/>
      <c r="P154" s="17"/>
      <c r="Q154" s="17"/>
      <c r="R154" s="180"/>
      <c r="S154" s="181"/>
      <c r="T154" s="268"/>
      <c r="U154" s="269"/>
      <c r="V154" s="270"/>
      <c r="W154" s="269"/>
      <c r="X154" s="278" t="str">
        <f t="shared" si="5"/>
        <v/>
      </c>
      <c r="Y154" s="282"/>
      <c r="Z154" s="282"/>
      <c r="AA154" s="364"/>
      <c r="AB154" s="361"/>
    </row>
    <row r="155" spans="1:28" s="271" customFormat="1">
      <c r="A155" s="253"/>
      <c r="B155" s="253"/>
      <c r="C155" s="253"/>
      <c r="D155" s="253"/>
      <c r="E155" s="267"/>
      <c r="F155" s="274" t="str">
        <f t="shared" si="4"/>
        <v/>
      </c>
      <c r="G155" s="274" t="str">
        <f t="shared" si="4"/>
        <v/>
      </c>
      <c r="H155" s="274" t="str">
        <f t="shared" si="4"/>
        <v/>
      </c>
      <c r="I155" s="17"/>
      <c r="J155" s="17"/>
      <c r="K155" s="253"/>
      <c r="L155" s="253"/>
      <c r="M155" s="253"/>
      <c r="N155" s="253"/>
      <c r="O155" s="253"/>
      <c r="P155" s="17"/>
      <c r="Q155" s="17"/>
      <c r="R155" s="180"/>
      <c r="S155" s="181"/>
      <c r="T155" s="268"/>
      <c r="U155" s="269"/>
      <c r="V155" s="270"/>
      <c r="W155" s="269"/>
      <c r="X155" s="278" t="str">
        <f t="shared" si="5"/>
        <v/>
      </c>
      <c r="Y155" s="282"/>
      <c r="Z155" s="282"/>
      <c r="AA155" s="364"/>
      <c r="AB155" s="361"/>
    </row>
    <row r="156" spans="1:28" s="271" customFormat="1">
      <c r="A156" s="253"/>
      <c r="B156" s="253"/>
      <c r="C156" s="253"/>
      <c r="D156" s="253"/>
      <c r="E156" s="267"/>
      <c r="F156" s="274" t="str">
        <f t="shared" si="4"/>
        <v/>
      </c>
      <c r="G156" s="274" t="str">
        <f t="shared" si="4"/>
        <v/>
      </c>
      <c r="H156" s="274" t="str">
        <f t="shared" si="4"/>
        <v/>
      </c>
      <c r="I156" s="17"/>
      <c r="J156" s="17"/>
      <c r="K156" s="253"/>
      <c r="L156" s="253"/>
      <c r="M156" s="253"/>
      <c r="N156" s="253"/>
      <c r="O156" s="253"/>
      <c r="P156" s="17"/>
      <c r="Q156" s="17"/>
      <c r="R156" s="180"/>
      <c r="S156" s="181"/>
      <c r="T156" s="268"/>
      <c r="U156" s="269"/>
      <c r="V156" s="270"/>
      <c r="W156" s="269"/>
      <c r="X156" s="278" t="str">
        <f t="shared" si="5"/>
        <v/>
      </c>
      <c r="Y156" s="282"/>
      <c r="Z156" s="282"/>
      <c r="AA156" s="364"/>
      <c r="AB156" s="361"/>
    </row>
    <row r="157" spans="1:28" s="271" customFormat="1">
      <c r="A157" s="253"/>
      <c r="B157" s="253"/>
      <c r="C157" s="253"/>
      <c r="D157" s="253"/>
      <c r="E157" s="267"/>
      <c r="F157" s="274" t="str">
        <f t="shared" si="4"/>
        <v/>
      </c>
      <c r="G157" s="274" t="str">
        <f t="shared" si="4"/>
        <v/>
      </c>
      <c r="H157" s="274" t="str">
        <f t="shared" si="4"/>
        <v/>
      </c>
      <c r="I157" s="17"/>
      <c r="J157" s="17"/>
      <c r="K157" s="253"/>
      <c r="L157" s="253"/>
      <c r="M157" s="253"/>
      <c r="N157" s="253"/>
      <c r="O157" s="253"/>
      <c r="P157" s="17"/>
      <c r="Q157" s="17"/>
      <c r="R157" s="180"/>
      <c r="S157" s="181"/>
      <c r="T157" s="268"/>
      <c r="U157" s="269"/>
      <c r="V157" s="270"/>
      <c r="W157" s="269"/>
      <c r="X157" s="278" t="str">
        <f t="shared" si="5"/>
        <v/>
      </c>
      <c r="Y157" s="282"/>
      <c r="Z157" s="282"/>
      <c r="AA157" s="364"/>
      <c r="AB157" s="361"/>
    </row>
    <row r="158" spans="1:28" s="271" customFormat="1">
      <c r="A158" s="253"/>
      <c r="B158" s="253"/>
      <c r="C158" s="253"/>
      <c r="D158" s="253"/>
      <c r="E158" s="267"/>
      <c r="F158" s="274" t="str">
        <f t="shared" si="4"/>
        <v/>
      </c>
      <c r="G158" s="274" t="str">
        <f t="shared" si="4"/>
        <v/>
      </c>
      <c r="H158" s="274" t="str">
        <f t="shared" si="4"/>
        <v/>
      </c>
      <c r="I158" s="17"/>
      <c r="J158" s="17"/>
      <c r="K158" s="253"/>
      <c r="L158" s="253"/>
      <c r="M158" s="253"/>
      <c r="N158" s="253"/>
      <c r="O158" s="253"/>
      <c r="P158" s="17"/>
      <c r="Q158" s="17"/>
      <c r="R158" s="180"/>
      <c r="S158" s="181"/>
      <c r="T158" s="268"/>
      <c r="U158" s="269"/>
      <c r="V158" s="270"/>
      <c r="W158" s="269"/>
      <c r="X158" s="278" t="str">
        <f t="shared" si="5"/>
        <v/>
      </c>
      <c r="Y158" s="282"/>
      <c r="Z158" s="282"/>
      <c r="AA158" s="364"/>
      <c r="AB158" s="361"/>
    </row>
    <row r="159" spans="1:28" s="271" customFormat="1">
      <c r="A159" s="253"/>
      <c r="B159" s="253"/>
      <c r="C159" s="253"/>
      <c r="D159" s="253"/>
      <c r="E159" s="267"/>
      <c r="F159" s="274" t="str">
        <f t="shared" si="4"/>
        <v/>
      </c>
      <c r="G159" s="274" t="str">
        <f t="shared" si="4"/>
        <v/>
      </c>
      <c r="H159" s="274" t="str">
        <f t="shared" si="4"/>
        <v/>
      </c>
      <c r="I159" s="17"/>
      <c r="J159" s="17"/>
      <c r="K159" s="253"/>
      <c r="L159" s="253"/>
      <c r="M159" s="253"/>
      <c r="N159" s="253"/>
      <c r="O159" s="253"/>
      <c r="P159" s="17"/>
      <c r="Q159" s="17"/>
      <c r="R159" s="180"/>
      <c r="S159" s="181"/>
      <c r="T159" s="268"/>
      <c r="U159" s="269"/>
      <c r="V159" s="270"/>
      <c r="W159" s="269"/>
      <c r="X159" s="278" t="str">
        <f t="shared" si="5"/>
        <v/>
      </c>
      <c r="Y159" s="282"/>
      <c r="Z159" s="282"/>
      <c r="AA159" s="364"/>
      <c r="AB159" s="361"/>
    </row>
    <row r="160" spans="1:28" s="271" customFormat="1">
      <c r="A160" s="253"/>
      <c r="B160" s="253"/>
      <c r="C160" s="253"/>
      <c r="D160" s="253"/>
      <c r="E160" s="267"/>
      <c r="F160" s="274" t="str">
        <f t="shared" si="4"/>
        <v/>
      </c>
      <c r="G160" s="274" t="str">
        <f t="shared" si="4"/>
        <v/>
      </c>
      <c r="H160" s="274" t="str">
        <f t="shared" si="4"/>
        <v/>
      </c>
      <c r="I160" s="17"/>
      <c r="J160" s="17"/>
      <c r="K160" s="253"/>
      <c r="L160" s="253"/>
      <c r="M160" s="253"/>
      <c r="N160" s="253"/>
      <c r="O160" s="253"/>
      <c r="P160" s="17"/>
      <c r="Q160" s="17"/>
      <c r="R160" s="180"/>
      <c r="S160" s="181"/>
      <c r="T160" s="268"/>
      <c r="U160" s="269"/>
      <c r="V160" s="270"/>
      <c r="W160" s="269"/>
      <c r="X160" s="278" t="str">
        <f t="shared" si="5"/>
        <v/>
      </c>
      <c r="Y160" s="282"/>
      <c r="Z160" s="282"/>
      <c r="AA160" s="364"/>
      <c r="AB160" s="361"/>
    </row>
    <row r="161" spans="1:28" s="271" customFormat="1">
      <c r="A161" s="253"/>
      <c r="B161" s="253"/>
      <c r="C161" s="253"/>
      <c r="D161" s="253"/>
      <c r="E161" s="267"/>
      <c r="F161" s="274" t="str">
        <f t="shared" si="4"/>
        <v/>
      </c>
      <c r="G161" s="274" t="str">
        <f t="shared" si="4"/>
        <v/>
      </c>
      <c r="H161" s="274" t="str">
        <f t="shared" si="4"/>
        <v/>
      </c>
      <c r="I161" s="17"/>
      <c r="J161" s="17"/>
      <c r="K161" s="253"/>
      <c r="L161" s="253"/>
      <c r="M161" s="253"/>
      <c r="N161" s="253"/>
      <c r="O161" s="253"/>
      <c r="P161" s="17"/>
      <c r="Q161" s="17"/>
      <c r="R161" s="180"/>
      <c r="S161" s="181"/>
      <c r="T161" s="268"/>
      <c r="U161" s="269"/>
      <c r="V161" s="270"/>
      <c r="W161" s="269"/>
      <c r="X161" s="278" t="str">
        <f t="shared" si="5"/>
        <v/>
      </c>
      <c r="Y161" s="282"/>
      <c r="Z161" s="282"/>
      <c r="AA161" s="364"/>
      <c r="AB161" s="361"/>
    </row>
    <row r="162" spans="1:28" s="271" customFormat="1">
      <c r="A162" s="253"/>
      <c r="B162" s="253"/>
      <c r="C162" s="253"/>
      <c r="D162" s="253"/>
      <c r="E162" s="267"/>
      <c r="F162" s="274" t="str">
        <f t="shared" si="4"/>
        <v/>
      </c>
      <c r="G162" s="274" t="str">
        <f t="shared" si="4"/>
        <v/>
      </c>
      <c r="H162" s="274" t="str">
        <f t="shared" si="4"/>
        <v/>
      </c>
      <c r="I162" s="17"/>
      <c r="J162" s="17"/>
      <c r="K162" s="253"/>
      <c r="L162" s="253"/>
      <c r="M162" s="253"/>
      <c r="N162" s="253"/>
      <c r="O162" s="253"/>
      <c r="P162" s="17"/>
      <c r="Q162" s="17"/>
      <c r="R162" s="180"/>
      <c r="S162" s="181"/>
      <c r="T162" s="268"/>
      <c r="U162" s="269"/>
      <c r="V162" s="270"/>
      <c r="W162" s="269"/>
      <c r="X162" s="278" t="str">
        <f t="shared" si="5"/>
        <v/>
      </c>
      <c r="Y162" s="282"/>
      <c r="Z162" s="282"/>
      <c r="AA162" s="364"/>
      <c r="AB162" s="361"/>
    </row>
    <row r="163" spans="1:28" s="271" customFormat="1">
      <c r="A163" s="253"/>
      <c r="B163" s="253"/>
      <c r="C163" s="253"/>
      <c r="D163" s="253"/>
      <c r="E163" s="267"/>
      <c r="F163" s="274" t="str">
        <f t="shared" si="4"/>
        <v/>
      </c>
      <c r="G163" s="274" t="str">
        <f t="shared" si="4"/>
        <v/>
      </c>
      <c r="H163" s="274" t="str">
        <f t="shared" si="4"/>
        <v/>
      </c>
      <c r="I163" s="17"/>
      <c r="J163" s="17"/>
      <c r="K163" s="253"/>
      <c r="L163" s="253"/>
      <c r="M163" s="253"/>
      <c r="N163" s="253"/>
      <c r="O163" s="253"/>
      <c r="P163" s="17"/>
      <c r="Q163" s="17"/>
      <c r="R163" s="180"/>
      <c r="S163" s="181"/>
      <c r="T163" s="268"/>
      <c r="U163" s="269"/>
      <c r="V163" s="270"/>
      <c r="W163" s="269"/>
      <c r="X163" s="278" t="str">
        <f t="shared" si="5"/>
        <v/>
      </c>
      <c r="Y163" s="282"/>
      <c r="Z163" s="282"/>
      <c r="AA163" s="364"/>
      <c r="AB163" s="361"/>
    </row>
    <row r="164" spans="1:28" s="271" customFormat="1">
      <c r="A164" s="253"/>
      <c r="B164" s="253"/>
      <c r="C164" s="253"/>
      <c r="D164" s="253"/>
      <c r="E164" s="267"/>
      <c r="F164" s="274" t="str">
        <f t="shared" si="4"/>
        <v/>
      </c>
      <c r="G164" s="274" t="str">
        <f t="shared" si="4"/>
        <v/>
      </c>
      <c r="H164" s="274" t="str">
        <f t="shared" si="4"/>
        <v/>
      </c>
      <c r="I164" s="17"/>
      <c r="J164" s="17"/>
      <c r="K164" s="253"/>
      <c r="L164" s="253"/>
      <c r="M164" s="253"/>
      <c r="N164" s="253"/>
      <c r="O164" s="253"/>
      <c r="P164" s="17"/>
      <c r="Q164" s="17"/>
      <c r="R164" s="180"/>
      <c r="S164" s="181"/>
      <c r="T164" s="268"/>
      <c r="U164" s="269"/>
      <c r="V164" s="270"/>
      <c r="W164" s="269"/>
      <c r="X164" s="278" t="str">
        <f t="shared" si="5"/>
        <v/>
      </c>
      <c r="Y164" s="282"/>
      <c r="Z164" s="282"/>
      <c r="AA164" s="364"/>
      <c r="AB164" s="361"/>
    </row>
    <row r="165" spans="1:28" s="271" customFormat="1">
      <c r="A165" s="253"/>
      <c r="B165" s="253"/>
      <c r="C165" s="253"/>
      <c r="D165" s="253"/>
      <c r="E165" s="267"/>
      <c r="F165" s="274" t="str">
        <f t="shared" si="4"/>
        <v/>
      </c>
      <c r="G165" s="274" t="str">
        <f t="shared" si="4"/>
        <v/>
      </c>
      <c r="H165" s="274" t="str">
        <f t="shared" si="4"/>
        <v/>
      </c>
      <c r="I165" s="17"/>
      <c r="J165" s="17"/>
      <c r="K165" s="253"/>
      <c r="L165" s="253"/>
      <c r="M165" s="253"/>
      <c r="N165" s="253"/>
      <c r="O165" s="253"/>
      <c r="P165" s="17"/>
      <c r="Q165" s="17"/>
      <c r="R165" s="180"/>
      <c r="S165" s="181"/>
      <c r="T165" s="268"/>
      <c r="U165" s="269"/>
      <c r="V165" s="270"/>
      <c r="W165" s="269"/>
      <c r="X165" s="278" t="str">
        <f t="shared" si="5"/>
        <v/>
      </c>
      <c r="Y165" s="282"/>
      <c r="Z165" s="282"/>
      <c r="AA165" s="364"/>
      <c r="AB165" s="361"/>
    </row>
    <row r="166" spans="1:28" s="271" customFormat="1">
      <c r="A166" s="253"/>
      <c r="B166" s="253"/>
      <c r="C166" s="253"/>
      <c r="D166" s="253"/>
      <c r="E166" s="267"/>
      <c r="F166" s="274" t="str">
        <f t="shared" si="4"/>
        <v/>
      </c>
      <c r="G166" s="274" t="str">
        <f t="shared" si="4"/>
        <v/>
      </c>
      <c r="H166" s="274" t="str">
        <f t="shared" si="4"/>
        <v/>
      </c>
      <c r="I166" s="17"/>
      <c r="J166" s="17"/>
      <c r="K166" s="253"/>
      <c r="L166" s="253"/>
      <c r="M166" s="253"/>
      <c r="N166" s="253"/>
      <c r="O166" s="253"/>
      <c r="P166" s="17"/>
      <c r="Q166" s="17"/>
      <c r="R166" s="180"/>
      <c r="S166" s="181"/>
      <c r="T166" s="268"/>
      <c r="U166" s="269"/>
      <c r="V166" s="270"/>
      <c r="W166" s="269"/>
      <c r="X166" s="278" t="str">
        <f t="shared" si="5"/>
        <v/>
      </c>
      <c r="Y166" s="282"/>
      <c r="Z166" s="282"/>
      <c r="AA166" s="364"/>
      <c r="AB166" s="361"/>
    </row>
    <row r="167" spans="1:28" s="271" customFormat="1">
      <c r="A167" s="253"/>
      <c r="B167" s="253"/>
      <c r="C167" s="253"/>
      <c r="D167" s="253"/>
      <c r="E167" s="267"/>
      <c r="F167" s="274" t="str">
        <f t="shared" si="4"/>
        <v/>
      </c>
      <c r="G167" s="274" t="str">
        <f t="shared" si="4"/>
        <v/>
      </c>
      <c r="H167" s="274" t="str">
        <f t="shared" si="4"/>
        <v/>
      </c>
      <c r="I167" s="17"/>
      <c r="J167" s="17"/>
      <c r="K167" s="253"/>
      <c r="L167" s="253"/>
      <c r="M167" s="253"/>
      <c r="N167" s="253"/>
      <c r="O167" s="253"/>
      <c r="P167" s="17"/>
      <c r="Q167" s="17"/>
      <c r="R167" s="180"/>
      <c r="S167" s="181"/>
      <c r="T167" s="268"/>
      <c r="U167" s="269"/>
      <c r="V167" s="270"/>
      <c r="W167" s="269"/>
      <c r="X167" s="278" t="str">
        <f t="shared" si="5"/>
        <v/>
      </c>
      <c r="Y167" s="282"/>
      <c r="Z167" s="282"/>
      <c r="AA167" s="364"/>
      <c r="AB167" s="361"/>
    </row>
    <row r="168" spans="1:28" s="271" customFormat="1">
      <c r="A168" s="253"/>
      <c r="B168" s="253"/>
      <c r="C168" s="253"/>
      <c r="D168" s="253"/>
      <c r="E168" s="267"/>
      <c r="F168" s="274" t="str">
        <f t="shared" si="4"/>
        <v/>
      </c>
      <c r="G168" s="274" t="str">
        <f t="shared" si="4"/>
        <v/>
      </c>
      <c r="H168" s="274" t="str">
        <f t="shared" si="4"/>
        <v/>
      </c>
      <c r="I168" s="17"/>
      <c r="J168" s="17"/>
      <c r="K168" s="253"/>
      <c r="L168" s="253"/>
      <c r="M168" s="253"/>
      <c r="N168" s="253"/>
      <c r="O168" s="253"/>
      <c r="P168" s="17"/>
      <c r="Q168" s="17"/>
      <c r="R168" s="180"/>
      <c r="S168" s="181"/>
      <c r="T168" s="268"/>
      <c r="U168" s="269"/>
      <c r="V168" s="270"/>
      <c r="W168" s="269"/>
      <c r="X168" s="278" t="str">
        <f t="shared" si="5"/>
        <v/>
      </c>
      <c r="Y168" s="282"/>
      <c r="Z168" s="282"/>
      <c r="AA168" s="364"/>
      <c r="AB168" s="361"/>
    </row>
    <row r="169" spans="1:28" s="271" customFormat="1">
      <c r="A169" s="253"/>
      <c r="B169" s="253"/>
      <c r="C169" s="253"/>
      <c r="D169" s="253"/>
      <c r="E169" s="267"/>
      <c r="F169" s="274" t="str">
        <f t="shared" si="4"/>
        <v/>
      </c>
      <c r="G169" s="274" t="str">
        <f t="shared" si="4"/>
        <v/>
      </c>
      <c r="H169" s="274" t="str">
        <f t="shared" si="4"/>
        <v/>
      </c>
      <c r="I169" s="17"/>
      <c r="J169" s="17"/>
      <c r="K169" s="253"/>
      <c r="L169" s="253"/>
      <c r="M169" s="253"/>
      <c r="N169" s="253"/>
      <c r="O169" s="253"/>
      <c r="P169" s="17"/>
      <c r="Q169" s="17"/>
      <c r="R169" s="180"/>
      <c r="S169" s="181"/>
      <c r="T169" s="268"/>
      <c r="U169" s="269"/>
      <c r="V169" s="270"/>
      <c r="W169" s="269"/>
      <c r="X169" s="278" t="str">
        <f t="shared" si="5"/>
        <v/>
      </c>
      <c r="Y169" s="282"/>
      <c r="Z169" s="282"/>
      <c r="AA169" s="364"/>
      <c r="AB169" s="361"/>
    </row>
    <row r="170" spans="1:28" s="271" customFormat="1">
      <c r="A170" s="253"/>
      <c r="B170" s="253"/>
      <c r="C170" s="253"/>
      <c r="D170" s="253"/>
      <c r="E170" s="267"/>
      <c r="F170" s="274" t="str">
        <f t="shared" si="4"/>
        <v/>
      </c>
      <c r="G170" s="274" t="str">
        <f t="shared" si="4"/>
        <v/>
      </c>
      <c r="H170" s="274" t="str">
        <f t="shared" si="4"/>
        <v/>
      </c>
      <c r="I170" s="17"/>
      <c r="J170" s="17"/>
      <c r="K170" s="253"/>
      <c r="L170" s="253"/>
      <c r="M170" s="253"/>
      <c r="N170" s="253"/>
      <c r="O170" s="253"/>
      <c r="P170" s="17"/>
      <c r="Q170" s="17"/>
      <c r="R170" s="180"/>
      <c r="S170" s="181"/>
      <c r="T170" s="268"/>
      <c r="U170" s="269"/>
      <c r="V170" s="270"/>
      <c r="W170" s="269"/>
      <c r="X170" s="278" t="str">
        <f t="shared" si="5"/>
        <v/>
      </c>
      <c r="Y170" s="282"/>
      <c r="Z170" s="282"/>
      <c r="AA170" s="364"/>
      <c r="AB170" s="361"/>
    </row>
    <row r="171" spans="1:28" s="271" customFormat="1">
      <c r="A171" s="253"/>
      <c r="B171" s="253"/>
      <c r="C171" s="253"/>
      <c r="D171" s="253"/>
      <c r="E171" s="267"/>
      <c r="F171" s="274" t="str">
        <f t="shared" si="4"/>
        <v/>
      </c>
      <c r="G171" s="274" t="str">
        <f t="shared" si="4"/>
        <v/>
      </c>
      <c r="H171" s="274" t="str">
        <f t="shared" si="4"/>
        <v/>
      </c>
      <c r="I171" s="17"/>
      <c r="J171" s="17"/>
      <c r="K171" s="253"/>
      <c r="L171" s="253"/>
      <c r="M171" s="253"/>
      <c r="N171" s="253"/>
      <c r="O171" s="253"/>
      <c r="P171" s="17"/>
      <c r="Q171" s="17"/>
      <c r="R171" s="180"/>
      <c r="S171" s="181"/>
      <c r="T171" s="268"/>
      <c r="U171" s="269"/>
      <c r="V171" s="270"/>
      <c r="W171" s="269"/>
      <c r="X171" s="278" t="str">
        <f t="shared" si="5"/>
        <v/>
      </c>
      <c r="Y171" s="282"/>
      <c r="Z171" s="282"/>
      <c r="AA171" s="364"/>
      <c r="AB171" s="361"/>
    </row>
    <row r="172" spans="1:28" s="271" customFormat="1">
      <c r="A172" s="253"/>
      <c r="B172" s="253"/>
      <c r="C172" s="253"/>
      <c r="D172" s="253"/>
      <c r="E172" s="267"/>
      <c r="F172" s="274" t="str">
        <f t="shared" si="4"/>
        <v/>
      </c>
      <c r="G172" s="274" t="str">
        <f t="shared" si="4"/>
        <v/>
      </c>
      <c r="H172" s="274" t="str">
        <f t="shared" si="4"/>
        <v/>
      </c>
      <c r="I172" s="17"/>
      <c r="J172" s="17"/>
      <c r="K172" s="253"/>
      <c r="L172" s="253"/>
      <c r="M172" s="253"/>
      <c r="N172" s="253"/>
      <c r="O172" s="253"/>
      <c r="P172" s="17"/>
      <c r="Q172" s="17"/>
      <c r="R172" s="180"/>
      <c r="S172" s="181"/>
      <c r="T172" s="268"/>
      <c r="U172" s="269"/>
      <c r="V172" s="270"/>
      <c r="W172" s="269"/>
      <c r="X172" s="278" t="str">
        <f t="shared" si="5"/>
        <v/>
      </c>
      <c r="Y172" s="282"/>
      <c r="Z172" s="282"/>
      <c r="AA172" s="364"/>
      <c r="AB172" s="361"/>
    </row>
    <row r="173" spans="1:28" s="271" customFormat="1">
      <c r="A173" s="253"/>
      <c r="B173" s="253"/>
      <c r="C173" s="253"/>
      <c r="D173" s="253"/>
      <c r="E173" s="267"/>
      <c r="F173" s="274" t="str">
        <f t="shared" ref="F173:H236" si="6">IF(A173&lt;&gt;"",A173,"")</f>
        <v/>
      </c>
      <c r="G173" s="274" t="str">
        <f t="shared" si="6"/>
        <v/>
      </c>
      <c r="H173" s="274" t="str">
        <f t="shared" si="6"/>
        <v/>
      </c>
      <c r="I173" s="17"/>
      <c r="J173" s="17"/>
      <c r="K173" s="253"/>
      <c r="L173" s="253"/>
      <c r="M173" s="253"/>
      <c r="N173" s="253"/>
      <c r="O173" s="253"/>
      <c r="P173" s="17"/>
      <c r="Q173" s="17"/>
      <c r="R173" s="180"/>
      <c r="S173" s="181"/>
      <c r="T173" s="268"/>
      <c r="U173" s="269"/>
      <c r="V173" s="270"/>
      <c r="W173" s="269"/>
      <c r="X173" s="278" t="str">
        <f t="shared" ref="X173:X236" si="7">IF(D173&lt;&gt;"",D173,"")</f>
        <v/>
      </c>
      <c r="Y173" s="282"/>
      <c r="Z173" s="282"/>
      <c r="AA173" s="364"/>
      <c r="AB173" s="361"/>
    </row>
    <row r="174" spans="1:28" s="271" customFormat="1">
      <c r="A174" s="253"/>
      <c r="B174" s="253"/>
      <c r="C174" s="253"/>
      <c r="D174" s="253"/>
      <c r="E174" s="267"/>
      <c r="F174" s="274" t="str">
        <f t="shared" si="6"/>
        <v/>
      </c>
      <c r="G174" s="274" t="str">
        <f t="shared" si="6"/>
        <v/>
      </c>
      <c r="H174" s="274" t="str">
        <f t="shared" si="6"/>
        <v/>
      </c>
      <c r="I174" s="17"/>
      <c r="J174" s="17"/>
      <c r="K174" s="253"/>
      <c r="L174" s="253"/>
      <c r="M174" s="253"/>
      <c r="N174" s="253"/>
      <c r="O174" s="253"/>
      <c r="P174" s="17"/>
      <c r="Q174" s="17"/>
      <c r="R174" s="180"/>
      <c r="S174" s="181"/>
      <c r="T174" s="268"/>
      <c r="U174" s="269"/>
      <c r="V174" s="270"/>
      <c r="W174" s="269"/>
      <c r="X174" s="278" t="str">
        <f t="shared" si="7"/>
        <v/>
      </c>
      <c r="Y174" s="282"/>
      <c r="Z174" s="282"/>
      <c r="AA174" s="364"/>
      <c r="AB174" s="361"/>
    </row>
    <row r="175" spans="1:28" s="271" customFormat="1">
      <c r="A175" s="253"/>
      <c r="B175" s="253"/>
      <c r="C175" s="253"/>
      <c r="D175" s="253"/>
      <c r="E175" s="267"/>
      <c r="F175" s="274" t="str">
        <f t="shared" si="6"/>
        <v/>
      </c>
      <c r="G175" s="274" t="str">
        <f t="shared" si="6"/>
        <v/>
      </c>
      <c r="H175" s="274" t="str">
        <f t="shared" si="6"/>
        <v/>
      </c>
      <c r="I175" s="17"/>
      <c r="J175" s="17"/>
      <c r="K175" s="253"/>
      <c r="L175" s="253"/>
      <c r="M175" s="253"/>
      <c r="N175" s="253"/>
      <c r="O175" s="253"/>
      <c r="P175" s="17"/>
      <c r="Q175" s="17"/>
      <c r="R175" s="180"/>
      <c r="S175" s="181"/>
      <c r="T175" s="268"/>
      <c r="U175" s="269"/>
      <c r="V175" s="270"/>
      <c r="W175" s="269"/>
      <c r="X175" s="278" t="str">
        <f t="shared" si="7"/>
        <v/>
      </c>
      <c r="Y175" s="282"/>
      <c r="Z175" s="282"/>
      <c r="AA175" s="364"/>
      <c r="AB175" s="361"/>
    </row>
    <row r="176" spans="1:28" s="271" customFormat="1">
      <c r="A176" s="253"/>
      <c r="B176" s="253"/>
      <c r="C176" s="253"/>
      <c r="D176" s="253"/>
      <c r="E176" s="267"/>
      <c r="F176" s="274" t="str">
        <f t="shared" si="6"/>
        <v/>
      </c>
      <c r="G176" s="274" t="str">
        <f t="shared" si="6"/>
        <v/>
      </c>
      <c r="H176" s="274" t="str">
        <f t="shared" si="6"/>
        <v/>
      </c>
      <c r="I176" s="17"/>
      <c r="J176" s="17"/>
      <c r="K176" s="253"/>
      <c r="L176" s="253"/>
      <c r="M176" s="253"/>
      <c r="N176" s="253"/>
      <c r="O176" s="253"/>
      <c r="P176" s="17"/>
      <c r="Q176" s="17"/>
      <c r="R176" s="180"/>
      <c r="S176" s="181"/>
      <c r="T176" s="268"/>
      <c r="U176" s="269"/>
      <c r="V176" s="270"/>
      <c r="W176" s="269"/>
      <c r="X176" s="278" t="str">
        <f t="shared" si="7"/>
        <v/>
      </c>
      <c r="Y176" s="282"/>
      <c r="Z176" s="282"/>
      <c r="AA176" s="364"/>
      <c r="AB176" s="361"/>
    </row>
    <row r="177" spans="1:28" s="271" customFormat="1">
      <c r="A177" s="253"/>
      <c r="B177" s="253"/>
      <c r="C177" s="253"/>
      <c r="D177" s="253"/>
      <c r="E177" s="267"/>
      <c r="F177" s="274" t="str">
        <f t="shared" si="6"/>
        <v/>
      </c>
      <c r="G177" s="274" t="str">
        <f t="shared" si="6"/>
        <v/>
      </c>
      <c r="H177" s="274" t="str">
        <f t="shared" si="6"/>
        <v/>
      </c>
      <c r="I177" s="17"/>
      <c r="J177" s="17"/>
      <c r="K177" s="253"/>
      <c r="L177" s="253"/>
      <c r="M177" s="253"/>
      <c r="N177" s="253"/>
      <c r="O177" s="253"/>
      <c r="P177" s="17"/>
      <c r="Q177" s="17"/>
      <c r="R177" s="180"/>
      <c r="S177" s="181"/>
      <c r="T177" s="268"/>
      <c r="U177" s="269"/>
      <c r="V177" s="270"/>
      <c r="W177" s="269"/>
      <c r="X177" s="278" t="str">
        <f t="shared" si="7"/>
        <v/>
      </c>
      <c r="Y177" s="282"/>
      <c r="Z177" s="282"/>
      <c r="AA177" s="364"/>
      <c r="AB177" s="361"/>
    </row>
    <row r="178" spans="1:28" s="271" customFormat="1">
      <c r="A178" s="253"/>
      <c r="B178" s="253"/>
      <c r="C178" s="253"/>
      <c r="D178" s="253"/>
      <c r="E178" s="267"/>
      <c r="F178" s="274" t="str">
        <f t="shared" si="6"/>
        <v/>
      </c>
      <c r="G178" s="274" t="str">
        <f t="shared" si="6"/>
        <v/>
      </c>
      <c r="H178" s="274" t="str">
        <f t="shared" si="6"/>
        <v/>
      </c>
      <c r="I178" s="17"/>
      <c r="J178" s="17"/>
      <c r="K178" s="253"/>
      <c r="L178" s="253"/>
      <c r="M178" s="253"/>
      <c r="N178" s="253"/>
      <c r="O178" s="253"/>
      <c r="P178" s="17"/>
      <c r="Q178" s="17"/>
      <c r="R178" s="180"/>
      <c r="S178" s="181"/>
      <c r="T178" s="268"/>
      <c r="U178" s="269"/>
      <c r="V178" s="270"/>
      <c r="W178" s="269"/>
      <c r="X178" s="278" t="str">
        <f t="shared" si="7"/>
        <v/>
      </c>
      <c r="Y178" s="282"/>
      <c r="Z178" s="282"/>
      <c r="AA178" s="364"/>
      <c r="AB178" s="361"/>
    </row>
    <row r="179" spans="1:28" s="271" customFormat="1">
      <c r="A179" s="253"/>
      <c r="B179" s="253"/>
      <c r="C179" s="253"/>
      <c r="D179" s="253"/>
      <c r="E179" s="267"/>
      <c r="F179" s="274" t="str">
        <f t="shared" si="6"/>
        <v/>
      </c>
      <c r="G179" s="274" t="str">
        <f t="shared" si="6"/>
        <v/>
      </c>
      <c r="H179" s="274" t="str">
        <f t="shared" si="6"/>
        <v/>
      </c>
      <c r="I179" s="17"/>
      <c r="J179" s="17"/>
      <c r="K179" s="253"/>
      <c r="L179" s="253"/>
      <c r="M179" s="253"/>
      <c r="N179" s="253"/>
      <c r="O179" s="253"/>
      <c r="P179" s="17"/>
      <c r="Q179" s="17"/>
      <c r="R179" s="180"/>
      <c r="S179" s="181"/>
      <c r="T179" s="268"/>
      <c r="U179" s="269"/>
      <c r="V179" s="270"/>
      <c r="W179" s="269"/>
      <c r="X179" s="278" t="str">
        <f t="shared" si="7"/>
        <v/>
      </c>
      <c r="Y179" s="282"/>
      <c r="Z179" s="282"/>
      <c r="AA179" s="364"/>
      <c r="AB179" s="361"/>
    </row>
    <row r="180" spans="1:28" s="271" customFormat="1">
      <c r="A180" s="253"/>
      <c r="B180" s="253"/>
      <c r="C180" s="253"/>
      <c r="D180" s="253"/>
      <c r="E180" s="267"/>
      <c r="F180" s="274" t="str">
        <f t="shared" si="6"/>
        <v/>
      </c>
      <c r="G180" s="274" t="str">
        <f t="shared" si="6"/>
        <v/>
      </c>
      <c r="H180" s="274" t="str">
        <f t="shared" si="6"/>
        <v/>
      </c>
      <c r="I180" s="17"/>
      <c r="J180" s="17"/>
      <c r="K180" s="253"/>
      <c r="L180" s="253"/>
      <c r="M180" s="253"/>
      <c r="N180" s="253"/>
      <c r="O180" s="253"/>
      <c r="P180" s="17"/>
      <c r="Q180" s="17"/>
      <c r="R180" s="180"/>
      <c r="S180" s="181"/>
      <c r="T180" s="268"/>
      <c r="U180" s="269"/>
      <c r="V180" s="270"/>
      <c r="W180" s="269"/>
      <c r="X180" s="278" t="str">
        <f t="shared" si="7"/>
        <v/>
      </c>
      <c r="Y180" s="282"/>
      <c r="Z180" s="282"/>
      <c r="AA180" s="364"/>
      <c r="AB180" s="361"/>
    </row>
    <row r="181" spans="1:28" s="271" customFormat="1">
      <c r="A181" s="253"/>
      <c r="B181" s="253"/>
      <c r="C181" s="253"/>
      <c r="D181" s="253"/>
      <c r="E181" s="267"/>
      <c r="F181" s="274" t="str">
        <f t="shared" si="6"/>
        <v/>
      </c>
      <c r="G181" s="274" t="str">
        <f t="shared" si="6"/>
        <v/>
      </c>
      <c r="H181" s="274" t="str">
        <f t="shared" si="6"/>
        <v/>
      </c>
      <c r="I181" s="17"/>
      <c r="J181" s="17"/>
      <c r="K181" s="253"/>
      <c r="L181" s="253"/>
      <c r="M181" s="253"/>
      <c r="N181" s="253"/>
      <c r="O181" s="253"/>
      <c r="P181" s="17"/>
      <c r="Q181" s="17"/>
      <c r="R181" s="180"/>
      <c r="S181" s="181"/>
      <c r="T181" s="268"/>
      <c r="U181" s="269"/>
      <c r="V181" s="270"/>
      <c r="W181" s="269"/>
      <c r="X181" s="278" t="str">
        <f t="shared" si="7"/>
        <v/>
      </c>
      <c r="Y181" s="282"/>
      <c r="Z181" s="282"/>
      <c r="AA181" s="364"/>
      <c r="AB181" s="361"/>
    </row>
    <row r="182" spans="1:28" s="271" customFormat="1">
      <c r="A182" s="253"/>
      <c r="B182" s="253"/>
      <c r="C182" s="253"/>
      <c r="D182" s="253"/>
      <c r="E182" s="267"/>
      <c r="F182" s="274" t="str">
        <f t="shared" si="6"/>
        <v/>
      </c>
      <c r="G182" s="274" t="str">
        <f t="shared" si="6"/>
        <v/>
      </c>
      <c r="H182" s="274" t="str">
        <f t="shared" si="6"/>
        <v/>
      </c>
      <c r="I182" s="17"/>
      <c r="J182" s="17"/>
      <c r="K182" s="253"/>
      <c r="L182" s="253"/>
      <c r="M182" s="253"/>
      <c r="N182" s="253"/>
      <c r="O182" s="253"/>
      <c r="P182" s="17"/>
      <c r="Q182" s="17"/>
      <c r="R182" s="180"/>
      <c r="S182" s="181"/>
      <c r="T182" s="268"/>
      <c r="U182" s="269"/>
      <c r="V182" s="270"/>
      <c r="W182" s="269"/>
      <c r="X182" s="278" t="str">
        <f t="shared" si="7"/>
        <v/>
      </c>
      <c r="Y182" s="282"/>
      <c r="Z182" s="282"/>
      <c r="AA182" s="364"/>
      <c r="AB182" s="361"/>
    </row>
    <row r="183" spans="1:28" s="271" customFormat="1">
      <c r="A183" s="253"/>
      <c r="B183" s="253"/>
      <c r="C183" s="253"/>
      <c r="D183" s="253"/>
      <c r="E183" s="267"/>
      <c r="F183" s="274" t="str">
        <f t="shared" si="6"/>
        <v/>
      </c>
      <c r="G183" s="274" t="str">
        <f t="shared" si="6"/>
        <v/>
      </c>
      <c r="H183" s="274" t="str">
        <f t="shared" si="6"/>
        <v/>
      </c>
      <c r="I183" s="17"/>
      <c r="J183" s="17"/>
      <c r="K183" s="253"/>
      <c r="L183" s="253"/>
      <c r="M183" s="253"/>
      <c r="N183" s="253"/>
      <c r="O183" s="253"/>
      <c r="P183" s="17"/>
      <c r="Q183" s="17"/>
      <c r="R183" s="180"/>
      <c r="S183" s="181"/>
      <c r="T183" s="268"/>
      <c r="U183" s="269"/>
      <c r="V183" s="270"/>
      <c r="W183" s="269"/>
      <c r="X183" s="278" t="str">
        <f t="shared" si="7"/>
        <v/>
      </c>
      <c r="Y183" s="282"/>
      <c r="Z183" s="282"/>
      <c r="AA183" s="364"/>
      <c r="AB183" s="361"/>
    </row>
    <row r="184" spans="1:28" s="271" customFormat="1">
      <c r="A184" s="253"/>
      <c r="B184" s="253"/>
      <c r="C184" s="253"/>
      <c r="D184" s="253"/>
      <c r="E184" s="267"/>
      <c r="F184" s="274" t="str">
        <f t="shared" si="6"/>
        <v/>
      </c>
      <c r="G184" s="274" t="str">
        <f t="shared" si="6"/>
        <v/>
      </c>
      <c r="H184" s="274" t="str">
        <f t="shared" si="6"/>
        <v/>
      </c>
      <c r="I184" s="17"/>
      <c r="J184" s="17"/>
      <c r="K184" s="253"/>
      <c r="L184" s="253"/>
      <c r="M184" s="253"/>
      <c r="N184" s="253"/>
      <c r="O184" s="253"/>
      <c r="P184" s="17"/>
      <c r="Q184" s="17"/>
      <c r="R184" s="180"/>
      <c r="S184" s="181"/>
      <c r="T184" s="268"/>
      <c r="U184" s="269"/>
      <c r="V184" s="270"/>
      <c r="W184" s="269"/>
      <c r="X184" s="278" t="str">
        <f t="shared" si="7"/>
        <v/>
      </c>
      <c r="Y184" s="282"/>
      <c r="Z184" s="282"/>
      <c r="AA184" s="364"/>
      <c r="AB184" s="361"/>
    </row>
    <row r="185" spans="1:28" s="271" customFormat="1">
      <c r="A185" s="253"/>
      <c r="B185" s="253"/>
      <c r="C185" s="253"/>
      <c r="D185" s="253"/>
      <c r="E185" s="267"/>
      <c r="F185" s="274" t="str">
        <f t="shared" si="6"/>
        <v/>
      </c>
      <c r="G185" s="274" t="str">
        <f t="shared" si="6"/>
        <v/>
      </c>
      <c r="H185" s="274" t="str">
        <f t="shared" si="6"/>
        <v/>
      </c>
      <c r="I185" s="17"/>
      <c r="J185" s="17"/>
      <c r="K185" s="253"/>
      <c r="L185" s="253"/>
      <c r="M185" s="253"/>
      <c r="N185" s="253"/>
      <c r="O185" s="253"/>
      <c r="P185" s="17"/>
      <c r="Q185" s="17"/>
      <c r="R185" s="180"/>
      <c r="S185" s="181"/>
      <c r="T185" s="268"/>
      <c r="U185" s="269"/>
      <c r="V185" s="270"/>
      <c r="W185" s="269"/>
      <c r="X185" s="278" t="str">
        <f t="shared" si="7"/>
        <v/>
      </c>
      <c r="Y185" s="282"/>
      <c r="Z185" s="282"/>
      <c r="AA185" s="364"/>
      <c r="AB185" s="361"/>
    </row>
    <row r="186" spans="1:28" s="271" customFormat="1">
      <c r="A186" s="253"/>
      <c r="B186" s="253"/>
      <c r="C186" s="253"/>
      <c r="D186" s="253"/>
      <c r="E186" s="267"/>
      <c r="F186" s="274" t="str">
        <f t="shared" si="6"/>
        <v/>
      </c>
      <c r="G186" s="274" t="str">
        <f t="shared" si="6"/>
        <v/>
      </c>
      <c r="H186" s="274" t="str">
        <f t="shared" si="6"/>
        <v/>
      </c>
      <c r="I186" s="17"/>
      <c r="J186" s="17"/>
      <c r="K186" s="253"/>
      <c r="L186" s="253"/>
      <c r="M186" s="253"/>
      <c r="N186" s="253"/>
      <c r="O186" s="253"/>
      <c r="P186" s="17"/>
      <c r="Q186" s="17"/>
      <c r="R186" s="180"/>
      <c r="S186" s="181"/>
      <c r="T186" s="268"/>
      <c r="U186" s="269"/>
      <c r="V186" s="270"/>
      <c r="W186" s="269"/>
      <c r="X186" s="278" t="str">
        <f t="shared" si="7"/>
        <v/>
      </c>
      <c r="Y186" s="282"/>
      <c r="Z186" s="282"/>
      <c r="AA186" s="364"/>
      <c r="AB186" s="361"/>
    </row>
    <row r="187" spans="1:28" s="271" customFormat="1">
      <c r="A187" s="253"/>
      <c r="B187" s="253"/>
      <c r="C187" s="253"/>
      <c r="D187" s="253"/>
      <c r="E187" s="267"/>
      <c r="F187" s="274" t="str">
        <f t="shared" si="6"/>
        <v/>
      </c>
      <c r="G187" s="274" t="str">
        <f t="shared" si="6"/>
        <v/>
      </c>
      <c r="H187" s="274" t="str">
        <f t="shared" si="6"/>
        <v/>
      </c>
      <c r="I187" s="17"/>
      <c r="J187" s="17"/>
      <c r="K187" s="253"/>
      <c r="L187" s="253"/>
      <c r="M187" s="253"/>
      <c r="N187" s="253"/>
      <c r="O187" s="253"/>
      <c r="P187" s="17"/>
      <c r="Q187" s="17"/>
      <c r="R187" s="180"/>
      <c r="S187" s="181"/>
      <c r="T187" s="268"/>
      <c r="U187" s="269"/>
      <c r="V187" s="270"/>
      <c r="W187" s="269"/>
      <c r="X187" s="278" t="str">
        <f t="shared" si="7"/>
        <v/>
      </c>
      <c r="Y187" s="282"/>
      <c r="Z187" s="282"/>
      <c r="AA187" s="364"/>
      <c r="AB187" s="361"/>
    </row>
    <row r="188" spans="1:28" s="271" customFormat="1">
      <c r="A188" s="253"/>
      <c r="B188" s="253"/>
      <c r="C188" s="253"/>
      <c r="D188" s="253"/>
      <c r="E188" s="267"/>
      <c r="F188" s="274" t="str">
        <f t="shared" si="6"/>
        <v/>
      </c>
      <c r="G188" s="274" t="str">
        <f t="shared" si="6"/>
        <v/>
      </c>
      <c r="H188" s="274" t="str">
        <f t="shared" si="6"/>
        <v/>
      </c>
      <c r="I188" s="17"/>
      <c r="J188" s="17"/>
      <c r="K188" s="253"/>
      <c r="L188" s="253"/>
      <c r="M188" s="253"/>
      <c r="N188" s="253"/>
      <c r="O188" s="253"/>
      <c r="P188" s="17"/>
      <c r="Q188" s="17"/>
      <c r="R188" s="180"/>
      <c r="S188" s="181"/>
      <c r="T188" s="268"/>
      <c r="U188" s="269"/>
      <c r="V188" s="270"/>
      <c r="W188" s="269"/>
      <c r="X188" s="278" t="str">
        <f t="shared" si="7"/>
        <v/>
      </c>
      <c r="Y188" s="282"/>
      <c r="Z188" s="282"/>
      <c r="AA188" s="364"/>
      <c r="AB188" s="361"/>
    </row>
    <row r="189" spans="1:28" s="271" customFormat="1">
      <c r="A189" s="253"/>
      <c r="B189" s="253"/>
      <c r="C189" s="253"/>
      <c r="D189" s="253"/>
      <c r="E189" s="267"/>
      <c r="F189" s="274" t="str">
        <f t="shared" si="6"/>
        <v/>
      </c>
      <c r="G189" s="274" t="str">
        <f t="shared" si="6"/>
        <v/>
      </c>
      <c r="H189" s="274" t="str">
        <f t="shared" si="6"/>
        <v/>
      </c>
      <c r="I189" s="17"/>
      <c r="J189" s="17"/>
      <c r="K189" s="253"/>
      <c r="L189" s="253"/>
      <c r="M189" s="253"/>
      <c r="N189" s="253"/>
      <c r="O189" s="253"/>
      <c r="P189" s="17"/>
      <c r="Q189" s="17"/>
      <c r="R189" s="180"/>
      <c r="S189" s="181"/>
      <c r="T189" s="268"/>
      <c r="U189" s="269"/>
      <c r="V189" s="270"/>
      <c r="W189" s="269"/>
      <c r="X189" s="278" t="str">
        <f t="shared" si="7"/>
        <v/>
      </c>
      <c r="Y189" s="282"/>
      <c r="Z189" s="282"/>
      <c r="AA189" s="364"/>
      <c r="AB189" s="361"/>
    </row>
    <row r="190" spans="1:28" s="271" customFormat="1">
      <c r="A190" s="253"/>
      <c r="B190" s="253"/>
      <c r="C190" s="253"/>
      <c r="D190" s="253"/>
      <c r="E190" s="267"/>
      <c r="F190" s="274" t="str">
        <f t="shared" si="6"/>
        <v/>
      </c>
      <c r="G190" s="274" t="str">
        <f t="shared" si="6"/>
        <v/>
      </c>
      <c r="H190" s="274" t="str">
        <f t="shared" si="6"/>
        <v/>
      </c>
      <c r="I190" s="17"/>
      <c r="J190" s="17"/>
      <c r="K190" s="253"/>
      <c r="L190" s="253"/>
      <c r="M190" s="253"/>
      <c r="N190" s="253"/>
      <c r="O190" s="253"/>
      <c r="P190" s="17"/>
      <c r="Q190" s="17"/>
      <c r="R190" s="180"/>
      <c r="S190" s="181"/>
      <c r="T190" s="268"/>
      <c r="U190" s="269"/>
      <c r="V190" s="270"/>
      <c r="W190" s="269"/>
      <c r="X190" s="278" t="str">
        <f t="shared" si="7"/>
        <v/>
      </c>
      <c r="Y190" s="282"/>
      <c r="Z190" s="282"/>
      <c r="AA190" s="364"/>
      <c r="AB190" s="361"/>
    </row>
    <row r="191" spans="1:28" s="271" customFormat="1">
      <c r="A191" s="253"/>
      <c r="B191" s="253"/>
      <c r="C191" s="253"/>
      <c r="D191" s="253"/>
      <c r="E191" s="267"/>
      <c r="F191" s="274" t="str">
        <f t="shared" si="6"/>
        <v/>
      </c>
      <c r="G191" s="274" t="str">
        <f t="shared" si="6"/>
        <v/>
      </c>
      <c r="H191" s="274" t="str">
        <f t="shared" si="6"/>
        <v/>
      </c>
      <c r="I191" s="17"/>
      <c r="J191" s="17"/>
      <c r="K191" s="253"/>
      <c r="L191" s="253"/>
      <c r="M191" s="253"/>
      <c r="N191" s="253"/>
      <c r="O191" s="253"/>
      <c r="P191" s="17"/>
      <c r="Q191" s="17"/>
      <c r="R191" s="180"/>
      <c r="S191" s="181"/>
      <c r="T191" s="268"/>
      <c r="U191" s="269"/>
      <c r="V191" s="270"/>
      <c r="W191" s="269"/>
      <c r="X191" s="278" t="str">
        <f t="shared" si="7"/>
        <v/>
      </c>
      <c r="Y191" s="282"/>
      <c r="Z191" s="282"/>
      <c r="AA191" s="364"/>
      <c r="AB191" s="361"/>
    </row>
    <row r="192" spans="1:28" s="271" customFormat="1">
      <c r="A192" s="253"/>
      <c r="B192" s="253"/>
      <c r="C192" s="253"/>
      <c r="D192" s="253"/>
      <c r="E192" s="267"/>
      <c r="F192" s="274" t="str">
        <f t="shared" si="6"/>
        <v/>
      </c>
      <c r="G192" s="274" t="str">
        <f t="shared" si="6"/>
        <v/>
      </c>
      <c r="H192" s="274" t="str">
        <f t="shared" si="6"/>
        <v/>
      </c>
      <c r="I192" s="17"/>
      <c r="J192" s="17"/>
      <c r="K192" s="253"/>
      <c r="L192" s="253"/>
      <c r="M192" s="253"/>
      <c r="N192" s="253"/>
      <c r="O192" s="253"/>
      <c r="P192" s="17"/>
      <c r="Q192" s="17"/>
      <c r="R192" s="180"/>
      <c r="S192" s="181"/>
      <c r="T192" s="268"/>
      <c r="U192" s="269"/>
      <c r="V192" s="270"/>
      <c r="W192" s="269"/>
      <c r="X192" s="278" t="str">
        <f t="shared" si="7"/>
        <v/>
      </c>
      <c r="Y192" s="282"/>
      <c r="Z192" s="282"/>
      <c r="AA192" s="364"/>
      <c r="AB192" s="361"/>
    </row>
    <row r="193" spans="1:28" s="271" customFormat="1">
      <c r="A193" s="253"/>
      <c r="B193" s="253"/>
      <c r="C193" s="253"/>
      <c r="D193" s="253"/>
      <c r="E193" s="267"/>
      <c r="F193" s="274" t="str">
        <f t="shared" si="6"/>
        <v/>
      </c>
      <c r="G193" s="274" t="str">
        <f t="shared" si="6"/>
        <v/>
      </c>
      <c r="H193" s="274" t="str">
        <f t="shared" si="6"/>
        <v/>
      </c>
      <c r="I193" s="17"/>
      <c r="J193" s="17"/>
      <c r="K193" s="253"/>
      <c r="L193" s="253"/>
      <c r="M193" s="253"/>
      <c r="N193" s="253"/>
      <c r="O193" s="253"/>
      <c r="P193" s="17"/>
      <c r="Q193" s="17"/>
      <c r="R193" s="180"/>
      <c r="S193" s="181"/>
      <c r="T193" s="268"/>
      <c r="U193" s="269"/>
      <c r="V193" s="270"/>
      <c r="W193" s="269"/>
      <c r="X193" s="278" t="str">
        <f t="shared" si="7"/>
        <v/>
      </c>
      <c r="Y193" s="282"/>
      <c r="Z193" s="282"/>
      <c r="AA193" s="364"/>
      <c r="AB193" s="361"/>
    </row>
    <row r="194" spans="1:28" s="271" customFormat="1">
      <c r="A194" s="253"/>
      <c r="B194" s="253"/>
      <c r="C194" s="253"/>
      <c r="D194" s="253"/>
      <c r="E194" s="267"/>
      <c r="F194" s="274" t="str">
        <f t="shared" si="6"/>
        <v/>
      </c>
      <c r="G194" s="274" t="str">
        <f t="shared" si="6"/>
        <v/>
      </c>
      <c r="H194" s="274" t="str">
        <f t="shared" si="6"/>
        <v/>
      </c>
      <c r="I194" s="17"/>
      <c r="J194" s="17"/>
      <c r="K194" s="253"/>
      <c r="L194" s="253"/>
      <c r="M194" s="253"/>
      <c r="N194" s="253"/>
      <c r="O194" s="253"/>
      <c r="P194" s="17"/>
      <c r="Q194" s="17"/>
      <c r="R194" s="180"/>
      <c r="S194" s="181"/>
      <c r="T194" s="268"/>
      <c r="U194" s="269"/>
      <c r="V194" s="270"/>
      <c r="W194" s="269"/>
      <c r="X194" s="278" t="str">
        <f t="shared" si="7"/>
        <v/>
      </c>
      <c r="Y194" s="282"/>
      <c r="Z194" s="282"/>
      <c r="AA194" s="364"/>
      <c r="AB194" s="361"/>
    </row>
    <row r="195" spans="1:28" s="271" customFormat="1">
      <c r="A195" s="253"/>
      <c r="B195" s="253"/>
      <c r="C195" s="253"/>
      <c r="D195" s="253"/>
      <c r="E195" s="267"/>
      <c r="F195" s="274" t="str">
        <f t="shared" si="6"/>
        <v/>
      </c>
      <c r="G195" s="274" t="str">
        <f t="shared" si="6"/>
        <v/>
      </c>
      <c r="H195" s="274" t="str">
        <f t="shared" si="6"/>
        <v/>
      </c>
      <c r="I195" s="17"/>
      <c r="J195" s="17"/>
      <c r="K195" s="253"/>
      <c r="L195" s="253"/>
      <c r="M195" s="253"/>
      <c r="N195" s="253"/>
      <c r="O195" s="253"/>
      <c r="P195" s="17"/>
      <c r="Q195" s="17"/>
      <c r="R195" s="180"/>
      <c r="S195" s="181"/>
      <c r="T195" s="268"/>
      <c r="U195" s="269"/>
      <c r="V195" s="270"/>
      <c r="W195" s="269"/>
      <c r="X195" s="278" t="str">
        <f t="shared" si="7"/>
        <v/>
      </c>
      <c r="Y195" s="282"/>
      <c r="Z195" s="282"/>
      <c r="AA195" s="364"/>
      <c r="AB195" s="361"/>
    </row>
    <row r="196" spans="1:28" s="271" customFormat="1">
      <c r="A196" s="253"/>
      <c r="B196" s="253"/>
      <c r="C196" s="253"/>
      <c r="D196" s="253"/>
      <c r="E196" s="267"/>
      <c r="F196" s="274" t="str">
        <f t="shared" si="6"/>
        <v/>
      </c>
      <c r="G196" s="274" t="str">
        <f t="shared" si="6"/>
        <v/>
      </c>
      <c r="H196" s="274" t="str">
        <f t="shared" si="6"/>
        <v/>
      </c>
      <c r="I196" s="17"/>
      <c r="J196" s="17"/>
      <c r="K196" s="253"/>
      <c r="L196" s="253"/>
      <c r="M196" s="253"/>
      <c r="N196" s="253"/>
      <c r="O196" s="253"/>
      <c r="P196" s="17"/>
      <c r="Q196" s="17"/>
      <c r="R196" s="180"/>
      <c r="S196" s="181"/>
      <c r="T196" s="268"/>
      <c r="U196" s="269"/>
      <c r="V196" s="270"/>
      <c r="W196" s="269"/>
      <c r="X196" s="278" t="str">
        <f t="shared" si="7"/>
        <v/>
      </c>
      <c r="Y196" s="282"/>
      <c r="Z196" s="282"/>
      <c r="AA196" s="364"/>
      <c r="AB196" s="361"/>
    </row>
    <row r="197" spans="1:28" s="271" customFormat="1">
      <c r="A197" s="253"/>
      <c r="B197" s="253"/>
      <c r="C197" s="253"/>
      <c r="D197" s="253"/>
      <c r="E197" s="267"/>
      <c r="F197" s="274" t="str">
        <f t="shared" si="6"/>
        <v/>
      </c>
      <c r="G197" s="274" t="str">
        <f t="shared" si="6"/>
        <v/>
      </c>
      <c r="H197" s="274" t="str">
        <f t="shared" si="6"/>
        <v/>
      </c>
      <c r="I197" s="17"/>
      <c r="J197" s="17"/>
      <c r="K197" s="253"/>
      <c r="L197" s="253"/>
      <c r="M197" s="253"/>
      <c r="N197" s="253"/>
      <c r="O197" s="253"/>
      <c r="P197" s="17"/>
      <c r="Q197" s="17"/>
      <c r="R197" s="180"/>
      <c r="S197" s="181"/>
      <c r="T197" s="268"/>
      <c r="U197" s="269"/>
      <c r="V197" s="270"/>
      <c r="W197" s="269"/>
      <c r="X197" s="278" t="str">
        <f t="shared" si="7"/>
        <v/>
      </c>
      <c r="Y197" s="282"/>
      <c r="Z197" s="282"/>
      <c r="AA197" s="364"/>
      <c r="AB197" s="361"/>
    </row>
    <row r="198" spans="1:28" s="271" customFormat="1">
      <c r="A198" s="253"/>
      <c r="B198" s="253"/>
      <c r="C198" s="253"/>
      <c r="D198" s="253"/>
      <c r="E198" s="267"/>
      <c r="F198" s="274" t="str">
        <f t="shared" si="6"/>
        <v/>
      </c>
      <c r="G198" s="274" t="str">
        <f t="shared" si="6"/>
        <v/>
      </c>
      <c r="H198" s="274" t="str">
        <f t="shared" si="6"/>
        <v/>
      </c>
      <c r="I198" s="17"/>
      <c r="J198" s="17"/>
      <c r="K198" s="253"/>
      <c r="L198" s="253"/>
      <c r="M198" s="253"/>
      <c r="N198" s="253"/>
      <c r="O198" s="253"/>
      <c r="P198" s="17"/>
      <c r="Q198" s="17"/>
      <c r="R198" s="180"/>
      <c r="S198" s="181"/>
      <c r="T198" s="268"/>
      <c r="U198" s="269"/>
      <c r="V198" s="270"/>
      <c r="W198" s="269"/>
      <c r="X198" s="278" t="str">
        <f t="shared" si="7"/>
        <v/>
      </c>
      <c r="Y198" s="282"/>
      <c r="Z198" s="282"/>
      <c r="AA198" s="364"/>
      <c r="AB198" s="361"/>
    </row>
    <row r="199" spans="1:28" s="271" customFormat="1">
      <c r="A199" s="253"/>
      <c r="B199" s="253"/>
      <c r="C199" s="253"/>
      <c r="D199" s="253"/>
      <c r="E199" s="267"/>
      <c r="F199" s="274" t="str">
        <f t="shared" si="6"/>
        <v/>
      </c>
      <c r="G199" s="274" t="str">
        <f t="shared" si="6"/>
        <v/>
      </c>
      <c r="H199" s="274" t="str">
        <f t="shared" si="6"/>
        <v/>
      </c>
      <c r="I199" s="17"/>
      <c r="J199" s="17"/>
      <c r="K199" s="253"/>
      <c r="L199" s="253"/>
      <c r="M199" s="253"/>
      <c r="N199" s="253"/>
      <c r="O199" s="253"/>
      <c r="P199" s="17"/>
      <c r="Q199" s="17"/>
      <c r="R199" s="180"/>
      <c r="S199" s="181"/>
      <c r="T199" s="268"/>
      <c r="U199" s="269"/>
      <c r="V199" s="270"/>
      <c r="W199" s="269"/>
      <c r="X199" s="278" t="str">
        <f t="shared" si="7"/>
        <v/>
      </c>
      <c r="Y199" s="282"/>
      <c r="Z199" s="282"/>
      <c r="AA199" s="364"/>
      <c r="AB199" s="361"/>
    </row>
    <row r="200" spans="1:28" s="271" customFormat="1">
      <c r="A200" s="253"/>
      <c r="B200" s="253"/>
      <c r="C200" s="253"/>
      <c r="D200" s="253"/>
      <c r="E200" s="267"/>
      <c r="F200" s="274" t="str">
        <f t="shared" si="6"/>
        <v/>
      </c>
      <c r="G200" s="274" t="str">
        <f t="shared" si="6"/>
        <v/>
      </c>
      <c r="H200" s="274" t="str">
        <f t="shared" si="6"/>
        <v/>
      </c>
      <c r="I200" s="17"/>
      <c r="J200" s="17"/>
      <c r="K200" s="253"/>
      <c r="L200" s="253"/>
      <c r="M200" s="253"/>
      <c r="N200" s="253"/>
      <c r="O200" s="253"/>
      <c r="P200" s="17"/>
      <c r="Q200" s="17"/>
      <c r="R200" s="180"/>
      <c r="S200" s="181"/>
      <c r="T200" s="268"/>
      <c r="U200" s="269"/>
      <c r="V200" s="270"/>
      <c r="W200" s="269"/>
      <c r="X200" s="278" t="str">
        <f t="shared" si="7"/>
        <v/>
      </c>
      <c r="Y200" s="282"/>
      <c r="Z200" s="282"/>
      <c r="AA200" s="364"/>
      <c r="AB200" s="361"/>
    </row>
    <row r="201" spans="1:28" s="271" customFormat="1">
      <c r="A201" s="253"/>
      <c r="B201" s="253"/>
      <c r="C201" s="253"/>
      <c r="D201" s="253"/>
      <c r="E201" s="267"/>
      <c r="F201" s="274" t="str">
        <f t="shared" si="6"/>
        <v/>
      </c>
      <c r="G201" s="274" t="str">
        <f t="shared" si="6"/>
        <v/>
      </c>
      <c r="H201" s="274" t="str">
        <f t="shared" si="6"/>
        <v/>
      </c>
      <c r="I201" s="17"/>
      <c r="J201" s="17"/>
      <c r="K201" s="253"/>
      <c r="L201" s="253"/>
      <c r="M201" s="253"/>
      <c r="N201" s="253"/>
      <c r="O201" s="253"/>
      <c r="P201" s="17"/>
      <c r="Q201" s="17"/>
      <c r="R201" s="180"/>
      <c r="S201" s="181"/>
      <c r="T201" s="268"/>
      <c r="U201" s="269"/>
      <c r="V201" s="270"/>
      <c r="W201" s="269"/>
      <c r="X201" s="278" t="str">
        <f t="shared" si="7"/>
        <v/>
      </c>
      <c r="Y201" s="282"/>
      <c r="Z201" s="282"/>
      <c r="AA201" s="364"/>
      <c r="AB201" s="361"/>
    </row>
    <row r="202" spans="1:28" s="271" customFormat="1">
      <c r="A202" s="253"/>
      <c r="B202" s="253"/>
      <c r="C202" s="253"/>
      <c r="D202" s="253"/>
      <c r="E202" s="267"/>
      <c r="F202" s="274" t="str">
        <f t="shared" si="6"/>
        <v/>
      </c>
      <c r="G202" s="274" t="str">
        <f t="shared" si="6"/>
        <v/>
      </c>
      <c r="H202" s="274" t="str">
        <f t="shared" si="6"/>
        <v/>
      </c>
      <c r="I202" s="17"/>
      <c r="J202" s="17"/>
      <c r="K202" s="253"/>
      <c r="L202" s="253"/>
      <c r="M202" s="253"/>
      <c r="N202" s="253"/>
      <c r="O202" s="253"/>
      <c r="P202" s="17"/>
      <c r="Q202" s="17"/>
      <c r="R202" s="180"/>
      <c r="S202" s="181"/>
      <c r="T202" s="268"/>
      <c r="U202" s="269"/>
      <c r="V202" s="270"/>
      <c r="W202" s="269"/>
      <c r="X202" s="278" t="str">
        <f t="shared" si="7"/>
        <v/>
      </c>
      <c r="Y202" s="282"/>
      <c r="Z202" s="282"/>
      <c r="AA202" s="364"/>
      <c r="AB202" s="361"/>
    </row>
    <row r="203" spans="1:28" s="271" customFormat="1">
      <c r="A203" s="253"/>
      <c r="B203" s="253"/>
      <c r="C203" s="253"/>
      <c r="D203" s="253"/>
      <c r="E203" s="267"/>
      <c r="F203" s="274" t="str">
        <f t="shared" si="6"/>
        <v/>
      </c>
      <c r="G203" s="274" t="str">
        <f t="shared" si="6"/>
        <v/>
      </c>
      <c r="H203" s="274" t="str">
        <f t="shared" si="6"/>
        <v/>
      </c>
      <c r="I203" s="17"/>
      <c r="J203" s="17"/>
      <c r="K203" s="253"/>
      <c r="L203" s="253"/>
      <c r="M203" s="253"/>
      <c r="N203" s="253"/>
      <c r="O203" s="253"/>
      <c r="P203" s="17"/>
      <c r="Q203" s="17"/>
      <c r="R203" s="180"/>
      <c r="S203" s="181"/>
      <c r="T203" s="268"/>
      <c r="U203" s="269"/>
      <c r="V203" s="270"/>
      <c r="W203" s="269"/>
      <c r="X203" s="278" t="str">
        <f t="shared" si="7"/>
        <v/>
      </c>
      <c r="Y203" s="282"/>
      <c r="Z203" s="282"/>
      <c r="AA203" s="364"/>
      <c r="AB203" s="361"/>
    </row>
    <row r="204" spans="1:28" s="271" customFormat="1">
      <c r="A204" s="253"/>
      <c r="B204" s="253"/>
      <c r="C204" s="253"/>
      <c r="D204" s="253"/>
      <c r="E204" s="267"/>
      <c r="F204" s="274" t="str">
        <f t="shared" si="6"/>
        <v/>
      </c>
      <c r="G204" s="274" t="str">
        <f t="shared" si="6"/>
        <v/>
      </c>
      <c r="H204" s="274" t="str">
        <f t="shared" si="6"/>
        <v/>
      </c>
      <c r="I204" s="17"/>
      <c r="J204" s="17"/>
      <c r="K204" s="253"/>
      <c r="L204" s="253"/>
      <c r="M204" s="253"/>
      <c r="N204" s="253"/>
      <c r="O204" s="253"/>
      <c r="P204" s="17"/>
      <c r="Q204" s="17"/>
      <c r="R204" s="180"/>
      <c r="S204" s="181"/>
      <c r="T204" s="268"/>
      <c r="U204" s="269"/>
      <c r="V204" s="270"/>
      <c r="W204" s="269"/>
      <c r="X204" s="278" t="str">
        <f t="shared" si="7"/>
        <v/>
      </c>
      <c r="Y204" s="282"/>
      <c r="Z204" s="282"/>
      <c r="AA204" s="364"/>
      <c r="AB204" s="361"/>
    </row>
    <row r="205" spans="1:28" s="271" customFormat="1">
      <c r="A205" s="253"/>
      <c r="B205" s="253"/>
      <c r="C205" s="253"/>
      <c r="D205" s="253"/>
      <c r="E205" s="267"/>
      <c r="F205" s="274" t="str">
        <f t="shared" si="6"/>
        <v/>
      </c>
      <c r="G205" s="274" t="str">
        <f t="shared" si="6"/>
        <v/>
      </c>
      <c r="H205" s="274" t="str">
        <f t="shared" si="6"/>
        <v/>
      </c>
      <c r="I205" s="17"/>
      <c r="J205" s="17"/>
      <c r="K205" s="253"/>
      <c r="L205" s="253"/>
      <c r="M205" s="253"/>
      <c r="N205" s="253"/>
      <c r="O205" s="253"/>
      <c r="P205" s="17"/>
      <c r="Q205" s="17"/>
      <c r="R205" s="180"/>
      <c r="S205" s="181"/>
      <c r="T205" s="268"/>
      <c r="U205" s="269"/>
      <c r="V205" s="270"/>
      <c r="W205" s="269"/>
      <c r="X205" s="278" t="str">
        <f t="shared" si="7"/>
        <v/>
      </c>
      <c r="Y205" s="282"/>
      <c r="Z205" s="282"/>
      <c r="AA205" s="364"/>
      <c r="AB205" s="361"/>
    </row>
    <row r="206" spans="1:28" s="271" customFormat="1">
      <c r="A206" s="253"/>
      <c r="B206" s="253"/>
      <c r="C206" s="253"/>
      <c r="D206" s="253"/>
      <c r="E206" s="267"/>
      <c r="F206" s="274" t="str">
        <f t="shared" si="6"/>
        <v/>
      </c>
      <c r="G206" s="274" t="str">
        <f t="shared" si="6"/>
        <v/>
      </c>
      <c r="H206" s="274" t="str">
        <f t="shared" si="6"/>
        <v/>
      </c>
      <c r="I206" s="17"/>
      <c r="J206" s="17"/>
      <c r="K206" s="253"/>
      <c r="L206" s="253"/>
      <c r="M206" s="253"/>
      <c r="N206" s="253"/>
      <c r="O206" s="253"/>
      <c r="P206" s="17"/>
      <c r="Q206" s="17"/>
      <c r="R206" s="180"/>
      <c r="S206" s="181"/>
      <c r="T206" s="268"/>
      <c r="U206" s="269"/>
      <c r="V206" s="270"/>
      <c r="W206" s="269"/>
      <c r="X206" s="278" t="str">
        <f t="shared" si="7"/>
        <v/>
      </c>
      <c r="Y206" s="282"/>
      <c r="Z206" s="282"/>
      <c r="AA206" s="364"/>
      <c r="AB206" s="361"/>
    </row>
    <row r="207" spans="1:28" s="271" customFormat="1">
      <c r="A207" s="253"/>
      <c r="B207" s="253"/>
      <c r="C207" s="253"/>
      <c r="D207" s="253"/>
      <c r="E207" s="267"/>
      <c r="F207" s="274" t="str">
        <f t="shared" si="6"/>
        <v/>
      </c>
      <c r="G207" s="274" t="str">
        <f t="shared" si="6"/>
        <v/>
      </c>
      <c r="H207" s="274" t="str">
        <f t="shared" si="6"/>
        <v/>
      </c>
      <c r="I207" s="17"/>
      <c r="J207" s="17"/>
      <c r="K207" s="253"/>
      <c r="L207" s="253"/>
      <c r="M207" s="253"/>
      <c r="N207" s="253"/>
      <c r="O207" s="253"/>
      <c r="P207" s="17"/>
      <c r="Q207" s="17"/>
      <c r="R207" s="180"/>
      <c r="S207" s="181"/>
      <c r="T207" s="268"/>
      <c r="U207" s="269"/>
      <c r="V207" s="270"/>
      <c r="W207" s="269"/>
      <c r="X207" s="278" t="str">
        <f t="shared" si="7"/>
        <v/>
      </c>
      <c r="Y207" s="282"/>
      <c r="Z207" s="282"/>
      <c r="AA207" s="364"/>
      <c r="AB207" s="361"/>
    </row>
    <row r="208" spans="1:28" s="271" customFormat="1">
      <c r="A208" s="253"/>
      <c r="B208" s="253"/>
      <c r="C208" s="253"/>
      <c r="D208" s="253"/>
      <c r="E208" s="267"/>
      <c r="F208" s="274" t="str">
        <f t="shared" si="6"/>
        <v/>
      </c>
      <c r="G208" s="274" t="str">
        <f t="shared" si="6"/>
        <v/>
      </c>
      <c r="H208" s="274" t="str">
        <f t="shared" si="6"/>
        <v/>
      </c>
      <c r="I208" s="17"/>
      <c r="J208" s="17"/>
      <c r="K208" s="253"/>
      <c r="L208" s="253"/>
      <c r="M208" s="253"/>
      <c r="N208" s="253"/>
      <c r="O208" s="253"/>
      <c r="P208" s="17"/>
      <c r="Q208" s="17"/>
      <c r="R208" s="180"/>
      <c r="S208" s="181"/>
      <c r="T208" s="268"/>
      <c r="U208" s="269"/>
      <c r="V208" s="270"/>
      <c r="W208" s="269"/>
      <c r="X208" s="278" t="str">
        <f t="shared" si="7"/>
        <v/>
      </c>
      <c r="Y208" s="282"/>
      <c r="Z208" s="282"/>
      <c r="AA208" s="364"/>
      <c r="AB208" s="361"/>
    </row>
    <row r="209" spans="1:28" s="271" customFormat="1">
      <c r="A209" s="253"/>
      <c r="B209" s="253"/>
      <c r="C209" s="253"/>
      <c r="D209" s="253"/>
      <c r="E209" s="267"/>
      <c r="F209" s="274" t="str">
        <f t="shared" si="6"/>
        <v/>
      </c>
      <c r="G209" s="274" t="str">
        <f t="shared" si="6"/>
        <v/>
      </c>
      <c r="H209" s="274" t="str">
        <f t="shared" si="6"/>
        <v/>
      </c>
      <c r="I209" s="17"/>
      <c r="J209" s="17"/>
      <c r="K209" s="253"/>
      <c r="L209" s="253"/>
      <c r="M209" s="253"/>
      <c r="N209" s="253"/>
      <c r="O209" s="253"/>
      <c r="P209" s="17"/>
      <c r="Q209" s="17"/>
      <c r="R209" s="180"/>
      <c r="S209" s="181"/>
      <c r="T209" s="268"/>
      <c r="U209" s="269"/>
      <c r="V209" s="270"/>
      <c r="W209" s="269"/>
      <c r="X209" s="278" t="str">
        <f t="shared" si="7"/>
        <v/>
      </c>
      <c r="Y209" s="282"/>
      <c r="Z209" s="282"/>
      <c r="AA209" s="364"/>
      <c r="AB209" s="361"/>
    </row>
    <row r="210" spans="1:28" s="271" customFormat="1">
      <c r="A210" s="253"/>
      <c r="B210" s="253"/>
      <c r="C210" s="253"/>
      <c r="D210" s="253"/>
      <c r="E210" s="267"/>
      <c r="F210" s="274" t="str">
        <f t="shared" si="6"/>
        <v/>
      </c>
      <c r="G210" s="274" t="str">
        <f t="shared" si="6"/>
        <v/>
      </c>
      <c r="H210" s="274" t="str">
        <f t="shared" si="6"/>
        <v/>
      </c>
      <c r="I210" s="17"/>
      <c r="J210" s="17"/>
      <c r="K210" s="253"/>
      <c r="L210" s="253"/>
      <c r="M210" s="253"/>
      <c r="N210" s="253"/>
      <c r="O210" s="253"/>
      <c r="P210" s="17"/>
      <c r="Q210" s="17"/>
      <c r="R210" s="180"/>
      <c r="S210" s="181"/>
      <c r="T210" s="268"/>
      <c r="U210" s="269"/>
      <c r="V210" s="270"/>
      <c r="W210" s="269"/>
      <c r="X210" s="278" t="str">
        <f t="shared" si="7"/>
        <v/>
      </c>
      <c r="Y210" s="282"/>
      <c r="Z210" s="282"/>
      <c r="AA210" s="364"/>
      <c r="AB210" s="361"/>
    </row>
    <row r="211" spans="1:28" s="271" customFormat="1">
      <c r="A211" s="253"/>
      <c r="B211" s="253"/>
      <c r="C211" s="253"/>
      <c r="D211" s="253"/>
      <c r="E211" s="267"/>
      <c r="F211" s="274" t="str">
        <f t="shared" si="6"/>
        <v/>
      </c>
      <c r="G211" s="274" t="str">
        <f t="shared" si="6"/>
        <v/>
      </c>
      <c r="H211" s="274" t="str">
        <f t="shared" si="6"/>
        <v/>
      </c>
      <c r="I211" s="17"/>
      <c r="J211" s="17"/>
      <c r="K211" s="253"/>
      <c r="L211" s="253"/>
      <c r="M211" s="253"/>
      <c r="N211" s="253"/>
      <c r="O211" s="253"/>
      <c r="P211" s="17"/>
      <c r="Q211" s="17"/>
      <c r="R211" s="180"/>
      <c r="S211" s="181"/>
      <c r="T211" s="268"/>
      <c r="U211" s="269"/>
      <c r="V211" s="270"/>
      <c r="W211" s="269"/>
      <c r="X211" s="278" t="str">
        <f t="shared" si="7"/>
        <v/>
      </c>
      <c r="Y211" s="282"/>
      <c r="Z211" s="282"/>
      <c r="AA211" s="364"/>
      <c r="AB211" s="361"/>
    </row>
    <row r="212" spans="1:28" s="271" customFormat="1">
      <c r="A212" s="253"/>
      <c r="B212" s="253"/>
      <c r="C212" s="253"/>
      <c r="D212" s="253"/>
      <c r="E212" s="267"/>
      <c r="F212" s="274" t="str">
        <f t="shared" si="6"/>
        <v/>
      </c>
      <c r="G212" s="274" t="str">
        <f t="shared" si="6"/>
        <v/>
      </c>
      <c r="H212" s="274" t="str">
        <f t="shared" si="6"/>
        <v/>
      </c>
      <c r="I212" s="17"/>
      <c r="J212" s="17"/>
      <c r="K212" s="253"/>
      <c r="L212" s="253"/>
      <c r="M212" s="253"/>
      <c r="N212" s="253"/>
      <c r="O212" s="253"/>
      <c r="P212" s="17"/>
      <c r="Q212" s="17"/>
      <c r="R212" s="180"/>
      <c r="S212" s="181"/>
      <c r="T212" s="268"/>
      <c r="U212" s="269"/>
      <c r="V212" s="270"/>
      <c r="W212" s="269"/>
      <c r="X212" s="278" t="str">
        <f t="shared" si="7"/>
        <v/>
      </c>
      <c r="Y212" s="282"/>
      <c r="Z212" s="282"/>
      <c r="AA212" s="364"/>
      <c r="AB212" s="361"/>
    </row>
    <row r="213" spans="1:28" s="271" customFormat="1">
      <c r="A213" s="253"/>
      <c r="B213" s="253"/>
      <c r="C213" s="253"/>
      <c r="D213" s="253"/>
      <c r="E213" s="267"/>
      <c r="F213" s="274" t="str">
        <f t="shared" si="6"/>
        <v/>
      </c>
      <c r="G213" s="274" t="str">
        <f t="shared" si="6"/>
        <v/>
      </c>
      <c r="H213" s="274" t="str">
        <f t="shared" si="6"/>
        <v/>
      </c>
      <c r="I213" s="17"/>
      <c r="J213" s="17"/>
      <c r="K213" s="253"/>
      <c r="L213" s="253"/>
      <c r="M213" s="253"/>
      <c r="N213" s="253"/>
      <c r="O213" s="253"/>
      <c r="P213" s="17"/>
      <c r="Q213" s="17"/>
      <c r="R213" s="180"/>
      <c r="S213" s="181"/>
      <c r="T213" s="268"/>
      <c r="U213" s="269"/>
      <c r="V213" s="270"/>
      <c r="W213" s="269"/>
      <c r="X213" s="278" t="str">
        <f t="shared" si="7"/>
        <v/>
      </c>
      <c r="Y213" s="282"/>
      <c r="Z213" s="282"/>
      <c r="AA213" s="364"/>
      <c r="AB213" s="361"/>
    </row>
    <row r="214" spans="1:28" s="271" customFormat="1">
      <c r="A214" s="253"/>
      <c r="B214" s="253"/>
      <c r="C214" s="253"/>
      <c r="D214" s="253"/>
      <c r="E214" s="267"/>
      <c r="F214" s="274" t="str">
        <f t="shared" si="6"/>
        <v/>
      </c>
      <c r="G214" s="274" t="str">
        <f t="shared" si="6"/>
        <v/>
      </c>
      <c r="H214" s="274" t="str">
        <f t="shared" si="6"/>
        <v/>
      </c>
      <c r="I214" s="17"/>
      <c r="J214" s="17"/>
      <c r="K214" s="253"/>
      <c r="L214" s="253"/>
      <c r="M214" s="253"/>
      <c r="N214" s="253"/>
      <c r="O214" s="253"/>
      <c r="P214" s="17"/>
      <c r="Q214" s="17"/>
      <c r="R214" s="180"/>
      <c r="S214" s="181"/>
      <c r="T214" s="268"/>
      <c r="U214" s="269"/>
      <c r="V214" s="270"/>
      <c r="W214" s="269"/>
      <c r="X214" s="278" t="str">
        <f t="shared" si="7"/>
        <v/>
      </c>
      <c r="Y214" s="282"/>
      <c r="Z214" s="282"/>
      <c r="AA214" s="364"/>
      <c r="AB214" s="361"/>
    </row>
    <row r="215" spans="1:28" s="271" customFormat="1">
      <c r="A215" s="253"/>
      <c r="B215" s="253"/>
      <c r="C215" s="253"/>
      <c r="D215" s="253"/>
      <c r="E215" s="267"/>
      <c r="F215" s="274" t="str">
        <f t="shared" si="6"/>
        <v/>
      </c>
      <c r="G215" s="274" t="str">
        <f t="shared" si="6"/>
        <v/>
      </c>
      <c r="H215" s="274" t="str">
        <f t="shared" si="6"/>
        <v/>
      </c>
      <c r="I215" s="17"/>
      <c r="J215" s="17"/>
      <c r="K215" s="253"/>
      <c r="L215" s="253"/>
      <c r="M215" s="253"/>
      <c r="N215" s="253"/>
      <c r="O215" s="253"/>
      <c r="P215" s="17"/>
      <c r="Q215" s="17"/>
      <c r="R215" s="180"/>
      <c r="S215" s="181"/>
      <c r="T215" s="268"/>
      <c r="U215" s="269"/>
      <c r="V215" s="270"/>
      <c r="W215" s="269"/>
      <c r="X215" s="278" t="str">
        <f t="shared" si="7"/>
        <v/>
      </c>
      <c r="Y215" s="282"/>
      <c r="Z215" s="282"/>
      <c r="AA215" s="364"/>
      <c r="AB215" s="361"/>
    </row>
    <row r="216" spans="1:28" s="271" customFormat="1">
      <c r="A216" s="253"/>
      <c r="B216" s="253"/>
      <c r="C216" s="253"/>
      <c r="D216" s="253"/>
      <c r="E216" s="267"/>
      <c r="F216" s="274" t="str">
        <f t="shared" si="6"/>
        <v/>
      </c>
      <c r="G216" s="274" t="str">
        <f t="shared" si="6"/>
        <v/>
      </c>
      <c r="H216" s="274" t="str">
        <f t="shared" si="6"/>
        <v/>
      </c>
      <c r="I216" s="17"/>
      <c r="J216" s="17"/>
      <c r="K216" s="253"/>
      <c r="L216" s="253"/>
      <c r="M216" s="253"/>
      <c r="N216" s="253"/>
      <c r="O216" s="253"/>
      <c r="P216" s="17"/>
      <c r="Q216" s="17"/>
      <c r="R216" s="180"/>
      <c r="S216" s="181"/>
      <c r="T216" s="268"/>
      <c r="U216" s="269"/>
      <c r="V216" s="270"/>
      <c r="W216" s="269"/>
      <c r="X216" s="278" t="str">
        <f t="shared" si="7"/>
        <v/>
      </c>
      <c r="Y216" s="282"/>
      <c r="Z216" s="282"/>
      <c r="AA216" s="364"/>
      <c r="AB216" s="361"/>
    </row>
    <row r="217" spans="1:28" s="271" customFormat="1">
      <c r="A217" s="253"/>
      <c r="B217" s="253"/>
      <c r="C217" s="253"/>
      <c r="D217" s="253"/>
      <c r="E217" s="267"/>
      <c r="F217" s="274" t="str">
        <f t="shared" si="6"/>
        <v/>
      </c>
      <c r="G217" s="274" t="str">
        <f t="shared" si="6"/>
        <v/>
      </c>
      <c r="H217" s="274" t="str">
        <f t="shared" si="6"/>
        <v/>
      </c>
      <c r="I217" s="17"/>
      <c r="J217" s="17"/>
      <c r="K217" s="253"/>
      <c r="L217" s="253"/>
      <c r="M217" s="253"/>
      <c r="N217" s="253"/>
      <c r="O217" s="253"/>
      <c r="P217" s="17"/>
      <c r="Q217" s="17"/>
      <c r="R217" s="180"/>
      <c r="S217" s="181"/>
      <c r="T217" s="268"/>
      <c r="U217" s="269"/>
      <c r="V217" s="270"/>
      <c r="W217" s="269"/>
      <c r="X217" s="278" t="str">
        <f t="shared" si="7"/>
        <v/>
      </c>
      <c r="Y217" s="282"/>
      <c r="Z217" s="282"/>
      <c r="AA217" s="364"/>
      <c r="AB217" s="361"/>
    </row>
    <row r="218" spans="1:28" s="271" customFormat="1">
      <c r="A218" s="253"/>
      <c r="B218" s="253"/>
      <c r="C218" s="253"/>
      <c r="D218" s="253"/>
      <c r="E218" s="267"/>
      <c r="F218" s="274" t="str">
        <f t="shared" si="6"/>
        <v/>
      </c>
      <c r="G218" s="274" t="str">
        <f t="shared" si="6"/>
        <v/>
      </c>
      <c r="H218" s="274" t="str">
        <f t="shared" si="6"/>
        <v/>
      </c>
      <c r="I218" s="17"/>
      <c r="J218" s="17"/>
      <c r="K218" s="253"/>
      <c r="L218" s="253"/>
      <c r="M218" s="253"/>
      <c r="N218" s="253"/>
      <c r="O218" s="253"/>
      <c r="P218" s="17"/>
      <c r="Q218" s="17"/>
      <c r="R218" s="180"/>
      <c r="S218" s="181"/>
      <c r="T218" s="268"/>
      <c r="U218" s="269"/>
      <c r="V218" s="270"/>
      <c r="W218" s="269"/>
      <c r="X218" s="278" t="str">
        <f t="shared" si="7"/>
        <v/>
      </c>
      <c r="Y218" s="282"/>
      <c r="Z218" s="282"/>
      <c r="AA218" s="364"/>
      <c r="AB218" s="361"/>
    </row>
    <row r="219" spans="1:28" s="271" customFormat="1">
      <c r="A219" s="253"/>
      <c r="B219" s="253"/>
      <c r="C219" s="253"/>
      <c r="D219" s="253"/>
      <c r="E219" s="267"/>
      <c r="F219" s="274" t="str">
        <f t="shared" si="6"/>
        <v/>
      </c>
      <c r="G219" s="274" t="str">
        <f t="shared" si="6"/>
        <v/>
      </c>
      <c r="H219" s="274" t="str">
        <f t="shared" si="6"/>
        <v/>
      </c>
      <c r="I219" s="17"/>
      <c r="J219" s="17"/>
      <c r="K219" s="253"/>
      <c r="L219" s="253"/>
      <c r="M219" s="253"/>
      <c r="N219" s="253"/>
      <c r="O219" s="253"/>
      <c r="P219" s="17"/>
      <c r="Q219" s="17"/>
      <c r="R219" s="180"/>
      <c r="S219" s="181"/>
      <c r="T219" s="268"/>
      <c r="U219" s="269"/>
      <c r="V219" s="270"/>
      <c r="W219" s="269"/>
      <c r="X219" s="278" t="str">
        <f t="shared" si="7"/>
        <v/>
      </c>
      <c r="Y219" s="282"/>
      <c r="Z219" s="282"/>
      <c r="AA219" s="364"/>
      <c r="AB219" s="361"/>
    </row>
    <row r="220" spans="1:28" s="271" customFormat="1">
      <c r="A220" s="253"/>
      <c r="B220" s="253"/>
      <c r="C220" s="253"/>
      <c r="D220" s="253"/>
      <c r="E220" s="267"/>
      <c r="F220" s="274" t="str">
        <f t="shared" si="6"/>
        <v/>
      </c>
      <c r="G220" s="274" t="str">
        <f t="shared" si="6"/>
        <v/>
      </c>
      <c r="H220" s="274" t="str">
        <f t="shared" si="6"/>
        <v/>
      </c>
      <c r="I220" s="17"/>
      <c r="J220" s="17"/>
      <c r="K220" s="253"/>
      <c r="L220" s="253"/>
      <c r="M220" s="253"/>
      <c r="N220" s="253"/>
      <c r="O220" s="253"/>
      <c r="P220" s="17"/>
      <c r="Q220" s="17"/>
      <c r="R220" s="180"/>
      <c r="S220" s="181"/>
      <c r="T220" s="268"/>
      <c r="U220" s="269"/>
      <c r="V220" s="270"/>
      <c r="W220" s="269"/>
      <c r="X220" s="278" t="str">
        <f t="shared" si="7"/>
        <v/>
      </c>
      <c r="Y220" s="282"/>
      <c r="Z220" s="282"/>
      <c r="AA220" s="364"/>
      <c r="AB220" s="361"/>
    </row>
    <row r="221" spans="1:28" s="271" customFormat="1">
      <c r="A221" s="253"/>
      <c r="B221" s="253"/>
      <c r="C221" s="253"/>
      <c r="D221" s="253"/>
      <c r="E221" s="267"/>
      <c r="F221" s="274" t="str">
        <f t="shared" si="6"/>
        <v/>
      </c>
      <c r="G221" s="274" t="str">
        <f t="shared" si="6"/>
        <v/>
      </c>
      <c r="H221" s="274" t="str">
        <f t="shared" si="6"/>
        <v/>
      </c>
      <c r="I221" s="17"/>
      <c r="J221" s="17"/>
      <c r="K221" s="253"/>
      <c r="L221" s="253"/>
      <c r="M221" s="253"/>
      <c r="N221" s="253"/>
      <c r="O221" s="253"/>
      <c r="P221" s="17"/>
      <c r="Q221" s="17"/>
      <c r="R221" s="180"/>
      <c r="S221" s="181"/>
      <c r="T221" s="268"/>
      <c r="U221" s="269"/>
      <c r="V221" s="270"/>
      <c r="W221" s="269"/>
      <c r="X221" s="278" t="str">
        <f t="shared" si="7"/>
        <v/>
      </c>
      <c r="Y221" s="282"/>
      <c r="Z221" s="282"/>
      <c r="AA221" s="364"/>
      <c r="AB221" s="361"/>
    </row>
    <row r="222" spans="1:28" s="271" customFormat="1">
      <c r="A222" s="253"/>
      <c r="B222" s="253"/>
      <c r="C222" s="253"/>
      <c r="D222" s="253"/>
      <c r="E222" s="267"/>
      <c r="F222" s="274" t="str">
        <f t="shared" si="6"/>
        <v/>
      </c>
      <c r="G222" s="274" t="str">
        <f t="shared" si="6"/>
        <v/>
      </c>
      <c r="H222" s="274" t="str">
        <f t="shared" si="6"/>
        <v/>
      </c>
      <c r="I222" s="17"/>
      <c r="J222" s="17"/>
      <c r="K222" s="253"/>
      <c r="L222" s="253"/>
      <c r="M222" s="253"/>
      <c r="N222" s="253"/>
      <c r="O222" s="253"/>
      <c r="P222" s="17"/>
      <c r="Q222" s="17"/>
      <c r="R222" s="180"/>
      <c r="S222" s="181"/>
      <c r="T222" s="268"/>
      <c r="U222" s="269"/>
      <c r="V222" s="270"/>
      <c r="W222" s="269"/>
      <c r="X222" s="278" t="str">
        <f t="shared" si="7"/>
        <v/>
      </c>
      <c r="Y222" s="282"/>
      <c r="Z222" s="282"/>
      <c r="AA222" s="364"/>
      <c r="AB222" s="361"/>
    </row>
    <row r="223" spans="1:28" s="271" customFormat="1">
      <c r="A223" s="253"/>
      <c r="B223" s="253"/>
      <c r="C223" s="253"/>
      <c r="D223" s="253"/>
      <c r="E223" s="267"/>
      <c r="F223" s="274" t="str">
        <f t="shared" si="6"/>
        <v/>
      </c>
      <c r="G223" s="274" t="str">
        <f t="shared" si="6"/>
        <v/>
      </c>
      <c r="H223" s="274" t="str">
        <f t="shared" si="6"/>
        <v/>
      </c>
      <c r="I223" s="17"/>
      <c r="J223" s="17"/>
      <c r="K223" s="253"/>
      <c r="L223" s="253"/>
      <c r="M223" s="253"/>
      <c r="N223" s="253"/>
      <c r="O223" s="253"/>
      <c r="P223" s="17"/>
      <c r="Q223" s="17"/>
      <c r="R223" s="180"/>
      <c r="S223" s="181"/>
      <c r="T223" s="268"/>
      <c r="U223" s="269"/>
      <c r="V223" s="270"/>
      <c r="W223" s="269"/>
      <c r="X223" s="278" t="str">
        <f t="shared" si="7"/>
        <v/>
      </c>
      <c r="Y223" s="282"/>
      <c r="Z223" s="282"/>
      <c r="AA223" s="364"/>
      <c r="AB223" s="361"/>
    </row>
    <row r="224" spans="1:28" s="271" customFormat="1">
      <c r="A224" s="253"/>
      <c r="B224" s="253"/>
      <c r="C224" s="253"/>
      <c r="D224" s="253"/>
      <c r="E224" s="267"/>
      <c r="F224" s="274" t="str">
        <f t="shared" si="6"/>
        <v/>
      </c>
      <c r="G224" s="274" t="str">
        <f t="shared" si="6"/>
        <v/>
      </c>
      <c r="H224" s="274" t="str">
        <f t="shared" si="6"/>
        <v/>
      </c>
      <c r="I224" s="17"/>
      <c r="J224" s="17"/>
      <c r="K224" s="253"/>
      <c r="L224" s="253"/>
      <c r="M224" s="253"/>
      <c r="N224" s="253"/>
      <c r="O224" s="253"/>
      <c r="P224" s="17"/>
      <c r="Q224" s="17"/>
      <c r="R224" s="180"/>
      <c r="S224" s="181"/>
      <c r="T224" s="268"/>
      <c r="U224" s="269"/>
      <c r="V224" s="270"/>
      <c r="W224" s="269"/>
      <c r="X224" s="278" t="str">
        <f t="shared" si="7"/>
        <v/>
      </c>
      <c r="Y224" s="282"/>
      <c r="Z224" s="282"/>
      <c r="AA224" s="364"/>
      <c r="AB224" s="361"/>
    </row>
    <row r="225" spans="1:28" s="271" customFormat="1">
      <c r="A225" s="253"/>
      <c r="B225" s="253"/>
      <c r="C225" s="253"/>
      <c r="D225" s="253"/>
      <c r="E225" s="267"/>
      <c r="F225" s="274" t="str">
        <f t="shared" si="6"/>
        <v/>
      </c>
      <c r="G225" s="274" t="str">
        <f t="shared" si="6"/>
        <v/>
      </c>
      <c r="H225" s="274" t="str">
        <f t="shared" si="6"/>
        <v/>
      </c>
      <c r="I225" s="17"/>
      <c r="J225" s="17"/>
      <c r="K225" s="253"/>
      <c r="L225" s="253"/>
      <c r="M225" s="253"/>
      <c r="N225" s="253"/>
      <c r="O225" s="253"/>
      <c r="P225" s="17"/>
      <c r="Q225" s="17"/>
      <c r="R225" s="180"/>
      <c r="S225" s="181"/>
      <c r="T225" s="268"/>
      <c r="U225" s="269"/>
      <c r="V225" s="270"/>
      <c r="W225" s="269"/>
      <c r="X225" s="278" t="str">
        <f t="shared" si="7"/>
        <v/>
      </c>
      <c r="Y225" s="282"/>
      <c r="Z225" s="282"/>
      <c r="AA225" s="364"/>
      <c r="AB225" s="361"/>
    </row>
    <row r="226" spans="1:28" s="271" customFormat="1">
      <c r="A226" s="253"/>
      <c r="B226" s="253"/>
      <c r="C226" s="253"/>
      <c r="D226" s="253"/>
      <c r="E226" s="267"/>
      <c r="F226" s="274" t="str">
        <f t="shared" si="6"/>
        <v/>
      </c>
      <c r="G226" s="274" t="str">
        <f t="shared" si="6"/>
        <v/>
      </c>
      <c r="H226" s="274" t="str">
        <f t="shared" si="6"/>
        <v/>
      </c>
      <c r="I226" s="17"/>
      <c r="J226" s="17"/>
      <c r="K226" s="253"/>
      <c r="L226" s="253"/>
      <c r="M226" s="253"/>
      <c r="N226" s="253"/>
      <c r="O226" s="253"/>
      <c r="P226" s="17"/>
      <c r="Q226" s="17"/>
      <c r="R226" s="180"/>
      <c r="S226" s="181"/>
      <c r="T226" s="268"/>
      <c r="U226" s="269"/>
      <c r="V226" s="270"/>
      <c r="W226" s="269"/>
      <c r="X226" s="278" t="str">
        <f t="shared" si="7"/>
        <v/>
      </c>
      <c r="Y226" s="282"/>
      <c r="Z226" s="282"/>
      <c r="AA226" s="364"/>
      <c r="AB226" s="361"/>
    </row>
    <row r="227" spans="1:28" s="271" customFormat="1">
      <c r="A227" s="253"/>
      <c r="B227" s="253"/>
      <c r="C227" s="253"/>
      <c r="D227" s="253"/>
      <c r="E227" s="267"/>
      <c r="F227" s="274" t="str">
        <f t="shared" si="6"/>
        <v/>
      </c>
      <c r="G227" s="274" t="str">
        <f t="shared" si="6"/>
        <v/>
      </c>
      <c r="H227" s="274" t="str">
        <f t="shared" si="6"/>
        <v/>
      </c>
      <c r="I227" s="17"/>
      <c r="J227" s="17"/>
      <c r="K227" s="253"/>
      <c r="L227" s="253"/>
      <c r="M227" s="253"/>
      <c r="N227" s="253"/>
      <c r="O227" s="253"/>
      <c r="P227" s="17"/>
      <c r="Q227" s="17"/>
      <c r="R227" s="180"/>
      <c r="S227" s="181"/>
      <c r="T227" s="268"/>
      <c r="U227" s="269"/>
      <c r="V227" s="270"/>
      <c r="W227" s="269"/>
      <c r="X227" s="278" t="str">
        <f t="shared" si="7"/>
        <v/>
      </c>
      <c r="Y227" s="282"/>
      <c r="Z227" s="282"/>
      <c r="AA227" s="364"/>
      <c r="AB227" s="361"/>
    </row>
    <row r="228" spans="1:28" s="271" customFormat="1">
      <c r="A228" s="253"/>
      <c r="B228" s="253"/>
      <c r="C228" s="253"/>
      <c r="D228" s="253"/>
      <c r="E228" s="267"/>
      <c r="F228" s="274" t="str">
        <f t="shared" si="6"/>
        <v/>
      </c>
      <c r="G228" s="274" t="str">
        <f t="shared" si="6"/>
        <v/>
      </c>
      <c r="H228" s="274" t="str">
        <f t="shared" si="6"/>
        <v/>
      </c>
      <c r="I228" s="17"/>
      <c r="J228" s="17"/>
      <c r="K228" s="253"/>
      <c r="L228" s="253"/>
      <c r="M228" s="253"/>
      <c r="N228" s="253"/>
      <c r="O228" s="253"/>
      <c r="P228" s="17"/>
      <c r="Q228" s="17"/>
      <c r="R228" s="180"/>
      <c r="S228" s="181"/>
      <c r="T228" s="268"/>
      <c r="U228" s="269"/>
      <c r="V228" s="270"/>
      <c r="W228" s="269"/>
      <c r="X228" s="278" t="str">
        <f t="shared" si="7"/>
        <v/>
      </c>
      <c r="Y228" s="282"/>
      <c r="Z228" s="282"/>
      <c r="AA228" s="364"/>
      <c r="AB228" s="361"/>
    </row>
    <row r="229" spans="1:28" s="271" customFormat="1">
      <c r="A229" s="253"/>
      <c r="B229" s="253"/>
      <c r="C229" s="253"/>
      <c r="D229" s="253"/>
      <c r="E229" s="267"/>
      <c r="F229" s="274" t="str">
        <f t="shared" si="6"/>
        <v/>
      </c>
      <c r="G229" s="274" t="str">
        <f t="shared" si="6"/>
        <v/>
      </c>
      <c r="H229" s="274" t="str">
        <f t="shared" si="6"/>
        <v/>
      </c>
      <c r="I229" s="17"/>
      <c r="J229" s="17"/>
      <c r="K229" s="253"/>
      <c r="L229" s="253"/>
      <c r="M229" s="253"/>
      <c r="N229" s="253"/>
      <c r="O229" s="253"/>
      <c r="P229" s="17"/>
      <c r="Q229" s="17"/>
      <c r="R229" s="180"/>
      <c r="S229" s="181"/>
      <c r="T229" s="268"/>
      <c r="U229" s="269"/>
      <c r="V229" s="270"/>
      <c r="W229" s="269"/>
      <c r="X229" s="278" t="str">
        <f t="shared" si="7"/>
        <v/>
      </c>
      <c r="Y229" s="282"/>
      <c r="Z229" s="282"/>
      <c r="AA229" s="364"/>
      <c r="AB229" s="361"/>
    </row>
    <row r="230" spans="1:28" s="271" customFormat="1">
      <c r="A230" s="253"/>
      <c r="B230" s="253"/>
      <c r="C230" s="253"/>
      <c r="D230" s="253"/>
      <c r="E230" s="267"/>
      <c r="F230" s="274" t="str">
        <f t="shared" si="6"/>
        <v/>
      </c>
      <c r="G230" s="274" t="str">
        <f t="shared" si="6"/>
        <v/>
      </c>
      <c r="H230" s="274" t="str">
        <f t="shared" si="6"/>
        <v/>
      </c>
      <c r="I230" s="17"/>
      <c r="J230" s="17"/>
      <c r="K230" s="253"/>
      <c r="L230" s="253"/>
      <c r="M230" s="253"/>
      <c r="N230" s="253"/>
      <c r="O230" s="253"/>
      <c r="P230" s="17"/>
      <c r="Q230" s="17"/>
      <c r="R230" s="180"/>
      <c r="S230" s="181"/>
      <c r="T230" s="268"/>
      <c r="U230" s="269"/>
      <c r="V230" s="270"/>
      <c r="W230" s="269"/>
      <c r="X230" s="278" t="str">
        <f t="shared" si="7"/>
        <v/>
      </c>
      <c r="Y230" s="282"/>
      <c r="Z230" s="282"/>
      <c r="AA230" s="364"/>
      <c r="AB230" s="361"/>
    </row>
    <row r="231" spans="1:28" s="271" customFormat="1">
      <c r="A231" s="253"/>
      <c r="B231" s="253"/>
      <c r="C231" s="253"/>
      <c r="D231" s="253"/>
      <c r="E231" s="267"/>
      <c r="F231" s="274" t="str">
        <f t="shared" si="6"/>
        <v/>
      </c>
      <c r="G231" s="274" t="str">
        <f t="shared" si="6"/>
        <v/>
      </c>
      <c r="H231" s="274" t="str">
        <f t="shared" si="6"/>
        <v/>
      </c>
      <c r="I231" s="17"/>
      <c r="J231" s="17"/>
      <c r="K231" s="253"/>
      <c r="L231" s="253"/>
      <c r="M231" s="253"/>
      <c r="N231" s="253"/>
      <c r="O231" s="253"/>
      <c r="P231" s="17"/>
      <c r="Q231" s="17"/>
      <c r="R231" s="180"/>
      <c r="S231" s="181"/>
      <c r="T231" s="268"/>
      <c r="U231" s="269"/>
      <c r="V231" s="270"/>
      <c r="W231" s="269"/>
      <c r="X231" s="278" t="str">
        <f t="shared" si="7"/>
        <v/>
      </c>
      <c r="Y231" s="282"/>
      <c r="Z231" s="282"/>
      <c r="AA231" s="364"/>
      <c r="AB231" s="361"/>
    </row>
    <row r="232" spans="1:28" s="271" customFormat="1">
      <c r="A232" s="253"/>
      <c r="B232" s="253"/>
      <c r="C232" s="253"/>
      <c r="D232" s="253"/>
      <c r="E232" s="267"/>
      <c r="F232" s="274" t="str">
        <f t="shared" si="6"/>
        <v/>
      </c>
      <c r="G232" s="274" t="str">
        <f t="shared" si="6"/>
        <v/>
      </c>
      <c r="H232" s="274" t="str">
        <f t="shared" si="6"/>
        <v/>
      </c>
      <c r="I232" s="17"/>
      <c r="J232" s="17"/>
      <c r="K232" s="253"/>
      <c r="L232" s="253"/>
      <c r="M232" s="253"/>
      <c r="N232" s="253"/>
      <c r="O232" s="253"/>
      <c r="P232" s="17"/>
      <c r="Q232" s="17"/>
      <c r="R232" s="180"/>
      <c r="S232" s="181"/>
      <c r="T232" s="268"/>
      <c r="U232" s="269"/>
      <c r="V232" s="270"/>
      <c r="W232" s="269"/>
      <c r="X232" s="278" t="str">
        <f t="shared" si="7"/>
        <v/>
      </c>
      <c r="Y232" s="282"/>
      <c r="Z232" s="282"/>
      <c r="AA232" s="364"/>
      <c r="AB232" s="361"/>
    </row>
    <row r="233" spans="1:28" s="271" customFormat="1">
      <c r="A233" s="253"/>
      <c r="B233" s="253"/>
      <c r="C233" s="253"/>
      <c r="D233" s="253"/>
      <c r="E233" s="267"/>
      <c r="F233" s="274" t="str">
        <f t="shared" si="6"/>
        <v/>
      </c>
      <c r="G233" s="274" t="str">
        <f t="shared" si="6"/>
        <v/>
      </c>
      <c r="H233" s="274" t="str">
        <f t="shared" si="6"/>
        <v/>
      </c>
      <c r="I233" s="17"/>
      <c r="J233" s="17"/>
      <c r="K233" s="253"/>
      <c r="L233" s="253"/>
      <c r="M233" s="253"/>
      <c r="N233" s="253"/>
      <c r="O233" s="253"/>
      <c r="P233" s="17"/>
      <c r="Q233" s="17"/>
      <c r="R233" s="180"/>
      <c r="S233" s="181"/>
      <c r="T233" s="268"/>
      <c r="U233" s="269"/>
      <c r="V233" s="270"/>
      <c r="W233" s="269"/>
      <c r="X233" s="278" t="str">
        <f t="shared" si="7"/>
        <v/>
      </c>
      <c r="Y233" s="282"/>
      <c r="Z233" s="282"/>
      <c r="AA233" s="364"/>
      <c r="AB233" s="361"/>
    </row>
    <row r="234" spans="1:28" s="271" customFormat="1">
      <c r="A234" s="253"/>
      <c r="B234" s="253"/>
      <c r="C234" s="253"/>
      <c r="D234" s="253"/>
      <c r="E234" s="267"/>
      <c r="F234" s="274" t="str">
        <f t="shared" si="6"/>
        <v/>
      </c>
      <c r="G234" s="274" t="str">
        <f t="shared" si="6"/>
        <v/>
      </c>
      <c r="H234" s="274" t="str">
        <f t="shared" si="6"/>
        <v/>
      </c>
      <c r="I234" s="17"/>
      <c r="J234" s="17"/>
      <c r="K234" s="253"/>
      <c r="L234" s="253"/>
      <c r="M234" s="253"/>
      <c r="N234" s="253"/>
      <c r="O234" s="253"/>
      <c r="P234" s="17"/>
      <c r="Q234" s="17"/>
      <c r="R234" s="180"/>
      <c r="S234" s="181"/>
      <c r="T234" s="268"/>
      <c r="U234" s="269"/>
      <c r="V234" s="270"/>
      <c r="W234" s="269"/>
      <c r="X234" s="278" t="str">
        <f t="shared" si="7"/>
        <v/>
      </c>
      <c r="Y234" s="282"/>
      <c r="Z234" s="282"/>
      <c r="AA234" s="364"/>
      <c r="AB234" s="361"/>
    </row>
    <row r="235" spans="1:28" s="271" customFormat="1">
      <c r="A235" s="253"/>
      <c r="B235" s="253"/>
      <c r="C235" s="253"/>
      <c r="D235" s="253"/>
      <c r="E235" s="267"/>
      <c r="F235" s="274" t="str">
        <f t="shared" si="6"/>
        <v/>
      </c>
      <c r="G235" s="274" t="str">
        <f t="shared" si="6"/>
        <v/>
      </c>
      <c r="H235" s="274" t="str">
        <f t="shared" si="6"/>
        <v/>
      </c>
      <c r="I235" s="17"/>
      <c r="J235" s="17"/>
      <c r="K235" s="253"/>
      <c r="L235" s="253"/>
      <c r="M235" s="253"/>
      <c r="N235" s="253"/>
      <c r="O235" s="253"/>
      <c r="P235" s="17"/>
      <c r="Q235" s="17"/>
      <c r="R235" s="180"/>
      <c r="S235" s="181"/>
      <c r="T235" s="268"/>
      <c r="U235" s="269"/>
      <c r="V235" s="270"/>
      <c r="W235" s="269"/>
      <c r="X235" s="278" t="str">
        <f t="shared" si="7"/>
        <v/>
      </c>
      <c r="Y235" s="282"/>
      <c r="Z235" s="282"/>
      <c r="AA235" s="364"/>
      <c r="AB235" s="361"/>
    </row>
    <row r="236" spans="1:28" s="271" customFormat="1">
      <c r="A236" s="253"/>
      <c r="B236" s="253"/>
      <c r="C236" s="253"/>
      <c r="D236" s="253"/>
      <c r="E236" s="267"/>
      <c r="F236" s="274" t="str">
        <f t="shared" si="6"/>
        <v/>
      </c>
      <c r="G236" s="274" t="str">
        <f t="shared" si="6"/>
        <v/>
      </c>
      <c r="H236" s="274" t="str">
        <f t="shared" si="6"/>
        <v/>
      </c>
      <c r="I236" s="17"/>
      <c r="J236" s="17"/>
      <c r="K236" s="253"/>
      <c r="L236" s="253"/>
      <c r="M236" s="253"/>
      <c r="N236" s="253"/>
      <c r="O236" s="253"/>
      <c r="P236" s="17"/>
      <c r="Q236" s="17"/>
      <c r="R236" s="180"/>
      <c r="S236" s="181"/>
      <c r="T236" s="268"/>
      <c r="U236" s="269"/>
      <c r="V236" s="270"/>
      <c r="W236" s="269"/>
      <c r="X236" s="278" t="str">
        <f t="shared" si="7"/>
        <v/>
      </c>
      <c r="Y236" s="282"/>
      <c r="Z236" s="282"/>
      <c r="AA236" s="364"/>
      <c r="AB236" s="361"/>
    </row>
    <row r="237" spans="1:28" s="271" customFormat="1">
      <c r="A237" s="253"/>
      <c r="B237" s="253"/>
      <c r="C237" s="253"/>
      <c r="D237" s="253"/>
      <c r="E237" s="267"/>
      <c r="F237" s="274" t="str">
        <f t="shared" ref="F237:H300" si="8">IF(A237&lt;&gt;"",A237,"")</f>
        <v/>
      </c>
      <c r="G237" s="274" t="str">
        <f t="shared" si="8"/>
        <v/>
      </c>
      <c r="H237" s="274" t="str">
        <f t="shared" si="8"/>
        <v/>
      </c>
      <c r="I237" s="17"/>
      <c r="J237" s="17"/>
      <c r="K237" s="253"/>
      <c r="L237" s="253"/>
      <c r="M237" s="253"/>
      <c r="N237" s="253"/>
      <c r="O237" s="253"/>
      <c r="P237" s="17"/>
      <c r="Q237" s="17"/>
      <c r="R237" s="180"/>
      <c r="S237" s="181"/>
      <c r="T237" s="268"/>
      <c r="U237" s="269"/>
      <c r="V237" s="270"/>
      <c r="W237" s="269"/>
      <c r="X237" s="278" t="str">
        <f t="shared" ref="X237:X300" si="9">IF(D237&lt;&gt;"",D237,"")</f>
        <v/>
      </c>
      <c r="Y237" s="282"/>
      <c r="Z237" s="282"/>
      <c r="AA237" s="364"/>
      <c r="AB237" s="361"/>
    </row>
    <row r="238" spans="1:28" s="271" customFormat="1">
      <c r="A238" s="253"/>
      <c r="B238" s="253"/>
      <c r="C238" s="253"/>
      <c r="D238" s="253"/>
      <c r="E238" s="267"/>
      <c r="F238" s="274" t="str">
        <f t="shared" si="8"/>
        <v/>
      </c>
      <c r="G238" s="274" t="str">
        <f t="shared" si="8"/>
        <v/>
      </c>
      <c r="H238" s="274" t="str">
        <f t="shared" si="8"/>
        <v/>
      </c>
      <c r="I238" s="17"/>
      <c r="J238" s="17"/>
      <c r="K238" s="253"/>
      <c r="L238" s="253"/>
      <c r="M238" s="253"/>
      <c r="N238" s="253"/>
      <c r="O238" s="253"/>
      <c r="P238" s="17"/>
      <c r="Q238" s="17"/>
      <c r="R238" s="180"/>
      <c r="S238" s="181"/>
      <c r="T238" s="268"/>
      <c r="U238" s="269"/>
      <c r="V238" s="270"/>
      <c r="W238" s="269"/>
      <c r="X238" s="278" t="str">
        <f t="shared" si="9"/>
        <v/>
      </c>
      <c r="Y238" s="282"/>
      <c r="Z238" s="282"/>
      <c r="AA238" s="364"/>
      <c r="AB238" s="361"/>
    </row>
    <row r="239" spans="1:28" s="271" customFormat="1">
      <c r="A239" s="253"/>
      <c r="B239" s="253"/>
      <c r="C239" s="253"/>
      <c r="D239" s="253"/>
      <c r="E239" s="267"/>
      <c r="F239" s="274" t="str">
        <f t="shared" si="8"/>
        <v/>
      </c>
      <c r="G239" s="274" t="str">
        <f t="shared" si="8"/>
        <v/>
      </c>
      <c r="H239" s="274" t="str">
        <f t="shared" si="8"/>
        <v/>
      </c>
      <c r="I239" s="17"/>
      <c r="J239" s="17"/>
      <c r="K239" s="253"/>
      <c r="L239" s="253"/>
      <c r="M239" s="253"/>
      <c r="N239" s="253"/>
      <c r="O239" s="253"/>
      <c r="P239" s="17"/>
      <c r="Q239" s="17"/>
      <c r="R239" s="180"/>
      <c r="S239" s="181"/>
      <c r="T239" s="268"/>
      <c r="U239" s="269"/>
      <c r="V239" s="270"/>
      <c r="W239" s="269"/>
      <c r="X239" s="278" t="str">
        <f t="shared" si="9"/>
        <v/>
      </c>
      <c r="Y239" s="282"/>
      <c r="Z239" s="282"/>
      <c r="AA239" s="364"/>
      <c r="AB239" s="361"/>
    </row>
    <row r="240" spans="1:28" s="271" customFormat="1">
      <c r="A240" s="253"/>
      <c r="B240" s="253"/>
      <c r="C240" s="253"/>
      <c r="D240" s="253"/>
      <c r="E240" s="267"/>
      <c r="F240" s="274" t="str">
        <f t="shared" si="8"/>
        <v/>
      </c>
      <c r="G240" s="274" t="str">
        <f t="shared" si="8"/>
        <v/>
      </c>
      <c r="H240" s="274" t="str">
        <f t="shared" si="8"/>
        <v/>
      </c>
      <c r="I240" s="17"/>
      <c r="J240" s="17"/>
      <c r="K240" s="253"/>
      <c r="L240" s="253"/>
      <c r="M240" s="253"/>
      <c r="N240" s="253"/>
      <c r="O240" s="253"/>
      <c r="P240" s="17"/>
      <c r="Q240" s="17"/>
      <c r="R240" s="180"/>
      <c r="S240" s="181"/>
      <c r="T240" s="268"/>
      <c r="U240" s="269"/>
      <c r="V240" s="270"/>
      <c r="W240" s="269"/>
      <c r="X240" s="278" t="str">
        <f t="shared" si="9"/>
        <v/>
      </c>
      <c r="Y240" s="282"/>
      <c r="Z240" s="282"/>
      <c r="AA240" s="364"/>
      <c r="AB240" s="361"/>
    </row>
    <row r="241" spans="1:28" s="271" customFormat="1">
      <c r="A241" s="253"/>
      <c r="B241" s="253"/>
      <c r="C241" s="253"/>
      <c r="D241" s="253"/>
      <c r="E241" s="267"/>
      <c r="F241" s="274" t="str">
        <f t="shared" si="8"/>
        <v/>
      </c>
      <c r="G241" s="274" t="str">
        <f t="shared" si="8"/>
        <v/>
      </c>
      <c r="H241" s="274" t="str">
        <f t="shared" si="8"/>
        <v/>
      </c>
      <c r="I241" s="17"/>
      <c r="J241" s="17"/>
      <c r="K241" s="253"/>
      <c r="L241" s="253"/>
      <c r="M241" s="253"/>
      <c r="N241" s="253"/>
      <c r="O241" s="253"/>
      <c r="P241" s="17"/>
      <c r="Q241" s="17"/>
      <c r="R241" s="180"/>
      <c r="S241" s="181"/>
      <c r="T241" s="268"/>
      <c r="U241" s="269"/>
      <c r="V241" s="270"/>
      <c r="W241" s="269"/>
      <c r="X241" s="278" t="str">
        <f t="shared" si="9"/>
        <v/>
      </c>
      <c r="Y241" s="282"/>
      <c r="Z241" s="282"/>
      <c r="AA241" s="364"/>
      <c r="AB241" s="361"/>
    </row>
    <row r="242" spans="1:28" s="271" customFormat="1">
      <c r="A242" s="253"/>
      <c r="B242" s="253"/>
      <c r="C242" s="253"/>
      <c r="D242" s="253"/>
      <c r="E242" s="267"/>
      <c r="F242" s="274" t="str">
        <f t="shared" si="8"/>
        <v/>
      </c>
      <c r="G242" s="274" t="str">
        <f t="shared" si="8"/>
        <v/>
      </c>
      <c r="H242" s="274" t="str">
        <f t="shared" si="8"/>
        <v/>
      </c>
      <c r="I242" s="17"/>
      <c r="J242" s="17"/>
      <c r="K242" s="253"/>
      <c r="L242" s="253"/>
      <c r="M242" s="253"/>
      <c r="N242" s="253"/>
      <c r="O242" s="253"/>
      <c r="P242" s="17"/>
      <c r="Q242" s="17"/>
      <c r="R242" s="180"/>
      <c r="S242" s="181"/>
      <c r="T242" s="268"/>
      <c r="U242" s="269"/>
      <c r="V242" s="270"/>
      <c r="W242" s="269"/>
      <c r="X242" s="278" t="str">
        <f t="shared" si="9"/>
        <v/>
      </c>
      <c r="Y242" s="282"/>
      <c r="Z242" s="282"/>
      <c r="AA242" s="364"/>
      <c r="AB242" s="361"/>
    </row>
    <row r="243" spans="1:28" s="271" customFormat="1">
      <c r="A243" s="253"/>
      <c r="B243" s="253"/>
      <c r="C243" s="253"/>
      <c r="D243" s="253"/>
      <c r="E243" s="267"/>
      <c r="F243" s="274" t="str">
        <f t="shared" si="8"/>
        <v/>
      </c>
      <c r="G243" s="274" t="str">
        <f t="shared" si="8"/>
        <v/>
      </c>
      <c r="H243" s="274" t="str">
        <f t="shared" si="8"/>
        <v/>
      </c>
      <c r="I243" s="17"/>
      <c r="J243" s="17"/>
      <c r="K243" s="253"/>
      <c r="L243" s="253"/>
      <c r="M243" s="253"/>
      <c r="N243" s="253"/>
      <c r="O243" s="253"/>
      <c r="P243" s="17"/>
      <c r="Q243" s="17"/>
      <c r="R243" s="180"/>
      <c r="S243" s="181"/>
      <c r="T243" s="268"/>
      <c r="U243" s="269"/>
      <c r="V243" s="270"/>
      <c r="W243" s="269"/>
      <c r="X243" s="278" t="str">
        <f t="shared" si="9"/>
        <v/>
      </c>
      <c r="Y243" s="282"/>
      <c r="Z243" s="282"/>
      <c r="AA243" s="364"/>
      <c r="AB243" s="361"/>
    </row>
    <row r="244" spans="1:28" s="271" customFormat="1">
      <c r="A244" s="253"/>
      <c r="B244" s="253"/>
      <c r="C244" s="253"/>
      <c r="D244" s="253"/>
      <c r="E244" s="267"/>
      <c r="F244" s="274" t="str">
        <f t="shared" si="8"/>
        <v/>
      </c>
      <c r="G244" s="274" t="str">
        <f t="shared" si="8"/>
        <v/>
      </c>
      <c r="H244" s="274" t="str">
        <f t="shared" si="8"/>
        <v/>
      </c>
      <c r="I244" s="17"/>
      <c r="J244" s="17"/>
      <c r="K244" s="253"/>
      <c r="L244" s="253"/>
      <c r="M244" s="253"/>
      <c r="N244" s="253"/>
      <c r="O244" s="253"/>
      <c r="P244" s="17"/>
      <c r="Q244" s="17"/>
      <c r="R244" s="180"/>
      <c r="S244" s="181"/>
      <c r="T244" s="268"/>
      <c r="U244" s="269"/>
      <c r="V244" s="270"/>
      <c r="W244" s="269"/>
      <c r="X244" s="278" t="str">
        <f t="shared" si="9"/>
        <v/>
      </c>
      <c r="Y244" s="282"/>
      <c r="Z244" s="282"/>
      <c r="AA244" s="364"/>
      <c r="AB244" s="361"/>
    </row>
    <row r="245" spans="1:28" s="271" customFormat="1">
      <c r="A245" s="253"/>
      <c r="B245" s="253"/>
      <c r="C245" s="253"/>
      <c r="D245" s="253"/>
      <c r="E245" s="267"/>
      <c r="F245" s="274" t="str">
        <f t="shared" si="8"/>
        <v/>
      </c>
      <c r="G245" s="274" t="str">
        <f t="shared" si="8"/>
        <v/>
      </c>
      <c r="H245" s="274" t="str">
        <f t="shared" si="8"/>
        <v/>
      </c>
      <c r="I245" s="17"/>
      <c r="J245" s="17"/>
      <c r="K245" s="253"/>
      <c r="L245" s="253"/>
      <c r="M245" s="253"/>
      <c r="N245" s="253"/>
      <c r="O245" s="253"/>
      <c r="P245" s="17"/>
      <c r="Q245" s="17"/>
      <c r="R245" s="180"/>
      <c r="S245" s="181"/>
      <c r="T245" s="268"/>
      <c r="U245" s="269"/>
      <c r="V245" s="270"/>
      <c r="W245" s="269"/>
      <c r="X245" s="278" t="str">
        <f t="shared" si="9"/>
        <v/>
      </c>
      <c r="Y245" s="282"/>
      <c r="Z245" s="282"/>
      <c r="AA245" s="364"/>
      <c r="AB245" s="361"/>
    </row>
    <row r="246" spans="1:28" s="271" customFormat="1">
      <c r="A246" s="253"/>
      <c r="B246" s="253"/>
      <c r="C246" s="253"/>
      <c r="D246" s="253"/>
      <c r="E246" s="267"/>
      <c r="F246" s="274" t="str">
        <f t="shared" si="8"/>
        <v/>
      </c>
      <c r="G246" s="274" t="str">
        <f t="shared" si="8"/>
        <v/>
      </c>
      <c r="H246" s="274" t="str">
        <f t="shared" si="8"/>
        <v/>
      </c>
      <c r="I246" s="17"/>
      <c r="J246" s="17"/>
      <c r="K246" s="253"/>
      <c r="L246" s="253"/>
      <c r="M246" s="253"/>
      <c r="N246" s="253"/>
      <c r="O246" s="253"/>
      <c r="P246" s="17"/>
      <c r="Q246" s="17"/>
      <c r="R246" s="180"/>
      <c r="S246" s="181"/>
      <c r="T246" s="268"/>
      <c r="U246" s="269"/>
      <c r="V246" s="270"/>
      <c r="W246" s="269"/>
      <c r="X246" s="278" t="str">
        <f t="shared" si="9"/>
        <v/>
      </c>
      <c r="Y246" s="282"/>
      <c r="Z246" s="282"/>
      <c r="AA246" s="364"/>
      <c r="AB246" s="361"/>
    </row>
    <row r="247" spans="1:28" s="271" customFormat="1">
      <c r="A247" s="253"/>
      <c r="B247" s="253"/>
      <c r="C247" s="253"/>
      <c r="D247" s="253"/>
      <c r="E247" s="267"/>
      <c r="F247" s="274" t="str">
        <f t="shared" si="8"/>
        <v/>
      </c>
      <c r="G247" s="274" t="str">
        <f t="shared" si="8"/>
        <v/>
      </c>
      <c r="H247" s="274" t="str">
        <f t="shared" si="8"/>
        <v/>
      </c>
      <c r="I247" s="17"/>
      <c r="J247" s="17"/>
      <c r="K247" s="253"/>
      <c r="L247" s="253"/>
      <c r="M247" s="253"/>
      <c r="N247" s="253"/>
      <c r="O247" s="253"/>
      <c r="P247" s="17"/>
      <c r="Q247" s="17"/>
      <c r="R247" s="180"/>
      <c r="S247" s="181"/>
      <c r="T247" s="268"/>
      <c r="U247" s="269"/>
      <c r="V247" s="270"/>
      <c r="W247" s="269"/>
      <c r="X247" s="278" t="str">
        <f t="shared" si="9"/>
        <v/>
      </c>
      <c r="Y247" s="282"/>
      <c r="Z247" s="282"/>
      <c r="AA247" s="364"/>
      <c r="AB247" s="361"/>
    </row>
    <row r="248" spans="1:28" s="271" customFormat="1">
      <c r="A248" s="253"/>
      <c r="B248" s="253"/>
      <c r="C248" s="253"/>
      <c r="D248" s="253"/>
      <c r="E248" s="267"/>
      <c r="F248" s="274" t="str">
        <f t="shared" si="8"/>
        <v/>
      </c>
      <c r="G248" s="274" t="str">
        <f t="shared" si="8"/>
        <v/>
      </c>
      <c r="H248" s="274" t="str">
        <f t="shared" si="8"/>
        <v/>
      </c>
      <c r="I248" s="17"/>
      <c r="J248" s="17"/>
      <c r="K248" s="253"/>
      <c r="L248" s="253"/>
      <c r="M248" s="253"/>
      <c r="N248" s="253"/>
      <c r="O248" s="253"/>
      <c r="P248" s="17"/>
      <c r="Q248" s="17"/>
      <c r="R248" s="180"/>
      <c r="S248" s="181"/>
      <c r="T248" s="268"/>
      <c r="U248" s="269"/>
      <c r="V248" s="270"/>
      <c r="W248" s="269"/>
      <c r="X248" s="278" t="str">
        <f t="shared" si="9"/>
        <v/>
      </c>
      <c r="Y248" s="282"/>
      <c r="Z248" s="282"/>
      <c r="AA248" s="364"/>
      <c r="AB248" s="361"/>
    </row>
    <row r="249" spans="1:28" s="271" customFormat="1">
      <c r="A249" s="253"/>
      <c r="B249" s="253"/>
      <c r="C249" s="253"/>
      <c r="D249" s="253"/>
      <c r="E249" s="267"/>
      <c r="F249" s="274" t="str">
        <f t="shared" si="8"/>
        <v/>
      </c>
      <c r="G249" s="274" t="str">
        <f t="shared" si="8"/>
        <v/>
      </c>
      <c r="H249" s="274" t="str">
        <f t="shared" si="8"/>
        <v/>
      </c>
      <c r="I249" s="17"/>
      <c r="J249" s="17"/>
      <c r="K249" s="253"/>
      <c r="L249" s="253"/>
      <c r="M249" s="253"/>
      <c r="N249" s="253"/>
      <c r="O249" s="253"/>
      <c r="P249" s="17"/>
      <c r="Q249" s="17"/>
      <c r="R249" s="180"/>
      <c r="S249" s="181"/>
      <c r="T249" s="268"/>
      <c r="U249" s="269"/>
      <c r="V249" s="270"/>
      <c r="W249" s="269"/>
      <c r="X249" s="278" t="str">
        <f t="shared" si="9"/>
        <v/>
      </c>
      <c r="Y249" s="282"/>
      <c r="Z249" s="282"/>
      <c r="AA249" s="364"/>
      <c r="AB249" s="361"/>
    </row>
    <row r="250" spans="1:28" s="271" customFormat="1">
      <c r="A250" s="253"/>
      <c r="B250" s="253"/>
      <c r="C250" s="253"/>
      <c r="D250" s="253"/>
      <c r="E250" s="267"/>
      <c r="F250" s="274" t="str">
        <f t="shared" si="8"/>
        <v/>
      </c>
      <c r="G250" s="274" t="str">
        <f t="shared" si="8"/>
        <v/>
      </c>
      <c r="H250" s="274" t="str">
        <f t="shared" si="8"/>
        <v/>
      </c>
      <c r="I250" s="17"/>
      <c r="J250" s="17"/>
      <c r="K250" s="253"/>
      <c r="L250" s="253"/>
      <c r="M250" s="253"/>
      <c r="N250" s="253"/>
      <c r="O250" s="253"/>
      <c r="P250" s="17"/>
      <c r="Q250" s="17"/>
      <c r="R250" s="180"/>
      <c r="S250" s="181"/>
      <c r="T250" s="268"/>
      <c r="U250" s="269"/>
      <c r="V250" s="270"/>
      <c r="W250" s="269"/>
      <c r="X250" s="278" t="str">
        <f t="shared" si="9"/>
        <v/>
      </c>
      <c r="Y250" s="282"/>
      <c r="Z250" s="282"/>
      <c r="AA250" s="364"/>
      <c r="AB250" s="361"/>
    </row>
    <row r="251" spans="1:28" s="271" customFormat="1">
      <c r="A251" s="253"/>
      <c r="B251" s="253"/>
      <c r="C251" s="253"/>
      <c r="D251" s="253"/>
      <c r="E251" s="267"/>
      <c r="F251" s="274" t="str">
        <f t="shared" si="8"/>
        <v/>
      </c>
      <c r="G251" s="274" t="str">
        <f t="shared" si="8"/>
        <v/>
      </c>
      <c r="H251" s="274" t="str">
        <f t="shared" si="8"/>
        <v/>
      </c>
      <c r="I251" s="17"/>
      <c r="J251" s="17"/>
      <c r="K251" s="253"/>
      <c r="L251" s="253"/>
      <c r="M251" s="253"/>
      <c r="N251" s="253"/>
      <c r="O251" s="253"/>
      <c r="P251" s="17"/>
      <c r="Q251" s="17"/>
      <c r="R251" s="180"/>
      <c r="S251" s="181"/>
      <c r="T251" s="268"/>
      <c r="U251" s="269"/>
      <c r="V251" s="270"/>
      <c r="W251" s="269"/>
      <c r="X251" s="278" t="str">
        <f t="shared" si="9"/>
        <v/>
      </c>
      <c r="Y251" s="282"/>
      <c r="Z251" s="282"/>
      <c r="AA251" s="364"/>
      <c r="AB251" s="361"/>
    </row>
    <row r="252" spans="1:28" s="271" customFormat="1">
      <c r="A252" s="253"/>
      <c r="B252" s="253"/>
      <c r="C252" s="253"/>
      <c r="D252" s="253"/>
      <c r="E252" s="267"/>
      <c r="F252" s="274" t="str">
        <f t="shared" si="8"/>
        <v/>
      </c>
      <c r="G252" s="274" t="str">
        <f t="shared" si="8"/>
        <v/>
      </c>
      <c r="H252" s="274" t="str">
        <f t="shared" si="8"/>
        <v/>
      </c>
      <c r="I252" s="17"/>
      <c r="J252" s="17"/>
      <c r="K252" s="253"/>
      <c r="L252" s="253"/>
      <c r="M252" s="253"/>
      <c r="N252" s="253"/>
      <c r="O252" s="253"/>
      <c r="P252" s="17"/>
      <c r="Q252" s="17"/>
      <c r="R252" s="180"/>
      <c r="S252" s="181"/>
      <c r="T252" s="268"/>
      <c r="U252" s="269"/>
      <c r="V252" s="270"/>
      <c r="W252" s="269"/>
      <c r="X252" s="278" t="str">
        <f t="shared" si="9"/>
        <v/>
      </c>
      <c r="Y252" s="282"/>
      <c r="Z252" s="282"/>
      <c r="AA252" s="364"/>
      <c r="AB252" s="361"/>
    </row>
    <row r="253" spans="1:28" s="271" customFormat="1">
      <c r="A253" s="253"/>
      <c r="B253" s="253"/>
      <c r="C253" s="253"/>
      <c r="D253" s="253"/>
      <c r="E253" s="267"/>
      <c r="F253" s="274" t="str">
        <f t="shared" si="8"/>
        <v/>
      </c>
      <c r="G253" s="274" t="str">
        <f t="shared" si="8"/>
        <v/>
      </c>
      <c r="H253" s="274" t="str">
        <f t="shared" si="8"/>
        <v/>
      </c>
      <c r="I253" s="17"/>
      <c r="J253" s="17"/>
      <c r="K253" s="253"/>
      <c r="L253" s="253"/>
      <c r="M253" s="253"/>
      <c r="N253" s="253"/>
      <c r="O253" s="253"/>
      <c r="P253" s="17"/>
      <c r="Q253" s="17"/>
      <c r="R253" s="180"/>
      <c r="S253" s="181"/>
      <c r="T253" s="268"/>
      <c r="U253" s="269"/>
      <c r="V253" s="270"/>
      <c r="W253" s="269"/>
      <c r="X253" s="278" t="str">
        <f t="shared" si="9"/>
        <v/>
      </c>
      <c r="Y253" s="282"/>
      <c r="Z253" s="282"/>
      <c r="AA253" s="364"/>
      <c r="AB253" s="361"/>
    </row>
    <row r="254" spans="1:28" s="271" customFormat="1">
      <c r="A254" s="253"/>
      <c r="B254" s="253"/>
      <c r="C254" s="253"/>
      <c r="D254" s="253"/>
      <c r="E254" s="267"/>
      <c r="F254" s="274" t="str">
        <f t="shared" si="8"/>
        <v/>
      </c>
      <c r="G254" s="274" t="str">
        <f t="shared" si="8"/>
        <v/>
      </c>
      <c r="H254" s="274" t="str">
        <f t="shared" si="8"/>
        <v/>
      </c>
      <c r="I254" s="17"/>
      <c r="J254" s="17"/>
      <c r="K254" s="253"/>
      <c r="L254" s="253"/>
      <c r="M254" s="253"/>
      <c r="N254" s="253"/>
      <c r="O254" s="253"/>
      <c r="P254" s="17"/>
      <c r="Q254" s="17"/>
      <c r="R254" s="180"/>
      <c r="S254" s="181"/>
      <c r="T254" s="268"/>
      <c r="U254" s="269"/>
      <c r="V254" s="270"/>
      <c r="W254" s="269"/>
      <c r="X254" s="278" t="str">
        <f t="shared" si="9"/>
        <v/>
      </c>
      <c r="Y254" s="282"/>
      <c r="Z254" s="282"/>
      <c r="AA254" s="364"/>
      <c r="AB254" s="361"/>
    </row>
    <row r="255" spans="1:28" s="271" customFormat="1">
      <c r="A255" s="253"/>
      <c r="B255" s="253"/>
      <c r="C255" s="253"/>
      <c r="D255" s="253"/>
      <c r="E255" s="267"/>
      <c r="F255" s="274" t="str">
        <f t="shared" si="8"/>
        <v/>
      </c>
      <c r="G255" s="274" t="str">
        <f t="shared" si="8"/>
        <v/>
      </c>
      <c r="H255" s="274" t="str">
        <f t="shared" si="8"/>
        <v/>
      </c>
      <c r="I255" s="17"/>
      <c r="J255" s="17"/>
      <c r="K255" s="253"/>
      <c r="L255" s="253"/>
      <c r="M255" s="253"/>
      <c r="N255" s="253"/>
      <c r="O255" s="253"/>
      <c r="P255" s="17"/>
      <c r="Q255" s="17"/>
      <c r="R255" s="180"/>
      <c r="S255" s="181"/>
      <c r="T255" s="268"/>
      <c r="U255" s="269"/>
      <c r="V255" s="270"/>
      <c r="W255" s="269"/>
      <c r="X255" s="278" t="str">
        <f t="shared" si="9"/>
        <v/>
      </c>
      <c r="Y255" s="282"/>
      <c r="Z255" s="282"/>
      <c r="AA255" s="364"/>
      <c r="AB255" s="361"/>
    </row>
    <row r="256" spans="1:28" s="271" customFormat="1">
      <c r="A256" s="253"/>
      <c r="B256" s="253"/>
      <c r="C256" s="253"/>
      <c r="D256" s="253"/>
      <c r="E256" s="267"/>
      <c r="F256" s="274" t="str">
        <f t="shared" si="8"/>
        <v/>
      </c>
      <c r="G256" s="274" t="str">
        <f t="shared" si="8"/>
        <v/>
      </c>
      <c r="H256" s="274" t="str">
        <f t="shared" si="8"/>
        <v/>
      </c>
      <c r="I256" s="17"/>
      <c r="J256" s="17"/>
      <c r="K256" s="253"/>
      <c r="L256" s="253"/>
      <c r="M256" s="253"/>
      <c r="N256" s="253"/>
      <c r="O256" s="253"/>
      <c r="P256" s="17"/>
      <c r="Q256" s="17"/>
      <c r="R256" s="180"/>
      <c r="S256" s="181"/>
      <c r="T256" s="268"/>
      <c r="U256" s="269"/>
      <c r="V256" s="270"/>
      <c r="W256" s="269"/>
      <c r="X256" s="278" t="str">
        <f t="shared" si="9"/>
        <v/>
      </c>
      <c r="Y256" s="282"/>
      <c r="Z256" s="282"/>
      <c r="AA256" s="364"/>
      <c r="AB256" s="361"/>
    </row>
    <row r="257" spans="1:28" s="271" customFormat="1">
      <c r="A257" s="253"/>
      <c r="B257" s="253"/>
      <c r="C257" s="253"/>
      <c r="D257" s="253"/>
      <c r="E257" s="267"/>
      <c r="F257" s="274" t="str">
        <f t="shared" si="8"/>
        <v/>
      </c>
      <c r="G257" s="274" t="str">
        <f t="shared" si="8"/>
        <v/>
      </c>
      <c r="H257" s="274" t="str">
        <f t="shared" si="8"/>
        <v/>
      </c>
      <c r="I257" s="17"/>
      <c r="J257" s="17"/>
      <c r="K257" s="253"/>
      <c r="L257" s="253"/>
      <c r="M257" s="253"/>
      <c r="N257" s="253"/>
      <c r="O257" s="253"/>
      <c r="P257" s="17"/>
      <c r="Q257" s="17"/>
      <c r="R257" s="180"/>
      <c r="S257" s="181"/>
      <c r="T257" s="268"/>
      <c r="U257" s="269"/>
      <c r="V257" s="270"/>
      <c r="W257" s="269"/>
      <c r="X257" s="278" t="str">
        <f t="shared" si="9"/>
        <v/>
      </c>
      <c r="Y257" s="282"/>
      <c r="Z257" s="282"/>
      <c r="AA257" s="364"/>
      <c r="AB257" s="361"/>
    </row>
    <row r="258" spans="1:28" s="271" customFormat="1">
      <c r="A258" s="253"/>
      <c r="B258" s="253"/>
      <c r="C258" s="253"/>
      <c r="D258" s="253"/>
      <c r="E258" s="267"/>
      <c r="F258" s="274" t="str">
        <f t="shared" si="8"/>
        <v/>
      </c>
      <c r="G258" s="274" t="str">
        <f t="shared" si="8"/>
        <v/>
      </c>
      <c r="H258" s="274" t="str">
        <f t="shared" si="8"/>
        <v/>
      </c>
      <c r="I258" s="17"/>
      <c r="J258" s="17"/>
      <c r="K258" s="253"/>
      <c r="L258" s="253"/>
      <c r="M258" s="253"/>
      <c r="N258" s="253"/>
      <c r="O258" s="253"/>
      <c r="P258" s="17"/>
      <c r="Q258" s="17"/>
      <c r="R258" s="180"/>
      <c r="S258" s="181"/>
      <c r="T258" s="268"/>
      <c r="U258" s="269"/>
      <c r="V258" s="270"/>
      <c r="W258" s="269"/>
      <c r="X258" s="278" t="str">
        <f t="shared" si="9"/>
        <v/>
      </c>
      <c r="Y258" s="282"/>
      <c r="Z258" s="282"/>
      <c r="AA258" s="364"/>
      <c r="AB258" s="361"/>
    </row>
    <row r="259" spans="1:28" s="271" customFormat="1">
      <c r="A259" s="253"/>
      <c r="B259" s="253"/>
      <c r="C259" s="253"/>
      <c r="D259" s="253"/>
      <c r="E259" s="267"/>
      <c r="F259" s="274" t="str">
        <f t="shared" si="8"/>
        <v/>
      </c>
      <c r="G259" s="274" t="str">
        <f t="shared" si="8"/>
        <v/>
      </c>
      <c r="H259" s="274" t="str">
        <f t="shared" si="8"/>
        <v/>
      </c>
      <c r="I259" s="17"/>
      <c r="J259" s="17"/>
      <c r="K259" s="253"/>
      <c r="L259" s="253"/>
      <c r="M259" s="253"/>
      <c r="N259" s="253"/>
      <c r="O259" s="253"/>
      <c r="P259" s="17"/>
      <c r="Q259" s="17"/>
      <c r="R259" s="180"/>
      <c r="S259" s="181"/>
      <c r="T259" s="268"/>
      <c r="U259" s="269"/>
      <c r="V259" s="270"/>
      <c r="W259" s="269"/>
      <c r="X259" s="278" t="str">
        <f t="shared" si="9"/>
        <v/>
      </c>
      <c r="Y259" s="282"/>
      <c r="Z259" s="282"/>
      <c r="AA259" s="364"/>
      <c r="AB259" s="361"/>
    </row>
    <row r="260" spans="1:28" s="271" customFormat="1">
      <c r="A260" s="253"/>
      <c r="B260" s="253"/>
      <c r="C260" s="253"/>
      <c r="D260" s="253"/>
      <c r="E260" s="267"/>
      <c r="F260" s="274" t="str">
        <f t="shared" si="8"/>
        <v/>
      </c>
      <c r="G260" s="274" t="str">
        <f t="shared" si="8"/>
        <v/>
      </c>
      <c r="H260" s="274" t="str">
        <f t="shared" si="8"/>
        <v/>
      </c>
      <c r="I260" s="17"/>
      <c r="J260" s="17"/>
      <c r="K260" s="253"/>
      <c r="L260" s="253"/>
      <c r="M260" s="253"/>
      <c r="N260" s="253"/>
      <c r="O260" s="253"/>
      <c r="P260" s="17"/>
      <c r="Q260" s="17"/>
      <c r="R260" s="180"/>
      <c r="S260" s="181"/>
      <c r="T260" s="268"/>
      <c r="U260" s="269"/>
      <c r="V260" s="270"/>
      <c r="W260" s="269"/>
      <c r="X260" s="278" t="str">
        <f t="shared" si="9"/>
        <v/>
      </c>
      <c r="Y260" s="282"/>
      <c r="Z260" s="282"/>
      <c r="AA260" s="364"/>
      <c r="AB260" s="361"/>
    </row>
    <row r="261" spans="1:28" s="271" customFormat="1">
      <c r="A261" s="253"/>
      <c r="B261" s="253"/>
      <c r="C261" s="253"/>
      <c r="D261" s="253"/>
      <c r="E261" s="267"/>
      <c r="F261" s="274" t="str">
        <f t="shared" si="8"/>
        <v/>
      </c>
      <c r="G261" s="274" t="str">
        <f t="shared" si="8"/>
        <v/>
      </c>
      <c r="H261" s="274" t="str">
        <f t="shared" si="8"/>
        <v/>
      </c>
      <c r="I261" s="17"/>
      <c r="J261" s="17"/>
      <c r="K261" s="253"/>
      <c r="L261" s="253"/>
      <c r="M261" s="253"/>
      <c r="N261" s="253"/>
      <c r="O261" s="253"/>
      <c r="P261" s="17"/>
      <c r="Q261" s="17"/>
      <c r="R261" s="180"/>
      <c r="S261" s="181"/>
      <c r="T261" s="268"/>
      <c r="U261" s="269"/>
      <c r="V261" s="270"/>
      <c r="W261" s="269"/>
      <c r="X261" s="278" t="str">
        <f t="shared" si="9"/>
        <v/>
      </c>
      <c r="Y261" s="282"/>
      <c r="Z261" s="282"/>
      <c r="AA261" s="364"/>
      <c r="AB261" s="361"/>
    </row>
    <row r="262" spans="1:28" s="271" customFormat="1">
      <c r="A262" s="253"/>
      <c r="B262" s="253"/>
      <c r="C262" s="253"/>
      <c r="D262" s="253"/>
      <c r="E262" s="267"/>
      <c r="F262" s="274" t="str">
        <f t="shared" si="8"/>
        <v/>
      </c>
      <c r="G262" s="274" t="str">
        <f t="shared" si="8"/>
        <v/>
      </c>
      <c r="H262" s="274" t="str">
        <f t="shared" si="8"/>
        <v/>
      </c>
      <c r="I262" s="17"/>
      <c r="J262" s="17"/>
      <c r="K262" s="253"/>
      <c r="L262" s="253"/>
      <c r="M262" s="253"/>
      <c r="N262" s="253"/>
      <c r="O262" s="253"/>
      <c r="P262" s="17"/>
      <c r="Q262" s="17"/>
      <c r="R262" s="180"/>
      <c r="S262" s="181"/>
      <c r="T262" s="268"/>
      <c r="U262" s="269"/>
      <c r="V262" s="270"/>
      <c r="W262" s="269"/>
      <c r="X262" s="278" t="str">
        <f t="shared" si="9"/>
        <v/>
      </c>
      <c r="Y262" s="282"/>
      <c r="Z262" s="282"/>
      <c r="AA262" s="364"/>
      <c r="AB262" s="361"/>
    </row>
    <row r="263" spans="1:28" s="271" customFormat="1">
      <c r="A263" s="253"/>
      <c r="B263" s="253"/>
      <c r="C263" s="253"/>
      <c r="D263" s="253"/>
      <c r="E263" s="267"/>
      <c r="F263" s="274" t="str">
        <f t="shared" si="8"/>
        <v/>
      </c>
      <c r="G263" s="274" t="str">
        <f t="shared" si="8"/>
        <v/>
      </c>
      <c r="H263" s="274" t="str">
        <f t="shared" si="8"/>
        <v/>
      </c>
      <c r="I263" s="17"/>
      <c r="J263" s="17"/>
      <c r="K263" s="253"/>
      <c r="L263" s="253"/>
      <c r="M263" s="253"/>
      <c r="N263" s="253"/>
      <c r="O263" s="253"/>
      <c r="P263" s="17"/>
      <c r="Q263" s="17"/>
      <c r="R263" s="180"/>
      <c r="S263" s="181"/>
      <c r="T263" s="268"/>
      <c r="U263" s="269"/>
      <c r="V263" s="270"/>
      <c r="W263" s="269"/>
      <c r="X263" s="278" t="str">
        <f t="shared" si="9"/>
        <v/>
      </c>
      <c r="Y263" s="282"/>
      <c r="Z263" s="282"/>
      <c r="AA263" s="364"/>
      <c r="AB263" s="361"/>
    </row>
    <row r="264" spans="1:28" s="271" customFormat="1">
      <c r="A264" s="253"/>
      <c r="B264" s="253"/>
      <c r="C264" s="253"/>
      <c r="D264" s="253"/>
      <c r="E264" s="267"/>
      <c r="F264" s="274" t="str">
        <f t="shared" si="8"/>
        <v/>
      </c>
      <c r="G264" s="274" t="str">
        <f t="shared" si="8"/>
        <v/>
      </c>
      <c r="H264" s="274" t="str">
        <f t="shared" si="8"/>
        <v/>
      </c>
      <c r="I264" s="17"/>
      <c r="J264" s="17"/>
      <c r="K264" s="253"/>
      <c r="L264" s="253"/>
      <c r="M264" s="253"/>
      <c r="N264" s="253"/>
      <c r="O264" s="253"/>
      <c r="P264" s="17"/>
      <c r="Q264" s="17"/>
      <c r="R264" s="180"/>
      <c r="S264" s="181"/>
      <c r="T264" s="268"/>
      <c r="U264" s="269"/>
      <c r="V264" s="270"/>
      <c r="W264" s="269"/>
      <c r="X264" s="278" t="str">
        <f t="shared" si="9"/>
        <v/>
      </c>
      <c r="Y264" s="282"/>
      <c r="Z264" s="282"/>
      <c r="AA264" s="364"/>
      <c r="AB264" s="361"/>
    </row>
    <row r="265" spans="1:28" s="271" customFormat="1">
      <c r="A265" s="253"/>
      <c r="B265" s="253"/>
      <c r="C265" s="253"/>
      <c r="D265" s="253"/>
      <c r="E265" s="267"/>
      <c r="F265" s="274" t="str">
        <f t="shared" si="8"/>
        <v/>
      </c>
      <c r="G265" s="274" t="str">
        <f t="shared" si="8"/>
        <v/>
      </c>
      <c r="H265" s="274" t="str">
        <f t="shared" si="8"/>
        <v/>
      </c>
      <c r="I265" s="17"/>
      <c r="J265" s="17"/>
      <c r="K265" s="253"/>
      <c r="L265" s="253"/>
      <c r="M265" s="253"/>
      <c r="N265" s="253"/>
      <c r="O265" s="253"/>
      <c r="P265" s="17"/>
      <c r="Q265" s="17"/>
      <c r="R265" s="180"/>
      <c r="S265" s="181"/>
      <c r="T265" s="268"/>
      <c r="U265" s="269"/>
      <c r="V265" s="270"/>
      <c r="W265" s="269"/>
      <c r="X265" s="278" t="str">
        <f t="shared" si="9"/>
        <v/>
      </c>
      <c r="Y265" s="282"/>
      <c r="Z265" s="282"/>
      <c r="AA265" s="364"/>
      <c r="AB265" s="361"/>
    </row>
    <row r="266" spans="1:28" s="271" customFormat="1">
      <c r="A266" s="253"/>
      <c r="B266" s="253"/>
      <c r="C266" s="253"/>
      <c r="D266" s="253"/>
      <c r="E266" s="267"/>
      <c r="F266" s="274" t="str">
        <f t="shared" si="8"/>
        <v/>
      </c>
      <c r="G266" s="274" t="str">
        <f t="shared" si="8"/>
        <v/>
      </c>
      <c r="H266" s="274" t="str">
        <f t="shared" si="8"/>
        <v/>
      </c>
      <c r="I266" s="17"/>
      <c r="J266" s="17"/>
      <c r="K266" s="253"/>
      <c r="L266" s="253"/>
      <c r="M266" s="253"/>
      <c r="N266" s="253"/>
      <c r="O266" s="253"/>
      <c r="P266" s="17"/>
      <c r="Q266" s="17"/>
      <c r="R266" s="180"/>
      <c r="S266" s="181"/>
      <c r="T266" s="268"/>
      <c r="U266" s="269"/>
      <c r="V266" s="270"/>
      <c r="W266" s="269"/>
      <c r="X266" s="278" t="str">
        <f t="shared" si="9"/>
        <v/>
      </c>
      <c r="Y266" s="282"/>
      <c r="Z266" s="282"/>
      <c r="AA266" s="364"/>
      <c r="AB266" s="361"/>
    </row>
    <row r="267" spans="1:28" s="271" customFormat="1">
      <c r="A267" s="253"/>
      <c r="B267" s="253"/>
      <c r="C267" s="253"/>
      <c r="D267" s="253"/>
      <c r="E267" s="267"/>
      <c r="F267" s="274" t="str">
        <f t="shared" si="8"/>
        <v/>
      </c>
      <c r="G267" s="274" t="str">
        <f t="shared" si="8"/>
        <v/>
      </c>
      <c r="H267" s="274" t="str">
        <f t="shared" si="8"/>
        <v/>
      </c>
      <c r="I267" s="17"/>
      <c r="J267" s="17"/>
      <c r="K267" s="253"/>
      <c r="L267" s="253"/>
      <c r="M267" s="253"/>
      <c r="N267" s="253"/>
      <c r="O267" s="253"/>
      <c r="P267" s="17"/>
      <c r="Q267" s="17"/>
      <c r="R267" s="180"/>
      <c r="S267" s="181"/>
      <c r="T267" s="268"/>
      <c r="U267" s="269"/>
      <c r="V267" s="270"/>
      <c r="W267" s="269"/>
      <c r="X267" s="278" t="str">
        <f t="shared" si="9"/>
        <v/>
      </c>
      <c r="Y267" s="282"/>
      <c r="Z267" s="282"/>
      <c r="AA267" s="364"/>
      <c r="AB267" s="361"/>
    </row>
    <row r="268" spans="1:28" s="271" customFormat="1">
      <c r="A268" s="253"/>
      <c r="B268" s="253"/>
      <c r="C268" s="253"/>
      <c r="D268" s="253"/>
      <c r="E268" s="267"/>
      <c r="F268" s="274" t="str">
        <f t="shared" si="8"/>
        <v/>
      </c>
      <c r="G268" s="274" t="str">
        <f t="shared" si="8"/>
        <v/>
      </c>
      <c r="H268" s="274" t="str">
        <f t="shared" si="8"/>
        <v/>
      </c>
      <c r="I268" s="17"/>
      <c r="J268" s="17"/>
      <c r="K268" s="253"/>
      <c r="L268" s="253"/>
      <c r="M268" s="253"/>
      <c r="N268" s="253"/>
      <c r="O268" s="253"/>
      <c r="P268" s="17"/>
      <c r="Q268" s="17"/>
      <c r="R268" s="180"/>
      <c r="S268" s="181"/>
      <c r="T268" s="268"/>
      <c r="U268" s="269"/>
      <c r="V268" s="270"/>
      <c r="W268" s="269"/>
      <c r="X268" s="278" t="str">
        <f t="shared" si="9"/>
        <v/>
      </c>
      <c r="Y268" s="282"/>
      <c r="Z268" s="282"/>
      <c r="AA268" s="364"/>
      <c r="AB268" s="361"/>
    </row>
    <row r="269" spans="1:28" s="271" customFormat="1">
      <c r="A269" s="253"/>
      <c r="B269" s="253"/>
      <c r="C269" s="253"/>
      <c r="D269" s="253"/>
      <c r="E269" s="267"/>
      <c r="F269" s="274" t="str">
        <f t="shared" si="8"/>
        <v/>
      </c>
      <c r="G269" s="274" t="str">
        <f t="shared" si="8"/>
        <v/>
      </c>
      <c r="H269" s="274" t="str">
        <f t="shared" si="8"/>
        <v/>
      </c>
      <c r="I269" s="17"/>
      <c r="J269" s="17"/>
      <c r="K269" s="253"/>
      <c r="L269" s="253"/>
      <c r="M269" s="253"/>
      <c r="N269" s="253"/>
      <c r="O269" s="253"/>
      <c r="P269" s="17"/>
      <c r="Q269" s="17"/>
      <c r="R269" s="180"/>
      <c r="S269" s="181"/>
      <c r="T269" s="268"/>
      <c r="U269" s="269"/>
      <c r="V269" s="270"/>
      <c r="W269" s="269"/>
      <c r="X269" s="278" t="str">
        <f t="shared" si="9"/>
        <v/>
      </c>
      <c r="Y269" s="282"/>
      <c r="Z269" s="282"/>
      <c r="AA269" s="364"/>
      <c r="AB269" s="361"/>
    </row>
    <row r="270" spans="1:28" s="271" customFormat="1">
      <c r="A270" s="253"/>
      <c r="B270" s="253"/>
      <c r="C270" s="253"/>
      <c r="D270" s="253"/>
      <c r="E270" s="267"/>
      <c r="F270" s="274" t="str">
        <f t="shared" si="8"/>
        <v/>
      </c>
      <c r="G270" s="274" t="str">
        <f t="shared" si="8"/>
        <v/>
      </c>
      <c r="H270" s="274" t="str">
        <f t="shared" si="8"/>
        <v/>
      </c>
      <c r="I270" s="17"/>
      <c r="J270" s="17"/>
      <c r="K270" s="253"/>
      <c r="L270" s="253"/>
      <c r="M270" s="253"/>
      <c r="N270" s="253"/>
      <c r="O270" s="253"/>
      <c r="P270" s="17"/>
      <c r="Q270" s="17"/>
      <c r="R270" s="180"/>
      <c r="S270" s="181"/>
      <c r="T270" s="268"/>
      <c r="U270" s="269"/>
      <c r="V270" s="270"/>
      <c r="W270" s="269"/>
      <c r="X270" s="278" t="str">
        <f t="shared" si="9"/>
        <v/>
      </c>
      <c r="Y270" s="282"/>
      <c r="Z270" s="282"/>
      <c r="AA270" s="364"/>
      <c r="AB270" s="361"/>
    </row>
    <row r="271" spans="1:28" s="271" customFormat="1">
      <c r="A271" s="253"/>
      <c r="B271" s="253"/>
      <c r="C271" s="253"/>
      <c r="D271" s="253"/>
      <c r="E271" s="267"/>
      <c r="F271" s="274" t="str">
        <f t="shared" si="8"/>
        <v/>
      </c>
      <c r="G271" s="274" t="str">
        <f t="shared" si="8"/>
        <v/>
      </c>
      <c r="H271" s="274" t="str">
        <f t="shared" si="8"/>
        <v/>
      </c>
      <c r="I271" s="17"/>
      <c r="J271" s="17"/>
      <c r="K271" s="253"/>
      <c r="L271" s="253"/>
      <c r="M271" s="253"/>
      <c r="N271" s="253"/>
      <c r="O271" s="253"/>
      <c r="P271" s="17"/>
      <c r="Q271" s="17"/>
      <c r="R271" s="180"/>
      <c r="S271" s="181"/>
      <c r="T271" s="268"/>
      <c r="U271" s="269"/>
      <c r="V271" s="270"/>
      <c r="W271" s="269"/>
      <c r="X271" s="278" t="str">
        <f t="shared" si="9"/>
        <v/>
      </c>
      <c r="Y271" s="282"/>
      <c r="Z271" s="282"/>
      <c r="AA271" s="364"/>
      <c r="AB271" s="361"/>
    </row>
    <row r="272" spans="1:28" s="271" customFormat="1">
      <c r="A272" s="253"/>
      <c r="B272" s="253"/>
      <c r="C272" s="253"/>
      <c r="D272" s="253"/>
      <c r="E272" s="267"/>
      <c r="F272" s="274" t="str">
        <f t="shared" si="8"/>
        <v/>
      </c>
      <c r="G272" s="274" t="str">
        <f t="shared" si="8"/>
        <v/>
      </c>
      <c r="H272" s="274" t="str">
        <f t="shared" si="8"/>
        <v/>
      </c>
      <c r="I272" s="17"/>
      <c r="J272" s="17"/>
      <c r="K272" s="253"/>
      <c r="L272" s="253"/>
      <c r="M272" s="253"/>
      <c r="N272" s="253"/>
      <c r="O272" s="253"/>
      <c r="P272" s="17"/>
      <c r="Q272" s="17"/>
      <c r="R272" s="180"/>
      <c r="S272" s="181"/>
      <c r="T272" s="268"/>
      <c r="U272" s="269"/>
      <c r="V272" s="270"/>
      <c r="W272" s="269"/>
      <c r="X272" s="278" t="str">
        <f t="shared" si="9"/>
        <v/>
      </c>
      <c r="Y272" s="282"/>
      <c r="Z272" s="282"/>
      <c r="AA272" s="364"/>
      <c r="AB272" s="361"/>
    </row>
    <row r="273" spans="1:28" s="271" customFormat="1">
      <c r="A273" s="253"/>
      <c r="B273" s="253"/>
      <c r="C273" s="253"/>
      <c r="D273" s="253"/>
      <c r="E273" s="267"/>
      <c r="F273" s="274" t="str">
        <f t="shared" si="8"/>
        <v/>
      </c>
      <c r="G273" s="274" t="str">
        <f t="shared" si="8"/>
        <v/>
      </c>
      <c r="H273" s="274" t="str">
        <f t="shared" si="8"/>
        <v/>
      </c>
      <c r="I273" s="17"/>
      <c r="J273" s="17"/>
      <c r="K273" s="253"/>
      <c r="L273" s="253"/>
      <c r="M273" s="253"/>
      <c r="N273" s="253"/>
      <c r="O273" s="253"/>
      <c r="P273" s="17"/>
      <c r="Q273" s="17"/>
      <c r="R273" s="180"/>
      <c r="S273" s="181"/>
      <c r="T273" s="268"/>
      <c r="U273" s="269"/>
      <c r="V273" s="270"/>
      <c r="W273" s="269"/>
      <c r="X273" s="278" t="str">
        <f t="shared" si="9"/>
        <v/>
      </c>
      <c r="Y273" s="282"/>
      <c r="Z273" s="282"/>
      <c r="AA273" s="364"/>
      <c r="AB273" s="361"/>
    </row>
    <row r="274" spans="1:28" s="271" customFormat="1">
      <c r="A274" s="253"/>
      <c r="B274" s="253"/>
      <c r="C274" s="253"/>
      <c r="D274" s="253"/>
      <c r="E274" s="267"/>
      <c r="F274" s="274" t="str">
        <f t="shared" si="8"/>
        <v/>
      </c>
      <c r="G274" s="274" t="str">
        <f t="shared" si="8"/>
        <v/>
      </c>
      <c r="H274" s="274" t="str">
        <f t="shared" si="8"/>
        <v/>
      </c>
      <c r="I274" s="17"/>
      <c r="J274" s="17"/>
      <c r="K274" s="253"/>
      <c r="L274" s="253"/>
      <c r="M274" s="253"/>
      <c r="N274" s="253"/>
      <c r="O274" s="253"/>
      <c r="P274" s="17"/>
      <c r="Q274" s="17"/>
      <c r="R274" s="180"/>
      <c r="S274" s="181"/>
      <c r="T274" s="268"/>
      <c r="U274" s="269"/>
      <c r="V274" s="270"/>
      <c r="W274" s="269"/>
      <c r="X274" s="278" t="str">
        <f t="shared" si="9"/>
        <v/>
      </c>
      <c r="Y274" s="282"/>
      <c r="Z274" s="282"/>
      <c r="AA274" s="364"/>
      <c r="AB274" s="361"/>
    </row>
    <row r="275" spans="1:28" s="271" customFormat="1">
      <c r="A275" s="253"/>
      <c r="B275" s="253"/>
      <c r="C275" s="253"/>
      <c r="D275" s="253"/>
      <c r="E275" s="267"/>
      <c r="F275" s="274" t="str">
        <f t="shared" si="8"/>
        <v/>
      </c>
      <c r="G275" s="274" t="str">
        <f t="shared" si="8"/>
        <v/>
      </c>
      <c r="H275" s="274" t="str">
        <f t="shared" si="8"/>
        <v/>
      </c>
      <c r="I275" s="17"/>
      <c r="J275" s="17"/>
      <c r="K275" s="253"/>
      <c r="L275" s="253"/>
      <c r="M275" s="253"/>
      <c r="N275" s="253"/>
      <c r="O275" s="253"/>
      <c r="P275" s="17"/>
      <c r="Q275" s="17"/>
      <c r="R275" s="180"/>
      <c r="S275" s="181"/>
      <c r="T275" s="268"/>
      <c r="U275" s="269"/>
      <c r="V275" s="270"/>
      <c r="W275" s="269"/>
      <c r="X275" s="278" t="str">
        <f t="shared" si="9"/>
        <v/>
      </c>
      <c r="Y275" s="282"/>
      <c r="Z275" s="282"/>
      <c r="AA275" s="364"/>
      <c r="AB275" s="361"/>
    </row>
    <row r="276" spans="1:28" s="271" customFormat="1">
      <c r="A276" s="253"/>
      <c r="B276" s="253"/>
      <c r="C276" s="253"/>
      <c r="D276" s="253"/>
      <c r="E276" s="267"/>
      <c r="F276" s="274" t="str">
        <f t="shared" si="8"/>
        <v/>
      </c>
      <c r="G276" s="274" t="str">
        <f t="shared" si="8"/>
        <v/>
      </c>
      <c r="H276" s="274" t="str">
        <f t="shared" si="8"/>
        <v/>
      </c>
      <c r="I276" s="17"/>
      <c r="J276" s="17"/>
      <c r="K276" s="253"/>
      <c r="L276" s="253"/>
      <c r="M276" s="253"/>
      <c r="N276" s="253"/>
      <c r="O276" s="253"/>
      <c r="P276" s="17"/>
      <c r="Q276" s="17"/>
      <c r="R276" s="180"/>
      <c r="S276" s="181"/>
      <c r="T276" s="268"/>
      <c r="U276" s="269"/>
      <c r="V276" s="270"/>
      <c r="W276" s="269"/>
      <c r="X276" s="278" t="str">
        <f t="shared" si="9"/>
        <v/>
      </c>
      <c r="Y276" s="282"/>
      <c r="Z276" s="282"/>
      <c r="AA276" s="364"/>
      <c r="AB276" s="361"/>
    </row>
    <row r="277" spans="1:28" s="271" customFormat="1">
      <c r="A277" s="253"/>
      <c r="B277" s="253"/>
      <c r="C277" s="253"/>
      <c r="D277" s="253"/>
      <c r="E277" s="267"/>
      <c r="F277" s="274" t="str">
        <f t="shared" si="8"/>
        <v/>
      </c>
      <c r="G277" s="274" t="str">
        <f t="shared" si="8"/>
        <v/>
      </c>
      <c r="H277" s="274" t="str">
        <f t="shared" si="8"/>
        <v/>
      </c>
      <c r="I277" s="17"/>
      <c r="J277" s="17"/>
      <c r="K277" s="253"/>
      <c r="L277" s="253"/>
      <c r="M277" s="253"/>
      <c r="N277" s="253"/>
      <c r="O277" s="253"/>
      <c r="P277" s="17"/>
      <c r="Q277" s="17"/>
      <c r="R277" s="180"/>
      <c r="S277" s="181"/>
      <c r="T277" s="268"/>
      <c r="U277" s="269"/>
      <c r="V277" s="270"/>
      <c r="W277" s="269"/>
      <c r="X277" s="278" t="str">
        <f t="shared" si="9"/>
        <v/>
      </c>
      <c r="Y277" s="282"/>
      <c r="Z277" s="282"/>
      <c r="AA277" s="364"/>
      <c r="AB277" s="361"/>
    </row>
    <row r="278" spans="1:28" s="271" customFormat="1">
      <c r="A278" s="253"/>
      <c r="B278" s="253"/>
      <c r="C278" s="253"/>
      <c r="D278" s="253"/>
      <c r="E278" s="267"/>
      <c r="F278" s="274" t="str">
        <f t="shared" si="8"/>
        <v/>
      </c>
      <c r="G278" s="274" t="str">
        <f t="shared" si="8"/>
        <v/>
      </c>
      <c r="H278" s="274" t="str">
        <f t="shared" si="8"/>
        <v/>
      </c>
      <c r="I278" s="17"/>
      <c r="J278" s="17"/>
      <c r="K278" s="253"/>
      <c r="L278" s="253"/>
      <c r="M278" s="253"/>
      <c r="N278" s="253"/>
      <c r="O278" s="253"/>
      <c r="P278" s="17"/>
      <c r="Q278" s="17"/>
      <c r="R278" s="180"/>
      <c r="S278" s="181"/>
      <c r="T278" s="268"/>
      <c r="U278" s="269"/>
      <c r="V278" s="270"/>
      <c r="W278" s="269"/>
      <c r="X278" s="278" t="str">
        <f t="shared" si="9"/>
        <v/>
      </c>
      <c r="Y278" s="282"/>
      <c r="Z278" s="282"/>
      <c r="AA278" s="364"/>
      <c r="AB278" s="361"/>
    </row>
    <row r="279" spans="1:28" s="271" customFormat="1">
      <c r="A279" s="253"/>
      <c r="B279" s="253"/>
      <c r="C279" s="253"/>
      <c r="D279" s="253"/>
      <c r="E279" s="267"/>
      <c r="F279" s="274" t="str">
        <f t="shared" si="8"/>
        <v/>
      </c>
      <c r="G279" s="274" t="str">
        <f t="shared" si="8"/>
        <v/>
      </c>
      <c r="H279" s="274" t="str">
        <f t="shared" si="8"/>
        <v/>
      </c>
      <c r="I279" s="17"/>
      <c r="J279" s="17"/>
      <c r="K279" s="253"/>
      <c r="L279" s="253"/>
      <c r="M279" s="253"/>
      <c r="N279" s="253"/>
      <c r="O279" s="253"/>
      <c r="P279" s="17"/>
      <c r="Q279" s="17"/>
      <c r="R279" s="180"/>
      <c r="S279" s="181"/>
      <c r="T279" s="268"/>
      <c r="U279" s="269"/>
      <c r="V279" s="270"/>
      <c r="W279" s="269"/>
      <c r="X279" s="278" t="str">
        <f t="shared" si="9"/>
        <v/>
      </c>
      <c r="Y279" s="282"/>
      <c r="Z279" s="282"/>
      <c r="AA279" s="364"/>
      <c r="AB279" s="361"/>
    </row>
    <row r="280" spans="1:28" s="271" customFormat="1">
      <c r="A280" s="253"/>
      <c r="B280" s="253"/>
      <c r="C280" s="253"/>
      <c r="D280" s="253"/>
      <c r="E280" s="267"/>
      <c r="F280" s="274" t="str">
        <f t="shared" si="8"/>
        <v/>
      </c>
      <c r="G280" s="274" t="str">
        <f t="shared" si="8"/>
        <v/>
      </c>
      <c r="H280" s="274" t="str">
        <f t="shared" si="8"/>
        <v/>
      </c>
      <c r="I280" s="17"/>
      <c r="J280" s="17"/>
      <c r="K280" s="253"/>
      <c r="L280" s="253"/>
      <c r="M280" s="253"/>
      <c r="N280" s="253"/>
      <c r="O280" s="253"/>
      <c r="P280" s="17"/>
      <c r="Q280" s="17"/>
      <c r="R280" s="180"/>
      <c r="S280" s="181"/>
      <c r="T280" s="268"/>
      <c r="U280" s="269"/>
      <c r="V280" s="270"/>
      <c r="W280" s="269"/>
      <c r="X280" s="278" t="str">
        <f t="shared" si="9"/>
        <v/>
      </c>
      <c r="Y280" s="282"/>
      <c r="Z280" s="282"/>
      <c r="AA280" s="364"/>
      <c r="AB280" s="361"/>
    </row>
    <row r="281" spans="1:28" s="271" customFormat="1">
      <c r="A281" s="253"/>
      <c r="B281" s="253"/>
      <c r="C281" s="253"/>
      <c r="D281" s="253"/>
      <c r="E281" s="267"/>
      <c r="F281" s="274" t="str">
        <f t="shared" si="8"/>
        <v/>
      </c>
      <c r="G281" s="274" t="str">
        <f t="shared" si="8"/>
        <v/>
      </c>
      <c r="H281" s="274" t="str">
        <f t="shared" si="8"/>
        <v/>
      </c>
      <c r="I281" s="17"/>
      <c r="J281" s="17"/>
      <c r="K281" s="253"/>
      <c r="L281" s="253"/>
      <c r="M281" s="253"/>
      <c r="N281" s="253"/>
      <c r="O281" s="253"/>
      <c r="P281" s="17"/>
      <c r="Q281" s="17"/>
      <c r="R281" s="180"/>
      <c r="S281" s="181"/>
      <c r="T281" s="268"/>
      <c r="U281" s="269"/>
      <c r="V281" s="270"/>
      <c r="W281" s="269"/>
      <c r="X281" s="278" t="str">
        <f t="shared" si="9"/>
        <v/>
      </c>
      <c r="Y281" s="282"/>
      <c r="Z281" s="282"/>
      <c r="AA281" s="364"/>
      <c r="AB281" s="361"/>
    </row>
    <row r="282" spans="1:28" s="271" customFormat="1">
      <c r="A282" s="253"/>
      <c r="B282" s="253"/>
      <c r="C282" s="253"/>
      <c r="D282" s="253"/>
      <c r="E282" s="267"/>
      <c r="F282" s="274" t="str">
        <f t="shared" si="8"/>
        <v/>
      </c>
      <c r="G282" s="274" t="str">
        <f t="shared" si="8"/>
        <v/>
      </c>
      <c r="H282" s="274" t="str">
        <f t="shared" si="8"/>
        <v/>
      </c>
      <c r="I282" s="17"/>
      <c r="J282" s="17"/>
      <c r="K282" s="253"/>
      <c r="L282" s="253"/>
      <c r="M282" s="253"/>
      <c r="N282" s="253"/>
      <c r="O282" s="253"/>
      <c r="P282" s="17"/>
      <c r="Q282" s="17"/>
      <c r="R282" s="180"/>
      <c r="S282" s="181"/>
      <c r="T282" s="268"/>
      <c r="U282" s="269"/>
      <c r="V282" s="270"/>
      <c r="W282" s="269"/>
      <c r="X282" s="278" t="str">
        <f t="shared" si="9"/>
        <v/>
      </c>
      <c r="Y282" s="282"/>
      <c r="Z282" s="282"/>
      <c r="AA282" s="364"/>
      <c r="AB282" s="361"/>
    </row>
    <row r="283" spans="1:28" s="271" customFormat="1">
      <c r="A283" s="253"/>
      <c r="B283" s="253"/>
      <c r="C283" s="253"/>
      <c r="D283" s="253"/>
      <c r="E283" s="267"/>
      <c r="F283" s="274" t="str">
        <f t="shared" si="8"/>
        <v/>
      </c>
      <c r="G283" s="274" t="str">
        <f t="shared" si="8"/>
        <v/>
      </c>
      <c r="H283" s="274" t="str">
        <f t="shared" si="8"/>
        <v/>
      </c>
      <c r="I283" s="17"/>
      <c r="J283" s="17"/>
      <c r="K283" s="253"/>
      <c r="L283" s="253"/>
      <c r="M283" s="253"/>
      <c r="N283" s="253"/>
      <c r="O283" s="253"/>
      <c r="P283" s="17"/>
      <c r="Q283" s="17"/>
      <c r="R283" s="180"/>
      <c r="S283" s="181"/>
      <c r="T283" s="268"/>
      <c r="U283" s="269"/>
      <c r="V283" s="270"/>
      <c r="W283" s="269"/>
      <c r="X283" s="278" t="str">
        <f t="shared" si="9"/>
        <v/>
      </c>
      <c r="Y283" s="282"/>
      <c r="Z283" s="282"/>
      <c r="AA283" s="364"/>
      <c r="AB283" s="361"/>
    </row>
    <row r="284" spans="1:28" s="271" customFormat="1">
      <c r="A284" s="253"/>
      <c r="B284" s="253"/>
      <c r="C284" s="253"/>
      <c r="D284" s="253"/>
      <c r="E284" s="267"/>
      <c r="F284" s="274" t="str">
        <f t="shared" si="8"/>
        <v/>
      </c>
      <c r="G284" s="274" t="str">
        <f t="shared" si="8"/>
        <v/>
      </c>
      <c r="H284" s="274" t="str">
        <f t="shared" si="8"/>
        <v/>
      </c>
      <c r="I284" s="17"/>
      <c r="J284" s="17"/>
      <c r="K284" s="253"/>
      <c r="L284" s="253"/>
      <c r="M284" s="253"/>
      <c r="N284" s="253"/>
      <c r="O284" s="253"/>
      <c r="P284" s="17"/>
      <c r="Q284" s="17"/>
      <c r="R284" s="180"/>
      <c r="S284" s="181"/>
      <c r="T284" s="268"/>
      <c r="U284" s="269"/>
      <c r="V284" s="270"/>
      <c r="W284" s="269"/>
      <c r="X284" s="278" t="str">
        <f t="shared" si="9"/>
        <v/>
      </c>
      <c r="Y284" s="282"/>
      <c r="Z284" s="282"/>
      <c r="AA284" s="364"/>
      <c r="AB284" s="361"/>
    </row>
    <row r="285" spans="1:28" s="271" customFormat="1">
      <c r="A285" s="253"/>
      <c r="B285" s="253"/>
      <c r="C285" s="253"/>
      <c r="D285" s="253"/>
      <c r="E285" s="267"/>
      <c r="F285" s="274" t="str">
        <f t="shared" si="8"/>
        <v/>
      </c>
      <c r="G285" s="274" t="str">
        <f t="shared" si="8"/>
        <v/>
      </c>
      <c r="H285" s="274" t="str">
        <f t="shared" si="8"/>
        <v/>
      </c>
      <c r="I285" s="17"/>
      <c r="J285" s="17"/>
      <c r="K285" s="253"/>
      <c r="L285" s="253"/>
      <c r="M285" s="253"/>
      <c r="N285" s="253"/>
      <c r="O285" s="253"/>
      <c r="P285" s="17"/>
      <c r="Q285" s="17"/>
      <c r="R285" s="180"/>
      <c r="S285" s="181"/>
      <c r="T285" s="268"/>
      <c r="U285" s="269"/>
      <c r="V285" s="270"/>
      <c r="W285" s="269"/>
      <c r="X285" s="278" t="str">
        <f t="shared" si="9"/>
        <v/>
      </c>
      <c r="Y285" s="282"/>
      <c r="Z285" s="282"/>
      <c r="AA285" s="364"/>
      <c r="AB285" s="361"/>
    </row>
    <row r="286" spans="1:28" s="271" customFormat="1">
      <c r="A286" s="253"/>
      <c r="B286" s="253"/>
      <c r="C286" s="253"/>
      <c r="D286" s="253"/>
      <c r="E286" s="267"/>
      <c r="F286" s="274" t="str">
        <f t="shared" si="8"/>
        <v/>
      </c>
      <c r="G286" s="274" t="str">
        <f t="shared" si="8"/>
        <v/>
      </c>
      <c r="H286" s="274" t="str">
        <f t="shared" si="8"/>
        <v/>
      </c>
      <c r="I286" s="17"/>
      <c r="J286" s="17"/>
      <c r="K286" s="253"/>
      <c r="L286" s="253"/>
      <c r="M286" s="253"/>
      <c r="N286" s="253"/>
      <c r="O286" s="253"/>
      <c r="P286" s="17"/>
      <c r="Q286" s="17"/>
      <c r="R286" s="180"/>
      <c r="S286" s="181"/>
      <c r="T286" s="268"/>
      <c r="U286" s="269"/>
      <c r="V286" s="270"/>
      <c r="W286" s="269"/>
      <c r="X286" s="278" t="str">
        <f t="shared" si="9"/>
        <v/>
      </c>
      <c r="Y286" s="282"/>
      <c r="Z286" s="282"/>
      <c r="AA286" s="364"/>
      <c r="AB286" s="361"/>
    </row>
    <row r="287" spans="1:28" s="271" customFormat="1">
      <c r="A287" s="253"/>
      <c r="B287" s="253"/>
      <c r="C287" s="253"/>
      <c r="D287" s="253"/>
      <c r="E287" s="267"/>
      <c r="F287" s="274" t="str">
        <f t="shared" si="8"/>
        <v/>
      </c>
      <c r="G287" s="274" t="str">
        <f t="shared" si="8"/>
        <v/>
      </c>
      <c r="H287" s="274" t="str">
        <f t="shared" si="8"/>
        <v/>
      </c>
      <c r="I287" s="17"/>
      <c r="J287" s="17"/>
      <c r="K287" s="253"/>
      <c r="L287" s="253"/>
      <c r="M287" s="253"/>
      <c r="N287" s="253"/>
      <c r="O287" s="253"/>
      <c r="P287" s="17"/>
      <c r="Q287" s="17"/>
      <c r="R287" s="180"/>
      <c r="S287" s="181"/>
      <c r="T287" s="268"/>
      <c r="U287" s="269"/>
      <c r="V287" s="270"/>
      <c r="W287" s="269"/>
      <c r="X287" s="278" t="str">
        <f t="shared" si="9"/>
        <v/>
      </c>
      <c r="Y287" s="282"/>
      <c r="Z287" s="282"/>
      <c r="AA287" s="364"/>
      <c r="AB287" s="361"/>
    </row>
    <row r="288" spans="1:28" s="271" customFormat="1">
      <c r="A288" s="253"/>
      <c r="B288" s="253"/>
      <c r="C288" s="253"/>
      <c r="D288" s="253"/>
      <c r="E288" s="267"/>
      <c r="F288" s="274" t="str">
        <f t="shared" si="8"/>
        <v/>
      </c>
      <c r="G288" s="274" t="str">
        <f t="shared" si="8"/>
        <v/>
      </c>
      <c r="H288" s="274" t="str">
        <f t="shared" si="8"/>
        <v/>
      </c>
      <c r="I288" s="17"/>
      <c r="J288" s="17"/>
      <c r="K288" s="253"/>
      <c r="L288" s="253"/>
      <c r="M288" s="253"/>
      <c r="N288" s="253"/>
      <c r="O288" s="253"/>
      <c r="P288" s="17"/>
      <c r="Q288" s="17"/>
      <c r="R288" s="180"/>
      <c r="S288" s="181"/>
      <c r="T288" s="268"/>
      <c r="U288" s="269"/>
      <c r="V288" s="270"/>
      <c r="W288" s="269"/>
      <c r="X288" s="278" t="str">
        <f t="shared" si="9"/>
        <v/>
      </c>
      <c r="Y288" s="282"/>
      <c r="Z288" s="282"/>
      <c r="AA288" s="364"/>
      <c r="AB288" s="361"/>
    </row>
    <row r="289" spans="1:28" s="271" customFormat="1">
      <c r="A289" s="253"/>
      <c r="B289" s="253"/>
      <c r="C289" s="253"/>
      <c r="D289" s="253"/>
      <c r="E289" s="267"/>
      <c r="F289" s="274" t="str">
        <f t="shared" si="8"/>
        <v/>
      </c>
      <c r="G289" s="274" t="str">
        <f t="shared" si="8"/>
        <v/>
      </c>
      <c r="H289" s="274" t="str">
        <f t="shared" si="8"/>
        <v/>
      </c>
      <c r="I289" s="17"/>
      <c r="J289" s="17"/>
      <c r="K289" s="253"/>
      <c r="L289" s="253"/>
      <c r="M289" s="253"/>
      <c r="N289" s="253"/>
      <c r="O289" s="253"/>
      <c r="P289" s="17"/>
      <c r="Q289" s="17"/>
      <c r="R289" s="180"/>
      <c r="S289" s="181"/>
      <c r="T289" s="268"/>
      <c r="U289" s="269"/>
      <c r="V289" s="270"/>
      <c r="W289" s="269"/>
      <c r="X289" s="278" t="str">
        <f t="shared" si="9"/>
        <v/>
      </c>
      <c r="Y289" s="282"/>
      <c r="Z289" s="282"/>
      <c r="AA289" s="364"/>
      <c r="AB289" s="361"/>
    </row>
    <row r="290" spans="1:28" s="271" customFormat="1">
      <c r="A290" s="253"/>
      <c r="B290" s="253"/>
      <c r="C290" s="253"/>
      <c r="D290" s="253"/>
      <c r="E290" s="267"/>
      <c r="F290" s="274" t="str">
        <f t="shared" si="8"/>
        <v/>
      </c>
      <c r="G290" s="274" t="str">
        <f t="shared" si="8"/>
        <v/>
      </c>
      <c r="H290" s="274" t="str">
        <f t="shared" si="8"/>
        <v/>
      </c>
      <c r="I290" s="17"/>
      <c r="J290" s="17"/>
      <c r="K290" s="253"/>
      <c r="L290" s="253"/>
      <c r="M290" s="253"/>
      <c r="N290" s="253"/>
      <c r="O290" s="253"/>
      <c r="P290" s="17"/>
      <c r="Q290" s="17"/>
      <c r="R290" s="180"/>
      <c r="S290" s="181"/>
      <c r="T290" s="268"/>
      <c r="U290" s="269"/>
      <c r="V290" s="270"/>
      <c r="W290" s="269"/>
      <c r="X290" s="278" t="str">
        <f t="shared" si="9"/>
        <v/>
      </c>
      <c r="Y290" s="282"/>
      <c r="Z290" s="282"/>
      <c r="AA290" s="364"/>
      <c r="AB290" s="361"/>
    </row>
    <row r="291" spans="1:28" s="271" customFormat="1">
      <c r="A291" s="253"/>
      <c r="B291" s="253"/>
      <c r="C291" s="253"/>
      <c r="D291" s="253"/>
      <c r="E291" s="267"/>
      <c r="F291" s="274" t="str">
        <f t="shared" si="8"/>
        <v/>
      </c>
      <c r="G291" s="274" t="str">
        <f t="shared" si="8"/>
        <v/>
      </c>
      <c r="H291" s="274" t="str">
        <f t="shared" si="8"/>
        <v/>
      </c>
      <c r="I291" s="17"/>
      <c r="J291" s="17"/>
      <c r="K291" s="253"/>
      <c r="L291" s="253"/>
      <c r="M291" s="253"/>
      <c r="N291" s="253"/>
      <c r="O291" s="253"/>
      <c r="P291" s="17"/>
      <c r="Q291" s="17"/>
      <c r="R291" s="180"/>
      <c r="S291" s="181"/>
      <c r="T291" s="268"/>
      <c r="U291" s="269"/>
      <c r="V291" s="270"/>
      <c r="W291" s="269"/>
      <c r="X291" s="278" t="str">
        <f t="shared" si="9"/>
        <v/>
      </c>
      <c r="Y291" s="282"/>
      <c r="Z291" s="282"/>
      <c r="AA291" s="364"/>
      <c r="AB291" s="361"/>
    </row>
    <row r="292" spans="1:28" s="271" customFormat="1">
      <c r="A292" s="253"/>
      <c r="B292" s="253"/>
      <c r="C292" s="253"/>
      <c r="D292" s="253"/>
      <c r="E292" s="267"/>
      <c r="F292" s="274" t="str">
        <f t="shared" si="8"/>
        <v/>
      </c>
      <c r="G292" s="274" t="str">
        <f t="shared" si="8"/>
        <v/>
      </c>
      <c r="H292" s="274" t="str">
        <f t="shared" si="8"/>
        <v/>
      </c>
      <c r="I292" s="17"/>
      <c r="J292" s="17"/>
      <c r="K292" s="253"/>
      <c r="L292" s="253"/>
      <c r="M292" s="253"/>
      <c r="N292" s="253"/>
      <c r="O292" s="253"/>
      <c r="P292" s="17"/>
      <c r="Q292" s="17"/>
      <c r="R292" s="180"/>
      <c r="S292" s="181"/>
      <c r="T292" s="268"/>
      <c r="U292" s="269"/>
      <c r="V292" s="270"/>
      <c r="W292" s="269"/>
      <c r="X292" s="278" t="str">
        <f t="shared" si="9"/>
        <v/>
      </c>
      <c r="Y292" s="282"/>
      <c r="Z292" s="282"/>
      <c r="AA292" s="364"/>
      <c r="AB292" s="361"/>
    </row>
    <row r="293" spans="1:28" s="271" customFormat="1">
      <c r="A293" s="253"/>
      <c r="B293" s="253"/>
      <c r="C293" s="253"/>
      <c r="D293" s="253"/>
      <c r="E293" s="267"/>
      <c r="F293" s="274" t="str">
        <f t="shared" si="8"/>
        <v/>
      </c>
      <c r="G293" s="274" t="str">
        <f t="shared" si="8"/>
        <v/>
      </c>
      <c r="H293" s="274" t="str">
        <f t="shared" si="8"/>
        <v/>
      </c>
      <c r="I293" s="17"/>
      <c r="J293" s="17"/>
      <c r="K293" s="253"/>
      <c r="L293" s="253"/>
      <c r="M293" s="253"/>
      <c r="N293" s="253"/>
      <c r="O293" s="253"/>
      <c r="P293" s="17"/>
      <c r="Q293" s="17"/>
      <c r="R293" s="180"/>
      <c r="S293" s="181"/>
      <c r="T293" s="268"/>
      <c r="U293" s="269"/>
      <c r="V293" s="270"/>
      <c r="W293" s="269"/>
      <c r="X293" s="278" t="str">
        <f t="shared" si="9"/>
        <v/>
      </c>
      <c r="Y293" s="282"/>
      <c r="Z293" s="282"/>
      <c r="AA293" s="364"/>
      <c r="AB293" s="361"/>
    </row>
    <row r="294" spans="1:28" s="271" customFormat="1">
      <c r="A294" s="253"/>
      <c r="B294" s="253"/>
      <c r="C294" s="253"/>
      <c r="D294" s="253"/>
      <c r="E294" s="267"/>
      <c r="F294" s="274" t="str">
        <f t="shared" si="8"/>
        <v/>
      </c>
      <c r="G294" s="274" t="str">
        <f t="shared" si="8"/>
        <v/>
      </c>
      <c r="H294" s="274" t="str">
        <f t="shared" si="8"/>
        <v/>
      </c>
      <c r="I294" s="17"/>
      <c r="J294" s="17"/>
      <c r="K294" s="253"/>
      <c r="L294" s="253"/>
      <c r="M294" s="253"/>
      <c r="N294" s="253"/>
      <c r="O294" s="253"/>
      <c r="P294" s="17"/>
      <c r="Q294" s="17"/>
      <c r="R294" s="180"/>
      <c r="S294" s="181"/>
      <c r="T294" s="268"/>
      <c r="U294" s="269"/>
      <c r="V294" s="270"/>
      <c r="W294" s="269"/>
      <c r="X294" s="278" t="str">
        <f t="shared" si="9"/>
        <v/>
      </c>
      <c r="Y294" s="282"/>
      <c r="Z294" s="282"/>
      <c r="AA294" s="364"/>
      <c r="AB294" s="361"/>
    </row>
    <row r="295" spans="1:28" s="271" customFormat="1">
      <c r="A295" s="253"/>
      <c r="B295" s="253"/>
      <c r="C295" s="253"/>
      <c r="D295" s="253"/>
      <c r="E295" s="267"/>
      <c r="F295" s="274" t="str">
        <f t="shared" si="8"/>
        <v/>
      </c>
      <c r="G295" s="274" t="str">
        <f t="shared" si="8"/>
        <v/>
      </c>
      <c r="H295" s="274" t="str">
        <f t="shared" si="8"/>
        <v/>
      </c>
      <c r="I295" s="17"/>
      <c r="J295" s="17"/>
      <c r="K295" s="253"/>
      <c r="L295" s="253"/>
      <c r="M295" s="253"/>
      <c r="N295" s="253"/>
      <c r="O295" s="253"/>
      <c r="P295" s="17"/>
      <c r="Q295" s="17"/>
      <c r="R295" s="180"/>
      <c r="S295" s="181"/>
      <c r="T295" s="268"/>
      <c r="U295" s="269"/>
      <c r="V295" s="270"/>
      <c r="W295" s="269"/>
      <c r="X295" s="278" t="str">
        <f t="shared" si="9"/>
        <v/>
      </c>
      <c r="Y295" s="282"/>
      <c r="Z295" s="282"/>
      <c r="AA295" s="364"/>
      <c r="AB295" s="361"/>
    </row>
    <row r="296" spans="1:28" s="271" customFormat="1">
      <c r="A296" s="253"/>
      <c r="B296" s="253"/>
      <c r="C296" s="253"/>
      <c r="D296" s="253"/>
      <c r="E296" s="267"/>
      <c r="F296" s="274" t="str">
        <f t="shared" si="8"/>
        <v/>
      </c>
      <c r="G296" s="274" t="str">
        <f t="shared" si="8"/>
        <v/>
      </c>
      <c r="H296" s="274" t="str">
        <f t="shared" si="8"/>
        <v/>
      </c>
      <c r="I296" s="17"/>
      <c r="J296" s="17"/>
      <c r="K296" s="253"/>
      <c r="L296" s="253"/>
      <c r="M296" s="253"/>
      <c r="N296" s="253"/>
      <c r="O296" s="253"/>
      <c r="P296" s="17"/>
      <c r="Q296" s="17"/>
      <c r="R296" s="180"/>
      <c r="S296" s="181"/>
      <c r="T296" s="268"/>
      <c r="U296" s="269"/>
      <c r="V296" s="270"/>
      <c r="W296" s="269"/>
      <c r="X296" s="278" t="str">
        <f t="shared" si="9"/>
        <v/>
      </c>
      <c r="Y296" s="282"/>
      <c r="Z296" s="282"/>
      <c r="AA296" s="364"/>
      <c r="AB296" s="361"/>
    </row>
    <row r="297" spans="1:28" s="271" customFormat="1">
      <c r="A297" s="253"/>
      <c r="B297" s="253"/>
      <c r="C297" s="253"/>
      <c r="D297" s="253"/>
      <c r="E297" s="267"/>
      <c r="F297" s="274" t="str">
        <f t="shared" si="8"/>
        <v/>
      </c>
      <c r="G297" s="274" t="str">
        <f t="shared" si="8"/>
        <v/>
      </c>
      <c r="H297" s="274" t="str">
        <f t="shared" si="8"/>
        <v/>
      </c>
      <c r="I297" s="17"/>
      <c r="J297" s="17"/>
      <c r="K297" s="253"/>
      <c r="L297" s="253"/>
      <c r="M297" s="253"/>
      <c r="N297" s="253"/>
      <c r="O297" s="253"/>
      <c r="P297" s="17"/>
      <c r="Q297" s="17"/>
      <c r="R297" s="180"/>
      <c r="S297" s="181"/>
      <c r="T297" s="268"/>
      <c r="U297" s="269"/>
      <c r="V297" s="270"/>
      <c r="W297" s="269"/>
      <c r="X297" s="278" t="str">
        <f t="shared" si="9"/>
        <v/>
      </c>
      <c r="Y297" s="282"/>
      <c r="Z297" s="282"/>
      <c r="AA297" s="364"/>
      <c r="AB297" s="361"/>
    </row>
    <row r="298" spans="1:28" s="271" customFormat="1">
      <c r="A298" s="253"/>
      <c r="B298" s="253"/>
      <c r="C298" s="253"/>
      <c r="D298" s="253"/>
      <c r="E298" s="267"/>
      <c r="F298" s="274" t="str">
        <f t="shared" si="8"/>
        <v/>
      </c>
      <c r="G298" s="274" t="str">
        <f t="shared" si="8"/>
        <v/>
      </c>
      <c r="H298" s="274" t="str">
        <f t="shared" si="8"/>
        <v/>
      </c>
      <c r="I298" s="17"/>
      <c r="J298" s="17"/>
      <c r="K298" s="253"/>
      <c r="L298" s="253"/>
      <c r="M298" s="253"/>
      <c r="N298" s="253"/>
      <c r="O298" s="253"/>
      <c r="P298" s="17"/>
      <c r="Q298" s="17"/>
      <c r="R298" s="180"/>
      <c r="S298" s="181"/>
      <c r="T298" s="268"/>
      <c r="U298" s="269"/>
      <c r="V298" s="270"/>
      <c r="W298" s="269"/>
      <c r="X298" s="278" t="str">
        <f t="shared" si="9"/>
        <v/>
      </c>
      <c r="Y298" s="282"/>
      <c r="Z298" s="282"/>
      <c r="AA298" s="364"/>
      <c r="AB298" s="361"/>
    </row>
    <row r="299" spans="1:28" s="271" customFormat="1">
      <c r="A299" s="253"/>
      <c r="B299" s="253"/>
      <c r="C299" s="253"/>
      <c r="D299" s="253"/>
      <c r="E299" s="267"/>
      <c r="F299" s="274" t="str">
        <f t="shared" si="8"/>
        <v/>
      </c>
      <c r="G299" s="274" t="str">
        <f t="shared" si="8"/>
        <v/>
      </c>
      <c r="H299" s="274" t="str">
        <f t="shared" si="8"/>
        <v/>
      </c>
      <c r="I299" s="17"/>
      <c r="J299" s="17"/>
      <c r="K299" s="253"/>
      <c r="L299" s="253"/>
      <c r="M299" s="253"/>
      <c r="N299" s="253"/>
      <c r="O299" s="253"/>
      <c r="P299" s="17"/>
      <c r="Q299" s="17"/>
      <c r="R299" s="180"/>
      <c r="S299" s="181"/>
      <c r="T299" s="268"/>
      <c r="U299" s="269"/>
      <c r="V299" s="270"/>
      <c r="W299" s="269"/>
      <c r="X299" s="278" t="str">
        <f t="shared" si="9"/>
        <v/>
      </c>
      <c r="Y299" s="282"/>
      <c r="Z299" s="282"/>
      <c r="AA299" s="364"/>
      <c r="AB299" s="361"/>
    </row>
    <row r="300" spans="1:28" s="271" customFormat="1">
      <c r="A300" s="253"/>
      <c r="B300" s="253"/>
      <c r="C300" s="253"/>
      <c r="D300" s="253"/>
      <c r="E300" s="267"/>
      <c r="F300" s="274" t="str">
        <f t="shared" si="8"/>
        <v/>
      </c>
      <c r="G300" s="274" t="str">
        <f t="shared" si="8"/>
        <v/>
      </c>
      <c r="H300" s="274" t="str">
        <f t="shared" si="8"/>
        <v/>
      </c>
      <c r="I300" s="17"/>
      <c r="J300" s="17"/>
      <c r="K300" s="253"/>
      <c r="L300" s="253"/>
      <c r="M300" s="253"/>
      <c r="N300" s="253"/>
      <c r="O300" s="253"/>
      <c r="P300" s="17"/>
      <c r="Q300" s="17"/>
      <c r="R300" s="180"/>
      <c r="S300" s="181"/>
      <c r="T300" s="268"/>
      <c r="U300" s="269"/>
      <c r="V300" s="270"/>
      <c r="W300" s="269"/>
      <c r="X300" s="278" t="str">
        <f t="shared" si="9"/>
        <v/>
      </c>
      <c r="Y300" s="282"/>
      <c r="Z300" s="282"/>
      <c r="AA300" s="364"/>
      <c r="AB300" s="361"/>
    </row>
    <row r="301" spans="1:28" s="271" customFormat="1">
      <c r="A301" s="253"/>
      <c r="B301" s="253"/>
      <c r="C301" s="253"/>
      <c r="D301" s="253"/>
      <c r="E301" s="267"/>
      <c r="F301" s="274" t="str">
        <f t="shared" ref="F301:H364" si="10">IF(A301&lt;&gt;"",A301,"")</f>
        <v/>
      </c>
      <c r="G301" s="274" t="str">
        <f t="shared" si="10"/>
        <v/>
      </c>
      <c r="H301" s="274" t="str">
        <f t="shared" si="10"/>
        <v/>
      </c>
      <c r="I301" s="17"/>
      <c r="J301" s="17"/>
      <c r="K301" s="253"/>
      <c r="L301" s="253"/>
      <c r="M301" s="253"/>
      <c r="N301" s="253"/>
      <c r="O301" s="253"/>
      <c r="P301" s="17"/>
      <c r="Q301" s="17"/>
      <c r="R301" s="180"/>
      <c r="S301" s="181"/>
      <c r="T301" s="268"/>
      <c r="U301" s="269"/>
      <c r="V301" s="270"/>
      <c r="W301" s="269"/>
      <c r="X301" s="278" t="str">
        <f t="shared" ref="X301:X364" si="11">IF(D301&lt;&gt;"",D301,"")</f>
        <v/>
      </c>
      <c r="Y301" s="282"/>
      <c r="Z301" s="282"/>
      <c r="AA301" s="364"/>
      <c r="AB301" s="361"/>
    </row>
    <row r="302" spans="1:28" s="271" customFormat="1">
      <c r="A302" s="253"/>
      <c r="B302" s="253"/>
      <c r="C302" s="253"/>
      <c r="D302" s="253"/>
      <c r="E302" s="267"/>
      <c r="F302" s="274" t="str">
        <f t="shared" si="10"/>
        <v/>
      </c>
      <c r="G302" s="274" t="str">
        <f t="shared" si="10"/>
        <v/>
      </c>
      <c r="H302" s="274" t="str">
        <f t="shared" si="10"/>
        <v/>
      </c>
      <c r="I302" s="17"/>
      <c r="J302" s="17"/>
      <c r="K302" s="253"/>
      <c r="L302" s="253"/>
      <c r="M302" s="253"/>
      <c r="N302" s="253"/>
      <c r="O302" s="253"/>
      <c r="P302" s="17"/>
      <c r="Q302" s="17"/>
      <c r="R302" s="180"/>
      <c r="S302" s="181"/>
      <c r="T302" s="268"/>
      <c r="U302" s="269"/>
      <c r="V302" s="270"/>
      <c r="W302" s="269"/>
      <c r="X302" s="278" t="str">
        <f t="shared" si="11"/>
        <v/>
      </c>
      <c r="Y302" s="282"/>
      <c r="Z302" s="282"/>
      <c r="AA302" s="364"/>
      <c r="AB302" s="361"/>
    </row>
    <row r="303" spans="1:28" s="271" customFormat="1">
      <c r="A303" s="253"/>
      <c r="B303" s="253"/>
      <c r="C303" s="253"/>
      <c r="D303" s="253"/>
      <c r="E303" s="267"/>
      <c r="F303" s="274" t="str">
        <f t="shared" si="10"/>
        <v/>
      </c>
      <c r="G303" s="274" t="str">
        <f t="shared" si="10"/>
        <v/>
      </c>
      <c r="H303" s="274" t="str">
        <f t="shared" si="10"/>
        <v/>
      </c>
      <c r="I303" s="17"/>
      <c r="J303" s="17"/>
      <c r="K303" s="253"/>
      <c r="L303" s="253"/>
      <c r="M303" s="253"/>
      <c r="N303" s="253"/>
      <c r="O303" s="253"/>
      <c r="P303" s="17"/>
      <c r="Q303" s="17"/>
      <c r="R303" s="180"/>
      <c r="S303" s="181"/>
      <c r="T303" s="268"/>
      <c r="U303" s="269"/>
      <c r="V303" s="270"/>
      <c r="W303" s="269"/>
      <c r="X303" s="278" t="str">
        <f t="shared" si="11"/>
        <v/>
      </c>
      <c r="Y303" s="282"/>
      <c r="Z303" s="282"/>
      <c r="AA303" s="364"/>
      <c r="AB303" s="361"/>
    </row>
    <row r="304" spans="1:28" s="271" customFormat="1">
      <c r="A304" s="253"/>
      <c r="B304" s="253"/>
      <c r="C304" s="253"/>
      <c r="D304" s="253"/>
      <c r="E304" s="267"/>
      <c r="F304" s="274" t="str">
        <f t="shared" si="10"/>
        <v/>
      </c>
      <c r="G304" s="274" t="str">
        <f t="shared" si="10"/>
        <v/>
      </c>
      <c r="H304" s="274" t="str">
        <f t="shared" si="10"/>
        <v/>
      </c>
      <c r="I304" s="17"/>
      <c r="J304" s="17"/>
      <c r="K304" s="253"/>
      <c r="L304" s="253"/>
      <c r="M304" s="253"/>
      <c r="N304" s="253"/>
      <c r="O304" s="253"/>
      <c r="P304" s="17"/>
      <c r="Q304" s="17"/>
      <c r="R304" s="180"/>
      <c r="S304" s="181"/>
      <c r="T304" s="268"/>
      <c r="U304" s="269"/>
      <c r="V304" s="270"/>
      <c r="W304" s="269"/>
      <c r="X304" s="278" t="str">
        <f t="shared" si="11"/>
        <v/>
      </c>
      <c r="Y304" s="282"/>
      <c r="Z304" s="282"/>
      <c r="AA304" s="364"/>
      <c r="AB304" s="361"/>
    </row>
    <row r="305" spans="1:28" s="271" customFormat="1">
      <c r="A305" s="253"/>
      <c r="B305" s="253"/>
      <c r="C305" s="253"/>
      <c r="D305" s="253"/>
      <c r="E305" s="267"/>
      <c r="F305" s="274" t="str">
        <f t="shared" si="10"/>
        <v/>
      </c>
      <c r="G305" s="274" t="str">
        <f t="shared" si="10"/>
        <v/>
      </c>
      <c r="H305" s="274" t="str">
        <f t="shared" si="10"/>
        <v/>
      </c>
      <c r="I305" s="17"/>
      <c r="J305" s="17"/>
      <c r="K305" s="253"/>
      <c r="L305" s="253"/>
      <c r="M305" s="253"/>
      <c r="N305" s="253"/>
      <c r="O305" s="253"/>
      <c r="P305" s="17"/>
      <c r="Q305" s="17"/>
      <c r="R305" s="180"/>
      <c r="S305" s="181"/>
      <c r="T305" s="268"/>
      <c r="U305" s="269"/>
      <c r="V305" s="270"/>
      <c r="W305" s="269"/>
      <c r="X305" s="278" t="str">
        <f t="shared" si="11"/>
        <v/>
      </c>
      <c r="Y305" s="282"/>
      <c r="Z305" s="282"/>
      <c r="AA305" s="364"/>
      <c r="AB305" s="361"/>
    </row>
    <row r="306" spans="1:28" s="271" customFormat="1">
      <c r="A306" s="253"/>
      <c r="B306" s="253"/>
      <c r="C306" s="253"/>
      <c r="D306" s="253"/>
      <c r="E306" s="267"/>
      <c r="F306" s="274" t="str">
        <f t="shared" si="10"/>
        <v/>
      </c>
      <c r="G306" s="274" t="str">
        <f t="shared" si="10"/>
        <v/>
      </c>
      <c r="H306" s="274" t="str">
        <f t="shared" si="10"/>
        <v/>
      </c>
      <c r="I306" s="17"/>
      <c r="J306" s="17"/>
      <c r="K306" s="253"/>
      <c r="L306" s="253"/>
      <c r="M306" s="253"/>
      <c r="N306" s="253"/>
      <c r="O306" s="253"/>
      <c r="P306" s="17"/>
      <c r="Q306" s="17"/>
      <c r="R306" s="180"/>
      <c r="S306" s="181"/>
      <c r="T306" s="268"/>
      <c r="U306" s="269"/>
      <c r="V306" s="270"/>
      <c r="W306" s="269"/>
      <c r="X306" s="278" t="str">
        <f t="shared" si="11"/>
        <v/>
      </c>
      <c r="Y306" s="282"/>
      <c r="Z306" s="282"/>
      <c r="AA306" s="364"/>
      <c r="AB306" s="361"/>
    </row>
    <row r="307" spans="1:28" s="271" customFormat="1">
      <c r="A307" s="253"/>
      <c r="B307" s="253"/>
      <c r="C307" s="253"/>
      <c r="D307" s="253"/>
      <c r="E307" s="267"/>
      <c r="F307" s="274" t="str">
        <f t="shared" si="10"/>
        <v/>
      </c>
      <c r="G307" s="274" t="str">
        <f t="shared" si="10"/>
        <v/>
      </c>
      <c r="H307" s="274" t="str">
        <f t="shared" si="10"/>
        <v/>
      </c>
      <c r="I307" s="17"/>
      <c r="J307" s="17"/>
      <c r="K307" s="253"/>
      <c r="L307" s="253"/>
      <c r="M307" s="253"/>
      <c r="N307" s="253"/>
      <c r="O307" s="253"/>
      <c r="P307" s="17"/>
      <c r="Q307" s="17"/>
      <c r="R307" s="180"/>
      <c r="S307" s="181"/>
      <c r="T307" s="268"/>
      <c r="U307" s="269"/>
      <c r="V307" s="270"/>
      <c r="W307" s="269"/>
      <c r="X307" s="278" t="str">
        <f t="shared" si="11"/>
        <v/>
      </c>
      <c r="Y307" s="282"/>
      <c r="Z307" s="282"/>
      <c r="AA307" s="364"/>
      <c r="AB307" s="361"/>
    </row>
    <row r="308" spans="1:28" s="271" customFormat="1">
      <c r="A308" s="253"/>
      <c r="B308" s="253"/>
      <c r="C308" s="253"/>
      <c r="D308" s="253"/>
      <c r="E308" s="267"/>
      <c r="F308" s="274" t="str">
        <f t="shared" si="10"/>
        <v/>
      </c>
      <c r="G308" s="274" t="str">
        <f t="shared" si="10"/>
        <v/>
      </c>
      <c r="H308" s="274" t="str">
        <f t="shared" si="10"/>
        <v/>
      </c>
      <c r="I308" s="17"/>
      <c r="J308" s="17"/>
      <c r="K308" s="253"/>
      <c r="L308" s="253"/>
      <c r="M308" s="253"/>
      <c r="N308" s="253"/>
      <c r="O308" s="253"/>
      <c r="P308" s="17"/>
      <c r="Q308" s="17"/>
      <c r="R308" s="180"/>
      <c r="S308" s="181"/>
      <c r="T308" s="268"/>
      <c r="U308" s="269"/>
      <c r="V308" s="270"/>
      <c r="W308" s="269"/>
      <c r="X308" s="278" t="str">
        <f t="shared" si="11"/>
        <v/>
      </c>
      <c r="Y308" s="282"/>
      <c r="Z308" s="282"/>
      <c r="AA308" s="364"/>
      <c r="AB308" s="361"/>
    </row>
    <row r="309" spans="1:28" s="271" customFormat="1">
      <c r="A309" s="253"/>
      <c r="B309" s="253"/>
      <c r="C309" s="253"/>
      <c r="D309" s="253"/>
      <c r="E309" s="267"/>
      <c r="F309" s="274" t="str">
        <f t="shared" si="10"/>
        <v/>
      </c>
      <c r="G309" s="274" t="str">
        <f t="shared" si="10"/>
        <v/>
      </c>
      <c r="H309" s="274" t="str">
        <f t="shared" si="10"/>
        <v/>
      </c>
      <c r="I309" s="17"/>
      <c r="J309" s="17"/>
      <c r="K309" s="253"/>
      <c r="L309" s="253"/>
      <c r="M309" s="253"/>
      <c r="N309" s="253"/>
      <c r="O309" s="253"/>
      <c r="P309" s="17"/>
      <c r="Q309" s="17"/>
      <c r="R309" s="180"/>
      <c r="S309" s="181"/>
      <c r="T309" s="268"/>
      <c r="U309" s="269"/>
      <c r="V309" s="270"/>
      <c r="W309" s="269"/>
      <c r="X309" s="278" t="str">
        <f t="shared" si="11"/>
        <v/>
      </c>
      <c r="Y309" s="282"/>
      <c r="Z309" s="282"/>
      <c r="AA309" s="364"/>
      <c r="AB309" s="361"/>
    </row>
    <row r="310" spans="1:28" s="271" customFormat="1">
      <c r="A310" s="253"/>
      <c r="B310" s="253"/>
      <c r="C310" s="253"/>
      <c r="D310" s="253"/>
      <c r="E310" s="267"/>
      <c r="F310" s="274" t="str">
        <f t="shared" si="10"/>
        <v/>
      </c>
      <c r="G310" s="274" t="str">
        <f t="shared" si="10"/>
        <v/>
      </c>
      <c r="H310" s="274" t="str">
        <f t="shared" si="10"/>
        <v/>
      </c>
      <c r="I310" s="17"/>
      <c r="J310" s="17"/>
      <c r="K310" s="253"/>
      <c r="L310" s="253"/>
      <c r="M310" s="253"/>
      <c r="N310" s="253"/>
      <c r="O310" s="253"/>
      <c r="P310" s="17"/>
      <c r="Q310" s="17"/>
      <c r="R310" s="180"/>
      <c r="S310" s="181"/>
      <c r="T310" s="268"/>
      <c r="U310" s="269"/>
      <c r="V310" s="270"/>
      <c r="W310" s="269"/>
      <c r="X310" s="278" t="str">
        <f t="shared" si="11"/>
        <v/>
      </c>
      <c r="Y310" s="282"/>
      <c r="Z310" s="282"/>
      <c r="AA310" s="364"/>
      <c r="AB310" s="361"/>
    </row>
    <row r="311" spans="1:28" s="271" customFormat="1">
      <c r="A311" s="253"/>
      <c r="B311" s="253"/>
      <c r="C311" s="253"/>
      <c r="D311" s="253"/>
      <c r="E311" s="267"/>
      <c r="F311" s="274" t="str">
        <f t="shared" si="10"/>
        <v/>
      </c>
      <c r="G311" s="274" t="str">
        <f t="shared" si="10"/>
        <v/>
      </c>
      <c r="H311" s="274" t="str">
        <f t="shared" si="10"/>
        <v/>
      </c>
      <c r="I311" s="17"/>
      <c r="J311" s="17"/>
      <c r="K311" s="253"/>
      <c r="L311" s="253"/>
      <c r="M311" s="253"/>
      <c r="N311" s="253"/>
      <c r="O311" s="253"/>
      <c r="P311" s="17"/>
      <c r="Q311" s="17"/>
      <c r="R311" s="180"/>
      <c r="S311" s="181"/>
      <c r="T311" s="268"/>
      <c r="U311" s="269"/>
      <c r="V311" s="270"/>
      <c r="W311" s="269"/>
      <c r="X311" s="278" t="str">
        <f t="shared" si="11"/>
        <v/>
      </c>
      <c r="Y311" s="282"/>
      <c r="Z311" s="282"/>
      <c r="AA311" s="364"/>
      <c r="AB311" s="361"/>
    </row>
    <row r="312" spans="1:28" s="271" customFormat="1">
      <c r="A312" s="253"/>
      <c r="B312" s="253"/>
      <c r="C312" s="253"/>
      <c r="D312" s="253"/>
      <c r="E312" s="267"/>
      <c r="F312" s="274" t="str">
        <f t="shared" si="10"/>
        <v/>
      </c>
      <c r="G312" s="274" t="str">
        <f t="shared" si="10"/>
        <v/>
      </c>
      <c r="H312" s="274" t="str">
        <f t="shared" si="10"/>
        <v/>
      </c>
      <c r="I312" s="17"/>
      <c r="J312" s="17"/>
      <c r="K312" s="253"/>
      <c r="L312" s="253"/>
      <c r="M312" s="253"/>
      <c r="N312" s="253"/>
      <c r="O312" s="253"/>
      <c r="P312" s="17"/>
      <c r="Q312" s="17"/>
      <c r="R312" s="180"/>
      <c r="S312" s="181"/>
      <c r="T312" s="268"/>
      <c r="U312" s="269"/>
      <c r="V312" s="270"/>
      <c r="W312" s="269"/>
      <c r="X312" s="278" t="str">
        <f t="shared" si="11"/>
        <v/>
      </c>
      <c r="Y312" s="282"/>
      <c r="Z312" s="282"/>
      <c r="AA312" s="364"/>
      <c r="AB312" s="361"/>
    </row>
    <row r="313" spans="1:28" s="271" customFormat="1">
      <c r="A313" s="253"/>
      <c r="B313" s="253"/>
      <c r="C313" s="253"/>
      <c r="D313" s="253"/>
      <c r="E313" s="267"/>
      <c r="F313" s="274" t="str">
        <f t="shared" si="10"/>
        <v/>
      </c>
      <c r="G313" s="274" t="str">
        <f t="shared" si="10"/>
        <v/>
      </c>
      <c r="H313" s="274" t="str">
        <f t="shared" si="10"/>
        <v/>
      </c>
      <c r="I313" s="17"/>
      <c r="J313" s="17"/>
      <c r="K313" s="253"/>
      <c r="L313" s="253"/>
      <c r="M313" s="253"/>
      <c r="N313" s="253"/>
      <c r="O313" s="253"/>
      <c r="P313" s="17"/>
      <c r="Q313" s="17"/>
      <c r="R313" s="180"/>
      <c r="S313" s="181"/>
      <c r="T313" s="268"/>
      <c r="U313" s="269"/>
      <c r="V313" s="270"/>
      <c r="W313" s="269"/>
      <c r="X313" s="278" t="str">
        <f t="shared" si="11"/>
        <v/>
      </c>
      <c r="Y313" s="282"/>
      <c r="Z313" s="282"/>
      <c r="AA313" s="364"/>
      <c r="AB313" s="361"/>
    </row>
    <row r="314" spans="1:28" s="271" customFormat="1">
      <c r="A314" s="253"/>
      <c r="B314" s="253"/>
      <c r="C314" s="253"/>
      <c r="D314" s="253"/>
      <c r="E314" s="267"/>
      <c r="F314" s="274" t="str">
        <f t="shared" si="10"/>
        <v/>
      </c>
      <c r="G314" s="274" t="str">
        <f t="shared" si="10"/>
        <v/>
      </c>
      <c r="H314" s="274" t="str">
        <f t="shared" si="10"/>
        <v/>
      </c>
      <c r="I314" s="17"/>
      <c r="J314" s="17"/>
      <c r="K314" s="253"/>
      <c r="L314" s="253"/>
      <c r="M314" s="253"/>
      <c r="N314" s="253"/>
      <c r="O314" s="253"/>
      <c r="P314" s="17"/>
      <c r="Q314" s="17"/>
      <c r="R314" s="180"/>
      <c r="S314" s="181"/>
      <c r="T314" s="268"/>
      <c r="U314" s="269"/>
      <c r="V314" s="270"/>
      <c r="W314" s="269"/>
      <c r="X314" s="278" t="str">
        <f t="shared" si="11"/>
        <v/>
      </c>
      <c r="Y314" s="282"/>
      <c r="Z314" s="282"/>
      <c r="AA314" s="364"/>
      <c r="AB314" s="361"/>
    </row>
    <row r="315" spans="1:28" s="271" customFormat="1">
      <c r="A315" s="253"/>
      <c r="B315" s="253"/>
      <c r="C315" s="253"/>
      <c r="D315" s="253"/>
      <c r="E315" s="267"/>
      <c r="F315" s="274" t="str">
        <f t="shared" si="10"/>
        <v/>
      </c>
      <c r="G315" s="274" t="str">
        <f t="shared" si="10"/>
        <v/>
      </c>
      <c r="H315" s="274" t="str">
        <f t="shared" si="10"/>
        <v/>
      </c>
      <c r="I315" s="17"/>
      <c r="J315" s="17"/>
      <c r="K315" s="253"/>
      <c r="L315" s="253"/>
      <c r="M315" s="253"/>
      <c r="N315" s="253"/>
      <c r="O315" s="253"/>
      <c r="P315" s="17"/>
      <c r="Q315" s="17"/>
      <c r="R315" s="180"/>
      <c r="S315" s="181"/>
      <c r="T315" s="268"/>
      <c r="U315" s="269"/>
      <c r="V315" s="270"/>
      <c r="W315" s="269"/>
      <c r="X315" s="278" t="str">
        <f t="shared" si="11"/>
        <v/>
      </c>
      <c r="Y315" s="282"/>
      <c r="Z315" s="282"/>
      <c r="AA315" s="364"/>
      <c r="AB315" s="361"/>
    </row>
    <row r="316" spans="1:28" s="271" customFormat="1">
      <c r="A316" s="253"/>
      <c r="B316" s="253"/>
      <c r="C316" s="253"/>
      <c r="D316" s="253"/>
      <c r="E316" s="267"/>
      <c r="F316" s="274" t="str">
        <f t="shared" si="10"/>
        <v/>
      </c>
      <c r="G316" s="274" t="str">
        <f t="shared" si="10"/>
        <v/>
      </c>
      <c r="H316" s="274" t="str">
        <f t="shared" si="10"/>
        <v/>
      </c>
      <c r="I316" s="17"/>
      <c r="J316" s="17"/>
      <c r="K316" s="253"/>
      <c r="L316" s="253"/>
      <c r="M316" s="253"/>
      <c r="N316" s="253"/>
      <c r="O316" s="253"/>
      <c r="P316" s="17"/>
      <c r="Q316" s="17"/>
      <c r="R316" s="180"/>
      <c r="S316" s="181"/>
      <c r="T316" s="268"/>
      <c r="U316" s="269"/>
      <c r="V316" s="270"/>
      <c r="W316" s="269"/>
      <c r="X316" s="278" t="str">
        <f t="shared" si="11"/>
        <v/>
      </c>
      <c r="Y316" s="282"/>
      <c r="Z316" s="282"/>
      <c r="AA316" s="364"/>
      <c r="AB316" s="361"/>
    </row>
    <row r="317" spans="1:28" s="271" customFormat="1">
      <c r="A317" s="253"/>
      <c r="B317" s="253"/>
      <c r="C317" s="253"/>
      <c r="D317" s="253"/>
      <c r="E317" s="267"/>
      <c r="F317" s="274" t="str">
        <f t="shared" si="10"/>
        <v/>
      </c>
      <c r="G317" s="274" t="str">
        <f t="shared" si="10"/>
        <v/>
      </c>
      <c r="H317" s="274" t="str">
        <f t="shared" si="10"/>
        <v/>
      </c>
      <c r="I317" s="17"/>
      <c r="J317" s="17"/>
      <c r="K317" s="253"/>
      <c r="L317" s="253"/>
      <c r="M317" s="253"/>
      <c r="N317" s="253"/>
      <c r="O317" s="253"/>
      <c r="P317" s="17"/>
      <c r="Q317" s="17"/>
      <c r="R317" s="180"/>
      <c r="S317" s="181"/>
      <c r="T317" s="268"/>
      <c r="U317" s="269"/>
      <c r="V317" s="270"/>
      <c r="W317" s="269"/>
      <c r="X317" s="278" t="str">
        <f t="shared" si="11"/>
        <v/>
      </c>
      <c r="Y317" s="282"/>
      <c r="Z317" s="282"/>
      <c r="AA317" s="364"/>
      <c r="AB317" s="361"/>
    </row>
    <row r="318" spans="1:28" s="271" customFormat="1">
      <c r="A318" s="253"/>
      <c r="B318" s="253"/>
      <c r="C318" s="253"/>
      <c r="D318" s="253"/>
      <c r="E318" s="267"/>
      <c r="F318" s="274" t="str">
        <f t="shared" si="10"/>
        <v/>
      </c>
      <c r="G318" s="274" t="str">
        <f t="shared" si="10"/>
        <v/>
      </c>
      <c r="H318" s="274" t="str">
        <f t="shared" si="10"/>
        <v/>
      </c>
      <c r="I318" s="17"/>
      <c r="J318" s="17"/>
      <c r="K318" s="253"/>
      <c r="L318" s="253"/>
      <c r="M318" s="253"/>
      <c r="N318" s="253"/>
      <c r="O318" s="253"/>
      <c r="P318" s="17"/>
      <c r="Q318" s="17"/>
      <c r="R318" s="180"/>
      <c r="S318" s="181"/>
      <c r="T318" s="268"/>
      <c r="U318" s="269"/>
      <c r="V318" s="270"/>
      <c r="W318" s="269"/>
      <c r="X318" s="278" t="str">
        <f t="shared" si="11"/>
        <v/>
      </c>
      <c r="Y318" s="282"/>
      <c r="Z318" s="282"/>
      <c r="AA318" s="364"/>
      <c r="AB318" s="361"/>
    </row>
    <row r="319" spans="1:28" s="271" customFormat="1">
      <c r="A319" s="253"/>
      <c r="B319" s="253"/>
      <c r="C319" s="253"/>
      <c r="D319" s="253"/>
      <c r="E319" s="267"/>
      <c r="F319" s="274" t="str">
        <f t="shared" si="10"/>
        <v/>
      </c>
      <c r="G319" s="274" t="str">
        <f t="shared" si="10"/>
        <v/>
      </c>
      <c r="H319" s="274" t="str">
        <f t="shared" si="10"/>
        <v/>
      </c>
      <c r="I319" s="17"/>
      <c r="J319" s="17"/>
      <c r="K319" s="253"/>
      <c r="L319" s="253"/>
      <c r="M319" s="253"/>
      <c r="N319" s="253"/>
      <c r="O319" s="253"/>
      <c r="P319" s="17"/>
      <c r="Q319" s="17"/>
      <c r="R319" s="180"/>
      <c r="S319" s="181"/>
      <c r="T319" s="268"/>
      <c r="U319" s="269"/>
      <c r="V319" s="270"/>
      <c r="W319" s="269"/>
      <c r="X319" s="278" t="str">
        <f t="shared" si="11"/>
        <v/>
      </c>
      <c r="Y319" s="282"/>
      <c r="Z319" s="282"/>
      <c r="AA319" s="364"/>
      <c r="AB319" s="361"/>
    </row>
    <row r="320" spans="1:28" s="271" customFormat="1">
      <c r="A320" s="253"/>
      <c r="B320" s="253"/>
      <c r="C320" s="253"/>
      <c r="D320" s="253"/>
      <c r="E320" s="267"/>
      <c r="F320" s="274" t="str">
        <f t="shared" si="10"/>
        <v/>
      </c>
      <c r="G320" s="274" t="str">
        <f t="shared" si="10"/>
        <v/>
      </c>
      <c r="H320" s="274" t="str">
        <f t="shared" si="10"/>
        <v/>
      </c>
      <c r="I320" s="17"/>
      <c r="J320" s="17"/>
      <c r="K320" s="253"/>
      <c r="L320" s="253"/>
      <c r="M320" s="253"/>
      <c r="N320" s="253"/>
      <c r="O320" s="253"/>
      <c r="P320" s="17"/>
      <c r="Q320" s="17"/>
      <c r="R320" s="180"/>
      <c r="S320" s="181"/>
      <c r="T320" s="268"/>
      <c r="U320" s="269"/>
      <c r="V320" s="270"/>
      <c r="W320" s="269"/>
      <c r="X320" s="278" t="str">
        <f t="shared" si="11"/>
        <v/>
      </c>
      <c r="Y320" s="282"/>
      <c r="Z320" s="282"/>
      <c r="AA320" s="364"/>
      <c r="AB320" s="361"/>
    </row>
    <row r="321" spans="1:28" s="271" customFormat="1">
      <c r="A321" s="253"/>
      <c r="B321" s="253"/>
      <c r="C321" s="253"/>
      <c r="D321" s="253"/>
      <c r="E321" s="267"/>
      <c r="F321" s="274" t="str">
        <f t="shared" si="10"/>
        <v/>
      </c>
      <c r="G321" s="274" t="str">
        <f t="shared" si="10"/>
        <v/>
      </c>
      <c r="H321" s="274" t="str">
        <f t="shared" si="10"/>
        <v/>
      </c>
      <c r="I321" s="17"/>
      <c r="J321" s="17"/>
      <c r="K321" s="253"/>
      <c r="L321" s="253"/>
      <c r="M321" s="253"/>
      <c r="N321" s="253"/>
      <c r="O321" s="253"/>
      <c r="P321" s="17"/>
      <c r="Q321" s="17"/>
      <c r="R321" s="180"/>
      <c r="S321" s="181"/>
      <c r="T321" s="268"/>
      <c r="U321" s="269"/>
      <c r="V321" s="270"/>
      <c r="W321" s="269"/>
      <c r="X321" s="278" t="str">
        <f t="shared" si="11"/>
        <v/>
      </c>
      <c r="Y321" s="282"/>
      <c r="Z321" s="282"/>
      <c r="AA321" s="364"/>
      <c r="AB321" s="361"/>
    </row>
    <row r="322" spans="1:28" s="271" customFormat="1">
      <c r="A322" s="253"/>
      <c r="B322" s="253"/>
      <c r="C322" s="253"/>
      <c r="D322" s="253"/>
      <c r="E322" s="267"/>
      <c r="F322" s="274" t="str">
        <f t="shared" si="10"/>
        <v/>
      </c>
      <c r="G322" s="274" t="str">
        <f t="shared" si="10"/>
        <v/>
      </c>
      <c r="H322" s="274" t="str">
        <f t="shared" si="10"/>
        <v/>
      </c>
      <c r="I322" s="17"/>
      <c r="J322" s="17"/>
      <c r="K322" s="253"/>
      <c r="L322" s="253"/>
      <c r="M322" s="253"/>
      <c r="N322" s="253"/>
      <c r="O322" s="253"/>
      <c r="P322" s="17"/>
      <c r="Q322" s="17"/>
      <c r="R322" s="180"/>
      <c r="S322" s="181"/>
      <c r="T322" s="268"/>
      <c r="U322" s="269"/>
      <c r="V322" s="270"/>
      <c r="W322" s="269"/>
      <c r="X322" s="278" t="str">
        <f t="shared" si="11"/>
        <v/>
      </c>
      <c r="Y322" s="282"/>
      <c r="Z322" s="282"/>
      <c r="AA322" s="364"/>
      <c r="AB322" s="361"/>
    </row>
    <row r="323" spans="1:28" s="271" customFormat="1">
      <c r="A323" s="253"/>
      <c r="B323" s="253"/>
      <c r="C323" s="253"/>
      <c r="D323" s="253"/>
      <c r="E323" s="267"/>
      <c r="F323" s="274" t="str">
        <f t="shared" si="10"/>
        <v/>
      </c>
      <c r="G323" s="274" t="str">
        <f t="shared" si="10"/>
        <v/>
      </c>
      <c r="H323" s="274" t="str">
        <f t="shared" si="10"/>
        <v/>
      </c>
      <c r="I323" s="17"/>
      <c r="J323" s="17"/>
      <c r="K323" s="253"/>
      <c r="L323" s="253"/>
      <c r="M323" s="253"/>
      <c r="N323" s="253"/>
      <c r="O323" s="253"/>
      <c r="P323" s="17"/>
      <c r="Q323" s="17"/>
      <c r="R323" s="180"/>
      <c r="S323" s="181"/>
      <c r="T323" s="268"/>
      <c r="U323" s="269"/>
      <c r="V323" s="270"/>
      <c r="W323" s="269"/>
      <c r="X323" s="278" t="str">
        <f t="shared" si="11"/>
        <v/>
      </c>
      <c r="Y323" s="282"/>
      <c r="Z323" s="282"/>
      <c r="AA323" s="364"/>
      <c r="AB323" s="361"/>
    </row>
    <row r="324" spans="1:28" s="271" customFormat="1">
      <c r="A324" s="253"/>
      <c r="B324" s="253"/>
      <c r="C324" s="253"/>
      <c r="D324" s="253"/>
      <c r="E324" s="267"/>
      <c r="F324" s="274" t="str">
        <f t="shared" si="10"/>
        <v/>
      </c>
      <c r="G324" s="274" t="str">
        <f t="shared" si="10"/>
        <v/>
      </c>
      <c r="H324" s="274" t="str">
        <f t="shared" si="10"/>
        <v/>
      </c>
      <c r="I324" s="17"/>
      <c r="J324" s="17"/>
      <c r="K324" s="253"/>
      <c r="L324" s="253"/>
      <c r="M324" s="253"/>
      <c r="N324" s="253"/>
      <c r="O324" s="253"/>
      <c r="P324" s="17"/>
      <c r="Q324" s="17"/>
      <c r="R324" s="180"/>
      <c r="S324" s="181"/>
      <c r="T324" s="268"/>
      <c r="U324" s="269"/>
      <c r="V324" s="270"/>
      <c r="W324" s="269"/>
      <c r="X324" s="278" t="str">
        <f t="shared" si="11"/>
        <v/>
      </c>
      <c r="Y324" s="282"/>
      <c r="Z324" s="282"/>
      <c r="AA324" s="364"/>
      <c r="AB324" s="361"/>
    </row>
    <row r="325" spans="1:28" s="271" customFormat="1">
      <c r="A325" s="253"/>
      <c r="B325" s="253"/>
      <c r="C325" s="253"/>
      <c r="D325" s="253"/>
      <c r="E325" s="267"/>
      <c r="F325" s="274" t="str">
        <f t="shared" si="10"/>
        <v/>
      </c>
      <c r="G325" s="274" t="str">
        <f t="shared" si="10"/>
        <v/>
      </c>
      <c r="H325" s="274" t="str">
        <f t="shared" si="10"/>
        <v/>
      </c>
      <c r="I325" s="17"/>
      <c r="J325" s="17"/>
      <c r="K325" s="253"/>
      <c r="L325" s="253"/>
      <c r="M325" s="253"/>
      <c r="N325" s="253"/>
      <c r="O325" s="253"/>
      <c r="P325" s="17"/>
      <c r="Q325" s="17"/>
      <c r="R325" s="180"/>
      <c r="S325" s="181"/>
      <c r="T325" s="268"/>
      <c r="U325" s="269"/>
      <c r="V325" s="270"/>
      <c r="W325" s="269"/>
      <c r="X325" s="278" t="str">
        <f t="shared" si="11"/>
        <v/>
      </c>
      <c r="Y325" s="282"/>
      <c r="Z325" s="282"/>
      <c r="AA325" s="364"/>
      <c r="AB325" s="361"/>
    </row>
    <row r="326" spans="1:28" s="271" customFormat="1">
      <c r="A326" s="253"/>
      <c r="B326" s="253"/>
      <c r="C326" s="253"/>
      <c r="D326" s="253"/>
      <c r="E326" s="267"/>
      <c r="F326" s="274" t="str">
        <f t="shared" si="10"/>
        <v/>
      </c>
      <c r="G326" s="274" t="str">
        <f t="shared" si="10"/>
        <v/>
      </c>
      <c r="H326" s="274" t="str">
        <f t="shared" si="10"/>
        <v/>
      </c>
      <c r="I326" s="17"/>
      <c r="J326" s="17"/>
      <c r="K326" s="253"/>
      <c r="L326" s="253"/>
      <c r="M326" s="253"/>
      <c r="N326" s="253"/>
      <c r="O326" s="253"/>
      <c r="P326" s="17"/>
      <c r="Q326" s="17"/>
      <c r="R326" s="180"/>
      <c r="S326" s="181"/>
      <c r="T326" s="268"/>
      <c r="U326" s="269"/>
      <c r="V326" s="270"/>
      <c r="W326" s="269"/>
      <c r="X326" s="278" t="str">
        <f t="shared" si="11"/>
        <v/>
      </c>
      <c r="Y326" s="282"/>
      <c r="Z326" s="282"/>
      <c r="AA326" s="364"/>
      <c r="AB326" s="361"/>
    </row>
    <row r="327" spans="1:28" s="271" customFormat="1">
      <c r="A327" s="253"/>
      <c r="B327" s="253"/>
      <c r="C327" s="253"/>
      <c r="D327" s="253"/>
      <c r="E327" s="267"/>
      <c r="F327" s="274" t="str">
        <f t="shared" si="10"/>
        <v/>
      </c>
      <c r="G327" s="274" t="str">
        <f t="shared" si="10"/>
        <v/>
      </c>
      <c r="H327" s="274" t="str">
        <f t="shared" si="10"/>
        <v/>
      </c>
      <c r="I327" s="17"/>
      <c r="J327" s="17"/>
      <c r="K327" s="253"/>
      <c r="L327" s="253"/>
      <c r="M327" s="253"/>
      <c r="N327" s="253"/>
      <c r="O327" s="253"/>
      <c r="P327" s="17"/>
      <c r="Q327" s="17"/>
      <c r="R327" s="180"/>
      <c r="S327" s="181"/>
      <c r="T327" s="268"/>
      <c r="U327" s="269"/>
      <c r="V327" s="270"/>
      <c r="W327" s="269"/>
      <c r="X327" s="278" t="str">
        <f t="shared" si="11"/>
        <v/>
      </c>
      <c r="Y327" s="282"/>
      <c r="Z327" s="282"/>
      <c r="AA327" s="364"/>
      <c r="AB327" s="361"/>
    </row>
    <row r="328" spans="1:28" s="271" customFormat="1">
      <c r="A328" s="253"/>
      <c r="B328" s="253"/>
      <c r="C328" s="253"/>
      <c r="D328" s="253"/>
      <c r="E328" s="267"/>
      <c r="F328" s="274" t="str">
        <f t="shared" si="10"/>
        <v/>
      </c>
      <c r="G328" s="274" t="str">
        <f t="shared" si="10"/>
        <v/>
      </c>
      <c r="H328" s="274" t="str">
        <f t="shared" si="10"/>
        <v/>
      </c>
      <c r="I328" s="17"/>
      <c r="J328" s="17"/>
      <c r="K328" s="253"/>
      <c r="L328" s="253"/>
      <c r="M328" s="253"/>
      <c r="N328" s="253"/>
      <c r="O328" s="253"/>
      <c r="P328" s="17"/>
      <c r="Q328" s="17"/>
      <c r="R328" s="180"/>
      <c r="S328" s="181"/>
      <c r="T328" s="268"/>
      <c r="U328" s="269"/>
      <c r="V328" s="270"/>
      <c r="W328" s="269"/>
      <c r="X328" s="278" t="str">
        <f t="shared" si="11"/>
        <v/>
      </c>
      <c r="Y328" s="282"/>
      <c r="Z328" s="282"/>
      <c r="AA328" s="364"/>
      <c r="AB328" s="361"/>
    </row>
    <row r="329" spans="1:28" s="271" customFormat="1">
      <c r="A329" s="253"/>
      <c r="B329" s="253"/>
      <c r="C329" s="253"/>
      <c r="D329" s="253"/>
      <c r="E329" s="267"/>
      <c r="F329" s="274" t="str">
        <f t="shared" si="10"/>
        <v/>
      </c>
      <c r="G329" s="274" t="str">
        <f t="shared" si="10"/>
        <v/>
      </c>
      <c r="H329" s="274" t="str">
        <f t="shared" si="10"/>
        <v/>
      </c>
      <c r="I329" s="17"/>
      <c r="J329" s="17"/>
      <c r="K329" s="253"/>
      <c r="L329" s="253"/>
      <c r="M329" s="253"/>
      <c r="N329" s="253"/>
      <c r="O329" s="253"/>
      <c r="P329" s="17"/>
      <c r="Q329" s="17"/>
      <c r="R329" s="180"/>
      <c r="S329" s="181"/>
      <c r="T329" s="268"/>
      <c r="U329" s="269"/>
      <c r="V329" s="270"/>
      <c r="W329" s="269"/>
      <c r="X329" s="278" t="str">
        <f t="shared" si="11"/>
        <v/>
      </c>
      <c r="Y329" s="282"/>
      <c r="Z329" s="282"/>
      <c r="AA329" s="364"/>
      <c r="AB329" s="361"/>
    </row>
    <row r="330" spans="1:28" s="271" customFormat="1">
      <c r="A330" s="253"/>
      <c r="B330" s="253"/>
      <c r="C330" s="253"/>
      <c r="D330" s="253"/>
      <c r="E330" s="267"/>
      <c r="F330" s="274" t="str">
        <f t="shared" si="10"/>
        <v/>
      </c>
      <c r="G330" s="274" t="str">
        <f t="shared" si="10"/>
        <v/>
      </c>
      <c r="H330" s="274" t="str">
        <f t="shared" si="10"/>
        <v/>
      </c>
      <c r="I330" s="17"/>
      <c r="J330" s="17"/>
      <c r="K330" s="253"/>
      <c r="L330" s="253"/>
      <c r="M330" s="253"/>
      <c r="N330" s="253"/>
      <c r="O330" s="253"/>
      <c r="P330" s="17"/>
      <c r="Q330" s="17"/>
      <c r="R330" s="180"/>
      <c r="S330" s="181"/>
      <c r="T330" s="268"/>
      <c r="U330" s="269"/>
      <c r="V330" s="270"/>
      <c r="W330" s="269"/>
      <c r="X330" s="278" t="str">
        <f t="shared" si="11"/>
        <v/>
      </c>
      <c r="Y330" s="282"/>
      <c r="Z330" s="282"/>
      <c r="AA330" s="364"/>
      <c r="AB330" s="361"/>
    </row>
    <row r="331" spans="1:28" s="271" customFormat="1">
      <c r="A331" s="253"/>
      <c r="B331" s="253"/>
      <c r="C331" s="253"/>
      <c r="D331" s="253"/>
      <c r="E331" s="267"/>
      <c r="F331" s="274" t="str">
        <f t="shared" si="10"/>
        <v/>
      </c>
      <c r="G331" s="274" t="str">
        <f t="shared" si="10"/>
        <v/>
      </c>
      <c r="H331" s="274" t="str">
        <f t="shared" si="10"/>
        <v/>
      </c>
      <c r="I331" s="17"/>
      <c r="J331" s="17"/>
      <c r="K331" s="253"/>
      <c r="L331" s="253"/>
      <c r="M331" s="253"/>
      <c r="N331" s="253"/>
      <c r="O331" s="253"/>
      <c r="P331" s="17"/>
      <c r="Q331" s="17"/>
      <c r="R331" s="180"/>
      <c r="S331" s="181"/>
      <c r="T331" s="268"/>
      <c r="U331" s="269"/>
      <c r="V331" s="270"/>
      <c r="W331" s="269"/>
      <c r="X331" s="278" t="str">
        <f t="shared" si="11"/>
        <v/>
      </c>
      <c r="Y331" s="282"/>
      <c r="Z331" s="282"/>
      <c r="AA331" s="364"/>
      <c r="AB331" s="361"/>
    </row>
    <row r="332" spans="1:28" s="271" customFormat="1">
      <c r="A332" s="253"/>
      <c r="B332" s="253"/>
      <c r="C332" s="253"/>
      <c r="D332" s="253"/>
      <c r="E332" s="267"/>
      <c r="F332" s="274" t="str">
        <f t="shared" si="10"/>
        <v/>
      </c>
      <c r="G332" s="274" t="str">
        <f t="shared" si="10"/>
        <v/>
      </c>
      <c r="H332" s="274" t="str">
        <f t="shared" si="10"/>
        <v/>
      </c>
      <c r="I332" s="17"/>
      <c r="J332" s="17"/>
      <c r="K332" s="253"/>
      <c r="L332" s="253"/>
      <c r="M332" s="253"/>
      <c r="N332" s="253"/>
      <c r="O332" s="253"/>
      <c r="P332" s="17"/>
      <c r="Q332" s="17"/>
      <c r="R332" s="180"/>
      <c r="S332" s="181"/>
      <c r="T332" s="268"/>
      <c r="U332" s="269"/>
      <c r="V332" s="270"/>
      <c r="W332" s="269"/>
      <c r="X332" s="278" t="str">
        <f t="shared" si="11"/>
        <v/>
      </c>
      <c r="Y332" s="282"/>
      <c r="Z332" s="282"/>
      <c r="AA332" s="364"/>
      <c r="AB332" s="361"/>
    </row>
    <row r="333" spans="1:28" s="271" customFormat="1">
      <c r="A333" s="253"/>
      <c r="B333" s="253"/>
      <c r="C333" s="253"/>
      <c r="D333" s="253"/>
      <c r="E333" s="267"/>
      <c r="F333" s="274" t="str">
        <f t="shared" si="10"/>
        <v/>
      </c>
      <c r="G333" s="274" t="str">
        <f t="shared" si="10"/>
        <v/>
      </c>
      <c r="H333" s="274" t="str">
        <f t="shared" si="10"/>
        <v/>
      </c>
      <c r="I333" s="17"/>
      <c r="J333" s="17"/>
      <c r="K333" s="253"/>
      <c r="L333" s="253"/>
      <c r="M333" s="253"/>
      <c r="N333" s="253"/>
      <c r="O333" s="253"/>
      <c r="P333" s="17"/>
      <c r="Q333" s="17"/>
      <c r="R333" s="180"/>
      <c r="S333" s="181"/>
      <c r="T333" s="268"/>
      <c r="U333" s="269"/>
      <c r="V333" s="270"/>
      <c r="W333" s="269"/>
      <c r="X333" s="278" t="str">
        <f t="shared" si="11"/>
        <v/>
      </c>
      <c r="Y333" s="282"/>
      <c r="Z333" s="282"/>
      <c r="AA333" s="364"/>
      <c r="AB333" s="361"/>
    </row>
    <row r="334" spans="1:28" s="271" customFormat="1">
      <c r="A334" s="253"/>
      <c r="B334" s="253"/>
      <c r="C334" s="253"/>
      <c r="D334" s="253"/>
      <c r="E334" s="267"/>
      <c r="F334" s="274" t="str">
        <f t="shared" si="10"/>
        <v/>
      </c>
      <c r="G334" s="274" t="str">
        <f t="shared" si="10"/>
        <v/>
      </c>
      <c r="H334" s="274" t="str">
        <f t="shared" si="10"/>
        <v/>
      </c>
      <c r="I334" s="17"/>
      <c r="J334" s="17"/>
      <c r="K334" s="253"/>
      <c r="L334" s="253"/>
      <c r="M334" s="253"/>
      <c r="N334" s="253"/>
      <c r="O334" s="253"/>
      <c r="P334" s="17"/>
      <c r="Q334" s="17"/>
      <c r="R334" s="180"/>
      <c r="S334" s="181"/>
      <c r="T334" s="268"/>
      <c r="U334" s="269"/>
      <c r="V334" s="270"/>
      <c r="W334" s="269"/>
      <c r="X334" s="278" t="str">
        <f t="shared" si="11"/>
        <v/>
      </c>
      <c r="Y334" s="282"/>
      <c r="Z334" s="282"/>
      <c r="AA334" s="364"/>
      <c r="AB334" s="361"/>
    </row>
    <row r="335" spans="1:28" s="271" customFormat="1">
      <c r="A335" s="253"/>
      <c r="B335" s="253"/>
      <c r="C335" s="253"/>
      <c r="D335" s="253"/>
      <c r="E335" s="267"/>
      <c r="F335" s="274" t="str">
        <f t="shared" si="10"/>
        <v/>
      </c>
      <c r="G335" s="274" t="str">
        <f t="shared" si="10"/>
        <v/>
      </c>
      <c r="H335" s="274" t="str">
        <f t="shared" si="10"/>
        <v/>
      </c>
      <c r="I335" s="17"/>
      <c r="J335" s="17"/>
      <c r="K335" s="253"/>
      <c r="L335" s="253"/>
      <c r="M335" s="253"/>
      <c r="N335" s="253"/>
      <c r="O335" s="253"/>
      <c r="P335" s="17"/>
      <c r="Q335" s="17"/>
      <c r="R335" s="180"/>
      <c r="S335" s="181"/>
      <c r="T335" s="268"/>
      <c r="U335" s="269"/>
      <c r="V335" s="270"/>
      <c r="W335" s="269"/>
      <c r="X335" s="278" t="str">
        <f t="shared" si="11"/>
        <v/>
      </c>
      <c r="Y335" s="282"/>
      <c r="Z335" s="282"/>
      <c r="AA335" s="364"/>
      <c r="AB335" s="361"/>
    </row>
    <row r="336" spans="1:28" s="271" customFormat="1">
      <c r="A336" s="253"/>
      <c r="B336" s="253"/>
      <c r="C336" s="253"/>
      <c r="D336" s="253"/>
      <c r="E336" s="267"/>
      <c r="F336" s="274" t="str">
        <f t="shared" si="10"/>
        <v/>
      </c>
      <c r="G336" s="274" t="str">
        <f t="shared" si="10"/>
        <v/>
      </c>
      <c r="H336" s="274" t="str">
        <f t="shared" si="10"/>
        <v/>
      </c>
      <c r="I336" s="17"/>
      <c r="J336" s="17"/>
      <c r="K336" s="253"/>
      <c r="L336" s="253"/>
      <c r="M336" s="253"/>
      <c r="N336" s="253"/>
      <c r="O336" s="253"/>
      <c r="P336" s="17"/>
      <c r="Q336" s="17"/>
      <c r="R336" s="180"/>
      <c r="S336" s="181"/>
      <c r="T336" s="268"/>
      <c r="U336" s="269"/>
      <c r="V336" s="270"/>
      <c r="W336" s="269"/>
      <c r="X336" s="278" t="str">
        <f t="shared" si="11"/>
        <v/>
      </c>
      <c r="Y336" s="282"/>
      <c r="Z336" s="282"/>
      <c r="AA336" s="364"/>
      <c r="AB336" s="361"/>
    </row>
    <row r="337" spans="1:28" s="271" customFormat="1">
      <c r="A337" s="253"/>
      <c r="B337" s="253"/>
      <c r="C337" s="253"/>
      <c r="D337" s="253"/>
      <c r="E337" s="267"/>
      <c r="F337" s="274" t="str">
        <f t="shared" si="10"/>
        <v/>
      </c>
      <c r="G337" s="274" t="str">
        <f t="shared" si="10"/>
        <v/>
      </c>
      <c r="H337" s="274" t="str">
        <f t="shared" si="10"/>
        <v/>
      </c>
      <c r="I337" s="17"/>
      <c r="J337" s="17"/>
      <c r="K337" s="253"/>
      <c r="L337" s="253"/>
      <c r="M337" s="253"/>
      <c r="N337" s="253"/>
      <c r="O337" s="253"/>
      <c r="P337" s="17"/>
      <c r="Q337" s="17"/>
      <c r="R337" s="180"/>
      <c r="S337" s="181"/>
      <c r="T337" s="268"/>
      <c r="U337" s="269"/>
      <c r="V337" s="270"/>
      <c r="W337" s="269"/>
      <c r="X337" s="278" t="str">
        <f t="shared" si="11"/>
        <v/>
      </c>
      <c r="Y337" s="282"/>
      <c r="Z337" s="282"/>
      <c r="AA337" s="364"/>
      <c r="AB337" s="361"/>
    </row>
    <row r="338" spans="1:28" s="271" customFormat="1">
      <c r="A338" s="253"/>
      <c r="B338" s="253"/>
      <c r="C338" s="253"/>
      <c r="D338" s="253"/>
      <c r="E338" s="267"/>
      <c r="F338" s="274" t="str">
        <f t="shared" si="10"/>
        <v/>
      </c>
      <c r="G338" s="274" t="str">
        <f t="shared" si="10"/>
        <v/>
      </c>
      <c r="H338" s="274" t="str">
        <f t="shared" si="10"/>
        <v/>
      </c>
      <c r="I338" s="17"/>
      <c r="J338" s="17"/>
      <c r="K338" s="253"/>
      <c r="L338" s="253"/>
      <c r="M338" s="253"/>
      <c r="N338" s="253"/>
      <c r="O338" s="253"/>
      <c r="P338" s="17"/>
      <c r="Q338" s="17"/>
      <c r="R338" s="180"/>
      <c r="S338" s="181"/>
      <c r="T338" s="268"/>
      <c r="U338" s="269"/>
      <c r="V338" s="270"/>
      <c r="W338" s="269"/>
      <c r="X338" s="278" t="str">
        <f t="shared" si="11"/>
        <v/>
      </c>
      <c r="Y338" s="282"/>
      <c r="Z338" s="282"/>
      <c r="AA338" s="364"/>
      <c r="AB338" s="361"/>
    </row>
    <row r="339" spans="1:28" s="271" customFormat="1">
      <c r="A339" s="253"/>
      <c r="B339" s="253"/>
      <c r="C339" s="253"/>
      <c r="D339" s="253"/>
      <c r="E339" s="267"/>
      <c r="F339" s="274" t="str">
        <f t="shared" si="10"/>
        <v/>
      </c>
      <c r="G339" s="274" t="str">
        <f t="shared" si="10"/>
        <v/>
      </c>
      <c r="H339" s="274" t="str">
        <f t="shared" si="10"/>
        <v/>
      </c>
      <c r="I339" s="17"/>
      <c r="J339" s="17"/>
      <c r="K339" s="253"/>
      <c r="L339" s="253"/>
      <c r="M339" s="253"/>
      <c r="N339" s="253"/>
      <c r="O339" s="253"/>
      <c r="P339" s="17"/>
      <c r="Q339" s="17"/>
      <c r="R339" s="180"/>
      <c r="S339" s="181"/>
      <c r="T339" s="268"/>
      <c r="U339" s="269"/>
      <c r="V339" s="270"/>
      <c r="W339" s="269"/>
      <c r="X339" s="278" t="str">
        <f t="shared" si="11"/>
        <v/>
      </c>
      <c r="Y339" s="282"/>
      <c r="Z339" s="282"/>
      <c r="AA339" s="364"/>
      <c r="AB339" s="361"/>
    </row>
    <row r="340" spans="1:28" s="271" customFormat="1">
      <c r="A340" s="253"/>
      <c r="B340" s="253"/>
      <c r="C340" s="253"/>
      <c r="D340" s="253"/>
      <c r="E340" s="267"/>
      <c r="F340" s="274" t="str">
        <f t="shared" si="10"/>
        <v/>
      </c>
      <c r="G340" s="274" t="str">
        <f t="shared" si="10"/>
        <v/>
      </c>
      <c r="H340" s="274" t="str">
        <f t="shared" si="10"/>
        <v/>
      </c>
      <c r="I340" s="17"/>
      <c r="J340" s="17"/>
      <c r="K340" s="253"/>
      <c r="L340" s="253"/>
      <c r="M340" s="253"/>
      <c r="N340" s="253"/>
      <c r="O340" s="253"/>
      <c r="P340" s="17"/>
      <c r="Q340" s="17"/>
      <c r="R340" s="180"/>
      <c r="S340" s="181"/>
      <c r="T340" s="268"/>
      <c r="U340" s="269"/>
      <c r="V340" s="270"/>
      <c r="W340" s="269"/>
      <c r="X340" s="278" t="str">
        <f t="shared" si="11"/>
        <v/>
      </c>
      <c r="Y340" s="282"/>
      <c r="Z340" s="282"/>
      <c r="AA340" s="364"/>
      <c r="AB340" s="361"/>
    </row>
    <row r="341" spans="1:28" s="271" customFormat="1">
      <c r="A341" s="253"/>
      <c r="B341" s="253"/>
      <c r="C341" s="253"/>
      <c r="D341" s="253"/>
      <c r="E341" s="267"/>
      <c r="F341" s="274" t="str">
        <f t="shared" si="10"/>
        <v/>
      </c>
      <c r="G341" s="274" t="str">
        <f t="shared" si="10"/>
        <v/>
      </c>
      <c r="H341" s="274" t="str">
        <f t="shared" si="10"/>
        <v/>
      </c>
      <c r="I341" s="17"/>
      <c r="J341" s="17"/>
      <c r="K341" s="253"/>
      <c r="L341" s="253"/>
      <c r="M341" s="253"/>
      <c r="N341" s="253"/>
      <c r="O341" s="253"/>
      <c r="P341" s="17"/>
      <c r="Q341" s="17"/>
      <c r="R341" s="180"/>
      <c r="S341" s="181"/>
      <c r="T341" s="268"/>
      <c r="U341" s="269"/>
      <c r="V341" s="270"/>
      <c r="W341" s="269"/>
      <c r="X341" s="278" t="str">
        <f t="shared" si="11"/>
        <v/>
      </c>
      <c r="Y341" s="282"/>
      <c r="Z341" s="282"/>
      <c r="AA341" s="364"/>
      <c r="AB341" s="361"/>
    </row>
    <row r="342" spans="1:28" s="271" customFormat="1">
      <c r="A342" s="253"/>
      <c r="B342" s="253"/>
      <c r="C342" s="253"/>
      <c r="D342" s="253"/>
      <c r="E342" s="267"/>
      <c r="F342" s="274" t="str">
        <f t="shared" si="10"/>
        <v/>
      </c>
      <c r="G342" s="274" t="str">
        <f t="shared" si="10"/>
        <v/>
      </c>
      <c r="H342" s="274" t="str">
        <f t="shared" si="10"/>
        <v/>
      </c>
      <c r="I342" s="17"/>
      <c r="J342" s="17"/>
      <c r="K342" s="253"/>
      <c r="L342" s="253"/>
      <c r="M342" s="253"/>
      <c r="N342" s="253"/>
      <c r="O342" s="253"/>
      <c r="P342" s="17"/>
      <c r="Q342" s="17"/>
      <c r="R342" s="180"/>
      <c r="S342" s="181"/>
      <c r="T342" s="268"/>
      <c r="U342" s="269"/>
      <c r="V342" s="270"/>
      <c r="W342" s="269"/>
      <c r="X342" s="278" t="str">
        <f t="shared" si="11"/>
        <v/>
      </c>
      <c r="Y342" s="282"/>
      <c r="Z342" s="282"/>
      <c r="AA342" s="364"/>
      <c r="AB342" s="361"/>
    </row>
    <row r="343" spans="1:28" s="271" customFormat="1">
      <c r="A343" s="253"/>
      <c r="B343" s="253"/>
      <c r="C343" s="253"/>
      <c r="D343" s="253"/>
      <c r="E343" s="267"/>
      <c r="F343" s="274" t="str">
        <f t="shared" si="10"/>
        <v/>
      </c>
      <c r="G343" s="274" t="str">
        <f t="shared" si="10"/>
        <v/>
      </c>
      <c r="H343" s="274" t="str">
        <f t="shared" si="10"/>
        <v/>
      </c>
      <c r="I343" s="17"/>
      <c r="J343" s="17"/>
      <c r="K343" s="253"/>
      <c r="L343" s="253"/>
      <c r="M343" s="253"/>
      <c r="N343" s="253"/>
      <c r="O343" s="253"/>
      <c r="P343" s="17"/>
      <c r="Q343" s="17"/>
      <c r="R343" s="180"/>
      <c r="S343" s="181"/>
      <c r="T343" s="268"/>
      <c r="U343" s="269"/>
      <c r="V343" s="270"/>
      <c r="W343" s="269"/>
      <c r="X343" s="278" t="str">
        <f t="shared" si="11"/>
        <v/>
      </c>
      <c r="Y343" s="282"/>
      <c r="Z343" s="282"/>
      <c r="AA343" s="364"/>
      <c r="AB343" s="361"/>
    </row>
    <row r="344" spans="1:28" s="271" customFormat="1">
      <c r="A344" s="253"/>
      <c r="B344" s="253"/>
      <c r="C344" s="253"/>
      <c r="D344" s="253"/>
      <c r="E344" s="267"/>
      <c r="F344" s="274" t="str">
        <f t="shared" si="10"/>
        <v/>
      </c>
      <c r="G344" s="274" t="str">
        <f t="shared" si="10"/>
        <v/>
      </c>
      <c r="H344" s="274" t="str">
        <f t="shared" si="10"/>
        <v/>
      </c>
      <c r="I344" s="17"/>
      <c r="J344" s="17"/>
      <c r="K344" s="253"/>
      <c r="L344" s="253"/>
      <c r="M344" s="253"/>
      <c r="N344" s="253"/>
      <c r="O344" s="253"/>
      <c r="P344" s="17"/>
      <c r="Q344" s="17"/>
      <c r="R344" s="180"/>
      <c r="S344" s="181"/>
      <c r="T344" s="268"/>
      <c r="U344" s="269"/>
      <c r="V344" s="270"/>
      <c r="W344" s="269"/>
      <c r="X344" s="278" t="str">
        <f t="shared" si="11"/>
        <v/>
      </c>
      <c r="Y344" s="282"/>
      <c r="Z344" s="282"/>
      <c r="AA344" s="364"/>
      <c r="AB344" s="361"/>
    </row>
    <row r="345" spans="1:28" s="271" customFormat="1">
      <c r="A345" s="253"/>
      <c r="B345" s="253"/>
      <c r="C345" s="253"/>
      <c r="D345" s="253"/>
      <c r="E345" s="267"/>
      <c r="F345" s="274" t="str">
        <f t="shared" si="10"/>
        <v/>
      </c>
      <c r="G345" s="274" t="str">
        <f t="shared" si="10"/>
        <v/>
      </c>
      <c r="H345" s="274" t="str">
        <f t="shared" si="10"/>
        <v/>
      </c>
      <c r="I345" s="17"/>
      <c r="J345" s="17"/>
      <c r="K345" s="253"/>
      <c r="L345" s="253"/>
      <c r="M345" s="253"/>
      <c r="N345" s="253"/>
      <c r="O345" s="253"/>
      <c r="P345" s="17"/>
      <c r="Q345" s="17"/>
      <c r="R345" s="180"/>
      <c r="S345" s="181"/>
      <c r="T345" s="268"/>
      <c r="U345" s="269"/>
      <c r="V345" s="270"/>
      <c r="W345" s="269"/>
      <c r="X345" s="278" t="str">
        <f t="shared" si="11"/>
        <v/>
      </c>
      <c r="Y345" s="282"/>
      <c r="Z345" s="282"/>
      <c r="AA345" s="364"/>
      <c r="AB345" s="361"/>
    </row>
    <row r="346" spans="1:28" s="271" customFormat="1">
      <c r="A346" s="253"/>
      <c r="B346" s="253"/>
      <c r="C346" s="253"/>
      <c r="D346" s="253"/>
      <c r="E346" s="267"/>
      <c r="F346" s="274" t="str">
        <f t="shared" si="10"/>
        <v/>
      </c>
      <c r="G346" s="274" t="str">
        <f t="shared" si="10"/>
        <v/>
      </c>
      <c r="H346" s="274" t="str">
        <f t="shared" si="10"/>
        <v/>
      </c>
      <c r="I346" s="17"/>
      <c r="J346" s="17"/>
      <c r="K346" s="253"/>
      <c r="L346" s="253"/>
      <c r="M346" s="253"/>
      <c r="N346" s="253"/>
      <c r="O346" s="253"/>
      <c r="P346" s="17"/>
      <c r="Q346" s="17"/>
      <c r="R346" s="180"/>
      <c r="S346" s="181"/>
      <c r="T346" s="268"/>
      <c r="U346" s="269"/>
      <c r="V346" s="270"/>
      <c r="W346" s="269"/>
      <c r="X346" s="278" t="str">
        <f t="shared" si="11"/>
        <v/>
      </c>
      <c r="Y346" s="282"/>
      <c r="Z346" s="282"/>
      <c r="AA346" s="364"/>
      <c r="AB346" s="361"/>
    </row>
    <row r="347" spans="1:28" s="271" customFormat="1">
      <c r="A347" s="253"/>
      <c r="B347" s="253"/>
      <c r="C347" s="253"/>
      <c r="D347" s="253"/>
      <c r="E347" s="267"/>
      <c r="F347" s="274" t="str">
        <f t="shared" si="10"/>
        <v/>
      </c>
      <c r="G347" s="274" t="str">
        <f t="shared" si="10"/>
        <v/>
      </c>
      <c r="H347" s="274" t="str">
        <f t="shared" si="10"/>
        <v/>
      </c>
      <c r="I347" s="17"/>
      <c r="J347" s="17"/>
      <c r="K347" s="253"/>
      <c r="L347" s="253"/>
      <c r="M347" s="253"/>
      <c r="N347" s="253"/>
      <c r="O347" s="253"/>
      <c r="P347" s="17"/>
      <c r="Q347" s="17"/>
      <c r="R347" s="180"/>
      <c r="S347" s="181"/>
      <c r="T347" s="268"/>
      <c r="U347" s="269"/>
      <c r="V347" s="270"/>
      <c r="W347" s="269"/>
      <c r="X347" s="278" t="str">
        <f t="shared" si="11"/>
        <v/>
      </c>
      <c r="Y347" s="282"/>
      <c r="Z347" s="282"/>
      <c r="AA347" s="364"/>
      <c r="AB347" s="361"/>
    </row>
    <row r="348" spans="1:28" s="271" customFormat="1">
      <c r="A348" s="253"/>
      <c r="B348" s="253"/>
      <c r="C348" s="253"/>
      <c r="D348" s="253"/>
      <c r="E348" s="267"/>
      <c r="F348" s="274" t="str">
        <f t="shared" si="10"/>
        <v/>
      </c>
      <c r="G348" s="274" t="str">
        <f t="shared" si="10"/>
        <v/>
      </c>
      <c r="H348" s="274" t="str">
        <f t="shared" si="10"/>
        <v/>
      </c>
      <c r="I348" s="17"/>
      <c r="J348" s="17"/>
      <c r="K348" s="253"/>
      <c r="L348" s="253"/>
      <c r="M348" s="253"/>
      <c r="N348" s="253"/>
      <c r="O348" s="253"/>
      <c r="P348" s="17"/>
      <c r="Q348" s="17"/>
      <c r="R348" s="180"/>
      <c r="S348" s="181"/>
      <c r="T348" s="268"/>
      <c r="U348" s="269"/>
      <c r="V348" s="270"/>
      <c r="W348" s="269"/>
      <c r="X348" s="278" t="str">
        <f t="shared" si="11"/>
        <v/>
      </c>
      <c r="Y348" s="282"/>
      <c r="Z348" s="282"/>
      <c r="AA348" s="364"/>
      <c r="AB348" s="361"/>
    </row>
    <row r="349" spans="1:28" s="271" customFormat="1">
      <c r="A349" s="253"/>
      <c r="B349" s="253"/>
      <c r="C349" s="253"/>
      <c r="D349" s="253"/>
      <c r="E349" s="267"/>
      <c r="F349" s="274" t="str">
        <f t="shared" si="10"/>
        <v/>
      </c>
      <c r="G349" s="274" t="str">
        <f t="shared" si="10"/>
        <v/>
      </c>
      <c r="H349" s="274" t="str">
        <f t="shared" si="10"/>
        <v/>
      </c>
      <c r="I349" s="17"/>
      <c r="J349" s="17"/>
      <c r="K349" s="253"/>
      <c r="L349" s="253"/>
      <c r="M349" s="253"/>
      <c r="N349" s="253"/>
      <c r="O349" s="253"/>
      <c r="P349" s="17"/>
      <c r="Q349" s="17"/>
      <c r="R349" s="180"/>
      <c r="S349" s="181"/>
      <c r="T349" s="268"/>
      <c r="U349" s="269"/>
      <c r="V349" s="270"/>
      <c r="W349" s="269"/>
      <c r="X349" s="278" t="str">
        <f t="shared" si="11"/>
        <v/>
      </c>
      <c r="Y349" s="282"/>
      <c r="Z349" s="282"/>
      <c r="AA349" s="364"/>
      <c r="AB349" s="361"/>
    </row>
    <row r="350" spans="1:28" s="271" customFormat="1">
      <c r="A350" s="253"/>
      <c r="B350" s="253"/>
      <c r="C350" s="253"/>
      <c r="D350" s="253"/>
      <c r="E350" s="267"/>
      <c r="F350" s="274" t="str">
        <f t="shared" si="10"/>
        <v/>
      </c>
      <c r="G350" s="274" t="str">
        <f t="shared" si="10"/>
        <v/>
      </c>
      <c r="H350" s="274" t="str">
        <f t="shared" si="10"/>
        <v/>
      </c>
      <c r="I350" s="17"/>
      <c r="J350" s="17"/>
      <c r="K350" s="253"/>
      <c r="L350" s="253"/>
      <c r="M350" s="253"/>
      <c r="N350" s="253"/>
      <c r="O350" s="253"/>
      <c r="P350" s="17"/>
      <c r="Q350" s="17"/>
      <c r="R350" s="180"/>
      <c r="S350" s="181"/>
      <c r="T350" s="268"/>
      <c r="U350" s="269"/>
      <c r="V350" s="270"/>
      <c r="W350" s="269"/>
      <c r="X350" s="278" t="str">
        <f t="shared" si="11"/>
        <v/>
      </c>
      <c r="Y350" s="282"/>
      <c r="Z350" s="282"/>
      <c r="AA350" s="364"/>
      <c r="AB350" s="361"/>
    </row>
    <row r="351" spans="1:28" s="271" customFormat="1">
      <c r="A351" s="253"/>
      <c r="B351" s="253"/>
      <c r="C351" s="253"/>
      <c r="D351" s="253"/>
      <c r="E351" s="267"/>
      <c r="F351" s="274" t="str">
        <f t="shared" si="10"/>
        <v/>
      </c>
      <c r="G351" s="274" t="str">
        <f t="shared" si="10"/>
        <v/>
      </c>
      <c r="H351" s="274" t="str">
        <f t="shared" si="10"/>
        <v/>
      </c>
      <c r="I351" s="17"/>
      <c r="J351" s="17"/>
      <c r="K351" s="253"/>
      <c r="L351" s="253"/>
      <c r="M351" s="253"/>
      <c r="N351" s="253"/>
      <c r="O351" s="253"/>
      <c r="P351" s="17"/>
      <c r="Q351" s="17"/>
      <c r="R351" s="180"/>
      <c r="S351" s="181"/>
      <c r="T351" s="268"/>
      <c r="U351" s="269"/>
      <c r="V351" s="270"/>
      <c r="W351" s="269"/>
      <c r="X351" s="278" t="str">
        <f t="shared" si="11"/>
        <v/>
      </c>
      <c r="Y351" s="282"/>
      <c r="Z351" s="282"/>
      <c r="AA351" s="364"/>
      <c r="AB351" s="361"/>
    </row>
    <row r="352" spans="1:28" s="271" customFormat="1">
      <c r="A352" s="253"/>
      <c r="B352" s="253"/>
      <c r="C352" s="253"/>
      <c r="D352" s="253"/>
      <c r="E352" s="267"/>
      <c r="F352" s="274" t="str">
        <f t="shared" si="10"/>
        <v/>
      </c>
      <c r="G352" s="274" t="str">
        <f t="shared" si="10"/>
        <v/>
      </c>
      <c r="H352" s="274" t="str">
        <f t="shared" si="10"/>
        <v/>
      </c>
      <c r="I352" s="17"/>
      <c r="J352" s="17"/>
      <c r="K352" s="253"/>
      <c r="L352" s="253"/>
      <c r="M352" s="253"/>
      <c r="N352" s="253"/>
      <c r="O352" s="253"/>
      <c r="P352" s="17"/>
      <c r="Q352" s="17"/>
      <c r="R352" s="180"/>
      <c r="S352" s="181"/>
      <c r="T352" s="268"/>
      <c r="U352" s="269"/>
      <c r="V352" s="270"/>
      <c r="W352" s="269"/>
      <c r="X352" s="278" t="str">
        <f t="shared" si="11"/>
        <v/>
      </c>
      <c r="Y352" s="282"/>
      <c r="Z352" s="282"/>
      <c r="AA352" s="364"/>
      <c r="AB352" s="361"/>
    </row>
    <row r="353" spans="1:28" s="271" customFormat="1">
      <c r="A353" s="253"/>
      <c r="B353" s="253"/>
      <c r="C353" s="253"/>
      <c r="D353" s="253"/>
      <c r="E353" s="267"/>
      <c r="F353" s="274" t="str">
        <f t="shared" si="10"/>
        <v/>
      </c>
      <c r="G353" s="274" t="str">
        <f t="shared" si="10"/>
        <v/>
      </c>
      <c r="H353" s="274" t="str">
        <f t="shared" si="10"/>
        <v/>
      </c>
      <c r="I353" s="17"/>
      <c r="J353" s="17"/>
      <c r="K353" s="253"/>
      <c r="L353" s="253"/>
      <c r="M353" s="253"/>
      <c r="N353" s="253"/>
      <c r="O353" s="253"/>
      <c r="P353" s="17"/>
      <c r="Q353" s="17"/>
      <c r="R353" s="180"/>
      <c r="S353" s="181"/>
      <c r="T353" s="268"/>
      <c r="U353" s="269"/>
      <c r="V353" s="270"/>
      <c r="W353" s="269"/>
      <c r="X353" s="278" t="str">
        <f t="shared" si="11"/>
        <v/>
      </c>
      <c r="Y353" s="282"/>
      <c r="Z353" s="282"/>
      <c r="AA353" s="364"/>
      <c r="AB353" s="361"/>
    </row>
    <row r="354" spans="1:28" s="271" customFormat="1">
      <c r="A354" s="253"/>
      <c r="B354" s="253"/>
      <c r="C354" s="253"/>
      <c r="D354" s="253"/>
      <c r="E354" s="267"/>
      <c r="F354" s="274" t="str">
        <f t="shared" si="10"/>
        <v/>
      </c>
      <c r="G354" s="274" t="str">
        <f t="shared" si="10"/>
        <v/>
      </c>
      <c r="H354" s="274" t="str">
        <f t="shared" si="10"/>
        <v/>
      </c>
      <c r="I354" s="17"/>
      <c r="J354" s="17"/>
      <c r="K354" s="253"/>
      <c r="L354" s="253"/>
      <c r="M354" s="253"/>
      <c r="N354" s="253"/>
      <c r="O354" s="253"/>
      <c r="P354" s="17"/>
      <c r="Q354" s="17"/>
      <c r="R354" s="180"/>
      <c r="S354" s="181"/>
      <c r="T354" s="268"/>
      <c r="U354" s="269"/>
      <c r="V354" s="270"/>
      <c r="W354" s="269"/>
      <c r="X354" s="278" t="str">
        <f t="shared" si="11"/>
        <v/>
      </c>
      <c r="Y354" s="282"/>
      <c r="Z354" s="282"/>
      <c r="AA354" s="364"/>
      <c r="AB354" s="361"/>
    </row>
    <row r="355" spans="1:28" s="271" customFormat="1">
      <c r="A355" s="253"/>
      <c r="B355" s="253"/>
      <c r="C355" s="253"/>
      <c r="D355" s="253"/>
      <c r="E355" s="267"/>
      <c r="F355" s="274" t="str">
        <f t="shared" si="10"/>
        <v/>
      </c>
      <c r="G355" s="274" t="str">
        <f t="shared" si="10"/>
        <v/>
      </c>
      <c r="H355" s="274" t="str">
        <f t="shared" si="10"/>
        <v/>
      </c>
      <c r="I355" s="17"/>
      <c r="J355" s="17"/>
      <c r="K355" s="253"/>
      <c r="L355" s="253"/>
      <c r="M355" s="253"/>
      <c r="N355" s="253"/>
      <c r="O355" s="253"/>
      <c r="P355" s="17"/>
      <c r="Q355" s="17"/>
      <c r="R355" s="180"/>
      <c r="S355" s="181"/>
      <c r="T355" s="268"/>
      <c r="U355" s="269"/>
      <c r="V355" s="270"/>
      <c r="W355" s="269"/>
      <c r="X355" s="278" t="str">
        <f t="shared" si="11"/>
        <v/>
      </c>
      <c r="Y355" s="282"/>
      <c r="Z355" s="282"/>
      <c r="AA355" s="364"/>
      <c r="AB355" s="361"/>
    </row>
    <row r="356" spans="1:28" s="271" customFormat="1">
      <c r="A356" s="253"/>
      <c r="B356" s="253"/>
      <c r="C356" s="253"/>
      <c r="D356" s="253"/>
      <c r="E356" s="267"/>
      <c r="F356" s="274" t="str">
        <f t="shared" si="10"/>
        <v/>
      </c>
      <c r="G356" s="274" t="str">
        <f t="shared" si="10"/>
        <v/>
      </c>
      <c r="H356" s="274" t="str">
        <f t="shared" si="10"/>
        <v/>
      </c>
      <c r="I356" s="17"/>
      <c r="J356" s="17"/>
      <c r="K356" s="253"/>
      <c r="L356" s="253"/>
      <c r="M356" s="253"/>
      <c r="N356" s="253"/>
      <c r="O356" s="253"/>
      <c r="P356" s="17"/>
      <c r="Q356" s="17"/>
      <c r="R356" s="180"/>
      <c r="S356" s="181"/>
      <c r="T356" s="268"/>
      <c r="U356" s="269"/>
      <c r="V356" s="270"/>
      <c r="W356" s="269"/>
      <c r="X356" s="278" t="str">
        <f t="shared" si="11"/>
        <v/>
      </c>
      <c r="Y356" s="282"/>
      <c r="Z356" s="282"/>
      <c r="AA356" s="364"/>
      <c r="AB356" s="361"/>
    </row>
    <row r="357" spans="1:28" s="271" customFormat="1">
      <c r="A357" s="253"/>
      <c r="B357" s="253"/>
      <c r="C357" s="253"/>
      <c r="D357" s="253"/>
      <c r="E357" s="267"/>
      <c r="F357" s="274" t="str">
        <f t="shared" si="10"/>
        <v/>
      </c>
      <c r="G357" s="274" t="str">
        <f t="shared" si="10"/>
        <v/>
      </c>
      <c r="H357" s="274" t="str">
        <f t="shared" si="10"/>
        <v/>
      </c>
      <c r="I357" s="17"/>
      <c r="J357" s="17"/>
      <c r="K357" s="253"/>
      <c r="L357" s="253"/>
      <c r="M357" s="253"/>
      <c r="N357" s="253"/>
      <c r="O357" s="253"/>
      <c r="P357" s="17"/>
      <c r="Q357" s="17"/>
      <c r="R357" s="180"/>
      <c r="S357" s="181"/>
      <c r="T357" s="268"/>
      <c r="U357" s="269"/>
      <c r="V357" s="270"/>
      <c r="W357" s="269"/>
      <c r="X357" s="278" t="str">
        <f t="shared" si="11"/>
        <v/>
      </c>
      <c r="Y357" s="282"/>
      <c r="Z357" s="282"/>
      <c r="AA357" s="364"/>
      <c r="AB357" s="361"/>
    </row>
    <row r="358" spans="1:28" s="271" customFormat="1">
      <c r="A358" s="253"/>
      <c r="B358" s="253"/>
      <c r="C358" s="253"/>
      <c r="D358" s="253"/>
      <c r="E358" s="267"/>
      <c r="F358" s="274" t="str">
        <f t="shared" si="10"/>
        <v/>
      </c>
      <c r="G358" s="274" t="str">
        <f t="shared" si="10"/>
        <v/>
      </c>
      <c r="H358" s="274" t="str">
        <f t="shared" si="10"/>
        <v/>
      </c>
      <c r="I358" s="17"/>
      <c r="J358" s="17"/>
      <c r="K358" s="253"/>
      <c r="L358" s="253"/>
      <c r="M358" s="253"/>
      <c r="N358" s="253"/>
      <c r="O358" s="253"/>
      <c r="P358" s="17"/>
      <c r="Q358" s="17"/>
      <c r="R358" s="180"/>
      <c r="S358" s="181"/>
      <c r="T358" s="268"/>
      <c r="U358" s="269"/>
      <c r="V358" s="270"/>
      <c r="W358" s="269"/>
      <c r="X358" s="278" t="str">
        <f t="shared" si="11"/>
        <v/>
      </c>
      <c r="Y358" s="282"/>
      <c r="Z358" s="282"/>
      <c r="AA358" s="364"/>
      <c r="AB358" s="361"/>
    </row>
    <row r="359" spans="1:28" s="271" customFormat="1">
      <c r="A359" s="253"/>
      <c r="B359" s="253"/>
      <c r="C359" s="253"/>
      <c r="D359" s="253"/>
      <c r="E359" s="267"/>
      <c r="F359" s="274" t="str">
        <f t="shared" si="10"/>
        <v/>
      </c>
      <c r="G359" s="274" t="str">
        <f t="shared" si="10"/>
        <v/>
      </c>
      <c r="H359" s="274" t="str">
        <f t="shared" si="10"/>
        <v/>
      </c>
      <c r="I359" s="17"/>
      <c r="J359" s="17"/>
      <c r="K359" s="253"/>
      <c r="L359" s="253"/>
      <c r="M359" s="253"/>
      <c r="N359" s="253"/>
      <c r="O359" s="253"/>
      <c r="P359" s="17"/>
      <c r="Q359" s="17"/>
      <c r="R359" s="180"/>
      <c r="S359" s="181"/>
      <c r="T359" s="268"/>
      <c r="U359" s="269"/>
      <c r="V359" s="270"/>
      <c r="W359" s="269"/>
      <c r="X359" s="278" t="str">
        <f t="shared" si="11"/>
        <v/>
      </c>
      <c r="Y359" s="282"/>
      <c r="Z359" s="282"/>
      <c r="AA359" s="364"/>
      <c r="AB359" s="361"/>
    </row>
    <row r="360" spans="1:28" s="271" customFormat="1">
      <c r="A360" s="253"/>
      <c r="B360" s="253"/>
      <c r="C360" s="253"/>
      <c r="D360" s="253"/>
      <c r="E360" s="267"/>
      <c r="F360" s="274" t="str">
        <f t="shared" si="10"/>
        <v/>
      </c>
      <c r="G360" s="274" t="str">
        <f t="shared" si="10"/>
        <v/>
      </c>
      <c r="H360" s="274" t="str">
        <f t="shared" si="10"/>
        <v/>
      </c>
      <c r="I360" s="17"/>
      <c r="J360" s="17"/>
      <c r="K360" s="253"/>
      <c r="L360" s="253"/>
      <c r="M360" s="253"/>
      <c r="N360" s="253"/>
      <c r="O360" s="253"/>
      <c r="P360" s="17"/>
      <c r="Q360" s="17"/>
      <c r="R360" s="180"/>
      <c r="S360" s="181"/>
      <c r="T360" s="268"/>
      <c r="U360" s="269"/>
      <c r="V360" s="270"/>
      <c r="W360" s="269"/>
      <c r="X360" s="278" t="str">
        <f t="shared" si="11"/>
        <v/>
      </c>
      <c r="Y360" s="282"/>
      <c r="Z360" s="282"/>
      <c r="AA360" s="364"/>
      <c r="AB360" s="361"/>
    </row>
    <row r="361" spans="1:28" s="271" customFormat="1">
      <c r="A361" s="253"/>
      <c r="B361" s="253"/>
      <c r="C361" s="253"/>
      <c r="D361" s="253"/>
      <c r="E361" s="267"/>
      <c r="F361" s="274" t="str">
        <f t="shared" si="10"/>
        <v/>
      </c>
      <c r="G361" s="274" t="str">
        <f t="shared" si="10"/>
        <v/>
      </c>
      <c r="H361" s="274" t="str">
        <f t="shared" si="10"/>
        <v/>
      </c>
      <c r="I361" s="17"/>
      <c r="J361" s="17"/>
      <c r="K361" s="253"/>
      <c r="L361" s="253"/>
      <c r="M361" s="253"/>
      <c r="N361" s="253"/>
      <c r="O361" s="253"/>
      <c r="P361" s="17"/>
      <c r="Q361" s="17"/>
      <c r="R361" s="180"/>
      <c r="S361" s="181"/>
      <c r="T361" s="268"/>
      <c r="U361" s="269"/>
      <c r="V361" s="270"/>
      <c r="W361" s="269"/>
      <c r="X361" s="278" t="str">
        <f t="shared" si="11"/>
        <v/>
      </c>
      <c r="Y361" s="282"/>
      <c r="Z361" s="282"/>
      <c r="AA361" s="364"/>
      <c r="AB361" s="361"/>
    </row>
    <row r="362" spans="1:28" s="271" customFormat="1">
      <c r="A362" s="253"/>
      <c r="B362" s="253"/>
      <c r="C362" s="253"/>
      <c r="D362" s="253"/>
      <c r="E362" s="267"/>
      <c r="F362" s="274" t="str">
        <f t="shared" si="10"/>
        <v/>
      </c>
      <c r="G362" s="274" t="str">
        <f t="shared" si="10"/>
        <v/>
      </c>
      <c r="H362" s="274" t="str">
        <f t="shared" si="10"/>
        <v/>
      </c>
      <c r="I362" s="17"/>
      <c r="J362" s="17"/>
      <c r="K362" s="253"/>
      <c r="L362" s="253"/>
      <c r="M362" s="253"/>
      <c r="N362" s="253"/>
      <c r="O362" s="253"/>
      <c r="P362" s="17"/>
      <c r="Q362" s="17"/>
      <c r="R362" s="180"/>
      <c r="S362" s="181"/>
      <c r="T362" s="268"/>
      <c r="U362" s="269"/>
      <c r="V362" s="270"/>
      <c r="W362" s="269"/>
      <c r="X362" s="278" t="str">
        <f t="shared" si="11"/>
        <v/>
      </c>
      <c r="Y362" s="282"/>
      <c r="Z362" s="282"/>
      <c r="AA362" s="364"/>
      <c r="AB362" s="361"/>
    </row>
    <row r="363" spans="1:28" s="271" customFormat="1">
      <c r="A363" s="253"/>
      <c r="B363" s="253"/>
      <c r="C363" s="253"/>
      <c r="D363" s="253"/>
      <c r="E363" s="267"/>
      <c r="F363" s="274" t="str">
        <f t="shared" si="10"/>
        <v/>
      </c>
      <c r="G363" s="274" t="str">
        <f t="shared" si="10"/>
        <v/>
      </c>
      <c r="H363" s="274" t="str">
        <f t="shared" si="10"/>
        <v/>
      </c>
      <c r="I363" s="17"/>
      <c r="J363" s="17"/>
      <c r="K363" s="253"/>
      <c r="L363" s="253"/>
      <c r="M363" s="253"/>
      <c r="N363" s="253"/>
      <c r="O363" s="253"/>
      <c r="P363" s="17"/>
      <c r="Q363" s="17"/>
      <c r="R363" s="180"/>
      <c r="S363" s="181"/>
      <c r="T363" s="268"/>
      <c r="U363" s="269"/>
      <c r="V363" s="270"/>
      <c r="W363" s="269"/>
      <c r="X363" s="278" t="str">
        <f t="shared" si="11"/>
        <v/>
      </c>
      <c r="Y363" s="282"/>
      <c r="Z363" s="282"/>
      <c r="AA363" s="364"/>
      <c r="AB363" s="361"/>
    </row>
    <row r="364" spans="1:28" s="271" customFormat="1">
      <c r="A364" s="253"/>
      <c r="B364" s="253"/>
      <c r="C364" s="253"/>
      <c r="D364" s="253"/>
      <c r="E364" s="267"/>
      <c r="F364" s="274" t="str">
        <f t="shared" si="10"/>
        <v/>
      </c>
      <c r="G364" s="274" t="str">
        <f t="shared" si="10"/>
        <v/>
      </c>
      <c r="H364" s="274" t="str">
        <f t="shared" si="10"/>
        <v/>
      </c>
      <c r="I364" s="17"/>
      <c r="J364" s="17"/>
      <c r="K364" s="253"/>
      <c r="L364" s="253"/>
      <c r="M364" s="253"/>
      <c r="N364" s="253"/>
      <c r="O364" s="253"/>
      <c r="P364" s="17"/>
      <c r="Q364" s="17"/>
      <c r="R364" s="180"/>
      <c r="S364" s="181"/>
      <c r="T364" s="268"/>
      <c r="U364" s="269"/>
      <c r="V364" s="270"/>
      <c r="W364" s="269"/>
      <c r="X364" s="278" t="str">
        <f t="shared" si="11"/>
        <v/>
      </c>
      <c r="Y364" s="282"/>
      <c r="Z364" s="282"/>
      <c r="AA364" s="364"/>
      <c r="AB364" s="361"/>
    </row>
    <row r="365" spans="1:28" s="271" customFormat="1">
      <c r="A365" s="253"/>
      <c r="B365" s="253"/>
      <c r="C365" s="253"/>
      <c r="D365" s="253"/>
      <c r="E365" s="267"/>
      <c r="F365" s="274" t="str">
        <f t="shared" ref="F365:H401" si="12">IF(A365&lt;&gt;"",A365,"")</f>
        <v/>
      </c>
      <c r="G365" s="274" t="str">
        <f t="shared" si="12"/>
        <v/>
      </c>
      <c r="H365" s="274" t="str">
        <f t="shared" si="12"/>
        <v/>
      </c>
      <c r="I365" s="17"/>
      <c r="J365" s="17"/>
      <c r="K365" s="253"/>
      <c r="L365" s="253"/>
      <c r="M365" s="253"/>
      <c r="N365" s="253"/>
      <c r="O365" s="253"/>
      <c r="P365" s="17"/>
      <c r="Q365" s="17"/>
      <c r="R365" s="180"/>
      <c r="S365" s="181"/>
      <c r="T365" s="268"/>
      <c r="U365" s="269"/>
      <c r="V365" s="270"/>
      <c r="W365" s="269"/>
      <c r="X365" s="278" t="str">
        <f t="shared" ref="X365:X401" si="13">IF(D365&lt;&gt;"",D365,"")</f>
        <v/>
      </c>
      <c r="Y365" s="282"/>
      <c r="Z365" s="282"/>
      <c r="AA365" s="364"/>
      <c r="AB365" s="361"/>
    </row>
    <row r="366" spans="1:28" s="271" customFormat="1">
      <c r="A366" s="253"/>
      <c r="B366" s="253"/>
      <c r="C366" s="253"/>
      <c r="D366" s="253"/>
      <c r="E366" s="267"/>
      <c r="F366" s="274" t="str">
        <f t="shared" si="12"/>
        <v/>
      </c>
      <c r="G366" s="274" t="str">
        <f t="shared" si="12"/>
        <v/>
      </c>
      <c r="H366" s="274" t="str">
        <f t="shared" si="12"/>
        <v/>
      </c>
      <c r="I366" s="17"/>
      <c r="J366" s="17"/>
      <c r="K366" s="253"/>
      <c r="L366" s="253"/>
      <c r="M366" s="253"/>
      <c r="N366" s="253"/>
      <c r="O366" s="253"/>
      <c r="P366" s="17"/>
      <c r="Q366" s="17"/>
      <c r="R366" s="180"/>
      <c r="S366" s="181"/>
      <c r="T366" s="268"/>
      <c r="U366" s="269"/>
      <c r="V366" s="270"/>
      <c r="W366" s="269"/>
      <c r="X366" s="278" t="str">
        <f t="shared" si="13"/>
        <v/>
      </c>
      <c r="Y366" s="282"/>
      <c r="Z366" s="282"/>
      <c r="AA366" s="364"/>
      <c r="AB366" s="361"/>
    </row>
    <row r="367" spans="1:28" s="271" customFormat="1">
      <c r="A367" s="253"/>
      <c r="B367" s="253"/>
      <c r="C367" s="253"/>
      <c r="D367" s="253"/>
      <c r="E367" s="267"/>
      <c r="F367" s="274" t="str">
        <f t="shared" si="12"/>
        <v/>
      </c>
      <c r="G367" s="274" t="str">
        <f t="shared" si="12"/>
        <v/>
      </c>
      <c r="H367" s="274" t="str">
        <f t="shared" si="12"/>
        <v/>
      </c>
      <c r="I367" s="17"/>
      <c r="J367" s="17"/>
      <c r="K367" s="253"/>
      <c r="L367" s="253"/>
      <c r="M367" s="253"/>
      <c r="N367" s="253"/>
      <c r="O367" s="253"/>
      <c r="P367" s="17"/>
      <c r="Q367" s="17"/>
      <c r="R367" s="180"/>
      <c r="S367" s="181"/>
      <c r="T367" s="268"/>
      <c r="U367" s="269"/>
      <c r="V367" s="270"/>
      <c r="W367" s="269"/>
      <c r="X367" s="278" t="str">
        <f t="shared" si="13"/>
        <v/>
      </c>
      <c r="Y367" s="282"/>
      <c r="Z367" s="282"/>
      <c r="AA367" s="364"/>
      <c r="AB367" s="361"/>
    </row>
    <row r="368" spans="1:28" s="271" customFormat="1">
      <c r="A368" s="253"/>
      <c r="B368" s="253"/>
      <c r="C368" s="253"/>
      <c r="D368" s="253"/>
      <c r="E368" s="267"/>
      <c r="F368" s="274" t="str">
        <f t="shared" si="12"/>
        <v/>
      </c>
      <c r="G368" s="274" t="str">
        <f t="shared" si="12"/>
        <v/>
      </c>
      <c r="H368" s="274" t="str">
        <f t="shared" si="12"/>
        <v/>
      </c>
      <c r="I368" s="17"/>
      <c r="J368" s="17"/>
      <c r="K368" s="253"/>
      <c r="L368" s="253"/>
      <c r="M368" s="253"/>
      <c r="N368" s="253"/>
      <c r="O368" s="253"/>
      <c r="P368" s="17"/>
      <c r="Q368" s="17"/>
      <c r="R368" s="180"/>
      <c r="S368" s="181"/>
      <c r="T368" s="268"/>
      <c r="U368" s="269"/>
      <c r="V368" s="270"/>
      <c r="W368" s="269"/>
      <c r="X368" s="278" t="str">
        <f t="shared" si="13"/>
        <v/>
      </c>
      <c r="Y368" s="282"/>
      <c r="Z368" s="282"/>
      <c r="AA368" s="364"/>
      <c r="AB368" s="361"/>
    </row>
    <row r="369" spans="1:28" s="271" customFormat="1">
      <c r="A369" s="253"/>
      <c r="B369" s="253"/>
      <c r="C369" s="253"/>
      <c r="D369" s="253"/>
      <c r="E369" s="267"/>
      <c r="F369" s="274" t="str">
        <f t="shared" si="12"/>
        <v/>
      </c>
      <c r="G369" s="274" t="str">
        <f t="shared" si="12"/>
        <v/>
      </c>
      <c r="H369" s="274" t="str">
        <f t="shared" si="12"/>
        <v/>
      </c>
      <c r="I369" s="17"/>
      <c r="J369" s="17"/>
      <c r="K369" s="253"/>
      <c r="L369" s="253"/>
      <c r="M369" s="253"/>
      <c r="N369" s="253"/>
      <c r="O369" s="253"/>
      <c r="P369" s="17"/>
      <c r="Q369" s="17"/>
      <c r="R369" s="180"/>
      <c r="S369" s="181"/>
      <c r="T369" s="268"/>
      <c r="U369" s="269"/>
      <c r="V369" s="270"/>
      <c r="W369" s="269"/>
      <c r="X369" s="278" t="str">
        <f t="shared" si="13"/>
        <v/>
      </c>
      <c r="Y369" s="282"/>
      <c r="Z369" s="282"/>
      <c r="AA369" s="364"/>
      <c r="AB369" s="361"/>
    </row>
    <row r="370" spans="1:28" s="271" customFormat="1">
      <c r="A370" s="253"/>
      <c r="B370" s="253"/>
      <c r="C370" s="253"/>
      <c r="D370" s="253"/>
      <c r="E370" s="267"/>
      <c r="F370" s="274" t="str">
        <f t="shared" si="12"/>
        <v/>
      </c>
      <c r="G370" s="274" t="str">
        <f t="shared" si="12"/>
        <v/>
      </c>
      <c r="H370" s="274" t="str">
        <f t="shared" si="12"/>
        <v/>
      </c>
      <c r="I370" s="17"/>
      <c r="J370" s="17"/>
      <c r="K370" s="253"/>
      <c r="L370" s="253"/>
      <c r="M370" s="253"/>
      <c r="N370" s="253"/>
      <c r="O370" s="253"/>
      <c r="P370" s="17"/>
      <c r="Q370" s="17"/>
      <c r="R370" s="180"/>
      <c r="S370" s="181"/>
      <c r="T370" s="268"/>
      <c r="U370" s="269"/>
      <c r="V370" s="270"/>
      <c r="W370" s="269"/>
      <c r="X370" s="278" t="str">
        <f t="shared" si="13"/>
        <v/>
      </c>
      <c r="Y370" s="282"/>
      <c r="Z370" s="282"/>
      <c r="AA370" s="364"/>
      <c r="AB370" s="361"/>
    </row>
    <row r="371" spans="1:28" s="271" customFormat="1">
      <c r="A371" s="253"/>
      <c r="B371" s="253"/>
      <c r="C371" s="253"/>
      <c r="D371" s="253"/>
      <c r="E371" s="267"/>
      <c r="F371" s="274" t="str">
        <f t="shared" si="12"/>
        <v/>
      </c>
      <c r="G371" s="274" t="str">
        <f t="shared" si="12"/>
        <v/>
      </c>
      <c r="H371" s="274" t="str">
        <f t="shared" si="12"/>
        <v/>
      </c>
      <c r="I371" s="17"/>
      <c r="J371" s="17"/>
      <c r="K371" s="253"/>
      <c r="L371" s="253"/>
      <c r="M371" s="253"/>
      <c r="N371" s="253"/>
      <c r="O371" s="253"/>
      <c r="P371" s="17"/>
      <c r="Q371" s="17"/>
      <c r="R371" s="180"/>
      <c r="S371" s="181"/>
      <c r="T371" s="268"/>
      <c r="U371" s="269"/>
      <c r="V371" s="270"/>
      <c r="W371" s="269"/>
      <c r="X371" s="278" t="str">
        <f t="shared" si="13"/>
        <v/>
      </c>
      <c r="Y371" s="282"/>
      <c r="Z371" s="282"/>
      <c r="AA371" s="364"/>
      <c r="AB371" s="361"/>
    </row>
    <row r="372" spans="1:28" s="271" customFormat="1">
      <c r="A372" s="253"/>
      <c r="B372" s="253"/>
      <c r="C372" s="253"/>
      <c r="D372" s="253"/>
      <c r="E372" s="267"/>
      <c r="F372" s="274" t="str">
        <f t="shared" si="12"/>
        <v/>
      </c>
      <c r="G372" s="274" t="str">
        <f t="shared" si="12"/>
        <v/>
      </c>
      <c r="H372" s="274" t="str">
        <f t="shared" si="12"/>
        <v/>
      </c>
      <c r="I372" s="17"/>
      <c r="J372" s="17"/>
      <c r="K372" s="253"/>
      <c r="L372" s="253"/>
      <c r="M372" s="253"/>
      <c r="N372" s="253"/>
      <c r="O372" s="253"/>
      <c r="P372" s="17"/>
      <c r="Q372" s="17"/>
      <c r="R372" s="180"/>
      <c r="S372" s="181"/>
      <c r="T372" s="268"/>
      <c r="U372" s="269"/>
      <c r="V372" s="270"/>
      <c r="W372" s="269"/>
      <c r="X372" s="278" t="str">
        <f t="shared" si="13"/>
        <v/>
      </c>
      <c r="Y372" s="282"/>
      <c r="Z372" s="282"/>
      <c r="AA372" s="364"/>
      <c r="AB372" s="361"/>
    </row>
    <row r="373" spans="1:28" s="271" customFormat="1">
      <c r="A373" s="253"/>
      <c r="B373" s="253"/>
      <c r="C373" s="253"/>
      <c r="D373" s="253"/>
      <c r="E373" s="267"/>
      <c r="F373" s="274" t="str">
        <f t="shared" si="12"/>
        <v/>
      </c>
      <c r="G373" s="274" t="str">
        <f t="shared" si="12"/>
        <v/>
      </c>
      <c r="H373" s="274" t="str">
        <f t="shared" si="12"/>
        <v/>
      </c>
      <c r="I373" s="17"/>
      <c r="J373" s="17"/>
      <c r="K373" s="253"/>
      <c r="L373" s="253"/>
      <c r="M373" s="253"/>
      <c r="N373" s="253"/>
      <c r="O373" s="253"/>
      <c r="P373" s="17"/>
      <c r="Q373" s="17"/>
      <c r="R373" s="180"/>
      <c r="S373" s="181"/>
      <c r="T373" s="268"/>
      <c r="U373" s="269"/>
      <c r="V373" s="270"/>
      <c r="W373" s="269"/>
      <c r="X373" s="278" t="str">
        <f t="shared" si="13"/>
        <v/>
      </c>
      <c r="Y373" s="282"/>
      <c r="Z373" s="282"/>
      <c r="AA373" s="364"/>
      <c r="AB373" s="361"/>
    </row>
    <row r="374" spans="1:28" s="271" customFormat="1">
      <c r="A374" s="253"/>
      <c r="B374" s="253"/>
      <c r="C374" s="253"/>
      <c r="D374" s="253"/>
      <c r="E374" s="267"/>
      <c r="F374" s="274" t="str">
        <f t="shared" si="12"/>
        <v/>
      </c>
      <c r="G374" s="274" t="str">
        <f t="shared" si="12"/>
        <v/>
      </c>
      <c r="H374" s="274" t="str">
        <f t="shared" si="12"/>
        <v/>
      </c>
      <c r="I374" s="17"/>
      <c r="J374" s="17"/>
      <c r="K374" s="253"/>
      <c r="L374" s="253"/>
      <c r="M374" s="253"/>
      <c r="N374" s="253"/>
      <c r="O374" s="253"/>
      <c r="P374" s="17"/>
      <c r="Q374" s="17"/>
      <c r="R374" s="180"/>
      <c r="S374" s="181"/>
      <c r="T374" s="268"/>
      <c r="U374" s="269"/>
      <c r="V374" s="270"/>
      <c r="W374" s="269"/>
      <c r="X374" s="278" t="str">
        <f t="shared" si="13"/>
        <v/>
      </c>
      <c r="Y374" s="282"/>
      <c r="Z374" s="282"/>
      <c r="AA374" s="364"/>
      <c r="AB374" s="361"/>
    </row>
    <row r="375" spans="1:28" s="271" customFormat="1">
      <c r="A375" s="253"/>
      <c r="B375" s="253"/>
      <c r="C375" s="253"/>
      <c r="D375" s="253"/>
      <c r="E375" s="267"/>
      <c r="F375" s="274" t="str">
        <f t="shared" si="12"/>
        <v/>
      </c>
      <c r="G375" s="274" t="str">
        <f t="shared" si="12"/>
        <v/>
      </c>
      <c r="H375" s="274" t="str">
        <f t="shared" si="12"/>
        <v/>
      </c>
      <c r="I375" s="17"/>
      <c r="J375" s="17"/>
      <c r="K375" s="253"/>
      <c r="L375" s="253"/>
      <c r="M375" s="253"/>
      <c r="N375" s="253"/>
      <c r="O375" s="253"/>
      <c r="P375" s="17"/>
      <c r="Q375" s="17"/>
      <c r="R375" s="180"/>
      <c r="S375" s="181"/>
      <c r="T375" s="268"/>
      <c r="U375" s="269"/>
      <c r="V375" s="270"/>
      <c r="W375" s="269"/>
      <c r="X375" s="278" t="str">
        <f t="shared" si="13"/>
        <v/>
      </c>
      <c r="Y375" s="282"/>
      <c r="Z375" s="282"/>
      <c r="AA375" s="364"/>
      <c r="AB375" s="361"/>
    </row>
    <row r="376" spans="1:28" s="271" customFormat="1">
      <c r="A376" s="253"/>
      <c r="B376" s="253"/>
      <c r="C376" s="253"/>
      <c r="D376" s="253"/>
      <c r="E376" s="267"/>
      <c r="F376" s="274" t="str">
        <f t="shared" si="12"/>
        <v/>
      </c>
      <c r="G376" s="274" t="str">
        <f t="shared" si="12"/>
        <v/>
      </c>
      <c r="H376" s="274" t="str">
        <f t="shared" si="12"/>
        <v/>
      </c>
      <c r="I376" s="17"/>
      <c r="J376" s="17"/>
      <c r="K376" s="253"/>
      <c r="L376" s="253"/>
      <c r="M376" s="253"/>
      <c r="N376" s="253"/>
      <c r="O376" s="253"/>
      <c r="P376" s="17"/>
      <c r="Q376" s="17"/>
      <c r="R376" s="180"/>
      <c r="S376" s="181"/>
      <c r="T376" s="268"/>
      <c r="U376" s="269"/>
      <c r="V376" s="270"/>
      <c r="W376" s="269"/>
      <c r="X376" s="278" t="str">
        <f t="shared" si="13"/>
        <v/>
      </c>
      <c r="Y376" s="282"/>
      <c r="Z376" s="282"/>
      <c r="AA376" s="364"/>
      <c r="AB376" s="361"/>
    </row>
    <row r="377" spans="1:28" s="271" customFormat="1">
      <c r="A377" s="253"/>
      <c r="B377" s="253"/>
      <c r="C377" s="253"/>
      <c r="D377" s="253"/>
      <c r="E377" s="267"/>
      <c r="F377" s="274" t="str">
        <f t="shared" si="12"/>
        <v/>
      </c>
      <c r="G377" s="274" t="str">
        <f t="shared" si="12"/>
        <v/>
      </c>
      <c r="H377" s="274" t="str">
        <f t="shared" si="12"/>
        <v/>
      </c>
      <c r="I377" s="17"/>
      <c r="J377" s="17"/>
      <c r="K377" s="253"/>
      <c r="L377" s="253"/>
      <c r="M377" s="253"/>
      <c r="N377" s="253"/>
      <c r="O377" s="253"/>
      <c r="P377" s="17"/>
      <c r="Q377" s="17"/>
      <c r="R377" s="180"/>
      <c r="S377" s="181"/>
      <c r="T377" s="268"/>
      <c r="U377" s="269"/>
      <c r="V377" s="270"/>
      <c r="W377" s="269"/>
      <c r="X377" s="278" t="str">
        <f t="shared" si="13"/>
        <v/>
      </c>
      <c r="Y377" s="282"/>
      <c r="Z377" s="282"/>
      <c r="AA377" s="364"/>
      <c r="AB377" s="361"/>
    </row>
    <row r="378" spans="1:28" s="271" customFormat="1">
      <c r="A378" s="253"/>
      <c r="B378" s="253"/>
      <c r="C378" s="253"/>
      <c r="D378" s="253"/>
      <c r="E378" s="267"/>
      <c r="F378" s="274" t="str">
        <f t="shared" si="12"/>
        <v/>
      </c>
      <c r="G378" s="274" t="str">
        <f t="shared" si="12"/>
        <v/>
      </c>
      <c r="H378" s="274" t="str">
        <f t="shared" si="12"/>
        <v/>
      </c>
      <c r="I378" s="17"/>
      <c r="J378" s="17"/>
      <c r="K378" s="253"/>
      <c r="L378" s="253"/>
      <c r="M378" s="253"/>
      <c r="N378" s="253"/>
      <c r="O378" s="253"/>
      <c r="P378" s="17"/>
      <c r="Q378" s="17"/>
      <c r="R378" s="180"/>
      <c r="S378" s="181"/>
      <c r="T378" s="268"/>
      <c r="U378" s="269"/>
      <c r="V378" s="270"/>
      <c r="W378" s="269"/>
      <c r="X378" s="278" t="str">
        <f t="shared" si="13"/>
        <v/>
      </c>
      <c r="Y378" s="282"/>
      <c r="Z378" s="282"/>
      <c r="AA378" s="364"/>
      <c r="AB378" s="361"/>
    </row>
    <row r="379" spans="1:28" s="271" customFormat="1">
      <c r="A379" s="253"/>
      <c r="B379" s="253"/>
      <c r="C379" s="253"/>
      <c r="D379" s="253"/>
      <c r="E379" s="267"/>
      <c r="F379" s="274" t="str">
        <f t="shared" si="12"/>
        <v/>
      </c>
      <c r="G379" s="274" t="str">
        <f t="shared" si="12"/>
        <v/>
      </c>
      <c r="H379" s="274" t="str">
        <f t="shared" si="12"/>
        <v/>
      </c>
      <c r="I379" s="17"/>
      <c r="J379" s="17"/>
      <c r="K379" s="253"/>
      <c r="L379" s="253"/>
      <c r="M379" s="253"/>
      <c r="N379" s="253"/>
      <c r="O379" s="253"/>
      <c r="P379" s="17"/>
      <c r="Q379" s="17"/>
      <c r="R379" s="180"/>
      <c r="S379" s="181"/>
      <c r="T379" s="268"/>
      <c r="U379" s="269"/>
      <c r="V379" s="270"/>
      <c r="W379" s="269"/>
      <c r="X379" s="278" t="str">
        <f t="shared" si="13"/>
        <v/>
      </c>
      <c r="Y379" s="282"/>
      <c r="Z379" s="282"/>
      <c r="AA379" s="364"/>
      <c r="AB379" s="361"/>
    </row>
    <row r="380" spans="1:28" s="271" customFormat="1">
      <c r="A380" s="253"/>
      <c r="B380" s="253"/>
      <c r="C380" s="253"/>
      <c r="D380" s="253"/>
      <c r="E380" s="267"/>
      <c r="F380" s="274" t="str">
        <f t="shared" si="12"/>
        <v/>
      </c>
      <c r="G380" s="274" t="str">
        <f t="shared" si="12"/>
        <v/>
      </c>
      <c r="H380" s="274" t="str">
        <f t="shared" si="12"/>
        <v/>
      </c>
      <c r="I380" s="17"/>
      <c r="J380" s="17"/>
      <c r="K380" s="253"/>
      <c r="L380" s="253"/>
      <c r="M380" s="253"/>
      <c r="N380" s="253"/>
      <c r="O380" s="253"/>
      <c r="P380" s="17"/>
      <c r="Q380" s="17"/>
      <c r="R380" s="180"/>
      <c r="S380" s="181"/>
      <c r="T380" s="268"/>
      <c r="U380" s="269"/>
      <c r="V380" s="270"/>
      <c r="W380" s="269"/>
      <c r="X380" s="278" t="str">
        <f t="shared" si="13"/>
        <v/>
      </c>
      <c r="Y380" s="282"/>
      <c r="Z380" s="282"/>
      <c r="AA380" s="364"/>
      <c r="AB380" s="361"/>
    </row>
    <row r="381" spans="1:28" s="271" customFormat="1">
      <c r="A381" s="253"/>
      <c r="B381" s="253"/>
      <c r="C381" s="253"/>
      <c r="D381" s="253"/>
      <c r="E381" s="267"/>
      <c r="F381" s="274" t="str">
        <f t="shared" si="12"/>
        <v/>
      </c>
      <c r="G381" s="274" t="str">
        <f t="shared" si="12"/>
        <v/>
      </c>
      <c r="H381" s="274" t="str">
        <f t="shared" si="12"/>
        <v/>
      </c>
      <c r="I381" s="17"/>
      <c r="J381" s="17"/>
      <c r="K381" s="253"/>
      <c r="L381" s="253"/>
      <c r="M381" s="253"/>
      <c r="N381" s="253"/>
      <c r="O381" s="253"/>
      <c r="P381" s="17"/>
      <c r="Q381" s="17"/>
      <c r="R381" s="180"/>
      <c r="S381" s="181"/>
      <c r="T381" s="268"/>
      <c r="U381" s="269"/>
      <c r="V381" s="270"/>
      <c r="W381" s="269"/>
      <c r="X381" s="278" t="str">
        <f t="shared" si="13"/>
        <v/>
      </c>
      <c r="Y381" s="282"/>
      <c r="Z381" s="282"/>
      <c r="AA381" s="364"/>
      <c r="AB381" s="361"/>
    </row>
    <row r="382" spans="1:28" s="271" customFormat="1">
      <c r="A382" s="253"/>
      <c r="B382" s="253"/>
      <c r="C382" s="253"/>
      <c r="D382" s="253"/>
      <c r="E382" s="267"/>
      <c r="F382" s="274" t="str">
        <f t="shared" si="12"/>
        <v/>
      </c>
      <c r="G382" s="274" t="str">
        <f t="shared" si="12"/>
        <v/>
      </c>
      <c r="H382" s="274" t="str">
        <f t="shared" si="12"/>
        <v/>
      </c>
      <c r="I382" s="17"/>
      <c r="J382" s="17"/>
      <c r="K382" s="253"/>
      <c r="L382" s="253"/>
      <c r="M382" s="253"/>
      <c r="N382" s="253"/>
      <c r="O382" s="253"/>
      <c r="P382" s="17"/>
      <c r="Q382" s="17"/>
      <c r="R382" s="180"/>
      <c r="S382" s="181"/>
      <c r="T382" s="268"/>
      <c r="U382" s="269"/>
      <c r="V382" s="270"/>
      <c r="W382" s="269"/>
      <c r="X382" s="278" t="str">
        <f t="shared" si="13"/>
        <v/>
      </c>
      <c r="Y382" s="282"/>
      <c r="Z382" s="282"/>
      <c r="AA382" s="364"/>
      <c r="AB382" s="361"/>
    </row>
    <row r="383" spans="1:28" s="271" customFormat="1">
      <c r="A383" s="253"/>
      <c r="B383" s="253"/>
      <c r="C383" s="253"/>
      <c r="D383" s="253"/>
      <c r="E383" s="267"/>
      <c r="F383" s="274" t="str">
        <f t="shared" si="12"/>
        <v/>
      </c>
      <c r="G383" s="274" t="str">
        <f t="shared" si="12"/>
        <v/>
      </c>
      <c r="H383" s="274" t="str">
        <f t="shared" si="12"/>
        <v/>
      </c>
      <c r="I383" s="17"/>
      <c r="J383" s="17"/>
      <c r="K383" s="253"/>
      <c r="L383" s="253"/>
      <c r="M383" s="253"/>
      <c r="N383" s="253"/>
      <c r="O383" s="253"/>
      <c r="P383" s="17"/>
      <c r="Q383" s="17"/>
      <c r="R383" s="180"/>
      <c r="S383" s="181"/>
      <c r="T383" s="268"/>
      <c r="U383" s="269"/>
      <c r="V383" s="270"/>
      <c r="W383" s="269"/>
      <c r="X383" s="278" t="str">
        <f t="shared" si="13"/>
        <v/>
      </c>
      <c r="Y383" s="282"/>
      <c r="Z383" s="282"/>
      <c r="AA383" s="364"/>
      <c r="AB383" s="361"/>
    </row>
    <row r="384" spans="1:28" s="271" customFormat="1">
      <c r="A384" s="253"/>
      <c r="B384" s="253"/>
      <c r="C384" s="253"/>
      <c r="D384" s="253"/>
      <c r="E384" s="267"/>
      <c r="F384" s="274" t="str">
        <f t="shared" si="12"/>
        <v/>
      </c>
      <c r="G384" s="274" t="str">
        <f t="shared" si="12"/>
        <v/>
      </c>
      <c r="H384" s="274" t="str">
        <f t="shared" si="12"/>
        <v/>
      </c>
      <c r="I384" s="17"/>
      <c r="J384" s="17"/>
      <c r="K384" s="253"/>
      <c r="L384" s="253"/>
      <c r="M384" s="253"/>
      <c r="N384" s="253"/>
      <c r="O384" s="253"/>
      <c r="P384" s="17"/>
      <c r="Q384" s="17"/>
      <c r="R384" s="180"/>
      <c r="S384" s="181"/>
      <c r="T384" s="268"/>
      <c r="U384" s="269"/>
      <c r="V384" s="270"/>
      <c r="W384" s="269"/>
      <c r="X384" s="278" t="str">
        <f t="shared" si="13"/>
        <v/>
      </c>
      <c r="Y384" s="282"/>
      <c r="Z384" s="282"/>
      <c r="AA384" s="364"/>
      <c r="AB384" s="361"/>
    </row>
    <row r="385" spans="1:28" s="271" customFormat="1">
      <c r="A385" s="253"/>
      <c r="B385" s="253"/>
      <c r="C385" s="253"/>
      <c r="D385" s="253"/>
      <c r="E385" s="267"/>
      <c r="F385" s="274" t="str">
        <f t="shared" si="12"/>
        <v/>
      </c>
      <c r="G385" s="274" t="str">
        <f t="shared" si="12"/>
        <v/>
      </c>
      <c r="H385" s="274" t="str">
        <f t="shared" si="12"/>
        <v/>
      </c>
      <c r="I385" s="17"/>
      <c r="J385" s="17"/>
      <c r="K385" s="253"/>
      <c r="L385" s="253"/>
      <c r="M385" s="253"/>
      <c r="N385" s="253"/>
      <c r="O385" s="253"/>
      <c r="P385" s="17"/>
      <c r="Q385" s="17"/>
      <c r="R385" s="180"/>
      <c r="S385" s="181"/>
      <c r="T385" s="268"/>
      <c r="U385" s="269"/>
      <c r="V385" s="270"/>
      <c r="W385" s="269"/>
      <c r="X385" s="278" t="str">
        <f t="shared" si="13"/>
        <v/>
      </c>
      <c r="Y385" s="282"/>
      <c r="Z385" s="282"/>
      <c r="AA385" s="364"/>
      <c r="AB385" s="361"/>
    </row>
    <row r="386" spans="1:28" s="271" customFormat="1">
      <c r="A386" s="253"/>
      <c r="B386" s="253"/>
      <c r="C386" s="253"/>
      <c r="D386" s="253"/>
      <c r="E386" s="267"/>
      <c r="F386" s="274" t="str">
        <f t="shared" si="12"/>
        <v/>
      </c>
      <c r="G386" s="274" t="str">
        <f t="shared" si="12"/>
        <v/>
      </c>
      <c r="H386" s="274" t="str">
        <f t="shared" si="12"/>
        <v/>
      </c>
      <c r="I386" s="17"/>
      <c r="J386" s="17"/>
      <c r="K386" s="253"/>
      <c r="L386" s="253"/>
      <c r="M386" s="253"/>
      <c r="N386" s="253"/>
      <c r="O386" s="253"/>
      <c r="P386" s="17"/>
      <c r="Q386" s="17"/>
      <c r="R386" s="180"/>
      <c r="S386" s="181"/>
      <c r="T386" s="268"/>
      <c r="U386" s="269"/>
      <c r="V386" s="270"/>
      <c r="W386" s="269"/>
      <c r="X386" s="278" t="str">
        <f t="shared" si="13"/>
        <v/>
      </c>
      <c r="Y386" s="282"/>
      <c r="Z386" s="282"/>
      <c r="AA386" s="364"/>
      <c r="AB386" s="361"/>
    </row>
    <row r="387" spans="1:28" s="271" customFormat="1">
      <c r="A387" s="253"/>
      <c r="B387" s="253"/>
      <c r="C387" s="253"/>
      <c r="D387" s="253"/>
      <c r="E387" s="267"/>
      <c r="F387" s="274" t="str">
        <f t="shared" si="12"/>
        <v/>
      </c>
      <c r="G387" s="274" t="str">
        <f t="shared" si="12"/>
        <v/>
      </c>
      <c r="H387" s="274" t="str">
        <f t="shared" si="12"/>
        <v/>
      </c>
      <c r="I387" s="17"/>
      <c r="J387" s="17"/>
      <c r="K387" s="253"/>
      <c r="L387" s="253"/>
      <c r="M387" s="253"/>
      <c r="N387" s="253"/>
      <c r="O387" s="253"/>
      <c r="P387" s="17"/>
      <c r="Q387" s="17"/>
      <c r="R387" s="180"/>
      <c r="S387" s="181"/>
      <c r="T387" s="268"/>
      <c r="U387" s="269"/>
      <c r="V387" s="270"/>
      <c r="W387" s="269"/>
      <c r="X387" s="278" t="str">
        <f t="shared" si="13"/>
        <v/>
      </c>
      <c r="Y387" s="282"/>
      <c r="Z387" s="282"/>
      <c r="AA387" s="364"/>
      <c r="AB387" s="361"/>
    </row>
    <row r="388" spans="1:28" s="271" customFormat="1">
      <c r="A388" s="253"/>
      <c r="B388" s="253"/>
      <c r="C388" s="253"/>
      <c r="D388" s="253"/>
      <c r="E388" s="267"/>
      <c r="F388" s="274" t="str">
        <f t="shared" si="12"/>
        <v/>
      </c>
      <c r="G388" s="274" t="str">
        <f t="shared" si="12"/>
        <v/>
      </c>
      <c r="H388" s="274" t="str">
        <f t="shared" si="12"/>
        <v/>
      </c>
      <c r="I388" s="17"/>
      <c r="J388" s="17"/>
      <c r="K388" s="253"/>
      <c r="L388" s="253"/>
      <c r="M388" s="253"/>
      <c r="N388" s="253"/>
      <c r="O388" s="253"/>
      <c r="P388" s="17"/>
      <c r="Q388" s="17"/>
      <c r="R388" s="180"/>
      <c r="S388" s="181"/>
      <c r="T388" s="268"/>
      <c r="U388" s="269"/>
      <c r="V388" s="270"/>
      <c r="W388" s="269"/>
      <c r="X388" s="278" t="str">
        <f t="shared" si="13"/>
        <v/>
      </c>
      <c r="Y388" s="282"/>
      <c r="Z388" s="282"/>
      <c r="AA388" s="364"/>
      <c r="AB388" s="361"/>
    </row>
    <row r="389" spans="1:28" s="271" customFormat="1">
      <c r="A389" s="253"/>
      <c r="B389" s="253"/>
      <c r="C389" s="253"/>
      <c r="D389" s="253"/>
      <c r="E389" s="267"/>
      <c r="F389" s="274" t="str">
        <f t="shared" si="12"/>
        <v/>
      </c>
      <c r="G389" s="274" t="str">
        <f t="shared" si="12"/>
        <v/>
      </c>
      <c r="H389" s="274" t="str">
        <f t="shared" si="12"/>
        <v/>
      </c>
      <c r="I389" s="17"/>
      <c r="J389" s="17"/>
      <c r="K389" s="253"/>
      <c r="L389" s="253"/>
      <c r="M389" s="253"/>
      <c r="N389" s="253"/>
      <c r="O389" s="253"/>
      <c r="P389" s="17"/>
      <c r="Q389" s="17"/>
      <c r="R389" s="180"/>
      <c r="S389" s="181"/>
      <c r="T389" s="268"/>
      <c r="U389" s="269"/>
      <c r="V389" s="270"/>
      <c r="W389" s="269"/>
      <c r="X389" s="278" t="str">
        <f t="shared" si="13"/>
        <v/>
      </c>
      <c r="Y389" s="282"/>
      <c r="Z389" s="282"/>
      <c r="AA389" s="364"/>
      <c r="AB389" s="361"/>
    </row>
    <row r="390" spans="1:28" s="271" customFormat="1">
      <c r="A390" s="253"/>
      <c r="B390" s="253"/>
      <c r="C390" s="253"/>
      <c r="D390" s="253"/>
      <c r="E390" s="267"/>
      <c r="F390" s="274" t="str">
        <f t="shared" si="12"/>
        <v/>
      </c>
      <c r="G390" s="274" t="str">
        <f t="shared" si="12"/>
        <v/>
      </c>
      <c r="H390" s="274" t="str">
        <f t="shared" si="12"/>
        <v/>
      </c>
      <c r="I390" s="17"/>
      <c r="J390" s="17"/>
      <c r="K390" s="253"/>
      <c r="L390" s="253"/>
      <c r="M390" s="253"/>
      <c r="N390" s="253"/>
      <c r="O390" s="253"/>
      <c r="P390" s="17"/>
      <c r="Q390" s="17"/>
      <c r="R390" s="180"/>
      <c r="S390" s="181"/>
      <c r="T390" s="268"/>
      <c r="U390" s="269"/>
      <c r="V390" s="270"/>
      <c r="W390" s="269"/>
      <c r="X390" s="278" t="str">
        <f t="shared" si="13"/>
        <v/>
      </c>
      <c r="Y390" s="282"/>
      <c r="Z390" s="282"/>
      <c r="AA390" s="364"/>
      <c r="AB390" s="361"/>
    </row>
    <row r="391" spans="1:28" s="271" customFormat="1">
      <c r="A391" s="253"/>
      <c r="B391" s="253"/>
      <c r="C391" s="253"/>
      <c r="D391" s="253"/>
      <c r="E391" s="267"/>
      <c r="F391" s="274" t="str">
        <f t="shared" si="12"/>
        <v/>
      </c>
      <c r="G391" s="274" t="str">
        <f t="shared" si="12"/>
        <v/>
      </c>
      <c r="H391" s="274" t="str">
        <f t="shared" si="12"/>
        <v/>
      </c>
      <c r="I391" s="17"/>
      <c r="J391" s="17"/>
      <c r="K391" s="253"/>
      <c r="L391" s="253"/>
      <c r="M391" s="253"/>
      <c r="N391" s="253"/>
      <c r="O391" s="253"/>
      <c r="P391" s="17"/>
      <c r="Q391" s="17"/>
      <c r="R391" s="180"/>
      <c r="S391" s="181"/>
      <c r="T391" s="268"/>
      <c r="U391" s="269"/>
      <c r="V391" s="270"/>
      <c r="W391" s="269"/>
      <c r="X391" s="278" t="str">
        <f t="shared" si="13"/>
        <v/>
      </c>
      <c r="Y391" s="282"/>
      <c r="Z391" s="282"/>
      <c r="AA391" s="364"/>
      <c r="AB391" s="361"/>
    </row>
    <row r="392" spans="1:28" s="271" customFormat="1">
      <c r="A392" s="253"/>
      <c r="B392" s="253"/>
      <c r="C392" s="253"/>
      <c r="D392" s="253"/>
      <c r="E392" s="267"/>
      <c r="F392" s="274" t="str">
        <f t="shared" si="12"/>
        <v/>
      </c>
      <c r="G392" s="274" t="str">
        <f t="shared" si="12"/>
        <v/>
      </c>
      <c r="H392" s="274" t="str">
        <f t="shared" si="12"/>
        <v/>
      </c>
      <c r="I392" s="17"/>
      <c r="J392" s="17"/>
      <c r="K392" s="253"/>
      <c r="L392" s="253"/>
      <c r="M392" s="253"/>
      <c r="N392" s="253"/>
      <c r="O392" s="253"/>
      <c r="P392" s="17"/>
      <c r="Q392" s="17"/>
      <c r="R392" s="180"/>
      <c r="S392" s="181"/>
      <c r="T392" s="268"/>
      <c r="U392" s="269"/>
      <c r="V392" s="270"/>
      <c r="W392" s="269"/>
      <c r="X392" s="278" t="str">
        <f t="shared" si="13"/>
        <v/>
      </c>
      <c r="Y392" s="282"/>
      <c r="Z392" s="282"/>
      <c r="AA392" s="364"/>
      <c r="AB392" s="361"/>
    </row>
    <row r="393" spans="1:28" s="271" customFormat="1">
      <c r="A393" s="253"/>
      <c r="B393" s="253"/>
      <c r="C393" s="253"/>
      <c r="D393" s="253"/>
      <c r="E393" s="267"/>
      <c r="F393" s="274" t="str">
        <f t="shared" si="12"/>
        <v/>
      </c>
      <c r="G393" s="274" t="str">
        <f t="shared" si="12"/>
        <v/>
      </c>
      <c r="H393" s="274" t="str">
        <f t="shared" si="12"/>
        <v/>
      </c>
      <c r="I393" s="17"/>
      <c r="J393" s="17"/>
      <c r="K393" s="253"/>
      <c r="L393" s="253"/>
      <c r="M393" s="253"/>
      <c r="N393" s="253"/>
      <c r="O393" s="253"/>
      <c r="P393" s="17"/>
      <c r="Q393" s="17"/>
      <c r="R393" s="180"/>
      <c r="S393" s="181"/>
      <c r="T393" s="268"/>
      <c r="U393" s="269"/>
      <c r="V393" s="270"/>
      <c r="W393" s="269"/>
      <c r="X393" s="278" t="str">
        <f t="shared" si="13"/>
        <v/>
      </c>
      <c r="Y393" s="282"/>
      <c r="Z393" s="282"/>
      <c r="AA393" s="364"/>
      <c r="AB393" s="361"/>
    </row>
    <row r="394" spans="1:28" s="271" customFormat="1">
      <c r="A394" s="253"/>
      <c r="B394" s="253"/>
      <c r="C394" s="253"/>
      <c r="D394" s="253"/>
      <c r="E394" s="267"/>
      <c r="F394" s="274" t="str">
        <f t="shared" si="12"/>
        <v/>
      </c>
      <c r="G394" s="274" t="str">
        <f t="shared" si="12"/>
        <v/>
      </c>
      <c r="H394" s="274" t="str">
        <f t="shared" si="12"/>
        <v/>
      </c>
      <c r="I394" s="17"/>
      <c r="J394" s="17"/>
      <c r="K394" s="253"/>
      <c r="L394" s="253"/>
      <c r="M394" s="253"/>
      <c r="N394" s="253"/>
      <c r="O394" s="253"/>
      <c r="P394" s="17"/>
      <c r="Q394" s="17"/>
      <c r="R394" s="180"/>
      <c r="S394" s="181"/>
      <c r="T394" s="268"/>
      <c r="U394" s="269"/>
      <c r="V394" s="270"/>
      <c r="W394" s="269"/>
      <c r="X394" s="278" t="str">
        <f t="shared" si="13"/>
        <v/>
      </c>
      <c r="Y394" s="282"/>
      <c r="Z394" s="282"/>
      <c r="AA394" s="364"/>
      <c r="AB394" s="361"/>
    </row>
    <row r="395" spans="1:28" s="271" customFormat="1">
      <c r="A395" s="253"/>
      <c r="B395" s="253"/>
      <c r="C395" s="253"/>
      <c r="D395" s="253"/>
      <c r="E395" s="267"/>
      <c r="F395" s="274" t="str">
        <f t="shared" si="12"/>
        <v/>
      </c>
      <c r="G395" s="274" t="str">
        <f t="shared" si="12"/>
        <v/>
      </c>
      <c r="H395" s="274" t="str">
        <f t="shared" si="12"/>
        <v/>
      </c>
      <c r="I395" s="17"/>
      <c r="J395" s="17"/>
      <c r="K395" s="253"/>
      <c r="L395" s="253"/>
      <c r="M395" s="253"/>
      <c r="N395" s="253"/>
      <c r="O395" s="253"/>
      <c r="P395" s="17"/>
      <c r="Q395" s="17"/>
      <c r="R395" s="180"/>
      <c r="S395" s="181"/>
      <c r="T395" s="268"/>
      <c r="U395" s="269"/>
      <c r="V395" s="270"/>
      <c r="W395" s="269"/>
      <c r="X395" s="278" t="str">
        <f t="shared" si="13"/>
        <v/>
      </c>
      <c r="Y395" s="282"/>
      <c r="Z395" s="282"/>
      <c r="AA395" s="364"/>
      <c r="AB395" s="361"/>
    </row>
    <row r="396" spans="1:28" s="271" customFormat="1">
      <c r="A396" s="253"/>
      <c r="B396" s="253"/>
      <c r="C396" s="253"/>
      <c r="D396" s="253"/>
      <c r="E396" s="267"/>
      <c r="F396" s="274" t="str">
        <f t="shared" si="12"/>
        <v/>
      </c>
      <c r="G396" s="274" t="str">
        <f t="shared" si="12"/>
        <v/>
      </c>
      <c r="H396" s="274" t="str">
        <f t="shared" si="12"/>
        <v/>
      </c>
      <c r="I396" s="17"/>
      <c r="J396" s="17"/>
      <c r="K396" s="253"/>
      <c r="L396" s="253"/>
      <c r="M396" s="253"/>
      <c r="N396" s="253"/>
      <c r="O396" s="253"/>
      <c r="P396" s="17"/>
      <c r="Q396" s="17"/>
      <c r="R396" s="180"/>
      <c r="S396" s="181"/>
      <c r="T396" s="268"/>
      <c r="U396" s="269"/>
      <c r="V396" s="270"/>
      <c r="W396" s="269"/>
      <c r="X396" s="278" t="str">
        <f t="shared" si="13"/>
        <v/>
      </c>
      <c r="Y396" s="282"/>
      <c r="Z396" s="282"/>
      <c r="AA396" s="364"/>
      <c r="AB396" s="361"/>
    </row>
    <row r="397" spans="1:28" s="271" customFormat="1">
      <c r="A397" s="253"/>
      <c r="B397" s="253"/>
      <c r="C397" s="253"/>
      <c r="D397" s="253"/>
      <c r="E397" s="267"/>
      <c r="F397" s="274" t="str">
        <f t="shared" si="12"/>
        <v/>
      </c>
      <c r="G397" s="274" t="str">
        <f t="shared" si="12"/>
        <v/>
      </c>
      <c r="H397" s="274" t="str">
        <f t="shared" si="12"/>
        <v/>
      </c>
      <c r="I397" s="17"/>
      <c r="J397" s="17"/>
      <c r="K397" s="253"/>
      <c r="L397" s="253"/>
      <c r="M397" s="253"/>
      <c r="N397" s="253"/>
      <c r="O397" s="253"/>
      <c r="P397" s="17"/>
      <c r="Q397" s="17"/>
      <c r="R397" s="180"/>
      <c r="S397" s="181"/>
      <c r="T397" s="268"/>
      <c r="U397" s="269"/>
      <c r="V397" s="270"/>
      <c r="W397" s="269"/>
      <c r="X397" s="278" t="str">
        <f t="shared" si="13"/>
        <v/>
      </c>
      <c r="Y397" s="282"/>
      <c r="Z397" s="282"/>
      <c r="AA397" s="364"/>
      <c r="AB397" s="361"/>
    </row>
    <row r="398" spans="1:28" s="271" customFormat="1">
      <c r="A398" s="253"/>
      <c r="B398" s="253"/>
      <c r="C398" s="253"/>
      <c r="D398" s="253"/>
      <c r="E398" s="267"/>
      <c r="F398" s="274" t="str">
        <f t="shared" si="12"/>
        <v/>
      </c>
      <c r="G398" s="274" t="str">
        <f t="shared" si="12"/>
        <v/>
      </c>
      <c r="H398" s="274" t="str">
        <f t="shared" si="12"/>
        <v/>
      </c>
      <c r="I398" s="17"/>
      <c r="J398" s="17"/>
      <c r="K398" s="253"/>
      <c r="L398" s="253"/>
      <c r="M398" s="253"/>
      <c r="N398" s="253"/>
      <c r="O398" s="253"/>
      <c r="P398" s="17"/>
      <c r="Q398" s="17"/>
      <c r="R398" s="180"/>
      <c r="S398" s="181"/>
      <c r="T398" s="268"/>
      <c r="U398" s="269"/>
      <c r="V398" s="270"/>
      <c r="W398" s="269"/>
      <c r="X398" s="278" t="str">
        <f t="shared" si="13"/>
        <v/>
      </c>
      <c r="Y398" s="282"/>
      <c r="Z398" s="282"/>
      <c r="AA398" s="364"/>
      <c r="AB398" s="361"/>
    </row>
    <row r="399" spans="1:28" s="271" customFormat="1">
      <c r="A399" s="253"/>
      <c r="B399" s="253"/>
      <c r="C399" s="253"/>
      <c r="D399" s="253"/>
      <c r="E399" s="267"/>
      <c r="F399" s="274" t="str">
        <f t="shared" si="12"/>
        <v/>
      </c>
      <c r="G399" s="274" t="str">
        <f t="shared" si="12"/>
        <v/>
      </c>
      <c r="H399" s="274" t="str">
        <f t="shared" si="12"/>
        <v/>
      </c>
      <c r="I399" s="17"/>
      <c r="J399" s="17"/>
      <c r="K399" s="253"/>
      <c r="L399" s="253"/>
      <c r="M399" s="253"/>
      <c r="N399" s="253"/>
      <c r="O399" s="253"/>
      <c r="P399" s="17"/>
      <c r="Q399" s="17"/>
      <c r="R399" s="180"/>
      <c r="S399" s="181"/>
      <c r="T399" s="268"/>
      <c r="U399" s="269"/>
      <c r="V399" s="270"/>
      <c r="W399" s="269"/>
      <c r="X399" s="278" t="str">
        <f t="shared" si="13"/>
        <v/>
      </c>
      <c r="Y399" s="282"/>
      <c r="Z399" s="282"/>
      <c r="AA399" s="364"/>
      <c r="AB399" s="361"/>
    </row>
    <row r="400" spans="1:28" s="271" customFormat="1">
      <c r="A400" s="253"/>
      <c r="B400" s="253"/>
      <c r="C400" s="253"/>
      <c r="D400" s="253"/>
      <c r="E400" s="267"/>
      <c r="F400" s="274" t="str">
        <f t="shared" si="12"/>
        <v/>
      </c>
      <c r="G400" s="274" t="str">
        <f t="shared" si="12"/>
        <v/>
      </c>
      <c r="H400" s="274" t="str">
        <f t="shared" si="12"/>
        <v/>
      </c>
      <c r="I400" s="17"/>
      <c r="J400" s="17"/>
      <c r="K400" s="253"/>
      <c r="L400" s="253"/>
      <c r="M400" s="253"/>
      <c r="N400" s="253"/>
      <c r="O400" s="253"/>
      <c r="P400" s="17"/>
      <c r="Q400" s="17"/>
      <c r="R400" s="180"/>
      <c r="S400" s="181"/>
      <c r="T400" s="268"/>
      <c r="U400" s="269"/>
      <c r="V400" s="270"/>
      <c r="W400" s="269"/>
      <c r="X400" s="278" t="str">
        <f t="shared" si="13"/>
        <v/>
      </c>
      <c r="Y400" s="282"/>
      <c r="Z400" s="282"/>
      <c r="AA400" s="364"/>
      <c r="AB400" s="361"/>
    </row>
    <row r="401" spans="1:28" s="271" customFormat="1">
      <c r="A401" s="253"/>
      <c r="B401" s="253"/>
      <c r="C401" s="253"/>
      <c r="D401" s="253"/>
      <c r="E401" s="267"/>
      <c r="F401" s="274" t="str">
        <f t="shared" si="12"/>
        <v/>
      </c>
      <c r="G401" s="274" t="str">
        <f t="shared" si="12"/>
        <v/>
      </c>
      <c r="H401" s="274" t="str">
        <f t="shared" si="12"/>
        <v/>
      </c>
      <c r="I401" s="17"/>
      <c r="J401" s="17"/>
      <c r="K401" s="253"/>
      <c r="L401" s="253"/>
      <c r="M401" s="253"/>
      <c r="N401" s="253"/>
      <c r="O401" s="253"/>
      <c r="P401" s="17"/>
      <c r="Q401" s="17"/>
      <c r="R401" s="180"/>
      <c r="S401" s="181"/>
      <c r="T401" s="268"/>
      <c r="U401" s="269"/>
      <c r="V401" s="270"/>
      <c r="W401" s="269"/>
      <c r="X401" s="278" t="str">
        <f t="shared" si="13"/>
        <v/>
      </c>
      <c r="Y401" s="282"/>
      <c r="Z401" s="282"/>
      <c r="AA401" s="364"/>
      <c r="AB401" s="366"/>
    </row>
  </sheetData>
  <dataValidations count="17">
    <dataValidation type="list" allowBlank="1" showInputMessage="1" showErrorMessage="1" sqref="AB2:AB400" xr:uid="{1061DCE7-2FAD-4320-8968-DF76F8061E0D}">
      <formula1>"Y,N"</formula1>
    </dataValidation>
    <dataValidation type="list" allowBlank="1" showInputMessage="1" showErrorMessage="1" sqref="C2:C401" xr:uid="{9AF22B79-8A0E-450F-B88D-18D2D2983735}">
      <formula1>IF(A2="Process Objective",Business_Objective,IF(A2="Sub-process Objective",Process_Objective,""))</formula1>
    </dataValidation>
    <dataValidation type="list" allowBlank="1" showInputMessage="1" showErrorMessage="1" sqref="B2:B401" xr:uid="{97A0BAB0-095A-43C3-B91A-248388F0C0D1}">
      <formula1>IF(A2="Business Objective",Business_Objective,IF(A2="Process Objective",Process_Objective,IF(A2="Sub-process Objective",Sub_process_Objective,"")))</formula1>
    </dataValidation>
    <dataValidation type="list" allowBlank="1" showInputMessage="1" showErrorMessage="1" sqref="N3:N401" xr:uid="{B1D79CA0-E807-47E9-B3E9-76AD7BF63102}">
      <formula1>Delivery_Process_Model</formula1>
    </dataValidation>
    <dataValidation type="list" allowBlank="1" showInputMessage="1" showErrorMessage="1" sqref="M2:M401" xr:uid="{7721B9B8-3FB5-488B-8967-A0EC35419694}">
      <formula1>Project_Type</formula1>
    </dataValidation>
    <dataValidation type="list" allowBlank="1" showInputMessage="1" showErrorMessage="1" sqref="O2:O401" xr:uid="{4E2D5F21-D34D-48BF-AAE8-90AB8A0E93A0}">
      <formula1>Project_Category</formula1>
    </dataValidation>
    <dataValidation type="list" allowBlank="1" showInputMessage="1" showErrorMessage="1" sqref="D2:D1048576" xr:uid="{0D14E88E-7160-4802-88CF-EE749FFEECA1}">
      <formula1>Metric_Category</formula1>
    </dataValidation>
    <dataValidation type="list" allowBlank="1" showInputMessage="1" showErrorMessage="1" sqref="L2:L401" xr:uid="{D30B96B6-ACEA-4B22-9A18-C3EE42A30A88}">
      <formula1>Metric_Intent</formula1>
    </dataValidation>
    <dataValidation type="list" allowBlank="1" showInputMessage="1" showErrorMessage="1" sqref="T2:T401" xr:uid="{7B52AFF1-51A4-442D-8961-A86B7B2B13B6}">
      <formula1>"M,R,C,O"</formula1>
    </dataValidation>
    <dataValidation type="list" allowBlank="1" showInputMessage="1" showErrorMessage="1" sqref="K2:K401" xr:uid="{5A85950A-D633-4F6D-8A5F-39F6AFBDD01F}">
      <formula1>Metric_Type</formula1>
    </dataValidation>
    <dataValidation type="list" allowBlank="1" showInputMessage="1" showErrorMessage="1" sqref="A2 A12:A401" xr:uid="{A01FBDCE-4489-4154-93FB-33531AFEB636}">
      <formula1>"Business Objective,Process Objective, Sub-process Objective"</formula1>
    </dataValidation>
    <dataValidation type="list" allowBlank="1" showInputMessage="1" showErrorMessage="1" sqref="A3:A11" xr:uid="{C9971707-8BB0-4D42-B9A4-421FD289FD5F}">
      <formula1>"Business Objective,Process Objective, SubProcess Objective"</formula1>
    </dataValidation>
    <dataValidation type="list" allowBlank="1" showInputMessage="1" showErrorMessage="1" sqref="U104:U401 U2:U102" xr:uid="{E2AF705C-A1FB-450C-8B33-223868C3603F}">
      <formula1>"Yes"</formula1>
    </dataValidation>
    <dataValidation type="list" allowBlank="1" showInputMessage="1" showErrorMessage="1" sqref="V73:V80" xr:uid="{5EF82B6B-6F8D-4AC4-ACCB-49EC92480101}">
      <formula1>$BM$2:$BM$7</formula1>
    </dataValidation>
    <dataValidation type="list" allowBlank="1" showInputMessage="1" showErrorMessage="1" sqref="V81:V103 V21:V24 V35:V44 V50:V72" xr:uid="{0975273F-3306-4E97-AFF5-A013AF97EC80}">
      <formula1>$BM$2:$BM$5</formula1>
    </dataValidation>
    <dataValidation type="list" allowBlank="1" showInputMessage="1" showErrorMessage="1" sqref="V104:V401 V57 V25:V34 V45:V49 V2:V20" xr:uid="{81CEDD85-18B6-43C2-A7BD-BD33138E3F4E}">
      <formula1>Governance_Level</formula1>
    </dataValidation>
    <dataValidation type="list" allowBlank="1" showErrorMessage="1" sqref="N2" xr:uid="{2D6160D5-EEA1-4A1D-AC40-A800CE086B45}">
      <formula1>Delivery_Process_Model</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5BD92-1514-455B-B424-B4A58E1DDE11}">
  <sheetPr codeName="Sheet19">
    <outlinePr summaryBelow="0"/>
  </sheetPr>
  <dimension ref="A1:AE75"/>
  <sheetViews>
    <sheetView showGridLines="0" tabSelected="1" topLeftCell="B1" zoomScaleNormal="100" workbookViewId="0">
      <selection activeCell="E5" sqref="E5"/>
    </sheetView>
  </sheetViews>
  <sheetFormatPr defaultRowHeight="10" outlineLevelCol="1"/>
  <cols>
    <col min="1" max="1" width="26.1796875" style="3" hidden="1" customWidth="1"/>
    <col min="2" max="2" width="25.453125" style="3" customWidth="1"/>
    <col min="3" max="3" width="19.54296875" style="3" customWidth="1"/>
    <col min="4" max="4" width="25.453125" style="3" customWidth="1"/>
    <col min="5" max="5" width="16.1796875" style="3" customWidth="1"/>
    <col min="6" max="6" width="21.81640625" style="3" customWidth="1"/>
    <col min="7" max="7" width="33.453125" style="3" customWidth="1"/>
    <col min="8" max="8" width="17.81640625" style="3" customWidth="1"/>
    <col min="9" max="9" width="2.81640625" style="3" customWidth="1"/>
    <col min="10" max="10" width="8" style="3" customWidth="1"/>
    <col min="11" max="11" width="7.81640625" style="19" customWidth="1"/>
    <col min="12" max="12" width="7.453125" style="19" customWidth="1"/>
    <col min="13" max="13" width="12.54296875" style="3" customWidth="1"/>
    <col min="14" max="14" width="14.453125" style="3" customWidth="1"/>
    <col min="15" max="15" width="9" style="3" bestFit="1" customWidth="1"/>
    <col min="16" max="16" width="18.26953125" style="3" customWidth="1"/>
    <col min="17" max="17" width="19.81640625" style="15" customWidth="1"/>
    <col min="18" max="18" width="19.81640625" style="3" customWidth="1"/>
    <col min="19" max="19" width="16.26953125" style="3" customWidth="1"/>
    <col min="20" max="20" width="23.54296875" style="3" customWidth="1" outlineLevel="1"/>
    <col min="21" max="21" width="24" style="3" customWidth="1" outlineLevel="1"/>
    <col min="22" max="22" width="13.81640625" style="3" customWidth="1" outlineLevel="1"/>
    <col min="23" max="23" width="18.26953125" style="3" customWidth="1" outlineLevel="1"/>
    <col min="24" max="24" width="12" style="3" customWidth="1" outlineLevel="1"/>
    <col min="25" max="25" width="17.1796875" style="3" customWidth="1" outlineLevel="1"/>
    <col min="26" max="26" width="16.1796875" style="3" customWidth="1" outlineLevel="1"/>
    <col min="27" max="27" width="19" style="3" customWidth="1" outlineLevel="1"/>
    <col min="28" max="28" width="21.453125" style="3" customWidth="1" outlineLevel="1"/>
    <col min="29" max="29" width="2.54296875" style="3" hidden="1" customWidth="1"/>
    <col min="30" max="30" width="10.26953125" style="3" hidden="1" customWidth="1"/>
    <col min="31" max="31" width="25.81640625" style="3" hidden="1" customWidth="1"/>
    <col min="32" max="32" width="8.7265625" style="3" customWidth="1"/>
    <col min="33" max="263" width="8.7265625" style="3"/>
    <col min="264" max="264" width="24.54296875" style="3" customWidth="1"/>
    <col min="265" max="265" width="14.54296875" style="3" customWidth="1"/>
    <col min="266" max="266" width="24.453125" style="3" customWidth="1"/>
    <col min="267" max="267" width="7.54296875" style="3" bestFit="1" customWidth="1"/>
    <col min="268" max="268" width="9" style="3" bestFit="1" customWidth="1"/>
    <col min="269" max="269" width="6" style="3" bestFit="1" customWidth="1"/>
    <col min="270" max="270" width="9.81640625" style="3" bestFit="1" customWidth="1"/>
    <col min="271" max="271" width="9.81640625" style="3" customWidth="1"/>
    <col min="272" max="272" width="12.54296875" style="3" customWidth="1"/>
    <col min="273" max="273" width="18.26953125" style="3" customWidth="1"/>
    <col min="274" max="274" width="13.81640625" style="3" bestFit="1" customWidth="1"/>
    <col min="275" max="275" width="20.26953125" style="3" customWidth="1"/>
    <col min="276" max="276" width="19.81640625" style="3" customWidth="1"/>
    <col min="277" max="277" width="16.26953125" style="3" customWidth="1"/>
    <col min="278" max="278" width="16.81640625" style="3" bestFit="1" customWidth="1"/>
    <col min="279" max="279" width="10.26953125" style="3" customWidth="1"/>
    <col min="280" max="280" width="17.1796875" style="3" customWidth="1"/>
    <col min="281" max="281" width="16.1796875" style="3" bestFit="1" customWidth="1"/>
    <col min="282" max="282" width="19" style="3" customWidth="1"/>
    <col min="283" max="283" width="20.54296875" style="3" customWidth="1"/>
    <col min="284" max="519" width="8.7265625" style="3"/>
    <col min="520" max="520" width="24.54296875" style="3" customWidth="1"/>
    <col min="521" max="521" width="14.54296875" style="3" customWidth="1"/>
    <col min="522" max="522" width="24.453125" style="3" customWidth="1"/>
    <col min="523" max="523" width="7.54296875" style="3" bestFit="1" customWidth="1"/>
    <col min="524" max="524" width="9" style="3" bestFit="1" customWidth="1"/>
    <col min="525" max="525" width="6" style="3" bestFit="1" customWidth="1"/>
    <col min="526" max="526" width="9.81640625" style="3" bestFit="1" customWidth="1"/>
    <col min="527" max="527" width="9.81640625" style="3" customWidth="1"/>
    <col min="528" max="528" width="12.54296875" style="3" customWidth="1"/>
    <col min="529" max="529" width="18.26953125" style="3" customWidth="1"/>
    <col min="530" max="530" width="13.81640625" style="3" bestFit="1" customWidth="1"/>
    <col min="531" max="531" width="20.26953125" style="3" customWidth="1"/>
    <col min="532" max="532" width="19.81640625" style="3" customWidth="1"/>
    <col min="533" max="533" width="16.26953125" style="3" customWidth="1"/>
    <col min="534" max="534" width="16.81640625" style="3" bestFit="1" customWidth="1"/>
    <col min="535" max="535" width="10.26953125" style="3" customWidth="1"/>
    <col min="536" max="536" width="17.1796875" style="3" customWidth="1"/>
    <col min="537" max="537" width="16.1796875" style="3" bestFit="1" customWidth="1"/>
    <col min="538" max="538" width="19" style="3" customWidth="1"/>
    <col min="539" max="539" width="20.54296875" style="3" customWidth="1"/>
    <col min="540" max="775" width="8.7265625" style="3"/>
    <col min="776" max="776" width="24.54296875" style="3" customWidth="1"/>
    <col min="777" max="777" width="14.54296875" style="3" customWidth="1"/>
    <col min="778" max="778" width="24.453125" style="3" customWidth="1"/>
    <col min="779" max="779" width="7.54296875" style="3" bestFit="1" customWidth="1"/>
    <col min="780" max="780" width="9" style="3" bestFit="1" customWidth="1"/>
    <col min="781" max="781" width="6" style="3" bestFit="1" customWidth="1"/>
    <col min="782" max="782" width="9.81640625" style="3" bestFit="1" customWidth="1"/>
    <col min="783" max="783" width="9.81640625" style="3" customWidth="1"/>
    <col min="784" max="784" width="12.54296875" style="3" customWidth="1"/>
    <col min="785" max="785" width="18.26953125" style="3" customWidth="1"/>
    <col min="786" max="786" width="13.81640625" style="3" bestFit="1" customWidth="1"/>
    <col min="787" max="787" width="20.26953125" style="3" customWidth="1"/>
    <col min="788" max="788" width="19.81640625" style="3" customWidth="1"/>
    <col min="789" max="789" width="16.26953125" style="3" customWidth="1"/>
    <col min="790" max="790" width="16.81640625" style="3" bestFit="1" customWidth="1"/>
    <col min="791" max="791" width="10.26953125" style="3" customWidth="1"/>
    <col min="792" max="792" width="17.1796875" style="3" customWidth="1"/>
    <col min="793" max="793" width="16.1796875" style="3" bestFit="1" customWidth="1"/>
    <col min="794" max="794" width="19" style="3" customWidth="1"/>
    <col min="795" max="795" width="20.54296875" style="3" customWidth="1"/>
    <col min="796" max="1031" width="8.7265625" style="3"/>
    <col min="1032" max="1032" width="24.54296875" style="3" customWidth="1"/>
    <col min="1033" max="1033" width="14.54296875" style="3" customWidth="1"/>
    <col min="1034" max="1034" width="24.453125" style="3" customWidth="1"/>
    <col min="1035" max="1035" width="7.54296875" style="3" bestFit="1" customWidth="1"/>
    <col min="1036" max="1036" width="9" style="3" bestFit="1" customWidth="1"/>
    <col min="1037" max="1037" width="6" style="3" bestFit="1" customWidth="1"/>
    <col min="1038" max="1038" width="9.81640625" style="3" bestFit="1" customWidth="1"/>
    <col min="1039" max="1039" width="9.81640625" style="3" customWidth="1"/>
    <col min="1040" max="1040" width="12.54296875" style="3" customWidth="1"/>
    <col min="1041" max="1041" width="18.26953125" style="3" customWidth="1"/>
    <col min="1042" max="1042" width="13.81640625" style="3" bestFit="1" customWidth="1"/>
    <col min="1043" max="1043" width="20.26953125" style="3" customWidth="1"/>
    <col min="1044" max="1044" width="19.81640625" style="3" customWidth="1"/>
    <col min="1045" max="1045" width="16.26953125" style="3" customWidth="1"/>
    <col min="1046" max="1046" width="16.81640625" style="3" bestFit="1" customWidth="1"/>
    <col min="1047" max="1047" width="10.26953125" style="3" customWidth="1"/>
    <col min="1048" max="1048" width="17.1796875" style="3" customWidth="1"/>
    <col min="1049" max="1049" width="16.1796875" style="3" bestFit="1" customWidth="1"/>
    <col min="1050" max="1050" width="19" style="3" customWidth="1"/>
    <col min="1051" max="1051" width="20.54296875" style="3" customWidth="1"/>
    <col min="1052" max="1287" width="8.7265625" style="3"/>
    <col min="1288" max="1288" width="24.54296875" style="3" customWidth="1"/>
    <col min="1289" max="1289" width="14.54296875" style="3" customWidth="1"/>
    <col min="1290" max="1290" width="24.453125" style="3" customWidth="1"/>
    <col min="1291" max="1291" width="7.54296875" style="3" bestFit="1" customWidth="1"/>
    <col min="1292" max="1292" width="9" style="3" bestFit="1" customWidth="1"/>
    <col min="1293" max="1293" width="6" style="3" bestFit="1" customWidth="1"/>
    <col min="1294" max="1294" width="9.81640625" style="3" bestFit="1" customWidth="1"/>
    <col min="1295" max="1295" width="9.81640625" style="3" customWidth="1"/>
    <col min="1296" max="1296" width="12.54296875" style="3" customWidth="1"/>
    <col min="1297" max="1297" width="18.26953125" style="3" customWidth="1"/>
    <col min="1298" max="1298" width="13.81640625" style="3" bestFit="1" customWidth="1"/>
    <col min="1299" max="1299" width="20.26953125" style="3" customWidth="1"/>
    <col min="1300" max="1300" width="19.81640625" style="3" customWidth="1"/>
    <col min="1301" max="1301" width="16.26953125" style="3" customWidth="1"/>
    <col min="1302" max="1302" width="16.81640625" style="3" bestFit="1" customWidth="1"/>
    <col min="1303" max="1303" width="10.26953125" style="3" customWidth="1"/>
    <col min="1304" max="1304" width="17.1796875" style="3" customWidth="1"/>
    <col min="1305" max="1305" width="16.1796875" style="3" bestFit="1" customWidth="1"/>
    <col min="1306" max="1306" width="19" style="3" customWidth="1"/>
    <col min="1307" max="1307" width="20.54296875" style="3" customWidth="1"/>
    <col min="1308" max="1543" width="8.7265625" style="3"/>
    <col min="1544" max="1544" width="24.54296875" style="3" customWidth="1"/>
    <col min="1545" max="1545" width="14.54296875" style="3" customWidth="1"/>
    <col min="1546" max="1546" width="24.453125" style="3" customWidth="1"/>
    <col min="1547" max="1547" width="7.54296875" style="3" bestFit="1" customWidth="1"/>
    <col min="1548" max="1548" width="9" style="3" bestFit="1" customWidth="1"/>
    <col min="1549" max="1549" width="6" style="3" bestFit="1" customWidth="1"/>
    <col min="1550" max="1550" width="9.81640625" style="3" bestFit="1" customWidth="1"/>
    <col min="1551" max="1551" width="9.81640625" style="3" customWidth="1"/>
    <col min="1552" max="1552" width="12.54296875" style="3" customWidth="1"/>
    <col min="1553" max="1553" width="18.26953125" style="3" customWidth="1"/>
    <col min="1554" max="1554" width="13.81640625" style="3" bestFit="1" customWidth="1"/>
    <col min="1555" max="1555" width="20.26953125" style="3" customWidth="1"/>
    <col min="1556" max="1556" width="19.81640625" style="3" customWidth="1"/>
    <col min="1557" max="1557" width="16.26953125" style="3" customWidth="1"/>
    <col min="1558" max="1558" width="16.81640625" style="3" bestFit="1" customWidth="1"/>
    <col min="1559" max="1559" width="10.26953125" style="3" customWidth="1"/>
    <col min="1560" max="1560" width="17.1796875" style="3" customWidth="1"/>
    <col min="1561" max="1561" width="16.1796875" style="3" bestFit="1" customWidth="1"/>
    <col min="1562" max="1562" width="19" style="3" customWidth="1"/>
    <col min="1563" max="1563" width="20.54296875" style="3" customWidth="1"/>
    <col min="1564" max="1799" width="8.7265625" style="3"/>
    <col min="1800" max="1800" width="24.54296875" style="3" customWidth="1"/>
    <col min="1801" max="1801" width="14.54296875" style="3" customWidth="1"/>
    <col min="1802" max="1802" width="24.453125" style="3" customWidth="1"/>
    <col min="1803" max="1803" width="7.54296875" style="3" bestFit="1" customWidth="1"/>
    <col min="1804" max="1804" width="9" style="3" bestFit="1" customWidth="1"/>
    <col min="1805" max="1805" width="6" style="3" bestFit="1" customWidth="1"/>
    <col min="1806" max="1806" width="9.81640625" style="3" bestFit="1" customWidth="1"/>
    <col min="1807" max="1807" width="9.81640625" style="3" customWidth="1"/>
    <col min="1808" max="1808" width="12.54296875" style="3" customWidth="1"/>
    <col min="1809" max="1809" width="18.26953125" style="3" customWidth="1"/>
    <col min="1810" max="1810" width="13.81640625" style="3" bestFit="1" customWidth="1"/>
    <col min="1811" max="1811" width="20.26953125" style="3" customWidth="1"/>
    <col min="1812" max="1812" width="19.81640625" style="3" customWidth="1"/>
    <col min="1813" max="1813" width="16.26953125" style="3" customWidth="1"/>
    <col min="1814" max="1814" width="16.81640625" style="3" bestFit="1" customWidth="1"/>
    <col min="1815" max="1815" width="10.26953125" style="3" customWidth="1"/>
    <col min="1816" max="1816" width="17.1796875" style="3" customWidth="1"/>
    <col min="1817" max="1817" width="16.1796875" style="3" bestFit="1" customWidth="1"/>
    <col min="1818" max="1818" width="19" style="3" customWidth="1"/>
    <col min="1819" max="1819" width="20.54296875" style="3" customWidth="1"/>
    <col min="1820" max="2055" width="8.7265625" style="3"/>
    <col min="2056" max="2056" width="24.54296875" style="3" customWidth="1"/>
    <col min="2057" max="2057" width="14.54296875" style="3" customWidth="1"/>
    <col min="2058" max="2058" width="24.453125" style="3" customWidth="1"/>
    <col min="2059" max="2059" width="7.54296875" style="3" bestFit="1" customWidth="1"/>
    <col min="2060" max="2060" width="9" style="3" bestFit="1" customWidth="1"/>
    <col min="2061" max="2061" width="6" style="3" bestFit="1" customWidth="1"/>
    <col min="2062" max="2062" width="9.81640625" style="3" bestFit="1" customWidth="1"/>
    <col min="2063" max="2063" width="9.81640625" style="3" customWidth="1"/>
    <col min="2064" max="2064" width="12.54296875" style="3" customWidth="1"/>
    <col min="2065" max="2065" width="18.26953125" style="3" customWidth="1"/>
    <col min="2066" max="2066" width="13.81640625" style="3" bestFit="1" customWidth="1"/>
    <col min="2067" max="2067" width="20.26953125" style="3" customWidth="1"/>
    <col min="2068" max="2068" width="19.81640625" style="3" customWidth="1"/>
    <col min="2069" max="2069" width="16.26953125" style="3" customWidth="1"/>
    <col min="2070" max="2070" width="16.81640625" style="3" bestFit="1" customWidth="1"/>
    <col min="2071" max="2071" width="10.26953125" style="3" customWidth="1"/>
    <col min="2072" max="2072" width="17.1796875" style="3" customWidth="1"/>
    <col min="2073" max="2073" width="16.1796875" style="3" bestFit="1" customWidth="1"/>
    <col min="2074" max="2074" width="19" style="3" customWidth="1"/>
    <col min="2075" max="2075" width="20.54296875" style="3" customWidth="1"/>
    <col min="2076" max="2311" width="8.7265625" style="3"/>
    <col min="2312" max="2312" width="24.54296875" style="3" customWidth="1"/>
    <col min="2313" max="2313" width="14.54296875" style="3" customWidth="1"/>
    <col min="2314" max="2314" width="24.453125" style="3" customWidth="1"/>
    <col min="2315" max="2315" width="7.54296875" style="3" bestFit="1" customWidth="1"/>
    <col min="2316" max="2316" width="9" style="3" bestFit="1" customWidth="1"/>
    <col min="2317" max="2317" width="6" style="3" bestFit="1" customWidth="1"/>
    <col min="2318" max="2318" width="9.81640625" style="3" bestFit="1" customWidth="1"/>
    <col min="2319" max="2319" width="9.81640625" style="3" customWidth="1"/>
    <col min="2320" max="2320" width="12.54296875" style="3" customWidth="1"/>
    <col min="2321" max="2321" width="18.26953125" style="3" customWidth="1"/>
    <col min="2322" max="2322" width="13.81640625" style="3" bestFit="1" customWidth="1"/>
    <col min="2323" max="2323" width="20.26953125" style="3" customWidth="1"/>
    <col min="2324" max="2324" width="19.81640625" style="3" customWidth="1"/>
    <col min="2325" max="2325" width="16.26953125" style="3" customWidth="1"/>
    <col min="2326" max="2326" width="16.81640625" style="3" bestFit="1" customWidth="1"/>
    <col min="2327" max="2327" width="10.26953125" style="3" customWidth="1"/>
    <col min="2328" max="2328" width="17.1796875" style="3" customWidth="1"/>
    <col min="2329" max="2329" width="16.1796875" style="3" bestFit="1" customWidth="1"/>
    <col min="2330" max="2330" width="19" style="3" customWidth="1"/>
    <col min="2331" max="2331" width="20.54296875" style="3" customWidth="1"/>
    <col min="2332" max="2567" width="8.7265625" style="3"/>
    <col min="2568" max="2568" width="24.54296875" style="3" customWidth="1"/>
    <col min="2569" max="2569" width="14.54296875" style="3" customWidth="1"/>
    <col min="2570" max="2570" width="24.453125" style="3" customWidth="1"/>
    <col min="2571" max="2571" width="7.54296875" style="3" bestFit="1" customWidth="1"/>
    <col min="2572" max="2572" width="9" style="3" bestFit="1" customWidth="1"/>
    <col min="2573" max="2573" width="6" style="3" bestFit="1" customWidth="1"/>
    <col min="2574" max="2574" width="9.81640625" style="3" bestFit="1" customWidth="1"/>
    <col min="2575" max="2575" width="9.81640625" style="3" customWidth="1"/>
    <col min="2576" max="2576" width="12.54296875" style="3" customWidth="1"/>
    <col min="2577" max="2577" width="18.26953125" style="3" customWidth="1"/>
    <col min="2578" max="2578" width="13.81640625" style="3" bestFit="1" customWidth="1"/>
    <col min="2579" max="2579" width="20.26953125" style="3" customWidth="1"/>
    <col min="2580" max="2580" width="19.81640625" style="3" customWidth="1"/>
    <col min="2581" max="2581" width="16.26953125" style="3" customWidth="1"/>
    <col min="2582" max="2582" width="16.81640625" style="3" bestFit="1" customWidth="1"/>
    <col min="2583" max="2583" width="10.26953125" style="3" customWidth="1"/>
    <col min="2584" max="2584" width="17.1796875" style="3" customWidth="1"/>
    <col min="2585" max="2585" width="16.1796875" style="3" bestFit="1" customWidth="1"/>
    <col min="2586" max="2586" width="19" style="3" customWidth="1"/>
    <col min="2587" max="2587" width="20.54296875" style="3" customWidth="1"/>
    <col min="2588" max="2823" width="8.7265625" style="3"/>
    <col min="2824" max="2824" width="24.54296875" style="3" customWidth="1"/>
    <col min="2825" max="2825" width="14.54296875" style="3" customWidth="1"/>
    <col min="2826" max="2826" width="24.453125" style="3" customWidth="1"/>
    <col min="2827" max="2827" width="7.54296875" style="3" bestFit="1" customWidth="1"/>
    <col min="2828" max="2828" width="9" style="3" bestFit="1" customWidth="1"/>
    <col min="2829" max="2829" width="6" style="3" bestFit="1" customWidth="1"/>
    <col min="2830" max="2830" width="9.81640625" style="3" bestFit="1" customWidth="1"/>
    <col min="2831" max="2831" width="9.81640625" style="3" customWidth="1"/>
    <col min="2832" max="2832" width="12.54296875" style="3" customWidth="1"/>
    <col min="2833" max="2833" width="18.26953125" style="3" customWidth="1"/>
    <col min="2834" max="2834" width="13.81640625" style="3" bestFit="1" customWidth="1"/>
    <col min="2835" max="2835" width="20.26953125" style="3" customWidth="1"/>
    <col min="2836" max="2836" width="19.81640625" style="3" customWidth="1"/>
    <col min="2837" max="2837" width="16.26953125" style="3" customWidth="1"/>
    <col min="2838" max="2838" width="16.81640625" style="3" bestFit="1" customWidth="1"/>
    <col min="2839" max="2839" width="10.26953125" style="3" customWidth="1"/>
    <col min="2840" max="2840" width="17.1796875" style="3" customWidth="1"/>
    <col min="2841" max="2841" width="16.1796875" style="3" bestFit="1" customWidth="1"/>
    <col min="2842" max="2842" width="19" style="3" customWidth="1"/>
    <col min="2843" max="2843" width="20.54296875" style="3" customWidth="1"/>
    <col min="2844" max="3079" width="8.7265625" style="3"/>
    <col min="3080" max="3080" width="24.54296875" style="3" customWidth="1"/>
    <col min="3081" max="3081" width="14.54296875" style="3" customWidth="1"/>
    <col min="3082" max="3082" width="24.453125" style="3" customWidth="1"/>
    <col min="3083" max="3083" width="7.54296875" style="3" bestFit="1" customWidth="1"/>
    <col min="3084" max="3084" width="9" style="3" bestFit="1" customWidth="1"/>
    <col min="3085" max="3085" width="6" style="3" bestFit="1" customWidth="1"/>
    <col min="3086" max="3086" width="9.81640625" style="3" bestFit="1" customWidth="1"/>
    <col min="3087" max="3087" width="9.81640625" style="3" customWidth="1"/>
    <col min="3088" max="3088" width="12.54296875" style="3" customWidth="1"/>
    <col min="3089" max="3089" width="18.26953125" style="3" customWidth="1"/>
    <col min="3090" max="3090" width="13.81640625" style="3" bestFit="1" customWidth="1"/>
    <col min="3091" max="3091" width="20.26953125" style="3" customWidth="1"/>
    <col min="3092" max="3092" width="19.81640625" style="3" customWidth="1"/>
    <col min="3093" max="3093" width="16.26953125" style="3" customWidth="1"/>
    <col min="3094" max="3094" width="16.81640625" style="3" bestFit="1" customWidth="1"/>
    <col min="3095" max="3095" width="10.26953125" style="3" customWidth="1"/>
    <col min="3096" max="3096" width="17.1796875" style="3" customWidth="1"/>
    <col min="3097" max="3097" width="16.1796875" style="3" bestFit="1" customWidth="1"/>
    <col min="3098" max="3098" width="19" style="3" customWidth="1"/>
    <col min="3099" max="3099" width="20.54296875" style="3" customWidth="1"/>
    <col min="3100" max="3335" width="8.7265625" style="3"/>
    <col min="3336" max="3336" width="24.54296875" style="3" customWidth="1"/>
    <col min="3337" max="3337" width="14.54296875" style="3" customWidth="1"/>
    <col min="3338" max="3338" width="24.453125" style="3" customWidth="1"/>
    <col min="3339" max="3339" width="7.54296875" style="3" bestFit="1" customWidth="1"/>
    <col min="3340" max="3340" width="9" style="3" bestFit="1" customWidth="1"/>
    <col min="3341" max="3341" width="6" style="3" bestFit="1" customWidth="1"/>
    <col min="3342" max="3342" width="9.81640625" style="3" bestFit="1" customWidth="1"/>
    <col min="3343" max="3343" width="9.81640625" style="3" customWidth="1"/>
    <col min="3344" max="3344" width="12.54296875" style="3" customWidth="1"/>
    <col min="3345" max="3345" width="18.26953125" style="3" customWidth="1"/>
    <col min="3346" max="3346" width="13.81640625" style="3" bestFit="1" customWidth="1"/>
    <col min="3347" max="3347" width="20.26953125" style="3" customWidth="1"/>
    <col min="3348" max="3348" width="19.81640625" style="3" customWidth="1"/>
    <col min="3349" max="3349" width="16.26953125" style="3" customWidth="1"/>
    <col min="3350" max="3350" width="16.81640625" style="3" bestFit="1" customWidth="1"/>
    <col min="3351" max="3351" width="10.26953125" style="3" customWidth="1"/>
    <col min="3352" max="3352" width="17.1796875" style="3" customWidth="1"/>
    <col min="3353" max="3353" width="16.1796875" style="3" bestFit="1" customWidth="1"/>
    <col min="3354" max="3354" width="19" style="3" customWidth="1"/>
    <col min="3355" max="3355" width="20.54296875" style="3" customWidth="1"/>
    <col min="3356" max="3591" width="8.7265625" style="3"/>
    <col min="3592" max="3592" width="24.54296875" style="3" customWidth="1"/>
    <col min="3593" max="3593" width="14.54296875" style="3" customWidth="1"/>
    <col min="3594" max="3594" width="24.453125" style="3" customWidth="1"/>
    <col min="3595" max="3595" width="7.54296875" style="3" bestFit="1" customWidth="1"/>
    <col min="3596" max="3596" width="9" style="3" bestFit="1" customWidth="1"/>
    <col min="3597" max="3597" width="6" style="3" bestFit="1" customWidth="1"/>
    <col min="3598" max="3598" width="9.81640625" style="3" bestFit="1" customWidth="1"/>
    <col min="3599" max="3599" width="9.81640625" style="3" customWidth="1"/>
    <col min="3600" max="3600" width="12.54296875" style="3" customWidth="1"/>
    <col min="3601" max="3601" width="18.26953125" style="3" customWidth="1"/>
    <col min="3602" max="3602" width="13.81640625" style="3" bestFit="1" customWidth="1"/>
    <col min="3603" max="3603" width="20.26953125" style="3" customWidth="1"/>
    <col min="3604" max="3604" width="19.81640625" style="3" customWidth="1"/>
    <col min="3605" max="3605" width="16.26953125" style="3" customWidth="1"/>
    <col min="3606" max="3606" width="16.81640625" style="3" bestFit="1" customWidth="1"/>
    <col min="3607" max="3607" width="10.26953125" style="3" customWidth="1"/>
    <col min="3608" max="3608" width="17.1796875" style="3" customWidth="1"/>
    <col min="3609" max="3609" width="16.1796875" style="3" bestFit="1" customWidth="1"/>
    <col min="3610" max="3610" width="19" style="3" customWidth="1"/>
    <col min="3611" max="3611" width="20.54296875" style="3" customWidth="1"/>
    <col min="3612" max="3847" width="8.7265625" style="3"/>
    <col min="3848" max="3848" width="24.54296875" style="3" customWidth="1"/>
    <col min="3849" max="3849" width="14.54296875" style="3" customWidth="1"/>
    <col min="3850" max="3850" width="24.453125" style="3" customWidth="1"/>
    <col min="3851" max="3851" width="7.54296875" style="3" bestFit="1" customWidth="1"/>
    <col min="3852" max="3852" width="9" style="3" bestFit="1" customWidth="1"/>
    <col min="3853" max="3853" width="6" style="3" bestFit="1" customWidth="1"/>
    <col min="3854" max="3854" width="9.81640625" style="3" bestFit="1" customWidth="1"/>
    <col min="3855" max="3855" width="9.81640625" style="3" customWidth="1"/>
    <col min="3856" max="3856" width="12.54296875" style="3" customWidth="1"/>
    <col min="3857" max="3857" width="18.26953125" style="3" customWidth="1"/>
    <col min="3858" max="3858" width="13.81640625" style="3" bestFit="1" customWidth="1"/>
    <col min="3859" max="3859" width="20.26953125" style="3" customWidth="1"/>
    <col min="3860" max="3860" width="19.81640625" style="3" customWidth="1"/>
    <col min="3861" max="3861" width="16.26953125" style="3" customWidth="1"/>
    <col min="3862" max="3862" width="16.81640625" style="3" bestFit="1" customWidth="1"/>
    <col min="3863" max="3863" width="10.26953125" style="3" customWidth="1"/>
    <col min="3864" max="3864" width="17.1796875" style="3" customWidth="1"/>
    <col min="3865" max="3865" width="16.1796875" style="3" bestFit="1" customWidth="1"/>
    <col min="3866" max="3866" width="19" style="3" customWidth="1"/>
    <col min="3867" max="3867" width="20.54296875" style="3" customWidth="1"/>
    <col min="3868" max="4103" width="8.7265625" style="3"/>
    <col min="4104" max="4104" width="24.54296875" style="3" customWidth="1"/>
    <col min="4105" max="4105" width="14.54296875" style="3" customWidth="1"/>
    <col min="4106" max="4106" width="24.453125" style="3" customWidth="1"/>
    <col min="4107" max="4107" width="7.54296875" style="3" bestFit="1" customWidth="1"/>
    <col min="4108" max="4108" width="9" style="3" bestFit="1" customWidth="1"/>
    <col min="4109" max="4109" width="6" style="3" bestFit="1" customWidth="1"/>
    <col min="4110" max="4110" width="9.81640625" style="3" bestFit="1" customWidth="1"/>
    <col min="4111" max="4111" width="9.81640625" style="3" customWidth="1"/>
    <col min="4112" max="4112" width="12.54296875" style="3" customWidth="1"/>
    <col min="4113" max="4113" width="18.26953125" style="3" customWidth="1"/>
    <col min="4114" max="4114" width="13.81640625" style="3" bestFit="1" customWidth="1"/>
    <col min="4115" max="4115" width="20.26953125" style="3" customWidth="1"/>
    <col min="4116" max="4116" width="19.81640625" style="3" customWidth="1"/>
    <col min="4117" max="4117" width="16.26953125" style="3" customWidth="1"/>
    <col min="4118" max="4118" width="16.81640625" style="3" bestFit="1" customWidth="1"/>
    <col min="4119" max="4119" width="10.26953125" style="3" customWidth="1"/>
    <col min="4120" max="4120" width="17.1796875" style="3" customWidth="1"/>
    <col min="4121" max="4121" width="16.1796875" style="3" bestFit="1" customWidth="1"/>
    <col min="4122" max="4122" width="19" style="3" customWidth="1"/>
    <col min="4123" max="4123" width="20.54296875" style="3" customWidth="1"/>
    <col min="4124" max="4359" width="8.7265625" style="3"/>
    <col min="4360" max="4360" width="24.54296875" style="3" customWidth="1"/>
    <col min="4361" max="4361" width="14.54296875" style="3" customWidth="1"/>
    <col min="4362" max="4362" width="24.453125" style="3" customWidth="1"/>
    <col min="4363" max="4363" width="7.54296875" style="3" bestFit="1" customWidth="1"/>
    <col min="4364" max="4364" width="9" style="3" bestFit="1" customWidth="1"/>
    <col min="4365" max="4365" width="6" style="3" bestFit="1" customWidth="1"/>
    <col min="4366" max="4366" width="9.81640625" style="3" bestFit="1" customWidth="1"/>
    <col min="4367" max="4367" width="9.81640625" style="3" customWidth="1"/>
    <col min="4368" max="4368" width="12.54296875" style="3" customWidth="1"/>
    <col min="4369" max="4369" width="18.26953125" style="3" customWidth="1"/>
    <col min="4370" max="4370" width="13.81640625" style="3" bestFit="1" customWidth="1"/>
    <col min="4371" max="4371" width="20.26953125" style="3" customWidth="1"/>
    <col min="4372" max="4372" width="19.81640625" style="3" customWidth="1"/>
    <col min="4373" max="4373" width="16.26953125" style="3" customWidth="1"/>
    <col min="4374" max="4374" width="16.81640625" style="3" bestFit="1" customWidth="1"/>
    <col min="4375" max="4375" width="10.26953125" style="3" customWidth="1"/>
    <col min="4376" max="4376" width="17.1796875" style="3" customWidth="1"/>
    <col min="4377" max="4377" width="16.1796875" style="3" bestFit="1" customWidth="1"/>
    <col min="4378" max="4378" width="19" style="3" customWidth="1"/>
    <col min="4379" max="4379" width="20.54296875" style="3" customWidth="1"/>
    <col min="4380" max="4615" width="8.7265625" style="3"/>
    <col min="4616" max="4616" width="24.54296875" style="3" customWidth="1"/>
    <col min="4617" max="4617" width="14.54296875" style="3" customWidth="1"/>
    <col min="4618" max="4618" width="24.453125" style="3" customWidth="1"/>
    <col min="4619" max="4619" width="7.54296875" style="3" bestFit="1" customWidth="1"/>
    <col min="4620" max="4620" width="9" style="3" bestFit="1" customWidth="1"/>
    <col min="4621" max="4621" width="6" style="3" bestFit="1" customWidth="1"/>
    <col min="4622" max="4622" width="9.81640625" style="3" bestFit="1" customWidth="1"/>
    <col min="4623" max="4623" width="9.81640625" style="3" customWidth="1"/>
    <col min="4624" max="4624" width="12.54296875" style="3" customWidth="1"/>
    <col min="4625" max="4625" width="18.26953125" style="3" customWidth="1"/>
    <col min="4626" max="4626" width="13.81640625" style="3" bestFit="1" customWidth="1"/>
    <col min="4627" max="4627" width="20.26953125" style="3" customWidth="1"/>
    <col min="4628" max="4628" width="19.81640625" style="3" customWidth="1"/>
    <col min="4629" max="4629" width="16.26953125" style="3" customWidth="1"/>
    <col min="4630" max="4630" width="16.81640625" style="3" bestFit="1" customWidth="1"/>
    <col min="4631" max="4631" width="10.26953125" style="3" customWidth="1"/>
    <col min="4632" max="4632" width="17.1796875" style="3" customWidth="1"/>
    <col min="4633" max="4633" width="16.1796875" style="3" bestFit="1" customWidth="1"/>
    <col min="4634" max="4634" width="19" style="3" customWidth="1"/>
    <col min="4635" max="4635" width="20.54296875" style="3" customWidth="1"/>
    <col min="4636" max="4871" width="8.7265625" style="3"/>
    <col min="4872" max="4872" width="24.54296875" style="3" customWidth="1"/>
    <col min="4873" max="4873" width="14.54296875" style="3" customWidth="1"/>
    <col min="4874" max="4874" width="24.453125" style="3" customWidth="1"/>
    <col min="4875" max="4875" width="7.54296875" style="3" bestFit="1" customWidth="1"/>
    <col min="4876" max="4876" width="9" style="3" bestFit="1" customWidth="1"/>
    <col min="4877" max="4877" width="6" style="3" bestFit="1" customWidth="1"/>
    <col min="4878" max="4878" width="9.81640625" style="3" bestFit="1" customWidth="1"/>
    <col min="4879" max="4879" width="9.81640625" style="3" customWidth="1"/>
    <col min="4880" max="4880" width="12.54296875" style="3" customWidth="1"/>
    <col min="4881" max="4881" width="18.26953125" style="3" customWidth="1"/>
    <col min="4882" max="4882" width="13.81640625" style="3" bestFit="1" customWidth="1"/>
    <col min="4883" max="4883" width="20.26953125" style="3" customWidth="1"/>
    <col min="4884" max="4884" width="19.81640625" style="3" customWidth="1"/>
    <col min="4885" max="4885" width="16.26953125" style="3" customWidth="1"/>
    <col min="4886" max="4886" width="16.81640625" style="3" bestFit="1" customWidth="1"/>
    <col min="4887" max="4887" width="10.26953125" style="3" customWidth="1"/>
    <col min="4888" max="4888" width="17.1796875" style="3" customWidth="1"/>
    <col min="4889" max="4889" width="16.1796875" style="3" bestFit="1" customWidth="1"/>
    <col min="4890" max="4890" width="19" style="3" customWidth="1"/>
    <col min="4891" max="4891" width="20.54296875" style="3" customWidth="1"/>
    <col min="4892" max="5127" width="8.7265625" style="3"/>
    <col min="5128" max="5128" width="24.54296875" style="3" customWidth="1"/>
    <col min="5129" max="5129" width="14.54296875" style="3" customWidth="1"/>
    <col min="5130" max="5130" width="24.453125" style="3" customWidth="1"/>
    <col min="5131" max="5131" width="7.54296875" style="3" bestFit="1" customWidth="1"/>
    <col min="5132" max="5132" width="9" style="3" bestFit="1" customWidth="1"/>
    <col min="5133" max="5133" width="6" style="3" bestFit="1" customWidth="1"/>
    <col min="5134" max="5134" width="9.81640625" style="3" bestFit="1" customWidth="1"/>
    <col min="5135" max="5135" width="9.81640625" style="3" customWidth="1"/>
    <col min="5136" max="5136" width="12.54296875" style="3" customWidth="1"/>
    <col min="5137" max="5137" width="18.26953125" style="3" customWidth="1"/>
    <col min="5138" max="5138" width="13.81640625" style="3" bestFit="1" customWidth="1"/>
    <col min="5139" max="5139" width="20.26953125" style="3" customWidth="1"/>
    <col min="5140" max="5140" width="19.81640625" style="3" customWidth="1"/>
    <col min="5141" max="5141" width="16.26953125" style="3" customWidth="1"/>
    <col min="5142" max="5142" width="16.81640625" style="3" bestFit="1" customWidth="1"/>
    <col min="5143" max="5143" width="10.26953125" style="3" customWidth="1"/>
    <col min="5144" max="5144" width="17.1796875" style="3" customWidth="1"/>
    <col min="5145" max="5145" width="16.1796875" style="3" bestFit="1" customWidth="1"/>
    <col min="5146" max="5146" width="19" style="3" customWidth="1"/>
    <col min="5147" max="5147" width="20.54296875" style="3" customWidth="1"/>
    <col min="5148" max="5383" width="8.7265625" style="3"/>
    <col min="5384" max="5384" width="24.54296875" style="3" customWidth="1"/>
    <col min="5385" max="5385" width="14.54296875" style="3" customWidth="1"/>
    <col min="5386" max="5386" width="24.453125" style="3" customWidth="1"/>
    <col min="5387" max="5387" width="7.54296875" style="3" bestFit="1" customWidth="1"/>
    <col min="5388" max="5388" width="9" style="3" bestFit="1" customWidth="1"/>
    <col min="5389" max="5389" width="6" style="3" bestFit="1" customWidth="1"/>
    <col min="5390" max="5390" width="9.81640625" style="3" bestFit="1" customWidth="1"/>
    <col min="5391" max="5391" width="9.81640625" style="3" customWidth="1"/>
    <col min="5392" max="5392" width="12.54296875" style="3" customWidth="1"/>
    <col min="5393" max="5393" width="18.26953125" style="3" customWidth="1"/>
    <col min="5394" max="5394" width="13.81640625" style="3" bestFit="1" customWidth="1"/>
    <col min="5395" max="5395" width="20.26953125" style="3" customWidth="1"/>
    <col min="5396" max="5396" width="19.81640625" style="3" customWidth="1"/>
    <col min="5397" max="5397" width="16.26953125" style="3" customWidth="1"/>
    <col min="5398" max="5398" width="16.81640625" style="3" bestFit="1" customWidth="1"/>
    <col min="5399" max="5399" width="10.26953125" style="3" customWidth="1"/>
    <col min="5400" max="5400" width="17.1796875" style="3" customWidth="1"/>
    <col min="5401" max="5401" width="16.1796875" style="3" bestFit="1" customWidth="1"/>
    <col min="5402" max="5402" width="19" style="3" customWidth="1"/>
    <col min="5403" max="5403" width="20.54296875" style="3" customWidth="1"/>
    <col min="5404" max="5639" width="8.7265625" style="3"/>
    <col min="5640" max="5640" width="24.54296875" style="3" customWidth="1"/>
    <col min="5641" max="5641" width="14.54296875" style="3" customWidth="1"/>
    <col min="5642" max="5642" width="24.453125" style="3" customWidth="1"/>
    <col min="5643" max="5643" width="7.54296875" style="3" bestFit="1" customWidth="1"/>
    <col min="5644" max="5644" width="9" style="3" bestFit="1" customWidth="1"/>
    <col min="5645" max="5645" width="6" style="3" bestFit="1" customWidth="1"/>
    <col min="5646" max="5646" width="9.81640625" style="3" bestFit="1" customWidth="1"/>
    <col min="5647" max="5647" width="9.81640625" style="3" customWidth="1"/>
    <col min="5648" max="5648" width="12.54296875" style="3" customWidth="1"/>
    <col min="5649" max="5649" width="18.26953125" style="3" customWidth="1"/>
    <col min="5650" max="5650" width="13.81640625" style="3" bestFit="1" customWidth="1"/>
    <col min="5651" max="5651" width="20.26953125" style="3" customWidth="1"/>
    <col min="5652" max="5652" width="19.81640625" style="3" customWidth="1"/>
    <col min="5653" max="5653" width="16.26953125" style="3" customWidth="1"/>
    <col min="5654" max="5654" width="16.81640625" style="3" bestFit="1" customWidth="1"/>
    <col min="5655" max="5655" width="10.26953125" style="3" customWidth="1"/>
    <col min="5656" max="5656" width="17.1796875" style="3" customWidth="1"/>
    <col min="5657" max="5657" width="16.1796875" style="3" bestFit="1" customWidth="1"/>
    <col min="5658" max="5658" width="19" style="3" customWidth="1"/>
    <col min="5659" max="5659" width="20.54296875" style="3" customWidth="1"/>
    <col min="5660" max="5895" width="8.7265625" style="3"/>
    <col min="5896" max="5896" width="24.54296875" style="3" customWidth="1"/>
    <col min="5897" max="5897" width="14.54296875" style="3" customWidth="1"/>
    <col min="5898" max="5898" width="24.453125" style="3" customWidth="1"/>
    <col min="5899" max="5899" width="7.54296875" style="3" bestFit="1" customWidth="1"/>
    <col min="5900" max="5900" width="9" style="3" bestFit="1" customWidth="1"/>
    <col min="5901" max="5901" width="6" style="3" bestFit="1" customWidth="1"/>
    <col min="5902" max="5902" width="9.81640625" style="3" bestFit="1" customWidth="1"/>
    <col min="5903" max="5903" width="9.81640625" style="3" customWidth="1"/>
    <col min="5904" max="5904" width="12.54296875" style="3" customWidth="1"/>
    <col min="5905" max="5905" width="18.26953125" style="3" customWidth="1"/>
    <col min="5906" max="5906" width="13.81640625" style="3" bestFit="1" customWidth="1"/>
    <col min="5907" max="5907" width="20.26953125" style="3" customWidth="1"/>
    <col min="5908" max="5908" width="19.81640625" style="3" customWidth="1"/>
    <col min="5909" max="5909" width="16.26953125" style="3" customWidth="1"/>
    <col min="5910" max="5910" width="16.81640625" style="3" bestFit="1" customWidth="1"/>
    <col min="5911" max="5911" width="10.26953125" style="3" customWidth="1"/>
    <col min="5912" max="5912" width="17.1796875" style="3" customWidth="1"/>
    <col min="5913" max="5913" width="16.1796875" style="3" bestFit="1" customWidth="1"/>
    <col min="5914" max="5914" width="19" style="3" customWidth="1"/>
    <col min="5915" max="5915" width="20.54296875" style="3" customWidth="1"/>
    <col min="5916" max="6151" width="8.7265625" style="3"/>
    <col min="6152" max="6152" width="24.54296875" style="3" customWidth="1"/>
    <col min="6153" max="6153" width="14.54296875" style="3" customWidth="1"/>
    <col min="6154" max="6154" width="24.453125" style="3" customWidth="1"/>
    <col min="6155" max="6155" width="7.54296875" style="3" bestFit="1" customWidth="1"/>
    <col min="6156" max="6156" width="9" style="3" bestFit="1" customWidth="1"/>
    <col min="6157" max="6157" width="6" style="3" bestFit="1" customWidth="1"/>
    <col min="6158" max="6158" width="9.81640625" style="3" bestFit="1" customWidth="1"/>
    <col min="6159" max="6159" width="9.81640625" style="3" customWidth="1"/>
    <col min="6160" max="6160" width="12.54296875" style="3" customWidth="1"/>
    <col min="6161" max="6161" width="18.26953125" style="3" customWidth="1"/>
    <col min="6162" max="6162" width="13.81640625" style="3" bestFit="1" customWidth="1"/>
    <col min="6163" max="6163" width="20.26953125" style="3" customWidth="1"/>
    <col min="6164" max="6164" width="19.81640625" style="3" customWidth="1"/>
    <col min="6165" max="6165" width="16.26953125" style="3" customWidth="1"/>
    <col min="6166" max="6166" width="16.81640625" style="3" bestFit="1" customWidth="1"/>
    <col min="6167" max="6167" width="10.26953125" style="3" customWidth="1"/>
    <col min="6168" max="6168" width="17.1796875" style="3" customWidth="1"/>
    <col min="6169" max="6169" width="16.1796875" style="3" bestFit="1" customWidth="1"/>
    <col min="6170" max="6170" width="19" style="3" customWidth="1"/>
    <col min="6171" max="6171" width="20.54296875" style="3" customWidth="1"/>
    <col min="6172" max="6407" width="8.7265625" style="3"/>
    <col min="6408" max="6408" width="24.54296875" style="3" customWidth="1"/>
    <col min="6409" max="6409" width="14.54296875" style="3" customWidth="1"/>
    <col min="6410" max="6410" width="24.453125" style="3" customWidth="1"/>
    <col min="6411" max="6411" width="7.54296875" style="3" bestFit="1" customWidth="1"/>
    <col min="6412" max="6412" width="9" style="3" bestFit="1" customWidth="1"/>
    <col min="6413" max="6413" width="6" style="3" bestFit="1" customWidth="1"/>
    <col min="6414" max="6414" width="9.81640625" style="3" bestFit="1" customWidth="1"/>
    <col min="6415" max="6415" width="9.81640625" style="3" customWidth="1"/>
    <col min="6416" max="6416" width="12.54296875" style="3" customWidth="1"/>
    <col min="6417" max="6417" width="18.26953125" style="3" customWidth="1"/>
    <col min="6418" max="6418" width="13.81640625" style="3" bestFit="1" customWidth="1"/>
    <col min="6419" max="6419" width="20.26953125" style="3" customWidth="1"/>
    <col min="6420" max="6420" width="19.81640625" style="3" customWidth="1"/>
    <col min="6421" max="6421" width="16.26953125" style="3" customWidth="1"/>
    <col min="6422" max="6422" width="16.81640625" style="3" bestFit="1" customWidth="1"/>
    <col min="6423" max="6423" width="10.26953125" style="3" customWidth="1"/>
    <col min="6424" max="6424" width="17.1796875" style="3" customWidth="1"/>
    <col min="6425" max="6425" width="16.1796875" style="3" bestFit="1" customWidth="1"/>
    <col min="6426" max="6426" width="19" style="3" customWidth="1"/>
    <col min="6427" max="6427" width="20.54296875" style="3" customWidth="1"/>
    <col min="6428" max="6663" width="8.7265625" style="3"/>
    <col min="6664" max="6664" width="24.54296875" style="3" customWidth="1"/>
    <col min="6665" max="6665" width="14.54296875" style="3" customWidth="1"/>
    <col min="6666" max="6666" width="24.453125" style="3" customWidth="1"/>
    <col min="6667" max="6667" width="7.54296875" style="3" bestFit="1" customWidth="1"/>
    <col min="6668" max="6668" width="9" style="3" bestFit="1" customWidth="1"/>
    <col min="6669" max="6669" width="6" style="3" bestFit="1" customWidth="1"/>
    <col min="6670" max="6670" width="9.81640625" style="3" bestFit="1" customWidth="1"/>
    <col min="6671" max="6671" width="9.81640625" style="3" customWidth="1"/>
    <col min="6672" max="6672" width="12.54296875" style="3" customWidth="1"/>
    <col min="6673" max="6673" width="18.26953125" style="3" customWidth="1"/>
    <col min="6674" max="6674" width="13.81640625" style="3" bestFit="1" customWidth="1"/>
    <col min="6675" max="6675" width="20.26953125" style="3" customWidth="1"/>
    <col min="6676" max="6676" width="19.81640625" style="3" customWidth="1"/>
    <col min="6677" max="6677" width="16.26953125" style="3" customWidth="1"/>
    <col min="6678" max="6678" width="16.81640625" style="3" bestFit="1" customWidth="1"/>
    <col min="6679" max="6679" width="10.26953125" style="3" customWidth="1"/>
    <col min="6680" max="6680" width="17.1796875" style="3" customWidth="1"/>
    <col min="6681" max="6681" width="16.1796875" style="3" bestFit="1" customWidth="1"/>
    <col min="6682" max="6682" width="19" style="3" customWidth="1"/>
    <col min="6683" max="6683" width="20.54296875" style="3" customWidth="1"/>
    <col min="6684" max="6919" width="8.7265625" style="3"/>
    <col min="6920" max="6920" width="24.54296875" style="3" customWidth="1"/>
    <col min="6921" max="6921" width="14.54296875" style="3" customWidth="1"/>
    <col min="6922" max="6922" width="24.453125" style="3" customWidth="1"/>
    <col min="6923" max="6923" width="7.54296875" style="3" bestFit="1" customWidth="1"/>
    <col min="6924" max="6924" width="9" style="3" bestFit="1" customWidth="1"/>
    <col min="6925" max="6925" width="6" style="3" bestFit="1" customWidth="1"/>
    <col min="6926" max="6926" width="9.81640625" style="3" bestFit="1" customWidth="1"/>
    <col min="6927" max="6927" width="9.81640625" style="3" customWidth="1"/>
    <col min="6928" max="6928" width="12.54296875" style="3" customWidth="1"/>
    <col min="6929" max="6929" width="18.26953125" style="3" customWidth="1"/>
    <col min="6930" max="6930" width="13.81640625" style="3" bestFit="1" customWidth="1"/>
    <col min="6931" max="6931" width="20.26953125" style="3" customWidth="1"/>
    <col min="6932" max="6932" width="19.81640625" style="3" customWidth="1"/>
    <col min="6933" max="6933" width="16.26953125" style="3" customWidth="1"/>
    <col min="6934" max="6934" width="16.81640625" style="3" bestFit="1" customWidth="1"/>
    <col min="6935" max="6935" width="10.26953125" style="3" customWidth="1"/>
    <col min="6936" max="6936" width="17.1796875" style="3" customWidth="1"/>
    <col min="6937" max="6937" width="16.1796875" style="3" bestFit="1" customWidth="1"/>
    <col min="6938" max="6938" width="19" style="3" customWidth="1"/>
    <col min="6939" max="6939" width="20.54296875" style="3" customWidth="1"/>
    <col min="6940" max="7175" width="8.7265625" style="3"/>
    <col min="7176" max="7176" width="24.54296875" style="3" customWidth="1"/>
    <col min="7177" max="7177" width="14.54296875" style="3" customWidth="1"/>
    <col min="7178" max="7178" width="24.453125" style="3" customWidth="1"/>
    <col min="7179" max="7179" width="7.54296875" style="3" bestFit="1" customWidth="1"/>
    <col min="7180" max="7180" width="9" style="3" bestFit="1" customWidth="1"/>
    <col min="7181" max="7181" width="6" style="3" bestFit="1" customWidth="1"/>
    <col min="7182" max="7182" width="9.81640625" style="3" bestFit="1" customWidth="1"/>
    <col min="7183" max="7183" width="9.81640625" style="3" customWidth="1"/>
    <col min="7184" max="7184" width="12.54296875" style="3" customWidth="1"/>
    <col min="7185" max="7185" width="18.26953125" style="3" customWidth="1"/>
    <col min="7186" max="7186" width="13.81640625" style="3" bestFit="1" customWidth="1"/>
    <col min="7187" max="7187" width="20.26953125" style="3" customWidth="1"/>
    <col min="7188" max="7188" width="19.81640625" style="3" customWidth="1"/>
    <col min="7189" max="7189" width="16.26953125" style="3" customWidth="1"/>
    <col min="7190" max="7190" width="16.81640625" style="3" bestFit="1" customWidth="1"/>
    <col min="7191" max="7191" width="10.26953125" style="3" customWidth="1"/>
    <col min="7192" max="7192" width="17.1796875" style="3" customWidth="1"/>
    <col min="7193" max="7193" width="16.1796875" style="3" bestFit="1" customWidth="1"/>
    <col min="7194" max="7194" width="19" style="3" customWidth="1"/>
    <col min="7195" max="7195" width="20.54296875" style="3" customWidth="1"/>
    <col min="7196" max="7431" width="8.7265625" style="3"/>
    <col min="7432" max="7432" width="24.54296875" style="3" customWidth="1"/>
    <col min="7433" max="7433" width="14.54296875" style="3" customWidth="1"/>
    <col min="7434" max="7434" width="24.453125" style="3" customWidth="1"/>
    <col min="7435" max="7435" width="7.54296875" style="3" bestFit="1" customWidth="1"/>
    <col min="7436" max="7436" width="9" style="3" bestFit="1" customWidth="1"/>
    <col min="7437" max="7437" width="6" style="3" bestFit="1" customWidth="1"/>
    <col min="7438" max="7438" width="9.81640625" style="3" bestFit="1" customWidth="1"/>
    <col min="7439" max="7439" width="9.81640625" style="3" customWidth="1"/>
    <col min="7440" max="7440" width="12.54296875" style="3" customWidth="1"/>
    <col min="7441" max="7441" width="18.26953125" style="3" customWidth="1"/>
    <col min="7442" max="7442" width="13.81640625" style="3" bestFit="1" customWidth="1"/>
    <col min="7443" max="7443" width="20.26953125" style="3" customWidth="1"/>
    <col min="7444" max="7444" width="19.81640625" style="3" customWidth="1"/>
    <col min="7445" max="7445" width="16.26953125" style="3" customWidth="1"/>
    <col min="7446" max="7446" width="16.81640625" style="3" bestFit="1" customWidth="1"/>
    <col min="7447" max="7447" width="10.26953125" style="3" customWidth="1"/>
    <col min="7448" max="7448" width="17.1796875" style="3" customWidth="1"/>
    <col min="7449" max="7449" width="16.1796875" style="3" bestFit="1" customWidth="1"/>
    <col min="7450" max="7450" width="19" style="3" customWidth="1"/>
    <col min="7451" max="7451" width="20.54296875" style="3" customWidth="1"/>
    <col min="7452" max="7687" width="8.7265625" style="3"/>
    <col min="7688" max="7688" width="24.54296875" style="3" customWidth="1"/>
    <col min="7689" max="7689" width="14.54296875" style="3" customWidth="1"/>
    <col min="7690" max="7690" width="24.453125" style="3" customWidth="1"/>
    <col min="7691" max="7691" width="7.54296875" style="3" bestFit="1" customWidth="1"/>
    <col min="7692" max="7692" width="9" style="3" bestFit="1" customWidth="1"/>
    <col min="7693" max="7693" width="6" style="3" bestFit="1" customWidth="1"/>
    <col min="7694" max="7694" width="9.81640625" style="3" bestFit="1" customWidth="1"/>
    <col min="7695" max="7695" width="9.81640625" style="3" customWidth="1"/>
    <col min="7696" max="7696" width="12.54296875" style="3" customWidth="1"/>
    <col min="7697" max="7697" width="18.26953125" style="3" customWidth="1"/>
    <col min="7698" max="7698" width="13.81640625" style="3" bestFit="1" customWidth="1"/>
    <col min="7699" max="7699" width="20.26953125" style="3" customWidth="1"/>
    <col min="7700" max="7700" width="19.81640625" style="3" customWidth="1"/>
    <col min="7701" max="7701" width="16.26953125" style="3" customWidth="1"/>
    <col min="7702" max="7702" width="16.81640625" style="3" bestFit="1" customWidth="1"/>
    <col min="7703" max="7703" width="10.26953125" style="3" customWidth="1"/>
    <col min="7704" max="7704" width="17.1796875" style="3" customWidth="1"/>
    <col min="7705" max="7705" width="16.1796875" style="3" bestFit="1" customWidth="1"/>
    <col min="7706" max="7706" width="19" style="3" customWidth="1"/>
    <col min="7707" max="7707" width="20.54296875" style="3" customWidth="1"/>
    <col min="7708" max="7943" width="8.7265625" style="3"/>
    <col min="7944" max="7944" width="24.54296875" style="3" customWidth="1"/>
    <col min="7945" max="7945" width="14.54296875" style="3" customWidth="1"/>
    <col min="7946" max="7946" width="24.453125" style="3" customWidth="1"/>
    <col min="7947" max="7947" width="7.54296875" style="3" bestFit="1" customWidth="1"/>
    <col min="7948" max="7948" width="9" style="3" bestFit="1" customWidth="1"/>
    <col min="7949" max="7949" width="6" style="3" bestFit="1" customWidth="1"/>
    <col min="7950" max="7950" width="9.81640625" style="3" bestFit="1" customWidth="1"/>
    <col min="7951" max="7951" width="9.81640625" style="3" customWidth="1"/>
    <col min="7952" max="7952" width="12.54296875" style="3" customWidth="1"/>
    <col min="7953" max="7953" width="18.26953125" style="3" customWidth="1"/>
    <col min="7954" max="7954" width="13.81640625" style="3" bestFit="1" customWidth="1"/>
    <col min="7955" max="7955" width="20.26953125" style="3" customWidth="1"/>
    <col min="7956" max="7956" width="19.81640625" style="3" customWidth="1"/>
    <col min="7957" max="7957" width="16.26953125" style="3" customWidth="1"/>
    <col min="7958" max="7958" width="16.81640625" style="3" bestFit="1" customWidth="1"/>
    <col min="7959" max="7959" width="10.26953125" style="3" customWidth="1"/>
    <col min="7960" max="7960" width="17.1796875" style="3" customWidth="1"/>
    <col min="7961" max="7961" width="16.1796875" style="3" bestFit="1" customWidth="1"/>
    <col min="7962" max="7962" width="19" style="3" customWidth="1"/>
    <col min="7963" max="7963" width="20.54296875" style="3" customWidth="1"/>
    <col min="7964" max="8199" width="8.7265625" style="3"/>
    <col min="8200" max="8200" width="24.54296875" style="3" customWidth="1"/>
    <col min="8201" max="8201" width="14.54296875" style="3" customWidth="1"/>
    <col min="8202" max="8202" width="24.453125" style="3" customWidth="1"/>
    <col min="8203" max="8203" width="7.54296875" style="3" bestFit="1" customWidth="1"/>
    <col min="8204" max="8204" width="9" style="3" bestFit="1" customWidth="1"/>
    <col min="8205" max="8205" width="6" style="3" bestFit="1" customWidth="1"/>
    <col min="8206" max="8206" width="9.81640625" style="3" bestFit="1" customWidth="1"/>
    <col min="8207" max="8207" width="9.81640625" style="3" customWidth="1"/>
    <col min="8208" max="8208" width="12.54296875" style="3" customWidth="1"/>
    <col min="8209" max="8209" width="18.26953125" style="3" customWidth="1"/>
    <col min="8210" max="8210" width="13.81640625" style="3" bestFit="1" customWidth="1"/>
    <col min="8211" max="8211" width="20.26953125" style="3" customWidth="1"/>
    <col min="8212" max="8212" width="19.81640625" style="3" customWidth="1"/>
    <col min="8213" max="8213" width="16.26953125" style="3" customWidth="1"/>
    <col min="8214" max="8214" width="16.81640625" style="3" bestFit="1" customWidth="1"/>
    <col min="8215" max="8215" width="10.26953125" style="3" customWidth="1"/>
    <col min="8216" max="8216" width="17.1796875" style="3" customWidth="1"/>
    <col min="8217" max="8217" width="16.1796875" style="3" bestFit="1" customWidth="1"/>
    <col min="8218" max="8218" width="19" style="3" customWidth="1"/>
    <col min="8219" max="8219" width="20.54296875" style="3" customWidth="1"/>
    <col min="8220" max="8455" width="8.7265625" style="3"/>
    <col min="8456" max="8456" width="24.54296875" style="3" customWidth="1"/>
    <col min="8457" max="8457" width="14.54296875" style="3" customWidth="1"/>
    <col min="8458" max="8458" width="24.453125" style="3" customWidth="1"/>
    <col min="8459" max="8459" width="7.54296875" style="3" bestFit="1" customWidth="1"/>
    <col min="8460" max="8460" width="9" style="3" bestFit="1" customWidth="1"/>
    <col min="8461" max="8461" width="6" style="3" bestFit="1" customWidth="1"/>
    <col min="8462" max="8462" width="9.81640625" style="3" bestFit="1" customWidth="1"/>
    <col min="8463" max="8463" width="9.81640625" style="3" customWidth="1"/>
    <col min="8464" max="8464" width="12.54296875" style="3" customWidth="1"/>
    <col min="8465" max="8465" width="18.26953125" style="3" customWidth="1"/>
    <col min="8466" max="8466" width="13.81640625" style="3" bestFit="1" customWidth="1"/>
    <col min="8467" max="8467" width="20.26953125" style="3" customWidth="1"/>
    <col min="8468" max="8468" width="19.81640625" style="3" customWidth="1"/>
    <col min="8469" max="8469" width="16.26953125" style="3" customWidth="1"/>
    <col min="8470" max="8470" width="16.81640625" style="3" bestFit="1" customWidth="1"/>
    <col min="8471" max="8471" width="10.26953125" style="3" customWidth="1"/>
    <col min="8472" max="8472" width="17.1796875" style="3" customWidth="1"/>
    <col min="8473" max="8473" width="16.1796875" style="3" bestFit="1" customWidth="1"/>
    <col min="8474" max="8474" width="19" style="3" customWidth="1"/>
    <col min="8475" max="8475" width="20.54296875" style="3" customWidth="1"/>
    <col min="8476" max="8711" width="8.7265625" style="3"/>
    <col min="8712" max="8712" width="24.54296875" style="3" customWidth="1"/>
    <col min="8713" max="8713" width="14.54296875" style="3" customWidth="1"/>
    <col min="8714" max="8714" width="24.453125" style="3" customWidth="1"/>
    <col min="8715" max="8715" width="7.54296875" style="3" bestFit="1" customWidth="1"/>
    <col min="8716" max="8716" width="9" style="3" bestFit="1" customWidth="1"/>
    <col min="8717" max="8717" width="6" style="3" bestFit="1" customWidth="1"/>
    <col min="8718" max="8718" width="9.81640625" style="3" bestFit="1" customWidth="1"/>
    <col min="8719" max="8719" width="9.81640625" style="3" customWidth="1"/>
    <col min="8720" max="8720" width="12.54296875" style="3" customWidth="1"/>
    <col min="8721" max="8721" width="18.26953125" style="3" customWidth="1"/>
    <col min="8722" max="8722" width="13.81640625" style="3" bestFit="1" customWidth="1"/>
    <col min="8723" max="8723" width="20.26953125" style="3" customWidth="1"/>
    <col min="8724" max="8724" width="19.81640625" style="3" customWidth="1"/>
    <col min="8725" max="8725" width="16.26953125" style="3" customWidth="1"/>
    <col min="8726" max="8726" width="16.81640625" style="3" bestFit="1" customWidth="1"/>
    <col min="8727" max="8727" width="10.26953125" style="3" customWidth="1"/>
    <col min="8728" max="8728" width="17.1796875" style="3" customWidth="1"/>
    <col min="8729" max="8729" width="16.1796875" style="3" bestFit="1" customWidth="1"/>
    <col min="8730" max="8730" width="19" style="3" customWidth="1"/>
    <col min="8731" max="8731" width="20.54296875" style="3" customWidth="1"/>
    <col min="8732" max="8967" width="8.7265625" style="3"/>
    <col min="8968" max="8968" width="24.54296875" style="3" customWidth="1"/>
    <col min="8969" max="8969" width="14.54296875" style="3" customWidth="1"/>
    <col min="8970" max="8970" width="24.453125" style="3" customWidth="1"/>
    <col min="8971" max="8971" width="7.54296875" style="3" bestFit="1" customWidth="1"/>
    <col min="8972" max="8972" width="9" style="3" bestFit="1" customWidth="1"/>
    <col min="8973" max="8973" width="6" style="3" bestFit="1" customWidth="1"/>
    <col min="8974" max="8974" width="9.81640625" style="3" bestFit="1" customWidth="1"/>
    <col min="8975" max="8975" width="9.81640625" style="3" customWidth="1"/>
    <col min="8976" max="8976" width="12.54296875" style="3" customWidth="1"/>
    <col min="8977" max="8977" width="18.26953125" style="3" customWidth="1"/>
    <col min="8978" max="8978" width="13.81640625" style="3" bestFit="1" customWidth="1"/>
    <col min="8979" max="8979" width="20.26953125" style="3" customWidth="1"/>
    <col min="8980" max="8980" width="19.81640625" style="3" customWidth="1"/>
    <col min="8981" max="8981" width="16.26953125" style="3" customWidth="1"/>
    <col min="8982" max="8982" width="16.81640625" style="3" bestFit="1" customWidth="1"/>
    <col min="8983" max="8983" width="10.26953125" style="3" customWidth="1"/>
    <col min="8984" max="8984" width="17.1796875" style="3" customWidth="1"/>
    <col min="8985" max="8985" width="16.1796875" style="3" bestFit="1" customWidth="1"/>
    <col min="8986" max="8986" width="19" style="3" customWidth="1"/>
    <col min="8987" max="8987" width="20.54296875" style="3" customWidth="1"/>
    <col min="8988" max="9223" width="8.7265625" style="3"/>
    <col min="9224" max="9224" width="24.54296875" style="3" customWidth="1"/>
    <col min="9225" max="9225" width="14.54296875" style="3" customWidth="1"/>
    <col min="9226" max="9226" width="24.453125" style="3" customWidth="1"/>
    <col min="9227" max="9227" width="7.54296875" style="3" bestFit="1" customWidth="1"/>
    <col min="9228" max="9228" width="9" style="3" bestFit="1" customWidth="1"/>
    <col min="9229" max="9229" width="6" style="3" bestFit="1" customWidth="1"/>
    <col min="9230" max="9230" width="9.81640625" style="3" bestFit="1" customWidth="1"/>
    <col min="9231" max="9231" width="9.81640625" style="3" customWidth="1"/>
    <col min="9232" max="9232" width="12.54296875" style="3" customWidth="1"/>
    <col min="9233" max="9233" width="18.26953125" style="3" customWidth="1"/>
    <col min="9234" max="9234" width="13.81640625" style="3" bestFit="1" customWidth="1"/>
    <col min="9235" max="9235" width="20.26953125" style="3" customWidth="1"/>
    <col min="9236" max="9236" width="19.81640625" style="3" customWidth="1"/>
    <col min="9237" max="9237" width="16.26953125" style="3" customWidth="1"/>
    <col min="9238" max="9238" width="16.81640625" style="3" bestFit="1" customWidth="1"/>
    <col min="9239" max="9239" width="10.26953125" style="3" customWidth="1"/>
    <col min="9240" max="9240" width="17.1796875" style="3" customWidth="1"/>
    <col min="9241" max="9241" width="16.1796875" style="3" bestFit="1" customWidth="1"/>
    <col min="9242" max="9242" width="19" style="3" customWidth="1"/>
    <col min="9243" max="9243" width="20.54296875" style="3" customWidth="1"/>
    <col min="9244" max="9479" width="8.7265625" style="3"/>
    <col min="9480" max="9480" width="24.54296875" style="3" customWidth="1"/>
    <col min="9481" max="9481" width="14.54296875" style="3" customWidth="1"/>
    <col min="9482" max="9482" width="24.453125" style="3" customWidth="1"/>
    <col min="9483" max="9483" width="7.54296875" style="3" bestFit="1" customWidth="1"/>
    <col min="9484" max="9484" width="9" style="3" bestFit="1" customWidth="1"/>
    <col min="9485" max="9485" width="6" style="3" bestFit="1" customWidth="1"/>
    <col min="9486" max="9486" width="9.81640625" style="3" bestFit="1" customWidth="1"/>
    <col min="9487" max="9487" width="9.81640625" style="3" customWidth="1"/>
    <col min="9488" max="9488" width="12.54296875" style="3" customWidth="1"/>
    <col min="9489" max="9489" width="18.26953125" style="3" customWidth="1"/>
    <col min="9490" max="9490" width="13.81640625" style="3" bestFit="1" customWidth="1"/>
    <col min="9491" max="9491" width="20.26953125" style="3" customWidth="1"/>
    <col min="9492" max="9492" width="19.81640625" style="3" customWidth="1"/>
    <col min="9493" max="9493" width="16.26953125" style="3" customWidth="1"/>
    <col min="9494" max="9494" width="16.81640625" style="3" bestFit="1" customWidth="1"/>
    <col min="9495" max="9495" width="10.26953125" style="3" customWidth="1"/>
    <col min="9496" max="9496" width="17.1796875" style="3" customWidth="1"/>
    <col min="9497" max="9497" width="16.1796875" style="3" bestFit="1" customWidth="1"/>
    <col min="9498" max="9498" width="19" style="3" customWidth="1"/>
    <col min="9499" max="9499" width="20.54296875" style="3" customWidth="1"/>
    <col min="9500" max="9735" width="8.7265625" style="3"/>
    <col min="9736" max="9736" width="24.54296875" style="3" customWidth="1"/>
    <col min="9737" max="9737" width="14.54296875" style="3" customWidth="1"/>
    <col min="9738" max="9738" width="24.453125" style="3" customWidth="1"/>
    <col min="9739" max="9739" width="7.54296875" style="3" bestFit="1" customWidth="1"/>
    <col min="9740" max="9740" width="9" style="3" bestFit="1" customWidth="1"/>
    <col min="9741" max="9741" width="6" style="3" bestFit="1" customWidth="1"/>
    <col min="9742" max="9742" width="9.81640625" style="3" bestFit="1" customWidth="1"/>
    <col min="9743" max="9743" width="9.81640625" style="3" customWidth="1"/>
    <col min="9744" max="9744" width="12.54296875" style="3" customWidth="1"/>
    <col min="9745" max="9745" width="18.26953125" style="3" customWidth="1"/>
    <col min="9746" max="9746" width="13.81640625" style="3" bestFit="1" customWidth="1"/>
    <col min="9747" max="9747" width="20.26953125" style="3" customWidth="1"/>
    <col min="9748" max="9748" width="19.81640625" style="3" customWidth="1"/>
    <col min="9749" max="9749" width="16.26953125" style="3" customWidth="1"/>
    <col min="9750" max="9750" width="16.81640625" style="3" bestFit="1" customWidth="1"/>
    <col min="9751" max="9751" width="10.26953125" style="3" customWidth="1"/>
    <col min="9752" max="9752" width="17.1796875" style="3" customWidth="1"/>
    <col min="9753" max="9753" width="16.1796875" style="3" bestFit="1" customWidth="1"/>
    <col min="9754" max="9754" width="19" style="3" customWidth="1"/>
    <col min="9755" max="9755" width="20.54296875" style="3" customWidth="1"/>
    <col min="9756" max="9991" width="8.7265625" style="3"/>
    <col min="9992" max="9992" width="24.54296875" style="3" customWidth="1"/>
    <col min="9993" max="9993" width="14.54296875" style="3" customWidth="1"/>
    <col min="9994" max="9994" width="24.453125" style="3" customWidth="1"/>
    <col min="9995" max="9995" width="7.54296875" style="3" bestFit="1" customWidth="1"/>
    <col min="9996" max="9996" width="9" style="3" bestFit="1" customWidth="1"/>
    <col min="9997" max="9997" width="6" style="3" bestFit="1" customWidth="1"/>
    <col min="9998" max="9998" width="9.81640625" style="3" bestFit="1" customWidth="1"/>
    <col min="9999" max="9999" width="9.81640625" style="3" customWidth="1"/>
    <col min="10000" max="10000" width="12.54296875" style="3" customWidth="1"/>
    <col min="10001" max="10001" width="18.26953125" style="3" customWidth="1"/>
    <col min="10002" max="10002" width="13.81640625" style="3" bestFit="1" customWidth="1"/>
    <col min="10003" max="10003" width="20.26953125" style="3" customWidth="1"/>
    <col min="10004" max="10004" width="19.81640625" style="3" customWidth="1"/>
    <col min="10005" max="10005" width="16.26953125" style="3" customWidth="1"/>
    <col min="10006" max="10006" width="16.81640625" style="3" bestFit="1" customWidth="1"/>
    <col min="10007" max="10007" width="10.26953125" style="3" customWidth="1"/>
    <col min="10008" max="10008" width="17.1796875" style="3" customWidth="1"/>
    <col min="10009" max="10009" width="16.1796875" style="3" bestFit="1" customWidth="1"/>
    <col min="10010" max="10010" width="19" style="3" customWidth="1"/>
    <col min="10011" max="10011" width="20.54296875" style="3" customWidth="1"/>
    <col min="10012" max="10247" width="8.7265625" style="3"/>
    <col min="10248" max="10248" width="24.54296875" style="3" customWidth="1"/>
    <col min="10249" max="10249" width="14.54296875" style="3" customWidth="1"/>
    <col min="10250" max="10250" width="24.453125" style="3" customWidth="1"/>
    <col min="10251" max="10251" width="7.54296875" style="3" bestFit="1" customWidth="1"/>
    <col min="10252" max="10252" width="9" style="3" bestFit="1" customWidth="1"/>
    <col min="10253" max="10253" width="6" style="3" bestFit="1" customWidth="1"/>
    <col min="10254" max="10254" width="9.81640625" style="3" bestFit="1" customWidth="1"/>
    <col min="10255" max="10255" width="9.81640625" style="3" customWidth="1"/>
    <col min="10256" max="10256" width="12.54296875" style="3" customWidth="1"/>
    <col min="10257" max="10257" width="18.26953125" style="3" customWidth="1"/>
    <col min="10258" max="10258" width="13.81640625" style="3" bestFit="1" customWidth="1"/>
    <col min="10259" max="10259" width="20.26953125" style="3" customWidth="1"/>
    <col min="10260" max="10260" width="19.81640625" style="3" customWidth="1"/>
    <col min="10261" max="10261" width="16.26953125" style="3" customWidth="1"/>
    <col min="10262" max="10262" width="16.81640625" style="3" bestFit="1" customWidth="1"/>
    <col min="10263" max="10263" width="10.26953125" style="3" customWidth="1"/>
    <col min="10264" max="10264" width="17.1796875" style="3" customWidth="1"/>
    <col min="10265" max="10265" width="16.1796875" style="3" bestFit="1" customWidth="1"/>
    <col min="10266" max="10266" width="19" style="3" customWidth="1"/>
    <col min="10267" max="10267" width="20.54296875" style="3" customWidth="1"/>
    <col min="10268" max="10503" width="8.7265625" style="3"/>
    <col min="10504" max="10504" width="24.54296875" style="3" customWidth="1"/>
    <col min="10505" max="10505" width="14.54296875" style="3" customWidth="1"/>
    <col min="10506" max="10506" width="24.453125" style="3" customWidth="1"/>
    <col min="10507" max="10507" width="7.54296875" style="3" bestFit="1" customWidth="1"/>
    <col min="10508" max="10508" width="9" style="3" bestFit="1" customWidth="1"/>
    <col min="10509" max="10509" width="6" style="3" bestFit="1" customWidth="1"/>
    <col min="10510" max="10510" width="9.81640625" style="3" bestFit="1" customWidth="1"/>
    <col min="10511" max="10511" width="9.81640625" style="3" customWidth="1"/>
    <col min="10512" max="10512" width="12.54296875" style="3" customWidth="1"/>
    <col min="10513" max="10513" width="18.26953125" style="3" customWidth="1"/>
    <col min="10514" max="10514" width="13.81640625" style="3" bestFit="1" customWidth="1"/>
    <col min="10515" max="10515" width="20.26953125" style="3" customWidth="1"/>
    <col min="10516" max="10516" width="19.81640625" style="3" customWidth="1"/>
    <col min="10517" max="10517" width="16.26953125" style="3" customWidth="1"/>
    <col min="10518" max="10518" width="16.81640625" style="3" bestFit="1" customWidth="1"/>
    <col min="10519" max="10519" width="10.26953125" style="3" customWidth="1"/>
    <col min="10520" max="10520" width="17.1796875" style="3" customWidth="1"/>
    <col min="10521" max="10521" width="16.1796875" style="3" bestFit="1" customWidth="1"/>
    <col min="10522" max="10522" width="19" style="3" customWidth="1"/>
    <col min="10523" max="10523" width="20.54296875" style="3" customWidth="1"/>
    <col min="10524" max="10759" width="8.7265625" style="3"/>
    <col min="10760" max="10760" width="24.54296875" style="3" customWidth="1"/>
    <col min="10761" max="10761" width="14.54296875" style="3" customWidth="1"/>
    <col min="10762" max="10762" width="24.453125" style="3" customWidth="1"/>
    <col min="10763" max="10763" width="7.54296875" style="3" bestFit="1" customWidth="1"/>
    <col min="10764" max="10764" width="9" style="3" bestFit="1" customWidth="1"/>
    <col min="10765" max="10765" width="6" style="3" bestFit="1" customWidth="1"/>
    <col min="10766" max="10766" width="9.81640625" style="3" bestFit="1" customWidth="1"/>
    <col min="10767" max="10767" width="9.81640625" style="3" customWidth="1"/>
    <col min="10768" max="10768" width="12.54296875" style="3" customWidth="1"/>
    <col min="10769" max="10769" width="18.26953125" style="3" customWidth="1"/>
    <col min="10770" max="10770" width="13.81640625" style="3" bestFit="1" customWidth="1"/>
    <col min="10771" max="10771" width="20.26953125" style="3" customWidth="1"/>
    <col min="10772" max="10772" width="19.81640625" style="3" customWidth="1"/>
    <col min="10773" max="10773" width="16.26953125" style="3" customWidth="1"/>
    <col min="10774" max="10774" width="16.81640625" style="3" bestFit="1" customWidth="1"/>
    <col min="10775" max="10775" width="10.26953125" style="3" customWidth="1"/>
    <col min="10776" max="10776" width="17.1796875" style="3" customWidth="1"/>
    <col min="10777" max="10777" width="16.1796875" style="3" bestFit="1" customWidth="1"/>
    <col min="10778" max="10778" width="19" style="3" customWidth="1"/>
    <col min="10779" max="10779" width="20.54296875" style="3" customWidth="1"/>
    <col min="10780" max="11015" width="8.7265625" style="3"/>
    <col min="11016" max="11016" width="24.54296875" style="3" customWidth="1"/>
    <col min="11017" max="11017" width="14.54296875" style="3" customWidth="1"/>
    <col min="11018" max="11018" width="24.453125" style="3" customWidth="1"/>
    <col min="11019" max="11019" width="7.54296875" style="3" bestFit="1" customWidth="1"/>
    <col min="11020" max="11020" width="9" style="3" bestFit="1" customWidth="1"/>
    <col min="11021" max="11021" width="6" style="3" bestFit="1" customWidth="1"/>
    <col min="11022" max="11022" width="9.81640625" style="3" bestFit="1" customWidth="1"/>
    <col min="11023" max="11023" width="9.81640625" style="3" customWidth="1"/>
    <col min="11024" max="11024" width="12.54296875" style="3" customWidth="1"/>
    <col min="11025" max="11025" width="18.26953125" style="3" customWidth="1"/>
    <col min="11026" max="11026" width="13.81640625" style="3" bestFit="1" customWidth="1"/>
    <col min="11027" max="11027" width="20.26953125" style="3" customWidth="1"/>
    <col min="11028" max="11028" width="19.81640625" style="3" customWidth="1"/>
    <col min="11029" max="11029" width="16.26953125" style="3" customWidth="1"/>
    <col min="11030" max="11030" width="16.81640625" style="3" bestFit="1" customWidth="1"/>
    <col min="11031" max="11031" width="10.26953125" style="3" customWidth="1"/>
    <col min="11032" max="11032" width="17.1796875" style="3" customWidth="1"/>
    <col min="11033" max="11033" width="16.1796875" style="3" bestFit="1" customWidth="1"/>
    <col min="11034" max="11034" width="19" style="3" customWidth="1"/>
    <col min="11035" max="11035" width="20.54296875" style="3" customWidth="1"/>
    <col min="11036" max="11271" width="8.7265625" style="3"/>
    <col min="11272" max="11272" width="24.54296875" style="3" customWidth="1"/>
    <col min="11273" max="11273" width="14.54296875" style="3" customWidth="1"/>
    <col min="11274" max="11274" width="24.453125" style="3" customWidth="1"/>
    <col min="11275" max="11275" width="7.54296875" style="3" bestFit="1" customWidth="1"/>
    <col min="11276" max="11276" width="9" style="3" bestFit="1" customWidth="1"/>
    <col min="11277" max="11277" width="6" style="3" bestFit="1" customWidth="1"/>
    <col min="11278" max="11278" width="9.81640625" style="3" bestFit="1" customWidth="1"/>
    <col min="11279" max="11279" width="9.81640625" style="3" customWidth="1"/>
    <col min="11280" max="11280" width="12.54296875" style="3" customWidth="1"/>
    <col min="11281" max="11281" width="18.26953125" style="3" customWidth="1"/>
    <col min="11282" max="11282" width="13.81640625" style="3" bestFit="1" customWidth="1"/>
    <col min="11283" max="11283" width="20.26953125" style="3" customWidth="1"/>
    <col min="11284" max="11284" width="19.81640625" style="3" customWidth="1"/>
    <col min="11285" max="11285" width="16.26953125" style="3" customWidth="1"/>
    <col min="11286" max="11286" width="16.81640625" style="3" bestFit="1" customWidth="1"/>
    <col min="11287" max="11287" width="10.26953125" style="3" customWidth="1"/>
    <col min="11288" max="11288" width="17.1796875" style="3" customWidth="1"/>
    <col min="11289" max="11289" width="16.1796875" style="3" bestFit="1" customWidth="1"/>
    <col min="11290" max="11290" width="19" style="3" customWidth="1"/>
    <col min="11291" max="11291" width="20.54296875" style="3" customWidth="1"/>
    <col min="11292" max="11527" width="8.7265625" style="3"/>
    <col min="11528" max="11528" width="24.54296875" style="3" customWidth="1"/>
    <col min="11529" max="11529" width="14.54296875" style="3" customWidth="1"/>
    <col min="11530" max="11530" width="24.453125" style="3" customWidth="1"/>
    <col min="11531" max="11531" width="7.54296875" style="3" bestFit="1" customWidth="1"/>
    <col min="11532" max="11532" width="9" style="3" bestFit="1" customWidth="1"/>
    <col min="11533" max="11533" width="6" style="3" bestFit="1" customWidth="1"/>
    <col min="11534" max="11534" width="9.81640625" style="3" bestFit="1" customWidth="1"/>
    <col min="11535" max="11535" width="9.81640625" style="3" customWidth="1"/>
    <col min="11536" max="11536" width="12.54296875" style="3" customWidth="1"/>
    <col min="11537" max="11537" width="18.26953125" style="3" customWidth="1"/>
    <col min="11538" max="11538" width="13.81640625" style="3" bestFit="1" customWidth="1"/>
    <col min="11539" max="11539" width="20.26953125" style="3" customWidth="1"/>
    <col min="11540" max="11540" width="19.81640625" style="3" customWidth="1"/>
    <col min="11541" max="11541" width="16.26953125" style="3" customWidth="1"/>
    <col min="11542" max="11542" width="16.81640625" style="3" bestFit="1" customWidth="1"/>
    <col min="11543" max="11543" width="10.26953125" style="3" customWidth="1"/>
    <col min="11544" max="11544" width="17.1796875" style="3" customWidth="1"/>
    <col min="11545" max="11545" width="16.1796875" style="3" bestFit="1" customWidth="1"/>
    <col min="11546" max="11546" width="19" style="3" customWidth="1"/>
    <col min="11547" max="11547" width="20.54296875" style="3" customWidth="1"/>
    <col min="11548" max="11783" width="8.7265625" style="3"/>
    <col min="11784" max="11784" width="24.54296875" style="3" customWidth="1"/>
    <col min="11785" max="11785" width="14.54296875" style="3" customWidth="1"/>
    <col min="11786" max="11786" width="24.453125" style="3" customWidth="1"/>
    <col min="11787" max="11787" width="7.54296875" style="3" bestFit="1" customWidth="1"/>
    <col min="11788" max="11788" width="9" style="3" bestFit="1" customWidth="1"/>
    <col min="11789" max="11789" width="6" style="3" bestFit="1" customWidth="1"/>
    <col min="11790" max="11790" width="9.81640625" style="3" bestFit="1" customWidth="1"/>
    <col min="11791" max="11791" width="9.81640625" style="3" customWidth="1"/>
    <col min="11792" max="11792" width="12.54296875" style="3" customWidth="1"/>
    <col min="11793" max="11793" width="18.26953125" style="3" customWidth="1"/>
    <col min="11794" max="11794" width="13.81640625" style="3" bestFit="1" customWidth="1"/>
    <col min="11795" max="11795" width="20.26953125" style="3" customWidth="1"/>
    <col min="11796" max="11796" width="19.81640625" style="3" customWidth="1"/>
    <col min="11797" max="11797" width="16.26953125" style="3" customWidth="1"/>
    <col min="11798" max="11798" width="16.81640625" style="3" bestFit="1" customWidth="1"/>
    <col min="11799" max="11799" width="10.26953125" style="3" customWidth="1"/>
    <col min="11800" max="11800" width="17.1796875" style="3" customWidth="1"/>
    <col min="11801" max="11801" width="16.1796875" style="3" bestFit="1" customWidth="1"/>
    <col min="11802" max="11802" width="19" style="3" customWidth="1"/>
    <col min="11803" max="11803" width="20.54296875" style="3" customWidth="1"/>
    <col min="11804" max="12039" width="8.7265625" style="3"/>
    <col min="12040" max="12040" width="24.54296875" style="3" customWidth="1"/>
    <col min="12041" max="12041" width="14.54296875" style="3" customWidth="1"/>
    <col min="12042" max="12042" width="24.453125" style="3" customWidth="1"/>
    <col min="12043" max="12043" width="7.54296875" style="3" bestFit="1" customWidth="1"/>
    <col min="12044" max="12044" width="9" style="3" bestFit="1" customWidth="1"/>
    <col min="12045" max="12045" width="6" style="3" bestFit="1" customWidth="1"/>
    <col min="12046" max="12046" width="9.81640625" style="3" bestFit="1" customWidth="1"/>
    <col min="12047" max="12047" width="9.81640625" style="3" customWidth="1"/>
    <col min="12048" max="12048" width="12.54296875" style="3" customWidth="1"/>
    <col min="12049" max="12049" width="18.26953125" style="3" customWidth="1"/>
    <col min="12050" max="12050" width="13.81640625" style="3" bestFit="1" customWidth="1"/>
    <col min="12051" max="12051" width="20.26953125" style="3" customWidth="1"/>
    <col min="12052" max="12052" width="19.81640625" style="3" customWidth="1"/>
    <col min="12053" max="12053" width="16.26953125" style="3" customWidth="1"/>
    <col min="12054" max="12054" width="16.81640625" style="3" bestFit="1" customWidth="1"/>
    <col min="12055" max="12055" width="10.26953125" style="3" customWidth="1"/>
    <col min="12056" max="12056" width="17.1796875" style="3" customWidth="1"/>
    <col min="12057" max="12057" width="16.1796875" style="3" bestFit="1" customWidth="1"/>
    <col min="12058" max="12058" width="19" style="3" customWidth="1"/>
    <col min="12059" max="12059" width="20.54296875" style="3" customWidth="1"/>
    <col min="12060" max="12295" width="8.7265625" style="3"/>
    <col min="12296" max="12296" width="24.54296875" style="3" customWidth="1"/>
    <col min="12297" max="12297" width="14.54296875" style="3" customWidth="1"/>
    <col min="12298" max="12298" width="24.453125" style="3" customWidth="1"/>
    <col min="12299" max="12299" width="7.54296875" style="3" bestFit="1" customWidth="1"/>
    <col min="12300" max="12300" width="9" style="3" bestFit="1" customWidth="1"/>
    <col min="12301" max="12301" width="6" style="3" bestFit="1" customWidth="1"/>
    <col min="12302" max="12302" width="9.81640625" style="3" bestFit="1" customWidth="1"/>
    <col min="12303" max="12303" width="9.81640625" style="3" customWidth="1"/>
    <col min="12304" max="12304" width="12.54296875" style="3" customWidth="1"/>
    <col min="12305" max="12305" width="18.26953125" style="3" customWidth="1"/>
    <col min="12306" max="12306" width="13.81640625" style="3" bestFit="1" customWidth="1"/>
    <col min="12307" max="12307" width="20.26953125" style="3" customWidth="1"/>
    <col min="12308" max="12308" width="19.81640625" style="3" customWidth="1"/>
    <col min="12309" max="12309" width="16.26953125" style="3" customWidth="1"/>
    <col min="12310" max="12310" width="16.81640625" style="3" bestFit="1" customWidth="1"/>
    <col min="12311" max="12311" width="10.26953125" style="3" customWidth="1"/>
    <col min="12312" max="12312" width="17.1796875" style="3" customWidth="1"/>
    <col min="12313" max="12313" width="16.1796875" style="3" bestFit="1" customWidth="1"/>
    <col min="12314" max="12314" width="19" style="3" customWidth="1"/>
    <col min="12315" max="12315" width="20.54296875" style="3" customWidth="1"/>
    <col min="12316" max="12551" width="8.7265625" style="3"/>
    <col min="12552" max="12552" width="24.54296875" style="3" customWidth="1"/>
    <col min="12553" max="12553" width="14.54296875" style="3" customWidth="1"/>
    <col min="12554" max="12554" width="24.453125" style="3" customWidth="1"/>
    <col min="12555" max="12555" width="7.54296875" style="3" bestFit="1" customWidth="1"/>
    <col min="12556" max="12556" width="9" style="3" bestFit="1" customWidth="1"/>
    <col min="12557" max="12557" width="6" style="3" bestFit="1" customWidth="1"/>
    <col min="12558" max="12558" width="9.81640625" style="3" bestFit="1" customWidth="1"/>
    <col min="12559" max="12559" width="9.81640625" style="3" customWidth="1"/>
    <col min="12560" max="12560" width="12.54296875" style="3" customWidth="1"/>
    <col min="12561" max="12561" width="18.26953125" style="3" customWidth="1"/>
    <col min="12562" max="12562" width="13.81640625" style="3" bestFit="1" customWidth="1"/>
    <col min="12563" max="12563" width="20.26953125" style="3" customWidth="1"/>
    <col min="12564" max="12564" width="19.81640625" style="3" customWidth="1"/>
    <col min="12565" max="12565" width="16.26953125" style="3" customWidth="1"/>
    <col min="12566" max="12566" width="16.81640625" style="3" bestFit="1" customWidth="1"/>
    <col min="12567" max="12567" width="10.26953125" style="3" customWidth="1"/>
    <col min="12568" max="12568" width="17.1796875" style="3" customWidth="1"/>
    <col min="12569" max="12569" width="16.1796875" style="3" bestFit="1" customWidth="1"/>
    <col min="12570" max="12570" width="19" style="3" customWidth="1"/>
    <col min="12571" max="12571" width="20.54296875" style="3" customWidth="1"/>
    <col min="12572" max="12807" width="8.7265625" style="3"/>
    <col min="12808" max="12808" width="24.54296875" style="3" customWidth="1"/>
    <col min="12809" max="12809" width="14.54296875" style="3" customWidth="1"/>
    <col min="12810" max="12810" width="24.453125" style="3" customWidth="1"/>
    <col min="12811" max="12811" width="7.54296875" style="3" bestFit="1" customWidth="1"/>
    <col min="12812" max="12812" width="9" style="3" bestFit="1" customWidth="1"/>
    <col min="12813" max="12813" width="6" style="3" bestFit="1" customWidth="1"/>
    <col min="12814" max="12814" width="9.81640625" style="3" bestFit="1" customWidth="1"/>
    <col min="12815" max="12815" width="9.81640625" style="3" customWidth="1"/>
    <col min="12816" max="12816" width="12.54296875" style="3" customWidth="1"/>
    <col min="12817" max="12817" width="18.26953125" style="3" customWidth="1"/>
    <col min="12818" max="12818" width="13.81640625" style="3" bestFit="1" customWidth="1"/>
    <col min="12819" max="12819" width="20.26953125" style="3" customWidth="1"/>
    <col min="12820" max="12820" width="19.81640625" style="3" customWidth="1"/>
    <col min="12821" max="12821" width="16.26953125" style="3" customWidth="1"/>
    <col min="12822" max="12822" width="16.81640625" style="3" bestFit="1" customWidth="1"/>
    <col min="12823" max="12823" width="10.26953125" style="3" customWidth="1"/>
    <col min="12824" max="12824" width="17.1796875" style="3" customWidth="1"/>
    <col min="12825" max="12825" width="16.1796875" style="3" bestFit="1" customWidth="1"/>
    <col min="12826" max="12826" width="19" style="3" customWidth="1"/>
    <col min="12827" max="12827" width="20.54296875" style="3" customWidth="1"/>
    <col min="12828" max="13063" width="8.7265625" style="3"/>
    <col min="13064" max="13064" width="24.54296875" style="3" customWidth="1"/>
    <col min="13065" max="13065" width="14.54296875" style="3" customWidth="1"/>
    <col min="13066" max="13066" width="24.453125" style="3" customWidth="1"/>
    <col min="13067" max="13067" width="7.54296875" style="3" bestFit="1" customWidth="1"/>
    <col min="13068" max="13068" width="9" style="3" bestFit="1" customWidth="1"/>
    <col min="13069" max="13069" width="6" style="3" bestFit="1" customWidth="1"/>
    <col min="13070" max="13070" width="9.81640625" style="3" bestFit="1" customWidth="1"/>
    <col min="13071" max="13071" width="9.81640625" style="3" customWidth="1"/>
    <col min="13072" max="13072" width="12.54296875" style="3" customWidth="1"/>
    <col min="13073" max="13073" width="18.26953125" style="3" customWidth="1"/>
    <col min="13074" max="13074" width="13.81640625" style="3" bestFit="1" customWidth="1"/>
    <col min="13075" max="13075" width="20.26953125" style="3" customWidth="1"/>
    <col min="13076" max="13076" width="19.81640625" style="3" customWidth="1"/>
    <col min="13077" max="13077" width="16.26953125" style="3" customWidth="1"/>
    <col min="13078" max="13078" width="16.81640625" style="3" bestFit="1" customWidth="1"/>
    <col min="13079" max="13079" width="10.26953125" style="3" customWidth="1"/>
    <col min="13080" max="13080" width="17.1796875" style="3" customWidth="1"/>
    <col min="13081" max="13081" width="16.1796875" style="3" bestFit="1" customWidth="1"/>
    <col min="13082" max="13082" width="19" style="3" customWidth="1"/>
    <col min="13083" max="13083" width="20.54296875" style="3" customWidth="1"/>
    <col min="13084" max="13319" width="8.7265625" style="3"/>
    <col min="13320" max="13320" width="24.54296875" style="3" customWidth="1"/>
    <col min="13321" max="13321" width="14.54296875" style="3" customWidth="1"/>
    <col min="13322" max="13322" width="24.453125" style="3" customWidth="1"/>
    <col min="13323" max="13323" width="7.54296875" style="3" bestFit="1" customWidth="1"/>
    <col min="13324" max="13324" width="9" style="3" bestFit="1" customWidth="1"/>
    <col min="13325" max="13325" width="6" style="3" bestFit="1" customWidth="1"/>
    <col min="13326" max="13326" width="9.81640625" style="3" bestFit="1" customWidth="1"/>
    <col min="13327" max="13327" width="9.81640625" style="3" customWidth="1"/>
    <col min="13328" max="13328" width="12.54296875" style="3" customWidth="1"/>
    <col min="13329" max="13329" width="18.26953125" style="3" customWidth="1"/>
    <col min="13330" max="13330" width="13.81640625" style="3" bestFit="1" customWidth="1"/>
    <col min="13331" max="13331" width="20.26953125" style="3" customWidth="1"/>
    <col min="13332" max="13332" width="19.81640625" style="3" customWidth="1"/>
    <col min="13333" max="13333" width="16.26953125" style="3" customWidth="1"/>
    <col min="13334" max="13334" width="16.81640625" style="3" bestFit="1" customWidth="1"/>
    <col min="13335" max="13335" width="10.26953125" style="3" customWidth="1"/>
    <col min="13336" max="13336" width="17.1796875" style="3" customWidth="1"/>
    <col min="13337" max="13337" width="16.1796875" style="3" bestFit="1" customWidth="1"/>
    <col min="13338" max="13338" width="19" style="3" customWidth="1"/>
    <col min="13339" max="13339" width="20.54296875" style="3" customWidth="1"/>
    <col min="13340" max="13575" width="8.7265625" style="3"/>
    <col min="13576" max="13576" width="24.54296875" style="3" customWidth="1"/>
    <col min="13577" max="13577" width="14.54296875" style="3" customWidth="1"/>
    <col min="13578" max="13578" width="24.453125" style="3" customWidth="1"/>
    <col min="13579" max="13579" width="7.54296875" style="3" bestFit="1" customWidth="1"/>
    <col min="13580" max="13580" width="9" style="3" bestFit="1" customWidth="1"/>
    <col min="13581" max="13581" width="6" style="3" bestFit="1" customWidth="1"/>
    <col min="13582" max="13582" width="9.81640625" style="3" bestFit="1" customWidth="1"/>
    <col min="13583" max="13583" width="9.81640625" style="3" customWidth="1"/>
    <col min="13584" max="13584" width="12.54296875" style="3" customWidth="1"/>
    <col min="13585" max="13585" width="18.26953125" style="3" customWidth="1"/>
    <col min="13586" max="13586" width="13.81640625" style="3" bestFit="1" customWidth="1"/>
    <col min="13587" max="13587" width="20.26953125" style="3" customWidth="1"/>
    <col min="13588" max="13588" width="19.81640625" style="3" customWidth="1"/>
    <col min="13589" max="13589" width="16.26953125" style="3" customWidth="1"/>
    <col min="13590" max="13590" width="16.81640625" style="3" bestFit="1" customWidth="1"/>
    <col min="13591" max="13591" width="10.26953125" style="3" customWidth="1"/>
    <col min="13592" max="13592" width="17.1796875" style="3" customWidth="1"/>
    <col min="13593" max="13593" width="16.1796875" style="3" bestFit="1" customWidth="1"/>
    <col min="13594" max="13594" width="19" style="3" customWidth="1"/>
    <col min="13595" max="13595" width="20.54296875" style="3" customWidth="1"/>
    <col min="13596" max="13831" width="8.7265625" style="3"/>
    <col min="13832" max="13832" width="24.54296875" style="3" customWidth="1"/>
    <col min="13833" max="13833" width="14.54296875" style="3" customWidth="1"/>
    <col min="13834" max="13834" width="24.453125" style="3" customWidth="1"/>
    <col min="13835" max="13835" width="7.54296875" style="3" bestFit="1" customWidth="1"/>
    <col min="13836" max="13836" width="9" style="3" bestFit="1" customWidth="1"/>
    <col min="13837" max="13837" width="6" style="3" bestFit="1" customWidth="1"/>
    <col min="13838" max="13838" width="9.81640625" style="3" bestFit="1" customWidth="1"/>
    <col min="13839" max="13839" width="9.81640625" style="3" customWidth="1"/>
    <col min="13840" max="13840" width="12.54296875" style="3" customWidth="1"/>
    <col min="13841" max="13841" width="18.26953125" style="3" customWidth="1"/>
    <col min="13842" max="13842" width="13.81640625" style="3" bestFit="1" customWidth="1"/>
    <col min="13843" max="13843" width="20.26953125" style="3" customWidth="1"/>
    <col min="13844" max="13844" width="19.81640625" style="3" customWidth="1"/>
    <col min="13845" max="13845" width="16.26953125" style="3" customWidth="1"/>
    <col min="13846" max="13846" width="16.81640625" style="3" bestFit="1" customWidth="1"/>
    <col min="13847" max="13847" width="10.26953125" style="3" customWidth="1"/>
    <col min="13848" max="13848" width="17.1796875" style="3" customWidth="1"/>
    <col min="13849" max="13849" width="16.1796875" style="3" bestFit="1" customWidth="1"/>
    <col min="13850" max="13850" width="19" style="3" customWidth="1"/>
    <col min="13851" max="13851" width="20.54296875" style="3" customWidth="1"/>
    <col min="13852" max="14087" width="8.7265625" style="3"/>
    <col min="14088" max="14088" width="24.54296875" style="3" customWidth="1"/>
    <col min="14089" max="14089" width="14.54296875" style="3" customWidth="1"/>
    <col min="14090" max="14090" width="24.453125" style="3" customWidth="1"/>
    <col min="14091" max="14091" width="7.54296875" style="3" bestFit="1" customWidth="1"/>
    <col min="14092" max="14092" width="9" style="3" bestFit="1" customWidth="1"/>
    <col min="14093" max="14093" width="6" style="3" bestFit="1" customWidth="1"/>
    <col min="14094" max="14094" width="9.81640625" style="3" bestFit="1" customWidth="1"/>
    <col min="14095" max="14095" width="9.81640625" style="3" customWidth="1"/>
    <col min="14096" max="14096" width="12.54296875" style="3" customWidth="1"/>
    <col min="14097" max="14097" width="18.26953125" style="3" customWidth="1"/>
    <col min="14098" max="14098" width="13.81640625" style="3" bestFit="1" customWidth="1"/>
    <col min="14099" max="14099" width="20.26953125" style="3" customWidth="1"/>
    <col min="14100" max="14100" width="19.81640625" style="3" customWidth="1"/>
    <col min="14101" max="14101" width="16.26953125" style="3" customWidth="1"/>
    <col min="14102" max="14102" width="16.81640625" style="3" bestFit="1" customWidth="1"/>
    <col min="14103" max="14103" width="10.26953125" style="3" customWidth="1"/>
    <col min="14104" max="14104" width="17.1796875" style="3" customWidth="1"/>
    <col min="14105" max="14105" width="16.1796875" style="3" bestFit="1" customWidth="1"/>
    <col min="14106" max="14106" width="19" style="3" customWidth="1"/>
    <col min="14107" max="14107" width="20.54296875" style="3" customWidth="1"/>
    <col min="14108" max="14343" width="8.7265625" style="3"/>
    <col min="14344" max="14344" width="24.54296875" style="3" customWidth="1"/>
    <col min="14345" max="14345" width="14.54296875" style="3" customWidth="1"/>
    <col min="14346" max="14346" width="24.453125" style="3" customWidth="1"/>
    <col min="14347" max="14347" width="7.54296875" style="3" bestFit="1" customWidth="1"/>
    <col min="14348" max="14348" width="9" style="3" bestFit="1" customWidth="1"/>
    <col min="14349" max="14349" width="6" style="3" bestFit="1" customWidth="1"/>
    <col min="14350" max="14350" width="9.81640625" style="3" bestFit="1" customWidth="1"/>
    <col min="14351" max="14351" width="9.81640625" style="3" customWidth="1"/>
    <col min="14352" max="14352" width="12.54296875" style="3" customWidth="1"/>
    <col min="14353" max="14353" width="18.26953125" style="3" customWidth="1"/>
    <col min="14354" max="14354" width="13.81640625" style="3" bestFit="1" customWidth="1"/>
    <col min="14355" max="14355" width="20.26953125" style="3" customWidth="1"/>
    <col min="14356" max="14356" width="19.81640625" style="3" customWidth="1"/>
    <col min="14357" max="14357" width="16.26953125" style="3" customWidth="1"/>
    <col min="14358" max="14358" width="16.81640625" style="3" bestFit="1" customWidth="1"/>
    <col min="14359" max="14359" width="10.26953125" style="3" customWidth="1"/>
    <col min="14360" max="14360" width="17.1796875" style="3" customWidth="1"/>
    <col min="14361" max="14361" width="16.1796875" style="3" bestFit="1" customWidth="1"/>
    <col min="14362" max="14362" width="19" style="3" customWidth="1"/>
    <col min="14363" max="14363" width="20.54296875" style="3" customWidth="1"/>
    <col min="14364" max="14599" width="8.7265625" style="3"/>
    <col min="14600" max="14600" width="24.54296875" style="3" customWidth="1"/>
    <col min="14601" max="14601" width="14.54296875" style="3" customWidth="1"/>
    <col min="14602" max="14602" width="24.453125" style="3" customWidth="1"/>
    <col min="14603" max="14603" width="7.54296875" style="3" bestFit="1" customWidth="1"/>
    <col min="14604" max="14604" width="9" style="3" bestFit="1" customWidth="1"/>
    <col min="14605" max="14605" width="6" style="3" bestFit="1" customWidth="1"/>
    <col min="14606" max="14606" width="9.81640625" style="3" bestFit="1" customWidth="1"/>
    <col min="14607" max="14607" width="9.81640625" style="3" customWidth="1"/>
    <col min="14608" max="14608" width="12.54296875" style="3" customWidth="1"/>
    <col min="14609" max="14609" width="18.26953125" style="3" customWidth="1"/>
    <col min="14610" max="14610" width="13.81640625" style="3" bestFit="1" customWidth="1"/>
    <col min="14611" max="14611" width="20.26953125" style="3" customWidth="1"/>
    <col min="14612" max="14612" width="19.81640625" style="3" customWidth="1"/>
    <col min="14613" max="14613" width="16.26953125" style="3" customWidth="1"/>
    <col min="14614" max="14614" width="16.81640625" style="3" bestFit="1" customWidth="1"/>
    <col min="14615" max="14615" width="10.26953125" style="3" customWidth="1"/>
    <col min="14616" max="14616" width="17.1796875" style="3" customWidth="1"/>
    <col min="14617" max="14617" width="16.1796875" style="3" bestFit="1" customWidth="1"/>
    <col min="14618" max="14618" width="19" style="3" customWidth="1"/>
    <col min="14619" max="14619" width="20.54296875" style="3" customWidth="1"/>
    <col min="14620" max="14855" width="8.7265625" style="3"/>
    <col min="14856" max="14856" width="24.54296875" style="3" customWidth="1"/>
    <col min="14857" max="14857" width="14.54296875" style="3" customWidth="1"/>
    <col min="14858" max="14858" width="24.453125" style="3" customWidth="1"/>
    <col min="14859" max="14859" width="7.54296875" style="3" bestFit="1" customWidth="1"/>
    <col min="14860" max="14860" width="9" style="3" bestFit="1" customWidth="1"/>
    <col min="14861" max="14861" width="6" style="3" bestFit="1" customWidth="1"/>
    <col min="14862" max="14862" width="9.81640625" style="3" bestFit="1" customWidth="1"/>
    <col min="14863" max="14863" width="9.81640625" style="3" customWidth="1"/>
    <col min="14864" max="14864" width="12.54296875" style="3" customWidth="1"/>
    <col min="14865" max="14865" width="18.26953125" style="3" customWidth="1"/>
    <col min="14866" max="14866" width="13.81640625" style="3" bestFit="1" customWidth="1"/>
    <col min="14867" max="14867" width="20.26953125" style="3" customWidth="1"/>
    <col min="14868" max="14868" width="19.81640625" style="3" customWidth="1"/>
    <col min="14869" max="14869" width="16.26953125" style="3" customWidth="1"/>
    <col min="14870" max="14870" width="16.81640625" style="3" bestFit="1" customWidth="1"/>
    <col min="14871" max="14871" width="10.26953125" style="3" customWidth="1"/>
    <col min="14872" max="14872" width="17.1796875" style="3" customWidth="1"/>
    <col min="14873" max="14873" width="16.1796875" style="3" bestFit="1" customWidth="1"/>
    <col min="14874" max="14874" width="19" style="3" customWidth="1"/>
    <col min="14875" max="14875" width="20.54296875" style="3" customWidth="1"/>
    <col min="14876" max="15111" width="8.7265625" style="3"/>
    <col min="15112" max="15112" width="24.54296875" style="3" customWidth="1"/>
    <col min="15113" max="15113" width="14.54296875" style="3" customWidth="1"/>
    <col min="15114" max="15114" width="24.453125" style="3" customWidth="1"/>
    <col min="15115" max="15115" width="7.54296875" style="3" bestFit="1" customWidth="1"/>
    <col min="15116" max="15116" width="9" style="3" bestFit="1" customWidth="1"/>
    <col min="15117" max="15117" width="6" style="3" bestFit="1" customWidth="1"/>
    <col min="15118" max="15118" width="9.81640625" style="3" bestFit="1" customWidth="1"/>
    <col min="15119" max="15119" width="9.81640625" style="3" customWidth="1"/>
    <col min="15120" max="15120" width="12.54296875" style="3" customWidth="1"/>
    <col min="15121" max="15121" width="18.26953125" style="3" customWidth="1"/>
    <col min="15122" max="15122" width="13.81640625" style="3" bestFit="1" customWidth="1"/>
    <col min="15123" max="15123" width="20.26953125" style="3" customWidth="1"/>
    <col min="15124" max="15124" width="19.81640625" style="3" customWidth="1"/>
    <col min="15125" max="15125" width="16.26953125" style="3" customWidth="1"/>
    <col min="15126" max="15126" width="16.81640625" style="3" bestFit="1" customWidth="1"/>
    <col min="15127" max="15127" width="10.26953125" style="3" customWidth="1"/>
    <col min="15128" max="15128" width="17.1796875" style="3" customWidth="1"/>
    <col min="15129" max="15129" width="16.1796875" style="3" bestFit="1" customWidth="1"/>
    <col min="15130" max="15130" width="19" style="3" customWidth="1"/>
    <col min="15131" max="15131" width="20.54296875" style="3" customWidth="1"/>
    <col min="15132" max="15367" width="8.7265625" style="3"/>
    <col min="15368" max="15368" width="24.54296875" style="3" customWidth="1"/>
    <col min="15369" max="15369" width="14.54296875" style="3" customWidth="1"/>
    <col min="15370" max="15370" width="24.453125" style="3" customWidth="1"/>
    <col min="15371" max="15371" width="7.54296875" style="3" bestFit="1" customWidth="1"/>
    <col min="15372" max="15372" width="9" style="3" bestFit="1" customWidth="1"/>
    <col min="15373" max="15373" width="6" style="3" bestFit="1" customWidth="1"/>
    <col min="15374" max="15374" width="9.81640625" style="3" bestFit="1" customWidth="1"/>
    <col min="15375" max="15375" width="9.81640625" style="3" customWidth="1"/>
    <col min="15376" max="15376" width="12.54296875" style="3" customWidth="1"/>
    <col min="15377" max="15377" width="18.26953125" style="3" customWidth="1"/>
    <col min="15378" max="15378" width="13.81640625" style="3" bestFit="1" customWidth="1"/>
    <col min="15379" max="15379" width="20.26953125" style="3" customWidth="1"/>
    <col min="15380" max="15380" width="19.81640625" style="3" customWidth="1"/>
    <col min="15381" max="15381" width="16.26953125" style="3" customWidth="1"/>
    <col min="15382" max="15382" width="16.81640625" style="3" bestFit="1" customWidth="1"/>
    <col min="15383" max="15383" width="10.26953125" style="3" customWidth="1"/>
    <col min="15384" max="15384" width="17.1796875" style="3" customWidth="1"/>
    <col min="15385" max="15385" width="16.1796875" style="3" bestFit="1" customWidth="1"/>
    <col min="15386" max="15386" width="19" style="3" customWidth="1"/>
    <col min="15387" max="15387" width="20.54296875" style="3" customWidth="1"/>
    <col min="15388" max="15623" width="8.7265625" style="3"/>
    <col min="15624" max="15624" width="24.54296875" style="3" customWidth="1"/>
    <col min="15625" max="15625" width="14.54296875" style="3" customWidth="1"/>
    <col min="15626" max="15626" width="24.453125" style="3" customWidth="1"/>
    <col min="15627" max="15627" width="7.54296875" style="3" bestFit="1" customWidth="1"/>
    <col min="15628" max="15628" width="9" style="3" bestFit="1" customWidth="1"/>
    <col min="15629" max="15629" width="6" style="3" bestFit="1" customWidth="1"/>
    <col min="15630" max="15630" width="9.81640625" style="3" bestFit="1" customWidth="1"/>
    <col min="15631" max="15631" width="9.81640625" style="3" customWidth="1"/>
    <col min="15632" max="15632" width="12.54296875" style="3" customWidth="1"/>
    <col min="15633" max="15633" width="18.26953125" style="3" customWidth="1"/>
    <col min="15634" max="15634" width="13.81640625" style="3" bestFit="1" customWidth="1"/>
    <col min="15635" max="15635" width="20.26953125" style="3" customWidth="1"/>
    <col min="15636" max="15636" width="19.81640625" style="3" customWidth="1"/>
    <col min="15637" max="15637" width="16.26953125" style="3" customWidth="1"/>
    <col min="15638" max="15638" width="16.81640625" style="3" bestFit="1" customWidth="1"/>
    <col min="15639" max="15639" width="10.26953125" style="3" customWidth="1"/>
    <col min="15640" max="15640" width="17.1796875" style="3" customWidth="1"/>
    <col min="15641" max="15641" width="16.1796875" style="3" bestFit="1" customWidth="1"/>
    <col min="15642" max="15642" width="19" style="3" customWidth="1"/>
    <col min="15643" max="15643" width="20.54296875" style="3" customWidth="1"/>
    <col min="15644" max="15879" width="8.7265625" style="3"/>
    <col min="15880" max="15880" width="24.54296875" style="3" customWidth="1"/>
    <col min="15881" max="15881" width="14.54296875" style="3" customWidth="1"/>
    <col min="15882" max="15882" width="24.453125" style="3" customWidth="1"/>
    <col min="15883" max="15883" width="7.54296875" style="3" bestFit="1" customWidth="1"/>
    <col min="15884" max="15884" width="9" style="3" bestFit="1" customWidth="1"/>
    <col min="15885" max="15885" width="6" style="3" bestFit="1" customWidth="1"/>
    <col min="15886" max="15886" width="9.81640625" style="3" bestFit="1" customWidth="1"/>
    <col min="15887" max="15887" width="9.81640625" style="3" customWidth="1"/>
    <col min="15888" max="15888" width="12.54296875" style="3" customWidth="1"/>
    <col min="15889" max="15889" width="18.26953125" style="3" customWidth="1"/>
    <col min="15890" max="15890" width="13.81640625" style="3" bestFit="1" customWidth="1"/>
    <col min="15891" max="15891" width="20.26953125" style="3" customWidth="1"/>
    <col min="15892" max="15892" width="19.81640625" style="3" customWidth="1"/>
    <col min="15893" max="15893" width="16.26953125" style="3" customWidth="1"/>
    <col min="15894" max="15894" width="16.81640625" style="3" bestFit="1" customWidth="1"/>
    <col min="15895" max="15895" width="10.26953125" style="3" customWidth="1"/>
    <col min="15896" max="15896" width="17.1796875" style="3" customWidth="1"/>
    <col min="15897" max="15897" width="16.1796875" style="3" bestFit="1" customWidth="1"/>
    <col min="15898" max="15898" width="19" style="3" customWidth="1"/>
    <col min="15899" max="15899" width="20.54296875" style="3" customWidth="1"/>
    <col min="15900" max="16135" width="8.7265625" style="3"/>
    <col min="16136" max="16136" width="24.54296875" style="3" customWidth="1"/>
    <col min="16137" max="16137" width="14.54296875" style="3" customWidth="1"/>
    <col min="16138" max="16138" width="24.453125" style="3" customWidth="1"/>
    <col min="16139" max="16139" width="7.54296875" style="3" bestFit="1" customWidth="1"/>
    <col min="16140" max="16140" width="9" style="3" bestFit="1" customWidth="1"/>
    <col min="16141" max="16141" width="6" style="3" bestFit="1" customWidth="1"/>
    <col min="16142" max="16142" width="9.81640625" style="3" bestFit="1" customWidth="1"/>
    <col min="16143" max="16143" width="9.81640625" style="3" customWidth="1"/>
    <col min="16144" max="16144" width="12.54296875" style="3" customWidth="1"/>
    <col min="16145" max="16145" width="18.26953125" style="3" customWidth="1"/>
    <col min="16146" max="16146" width="13.81640625" style="3" bestFit="1" customWidth="1"/>
    <col min="16147" max="16147" width="20.26953125" style="3" customWidth="1"/>
    <col min="16148" max="16148" width="19.81640625" style="3" customWidth="1"/>
    <col min="16149" max="16149" width="16.26953125" style="3" customWidth="1"/>
    <col min="16150" max="16150" width="16.81640625" style="3" bestFit="1" customWidth="1"/>
    <col min="16151" max="16151" width="10.26953125" style="3" customWidth="1"/>
    <col min="16152" max="16152" width="17.1796875" style="3" customWidth="1"/>
    <col min="16153" max="16153" width="16.1796875" style="3" bestFit="1" customWidth="1"/>
    <col min="16154" max="16154" width="19" style="3" customWidth="1"/>
    <col min="16155" max="16155" width="20.54296875" style="3" customWidth="1"/>
    <col min="16156" max="16384" width="8.7265625" style="3"/>
  </cols>
  <sheetData>
    <row r="1" spans="1:31" ht="28.5" customHeight="1" thickBot="1">
      <c r="B1" s="359" t="s">
        <v>553</v>
      </c>
      <c r="C1" s="420"/>
      <c r="D1" s="360" t="s">
        <v>554</v>
      </c>
      <c r="E1" s="421"/>
      <c r="J1"/>
      <c r="K1"/>
      <c r="L1"/>
      <c r="M1"/>
    </row>
    <row r="2" spans="1:31" customFormat="1" ht="22" customHeight="1" thickBot="1">
      <c r="B2" s="317" t="s">
        <v>12</v>
      </c>
      <c r="C2" s="318" t="s">
        <v>13</v>
      </c>
      <c r="D2" s="318" t="s">
        <v>14</v>
      </c>
      <c r="E2" s="418" t="s">
        <v>555</v>
      </c>
      <c r="F2" s="3"/>
      <c r="G2" s="3"/>
      <c r="H2" s="3"/>
      <c r="I2" s="306"/>
      <c r="J2" s="306"/>
      <c r="K2" s="306"/>
      <c r="L2" s="306"/>
      <c r="M2" s="306"/>
      <c r="N2" s="306"/>
      <c r="O2" s="306"/>
    </row>
    <row r="3" spans="1:31" s="306" customFormat="1" ht="33.65" customHeight="1" thickBot="1">
      <c r="B3" s="325" t="s">
        <v>1209</v>
      </c>
      <c r="C3" s="324" t="s">
        <v>406</v>
      </c>
      <c r="D3" s="326" t="s">
        <v>557</v>
      </c>
      <c r="E3" s="417" t="s">
        <v>1220</v>
      </c>
      <c r="F3" s="426" t="str">
        <f>IF(ListMaster!AY1="","Metrics Selection Complete","Metrics to be Selected from "&amp;ListMaster!AY1)</f>
        <v>Metrics to be Selected from Time &amp; Speed, Efficiency, Delivered Quality Categories</v>
      </c>
      <c r="G3" s="427"/>
    </row>
    <row r="4" spans="1:31" ht="31.5" customHeight="1" thickBot="1">
      <c r="A4" s="187" t="s">
        <v>0</v>
      </c>
      <c r="B4" s="188" t="s">
        <v>1665</v>
      </c>
      <c r="C4" s="283" t="s">
        <v>571</v>
      </c>
      <c r="D4" s="188" t="s">
        <v>1</v>
      </c>
      <c r="E4" s="416" t="s">
        <v>559</v>
      </c>
      <c r="F4" s="316" t="s">
        <v>560</v>
      </c>
      <c r="G4" s="316" t="s">
        <v>561</v>
      </c>
      <c r="H4" s="316" t="s">
        <v>562</v>
      </c>
      <c r="I4" s="424" t="s">
        <v>563</v>
      </c>
      <c r="J4" s="425"/>
      <c r="K4" s="316" t="s">
        <v>25</v>
      </c>
      <c r="L4" s="316" t="s">
        <v>26</v>
      </c>
      <c r="M4" s="316" t="s">
        <v>564</v>
      </c>
      <c r="N4" s="316" t="s">
        <v>565</v>
      </c>
      <c r="O4" s="316" t="s">
        <v>566</v>
      </c>
      <c r="P4" s="190" t="s">
        <v>567</v>
      </c>
      <c r="Q4" s="189" t="s">
        <v>568</v>
      </c>
      <c r="R4" s="189" t="s">
        <v>569</v>
      </c>
      <c r="S4" s="189" t="s">
        <v>570</v>
      </c>
      <c r="T4" s="189" t="s">
        <v>572</v>
      </c>
      <c r="U4" s="245" t="s">
        <v>573</v>
      </c>
      <c r="V4" s="189" t="s">
        <v>574</v>
      </c>
      <c r="W4" s="190" t="s">
        <v>575</v>
      </c>
      <c r="X4" s="190" t="s">
        <v>576</v>
      </c>
      <c r="Y4" s="189" t="s">
        <v>577</v>
      </c>
      <c r="Z4" s="190" t="s">
        <v>578</v>
      </c>
      <c r="AA4" s="190" t="s">
        <v>579</v>
      </c>
      <c r="AB4" s="191" t="s">
        <v>580</v>
      </c>
      <c r="AC4" s="3">
        <f>SUM(AC5:AC76)</f>
        <v>0</v>
      </c>
      <c r="AD4" s="192" t="s">
        <v>581</v>
      </c>
      <c r="AE4" s="192" t="s">
        <v>582</v>
      </c>
    </row>
    <row r="5" spans="1:31" ht="48.65" customHeight="1">
      <c r="A5" s="30" t="str">
        <f>IF(F5&lt;&gt;"",IFERROR(VLOOKUP(F5,MetricsDefinition!$E$2:$O$506,2,FALSE),""),"")</f>
        <v/>
      </c>
      <c r="B5" s="30" t="str">
        <f>IF(A5="Business Objective",A5,IF(A5="Process Objective","Measurement and Performance Objective-MPO",IF(A5="Sub-Process Objective","Sub-Process Metric","")))</f>
        <v/>
      </c>
      <c r="C5" s="30" t="str">
        <f>IF(D5&lt;&gt;"",IFERROR(VLOOKUP(D5,ListMaster!$CE$1:$CG$50,3,FALSE),""),"")</f>
        <v/>
      </c>
      <c r="D5" s="30" t="str">
        <f>IF(F5&lt;&gt;"",IFERROR(VLOOKUP(F5,MetricsDefinition!$E$2:$O$506,3,FALSE),""),"")</f>
        <v/>
      </c>
      <c r="E5" s="193"/>
      <c r="F5" s="415"/>
      <c r="G5" s="30" t="str">
        <f>IF(F5&lt;&gt;"",IFERROR(VLOOKUP(F5,MetricsDefinition!$E$2:$W$506,5,FALSE),""),"")</f>
        <v/>
      </c>
      <c r="H5" s="195" t="str">
        <f>IF(IF($F5&lt;&gt;"",IFERROR(VLOOKUP($F5,MetricsDefinition!$E$2:$W$506,6,FALSE),""),"")&lt;&gt;"", SUBSTITUTE(IF($F5&lt;&gt;"",IFERROR(VLOOKUP($F5,MetricsDefinition!$E$2:$W$506,6,FALSE),""),""),"Size Unit",E$3),"")</f>
        <v/>
      </c>
      <c r="I5" s="195" t="str">
        <f>IF(AND($F5&lt;&gt;"",M5&lt;&gt;""),IFERROR(VLOOKUP($M5,ListMaster!$D$2:$E$9,2,FALSE),""),"")</f>
        <v/>
      </c>
      <c r="J5" s="197"/>
      <c r="K5" s="197"/>
      <c r="L5" s="197"/>
      <c r="M5" s="30" t="str">
        <f>IF($F5&lt;&gt;"",IFERROR(VLOOKUP($F5,MetricsDefinition!$E$2:$W$506,8,FALSE),""),"")</f>
        <v/>
      </c>
      <c r="N5" s="194" t="s">
        <v>1276</v>
      </c>
      <c r="O5" s="196"/>
      <c r="P5" s="242"/>
      <c r="Q5" s="199"/>
      <c r="R5" s="195" t="str">
        <f>IF($F5&lt;&gt;"",IFERROR(VLOOKUP($F5,MetricsDefinition!$E$2:$W$506,12,FALSE),""),"")</f>
        <v/>
      </c>
      <c r="S5" s="200" t="str">
        <f>IF($F5&lt;&gt;"",IFERROR(VLOOKUP($F5,MetricsDefinition!$E$2:$W$506,13,FALSE),""),"")</f>
        <v/>
      </c>
      <c r="T5" s="275" t="str">
        <f>IF($F5&lt;&gt;"",IFERROR(VLOOKUP($F5,MetricsDefinition!$E$2:$W$507,4,FALSE),""),"")</f>
        <v/>
      </c>
      <c r="U5" s="246"/>
      <c r="V5" s="30" t="str">
        <f>IF($F5&lt;&gt;"",IFERROR(VLOOKUP($F5,MetricsDefinition!$E$2:$W$219,7,FALSE),""),"")</f>
        <v/>
      </c>
      <c r="W5" s="198"/>
      <c r="X5" s="194"/>
      <c r="Y5" s="200" t="str">
        <f>IF(X5="Yes","Control Chart and/or Prediction Model",IF($F5&lt;&gt;"",IFERROR(VLOOKUP($F5,MetricsDefinition!$E$2:$W$507,15,FALSE),""),""))</f>
        <v/>
      </c>
      <c r="Z5" s="201"/>
      <c r="AA5" s="194"/>
      <c r="AB5" s="202"/>
      <c r="AC5" s="3" t="str">
        <f>IF(F5&lt;&gt;"",IF(AND(G5&lt;&gt;"",H5&lt;&gt;"",O5&lt;&gt;"",J5&lt;&gt;"",M5&lt;&gt;"",P5&lt;&gt;"",V5&lt;&gt;"",Q5&lt;&gt;"",R5&lt;&gt;"",S5&lt;&gt;"",N5&lt;&gt;"",X5&lt;&gt;"")=TRUE,0,1),"")</f>
        <v/>
      </c>
      <c r="AD5" s="172" t="str">
        <f>IF(F5&lt;&gt;"",IF(VLOOKUP(F5,MetricsDefinition!$E$1:$Z$215,20,FALSE)=E5,0,1),"")</f>
        <v/>
      </c>
      <c r="AE5" s="172" t="str">
        <f t="shared" ref="AE5:AE36" si="0">IF(U5&lt;&gt;"",IF(IFERROR(VLOOKUP(U5,$F$5:$F$73,1,FALSE),"")&lt;&gt;"",0,1),"")</f>
        <v/>
      </c>
    </row>
    <row r="6" spans="1:31" ht="48.65" customHeight="1">
      <c r="A6" s="30" t="str">
        <f>IF(F6&lt;&gt;"",IFERROR(VLOOKUP(F6,MetricsDefinition!$E$2:$O$506,2,FALSE),""),"")</f>
        <v/>
      </c>
      <c r="B6" s="30" t="str">
        <f t="shared" ref="B6:B69" si="1">IF(A6="Business Objective",A6,IF(A6="Process Objective","Measurement and Performance Objective-MPO",IF(A6="Sub-Process Objective","Sub-Process Metric","")))</f>
        <v/>
      </c>
      <c r="C6" s="30" t="str">
        <f>IF(D6&lt;&gt;"",IFERROR(VLOOKUP(D6,ListMaster!$CE$1:$CG$50,3,FALSE),""),"")</f>
        <v/>
      </c>
      <c r="D6" s="30" t="str">
        <f>IF(F6&lt;&gt;"",IFERROR(VLOOKUP(F6,MetricsDefinition!$E$2:$O$506,3,FALSE),""),"")</f>
        <v/>
      </c>
      <c r="E6" s="193"/>
      <c r="F6" s="415"/>
      <c r="G6" s="30" t="str">
        <f>IF(F6&lt;&gt;"",IFERROR(VLOOKUP(F6,MetricsDefinition!$E$2:$W$506,5,FALSE),""),"")</f>
        <v/>
      </c>
      <c r="H6" s="195" t="str">
        <f>IF(IF($F6&lt;&gt;"",IFERROR(VLOOKUP($F6,MetricsDefinition!$E$2:$W$506,6,FALSE),""),"")&lt;&gt;"", SUBSTITUTE(IF($F6&lt;&gt;"",IFERROR(VLOOKUP($F6,MetricsDefinition!$E$2:$W$506,6,FALSE),""),""),"Size Unit",E$3),"")</f>
        <v/>
      </c>
      <c r="I6" s="195" t="str">
        <f>IF(AND($F6&lt;&gt;"",M6&lt;&gt;""),IFERROR(VLOOKUP($M6,ListMaster!$D$2:$E$9,2,FALSE),""),"")</f>
        <v/>
      </c>
      <c r="J6" s="197"/>
      <c r="K6" s="197"/>
      <c r="L6" s="197"/>
      <c r="M6" s="30" t="str">
        <f>IF($F6&lt;&gt;"",IFERROR(VLOOKUP($F6,MetricsDefinition!$E$2:$W$506,8,FALSE),""),"")</f>
        <v/>
      </c>
      <c r="N6" s="194" t="s">
        <v>1286</v>
      </c>
      <c r="O6" s="196"/>
      <c r="P6" s="242"/>
      <c r="Q6" s="199"/>
      <c r="R6" s="195" t="str">
        <f>IF($F6&lt;&gt;"",IFERROR(VLOOKUP($F6,MetricsDefinition!$E$2:$W$506,12,FALSE),""),"")</f>
        <v/>
      </c>
      <c r="S6" s="200" t="str">
        <f>IF($F6&lt;&gt;"",IFERROR(VLOOKUP($F6,MetricsDefinition!$E$2:$W$506,13,FALSE),""),"")</f>
        <v/>
      </c>
      <c r="T6" s="275" t="str">
        <f>IF($F6&lt;&gt;"",IFERROR(VLOOKUP($F6,MetricsDefinition!$E$2:$W$507,4,FALSE),""),"")</f>
        <v/>
      </c>
      <c r="U6" s="246"/>
      <c r="V6" s="30" t="str">
        <f>IF($F6&lt;&gt;"",IFERROR(VLOOKUP($F6,MetricsDefinition!$E$2:$W$219,7,FALSE),""),"")</f>
        <v/>
      </c>
      <c r="W6" s="198"/>
      <c r="X6" s="194"/>
      <c r="Y6" s="200" t="str">
        <f>IF(X6="Yes","Control Chart and/or Prediction Model",IF($F6&lt;&gt;"",IFERROR(VLOOKUP($F6,MetricsDefinition!$E$2:$W$507,15,FALSE),""),""))</f>
        <v/>
      </c>
      <c r="Z6" s="201"/>
      <c r="AA6" s="194"/>
      <c r="AB6" s="202"/>
      <c r="AC6" s="3" t="str">
        <f t="shared" ref="AC6:AC35" si="2">IF(F6&lt;&gt;"",IF(AND(G6&lt;&gt;"",H6&lt;&gt;"",O6&lt;&gt;"",J6&lt;&gt;"",M6&lt;&gt;"",P6&lt;&gt;"",V6&lt;&gt;"",Q6&lt;&gt;"",R6&lt;&gt;"",S6&lt;&gt;"",N6&lt;&gt;"",X6&lt;&gt;"")=TRUE,0,1),"")</f>
        <v/>
      </c>
      <c r="AD6" s="172" t="str">
        <f>IF(F6&lt;&gt;"",IF(VLOOKUP(F6,MetricsDefinition!$E$1:$Z$215,20,FALSE)=E6,0,1),"")</f>
        <v/>
      </c>
      <c r="AE6" s="172" t="str">
        <f t="shared" si="0"/>
        <v/>
      </c>
    </row>
    <row r="7" spans="1:31" ht="48.65" customHeight="1">
      <c r="A7" s="30" t="str">
        <f>IF(F7&lt;&gt;"",IFERROR(VLOOKUP(F7,MetricsDefinition!$E$2:$O$506,2,FALSE),""),"")</f>
        <v/>
      </c>
      <c r="B7" s="30" t="str">
        <f t="shared" si="1"/>
        <v/>
      </c>
      <c r="C7" s="30" t="str">
        <f>IF(D7&lt;&gt;"",IFERROR(VLOOKUP(D7,ListMaster!$CE$1:$CG$50,3,FALSE),""),"")</f>
        <v/>
      </c>
      <c r="D7" s="30" t="str">
        <f>IF(F7&lt;&gt;"",IFERROR(VLOOKUP(F7,MetricsDefinition!$E$2:$O$506,3,FALSE),""),"")</f>
        <v/>
      </c>
      <c r="E7" s="193"/>
      <c r="F7" s="415"/>
      <c r="G7" s="30" t="str">
        <f>IF(F7&lt;&gt;"",IFERROR(VLOOKUP(F7,MetricsDefinition!$E$2:$W$506,5,FALSE),""),"")</f>
        <v/>
      </c>
      <c r="H7" s="195" t="str">
        <f>IF(IF($F7&lt;&gt;"",IFERROR(VLOOKUP($F7,MetricsDefinition!$E$2:$W$506,6,FALSE),""),"")&lt;&gt;"", SUBSTITUTE(IF($F7&lt;&gt;"",IFERROR(VLOOKUP($F7,MetricsDefinition!$E$2:$W$506,6,FALSE),""),""),"Size Unit",E$3),"")</f>
        <v/>
      </c>
      <c r="I7" s="195" t="str">
        <f>IF(AND($F7&lt;&gt;"",M7&lt;&gt;""),IFERROR(VLOOKUP($M7,ListMaster!$D$2:$E$9,2,FALSE),""),"")</f>
        <v/>
      </c>
      <c r="J7" s="197"/>
      <c r="K7" s="197"/>
      <c r="L7" s="197"/>
      <c r="M7" s="30" t="str">
        <f>IF($F7&lt;&gt;"",IFERROR(VLOOKUP($F7,MetricsDefinition!$E$2:$W$506,8,FALSE),""),"")</f>
        <v/>
      </c>
      <c r="N7" s="194" t="s">
        <v>1297</v>
      </c>
      <c r="O7" s="196"/>
      <c r="P7" s="242"/>
      <c r="Q7" s="199"/>
      <c r="R7" s="195" t="str">
        <f>IF($F7&lt;&gt;"",IFERROR(VLOOKUP($F7,MetricsDefinition!$E$2:$W$506,12,FALSE),""),"")</f>
        <v/>
      </c>
      <c r="S7" s="200" t="str">
        <f>IF($F7&lt;&gt;"",IFERROR(VLOOKUP($F7,MetricsDefinition!$E$2:$W$506,13,FALSE),""),"")</f>
        <v/>
      </c>
      <c r="T7" s="275" t="str">
        <f>IF($F7&lt;&gt;"",IFERROR(VLOOKUP($F7,MetricsDefinition!$E$2:$W$507,4,FALSE),""),"")</f>
        <v/>
      </c>
      <c r="U7" s="246"/>
      <c r="V7" s="30" t="str">
        <f>IF($F7&lt;&gt;"",IFERROR(VLOOKUP($F7,MetricsDefinition!$E$2:$W$219,7,FALSE),""),"")</f>
        <v/>
      </c>
      <c r="W7" s="198"/>
      <c r="X7" s="194"/>
      <c r="Y7" s="200" t="str">
        <f>IF(X7="Yes","Control Chart and/or Prediction Model",IF($F7&lt;&gt;"",IFERROR(VLOOKUP($F7,MetricsDefinition!$E$2:$W$507,15,FALSE),""),""))</f>
        <v/>
      </c>
      <c r="Z7" s="201"/>
      <c r="AA7" s="194"/>
      <c r="AB7" s="202"/>
      <c r="AC7" s="3" t="str">
        <f t="shared" si="2"/>
        <v/>
      </c>
      <c r="AD7" s="172" t="str">
        <f>IF(F7&lt;&gt;"",IF(VLOOKUP(F7,MetricsDefinition!$E$1:$Z$215,20,FALSE)=E7,0,1),"")</f>
        <v/>
      </c>
      <c r="AE7" s="172" t="str">
        <f t="shared" si="0"/>
        <v/>
      </c>
    </row>
    <row r="8" spans="1:31" ht="48.65" customHeight="1">
      <c r="A8" s="30" t="str">
        <f>IF(F8&lt;&gt;"",IFERROR(VLOOKUP(F8,MetricsDefinition!$E$2:$O$506,2,FALSE),""),"")</f>
        <v/>
      </c>
      <c r="B8" s="30" t="str">
        <f t="shared" si="1"/>
        <v/>
      </c>
      <c r="C8" s="30" t="str">
        <f>IF(D8&lt;&gt;"",IFERROR(VLOOKUP(D8,ListMaster!$CE$1:$CG$50,3,FALSE),""),"")</f>
        <v/>
      </c>
      <c r="D8" s="30" t="str">
        <f>IF(F8&lt;&gt;"",IFERROR(VLOOKUP(F8,MetricsDefinition!$E$2:$O$506,3,FALSE),""),"")</f>
        <v/>
      </c>
      <c r="E8" s="193"/>
      <c r="F8" s="415"/>
      <c r="G8" s="30" t="str">
        <f>IF(F8&lt;&gt;"",IFERROR(VLOOKUP(F8,MetricsDefinition!$E$2:$W$506,5,FALSE),""),"")</f>
        <v/>
      </c>
      <c r="H8" s="195" t="str">
        <f>IF(IF($F8&lt;&gt;"",IFERROR(VLOOKUP($F8,MetricsDefinition!$E$2:$W$506,6,FALSE),""),"")&lt;&gt;"", SUBSTITUTE(IF($F8&lt;&gt;"",IFERROR(VLOOKUP($F8,MetricsDefinition!$E$2:$W$506,6,FALSE),""),""),"Size Unit",E$3),"")</f>
        <v/>
      </c>
      <c r="I8" s="195" t="str">
        <f>IF(AND($F8&lt;&gt;"",M8&lt;&gt;""),IFERROR(VLOOKUP($M8,ListMaster!$D$2:$E$9,2,FALSE),""),"")</f>
        <v/>
      </c>
      <c r="J8" s="197"/>
      <c r="K8" s="197"/>
      <c r="L8" s="197"/>
      <c r="M8" s="30" t="str">
        <f>IF($F8&lt;&gt;"",IFERROR(VLOOKUP($F8,MetricsDefinition!$E$2:$W$506,8,FALSE),""),"")</f>
        <v/>
      </c>
      <c r="N8" s="194"/>
      <c r="O8" s="196"/>
      <c r="P8" s="242"/>
      <c r="Q8" s="199"/>
      <c r="R8" s="195" t="str">
        <f>IF($F8&lt;&gt;"",IFERROR(VLOOKUP($F8,MetricsDefinition!$E$2:$W$506,12,FALSE),""),"")</f>
        <v/>
      </c>
      <c r="S8" s="200" t="str">
        <f>IF($F8&lt;&gt;"",IFERROR(VLOOKUP($F8,MetricsDefinition!$E$2:$W$506,13,FALSE),""),"")</f>
        <v/>
      </c>
      <c r="T8" s="275" t="str">
        <f>IF($F8&lt;&gt;"",IFERROR(VLOOKUP($F8,MetricsDefinition!$E$2:$W$507,4,FALSE),""),"")</f>
        <v/>
      </c>
      <c r="U8" s="246"/>
      <c r="V8" s="30" t="str">
        <f>IF($F8&lt;&gt;"",IFERROR(VLOOKUP($F8,MetricsDefinition!$E$2:$W$219,7,FALSE),""),"")</f>
        <v/>
      </c>
      <c r="W8" s="198"/>
      <c r="X8" s="194"/>
      <c r="Y8" s="200" t="str">
        <f>IF(X8="Yes","Control Chart and/or Prediction Model",IF($F8&lt;&gt;"",IFERROR(VLOOKUP($F8,MetricsDefinition!$E$2:$W$507,15,FALSE),""),""))</f>
        <v/>
      </c>
      <c r="Z8" s="201"/>
      <c r="AA8" s="194"/>
      <c r="AB8" s="202"/>
      <c r="AC8" s="3" t="str">
        <f t="shared" si="2"/>
        <v/>
      </c>
      <c r="AD8" s="172" t="str">
        <f>IF(F8&lt;&gt;"",IF(VLOOKUP(F8,MetricsDefinition!$E$1:$Z$215,20,FALSE)=E8,0,1),"")</f>
        <v/>
      </c>
      <c r="AE8" s="172" t="str">
        <f t="shared" si="0"/>
        <v/>
      </c>
    </row>
    <row r="9" spans="1:31" ht="48.65" customHeight="1">
      <c r="A9" s="30" t="str">
        <f>IF(F9&lt;&gt;"",IFERROR(VLOOKUP(F9,MetricsDefinition!$E$2:$O$506,2,FALSE),""),"")</f>
        <v/>
      </c>
      <c r="B9" s="30" t="str">
        <f t="shared" si="1"/>
        <v/>
      </c>
      <c r="C9" s="30" t="str">
        <f>IF(D9&lt;&gt;"",IFERROR(VLOOKUP(D9,ListMaster!$CE$1:$CG$50,3,FALSE),""),"")</f>
        <v/>
      </c>
      <c r="D9" s="30" t="str">
        <f>IF(F9&lt;&gt;"",IFERROR(VLOOKUP(F9,MetricsDefinition!$E$2:$O$506,3,FALSE),""),"")</f>
        <v/>
      </c>
      <c r="E9" s="193"/>
      <c r="F9" s="415"/>
      <c r="G9" s="30" t="str">
        <f>IF(F9&lt;&gt;"",IFERROR(VLOOKUP(F9,MetricsDefinition!$E$2:$W$506,5,FALSE),""),"")</f>
        <v/>
      </c>
      <c r="H9" s="195" t="str">
        <f>IF(IF($F9&lt;&gt;"",IFERROR(VLOOKUP($F9,MetricsDefinition!$E$2:$W$506,6,FALSE),""),"")&lt;&gt;"", SUBSTITUTE(IF($F9&lt;&gt;"",IFERROR(VLOOKUP($F9,MetricsDefinition!$E$2:$W$506,6,FALSE),""),""),"Size Unit",E$3),"")</f>
        <v/>
      </c>
      <c r="I9" s="195" t="str">
        <f>IF(AND($F9&lt;&gt;"",M9&lt;&gt;""),IFERROR(VLOOKUP($M9,ListMaster!$D$2:$E$9,2,FALSE),""),"")</f>
        <v/>
      </c>
      <c r="J9" s="197"/>
      <c r="K9" s="197"/>
      <c r="L9" s="197"/>
      <c r="M9" s="30" t="str">
        <f>IF($F9&lt;&gt;"",IFERROR(VLOOKUP($F9,MetricsDefinition!$E$2:$W$506,8,FALSE),""),"")</f>
        <v/>
      </c>
      <c r="N9" s="194"/>
      <c r="O9" s="196"/>
      <c r="P9" s="242"/>
      <c r="Q9" s="199"/>
      <c r="R9" s="195" t="str">
        <f>IF($F9&lt;&gt;"",IFERROR(VLOOKUP($F9,MetricsDefinition!$E$2:$W$506,12,FALSE),""),"")</f>
        <v/>
      </c>
      <c r="S9" s="200" t="str">
        <f>IF($F9&lt;&gt;"",IFERROR(VLOOKUP($F9,MetricsDefinition!$E$2:$W$506,13,FALSE),""),"")</f>
        <v/>
      </c>
      <c r="T9" s="275" t="str">
        <f>IF($F9&lt;&gt;"",IFERROR(VLOOKUP($F9,MetricsDefinition!$E$2:$W$507,4,FALSE),""),"")</f>
        <v/>
      </c>
      <c r="U9" s="246"/>
      <c r="V9" s="30" t="str">
        <f>IF($F9&lt;&gt;"",IFERROR(VLOOKUP($F9,MetricsDefinition!$E$2:$W$219,7,FALSE),""),"")</f>
        <v/>
      </c>
      <c r="W9" s="198"/>
      <c r="X9" s="194"/>
      <c r="Y9" s="200" t="str">
        <f>IF(X9="Yes","Control Chart and/or Prediction Model",IF($F9&lt;&gt;"",IFERROR(VLOOKUP($F9,MetricsDefinition!$E$2:$W$507,15,FALSE),""),""))</f>
        <v/>
      </c>
      <c r="Z9" s="201"/>
      <c r="AA9" s="194"/>
      <c r="AB9" s="202"/>
      <c r="AC9" s="3" t="str">
        <f t="shared" si="2"/>
        <v/>
      </c>
      <c r="AD9" s="172" t="str">
        <f>IF(F9&lt;&gt;"",IF(VLOOKUP(F9,MetricsDefinition!$E$1:$Z$215,20,FALSE)=E9,0,1),"")</f>
        <v/>
      </c>
      <c r="AE9" s="172" t="str">
        <f t="shared" si="0"/>
        <v/>
      </c>
    </row>
    <row r="10" spans="1:31" ht="48.65" customHeight="1">
      <c r="A10" s="30" t="str">
        <f>IF(F10&lt;&gt;"",IFERROR(VLOOKUP(F10,MetricsDefinition!$E$2:$O$506,2,FALSE),""),"")</f>
        <v/>
      </c>
      <c r="B10" s="30" t="str">
        <f t="shared" si="1"/>
        <v/>
      </c>
      <c r="C10" s="30" t="str">
        <f>IF(D10&lt;&gt;"",IFERROR(VLOOKUP(D10,ListMaster!$CE$1:$CG$50,3,FALSE),""),"")</f>
        <v/>
      </c>
      <c r="D10" s="30" t="str">
        <f>IF(F10&lt;&gt;"",IFERROR(VLOOKUP(F10,MetricsDefinition!$E$2:$O$506,3,FALSE),""),"")</f>
        <v/>
      </c>
      <c r="E10" s="193"/>
      <c r="F10" s="415"/>
      <c r="G10" s="30" t="str">
        <f>IF(F10&lt;&gt;"",IFERROR(VLOOKUP(F10,MetricsDefinition!$E$2:$W$506,5,FALSE),""),"")</f>
        <v/>
      </c>
      <c r="H10" s="195" t="str">
        <f>IF(IF($F10&lt;&gt;"",IFERROR(VLOOKUP($F10,MetricsDefinition!$E$2:$W$506,6,FALSE),""),"")&lt;&gt;"", SUBSTITUTE(IF($F10&lt;&gt;"",IFERROR(VLOOKUP($F10,MetricsDefinition!$E$2:$W$506,6,FALSE),""),""),"Size Unit",E$3),"")</f>
        <v/>
      </c>
      <c r="I10" s="195" t="str">
        <f>IF(AND($F10&lt;&gt;"",M10&lt;&gt;""),IFERROR(VLOOKUP($M10,ListMaster!$D$2:$E$9,2,FALSE),""),"")</f>
        <v/>
      </c>
      <c r="J10" s="197"/>
      <c r="K10" s="197"/>
      <c r="L10" s="197"/>
      <c r="M10" s="30" t="str">
        <f>IF($F10&lt;&gt;"",IFERROR(VLOOKUP($F10,MetricsDefinition!$E$2:$W$506,8,FALSE),""),"")</f>
        <v/>
      </c>
      <c r="N10" s="194"/>
      <c r="O10" s="196"/>
      <c r="P10" s="242"/>
      <c r="Q10" s="199"/>
      <c r="R10" s="195" t="str">
        <f>IF($F10&lt;&gt;"",IFERROR(VLOOKUP($F10,MetricsDefinition!$E$2:$W$506,12,FALSE),""),"")</f>
        <v/>
      </c>
      <c r="S10" s="200" t="str">
        <f>IF($F10&lt;&gt;"",IFERROR(VLOOKUP($F10,MetricsDefinition!$E$2:$W$506,13,FALSE),""),"")</f>
        <v/>
      </c>
      <c r="T10" s="275" t="str">
        <f>IF($F10&lt;&gt;"",IFERROR(VLOOKUP($F10,MetricsDefinition!$E$2:$W$507,4,FALSE),""),"")</f>
        <v/>
      </c>
      <c r="U10" s="246"/>
      <c r="V10" s="30" t="str">
        <f>IF($F10&lt;&gt;"",IFERROR(VLOOKUP($F10,MetricsDefinition!$E$2:$W$219,7,FALSE),""),"")</f>
        <v/>
      </c>
      <c r="W10" s="198"/>
      <c r="X10" s="194"/>
      <c r="Y10" s="200" t="str">
        <f>IF(X10="Yes","Control Chart and/or Prediction Model",IF($F10&lt;&gt;"",IFERROR(VLOOKUP($F10,MetricsDefinition!$E$2:$W$507,15,FALSE),""),""))</f>
        <v/>
      </c>
      <c r="Z10" s="201"/>
      <c r="AA10" s="194"/>
      <c r="AB10" s="202"/>
      <c r="AC10" s="3" t="str">
        <f t="shared" si="2"/>
        <v/>
      </c>
      <c r="AD10" s="172" t="str">
        <f>IF(F10&lt;&gt;"",IF(VLOOKUP(F10,MetricsDefinition!$E$1:$Z$215,20,FALSE)=E10,0,1),"")</f>
        <v/>
      </c>
      <c r="AE10" s="172" t="str">
        <f t="shared" si="0"/>
        <v/>
      </c>
    </row>
    <row r="11" spans="1:31" ht="48.65" customHeight="1">
      <c r="A11" s="30" t="str">
        <f>IF(F11&lt;&gt;"",IFERROR(VLOOKUP(F11,MetricsDefinition!$E$2:$O$506,2,FALSE),""),"")</f>
        <v/>
      </c>
      <c r="B11" s="30" t="str">
        <f t="shared" si="1"/>
        <v/>
      </c>
      <c r="C11" s="30" t="str">
        <f>IF(D11&lt;&gt;"",IFERROR(VLOOKUP(D11,ListMaster!$CE$1:$CG$50,3,FALSE),""),"")</f>
        <v/>
      </c>
      <c r="D11" s="30" t="str">
        <f>IF(F11&lt;&gt;"",IFERROR(VLOOKUP(F11,MetricsDefinition!$E$2:$O$506,3,FALSE),""),"")</f>
        <v/>
      </c>
      <c r="E11" s="193"/>
      <c r="F11" s="415"/>
      <c r="G11" s="30" t="str">
        <f>IF(F11&lt;&gt;"",IFERROR(VLOOKUP(F11,MetricsDefinition!$E$2:$W$506,5,FALSE),""),"")</f>
        <v/>
      </c>
      <c r="H11" s="195" t="str">
        <f>IF(IF($F11&lt;&gt;"",IFERROR(VLOOKUP($F11,MetricsDefinition!$E$2:$W$506,6,FALSE),""),"")&lt;&gt;"", SUBSTITUTE(IF($F11&lt;&gt;"",IFERROR(VLOOKUP($F11,MetricsDefinition!$E$2:$W$506,6,FALSE),""),""),"Size Unit",E$3),"")</f>
        <v/>
      </c>
      <c r="I11" s="195" t="str">
        <f>IF(AND($F11&lt;&gt;"",M11&lt;&gt;""),IFERROR(VLOOKUP($M11,ListMaster!$D$2:$E$9,2,FALSE),""),"")</f>
        <v/>
      </c>
      <c r="J11" s="197"/>
      <c r="K11" s="197"/>
      <c r="L11" s="197"/>
      <c r="M11" s="30" t="str">
        <f>IF($F11&lt;&gt;"",IFERROR(VLOOKUP($F11,MetricsDefinition!$E$2:$W$506,8,FALSE),""),"")</f>
        <v/>
      </c>
      <c r="N11" s="194"/>
      <c r="O11" s="196"/>
      <c r="P11" s="242"/>
      <c r="Q11" s="199"/>
      <c r="R11" s="195" t="str">
        <f>IF($F11&lt;&gt;"",IFERROR(VLOOKUP($F11,MetricsDefinition!$E$2:$W$506,12,FALSE),""),"")</f>
        <v/>
      </c>
      <c r="S11" s="200" t="str">
        <f>IF($F11&lt;&gt;"",IFERROR(VLOOKUP($F11,MetricsDefinition!$E$2:$W$506,13,FALSE),""),"")</f>
        <v/>
      </c>
      <c r="T11" s="275" t="str">
        <f>IF($F11&lt;&gt;"",IFERROR(VLOOKUP($F11,MetricsDefinition!$E$2:$W$507,4,FALSE),""),"")</f>
        <v/>
      </c>
      <c r="U11" s="246"/>
      <c r="V11" s="30" t="str">
        <f>IF($F11&lt;&gt;"",IFERROR(VLOOKUP($F11,MetricsDefinition!$E$2:$W$219,7,FALSE),""),"")</f>
        <v/>
      </c>
      <c r="W11" s="198"/>
      <c r="X11" s="194"/>
      <c r="Y11" s="200" t="str">
        <f>IF(X11="Yes","Control Chart and/or Prediction Model",IF($F11&lt;&gt;"",IFERROR(VLOOKUP($F11,MetricsDefinition!$E$2:$W$507,15,FALSE),""),""))</f>
        <v/>
      </c>
      <c r="Z11" s="201"/>
      <c r="AA11" s="194"/>
      <c r="AB11" s="202"/>
      <c r="AC11" s="3" t="str">
        <f t="shared" si="2"/>
        <v/>
      </c>
      <c r="AD11" s="172" t="str">
        <f>IF(F11&lt;&gt;"",IF(VLOOKUP(F11,MetricsDefinition!$E$1:$Z$215,20,FALSE)=E11,0,1),"")</f>
        <v/>
      </c>
      <c r="AE11" s="172" t="str">
        <f t="shared" si="0"/>
        <v/>
      </c>
    </row>
    <row r="12" spans="1:31" ht="48.65" customHeight="1">
      <c r="A12" s="30" t="str">
        <f>IF(F12&lt;&gt;"",IFERROR(VLOOKUP(F12,MetricsDefinition!$E$2:$O$506,2,FALSE),""),"")</f>
        <v/>
      </c>
      <c r="B12" s="30" t="str">
        <f t="shared" si="1"/>
        <v/>
      </c>
      <c r="C12" s="30" t="str">
        <f>IF(D12&lt;&gt;"",IFERROR(VLOOKUP(D12,ListMaster!$CE$1:$CG$50,3,FALSE),""),"")</f>
        <v/>
      </c>
      <c r="D12" s="30" t="str">
        <f>IF(F12&lt;&gt;"",IFERROR(VLOOKUP(F12,MetricsDefinition!$E$2:$O$506,3,FALSE),""),"")</f>
        <v/>
      </c>
      <c r="E12" s="193"/>
      <c r="F12" s="415"/>
      <c r="G12" s="30" t="str">
        <f>IF(F12&lt;&gt;"",IFERROR(VLOOKUP(F12,MetricsDefinition!$E$2:$W$506,5,FALSE),""),"")</f>
        <v/>
      </c>
      <c r="H12" s="195" t="str">
        <f>IF(IF($F12&lt;&gt;"",IFERROR(VLOOKUP($F12,MetricsDefinition!$E$2:$W$506,6,FALSE),""),"")&lt;&gt;"", SUBSTITUTE(IF($F12&lt;&gt;"",IFERROR(VLOOKUP($F12,MetricsDefinition!$E$2:$W$506,6,FALSE),""),""),"Size Unit",E$3),"")</f>
        <v/>
      </c>
      <c r="I12" s="195" t="str">
        <f>IF(AND($F12&lt;&gt;"",M12&lt;&gt;""),IFERROR(VLOOKUP($M12,ListMaster!$D$2:$E$9,2,FALSE),""),"")</f>
        <v/>
      </c>
      <c r="J12" s="197"/>
      <c r="K12" s="197"/>
      <c r="L12" s="197"/>
      <c r="M12" s="30" t="str">
        <f>IF($F12&lt;&gt;"",IFERROR(VLOOKUP($F12,MetricsDefinition!$E$2:$W$506,8,FALSE),""),"")</f>
        <v/>
      </c>
      <c r="N12" s="194"/>
      <c r="O12" s="196"/>
      <c r="P12" s="242"/>
      <c r="Q12" s="199"/>
      <c r="R12" s="195" t="str">
        <f>IF($F12&lt;&gt;"",IFERROR(VLOOKUP($F12,MetricsDefinition!$E$2:$W$506,12,FALSE),""),"")</f>
        <v/>
      </c>
      <c r="S12" s="200" t="str">
        <f>IF($F12&lt;&gt;"",IFERROR(VLOOKUP($F12,MetricsDefinition!$E$2:$W$506,13,FALSE),""),"")</f>
        <v/>
      </c>
      <c r="T12" s="275" t="str">
        <f>IF($F12&lt;&gt;"",IFERROR(VLOOKUP($F12,MetricsDefinition!$E$2:$W$507,4,FALSE),""),"")</f>
        <v/>
      </c>
      <c r="U12" s="246"/>
      <c r="V12" s="30" t="str">
        <f>IF($F12&lt;&gt;"",IFERROR(VLOOKUP($F12,MetricsDefinition!$E$2:$W$219,7,FALSE),""),"")</f>
        <v/>
      </c>
      <c r="W12" s="198"/>
      <c r="X12" s="194"/>
      <c r="Y12" s="200" t="str">
        <f>IF(X12="Yes","Control Chart and/or Prediction Model",IF($F12&lt;&gt;"",IFERROR(VLOOKUP($F12,MetricsDefinition!$E$2:$W$507,15,FALSE),""),""))</f>
        <v/>
      </c>
      <c r="Z12" s="201"/>
      <c r="AA12" s="194"/>
      <c r="AB12" s="202"/>
      <c r="AC12" s="3" t="str">
        <f t="shared" si="2"/>
        <v/>
      </c>
      <c r="AD12" s="172" t="str">
        <f>IF(F12&lt;&gt;"",IF(VLOOKUP(F12,MetricsDefinition!$E$1:$Z$215,20,FALSE)=E12,0,1),"")</f>
        <v/>
      </c>
      <c r="AE12" s="172" t="str">
        <f t="shared" si="0"/>
        <v/>
      </c>
    </row>
    <row r="13" spans="1:31" ht="48.65" customHeight="1">
      <c r="A13" s="30" t="str">
        <f>IF(F13&lt;&gt;"",IFERROR(VLOOKUP(F13,MetricsDefinition!$E$2:$O$506,2,FALSE),""),"")</f>
        <v/>
      </c>
      <c r="B13" s="30" t="str">
        <f t="shared" si="1"/>
        <v/>
      </c>
      <c r="C13" s="30" t="str">
        <f>IF(D13&lt;&gt;"",IFERROR(VLOOKUP(D13,ListMaster!$CE$1:$CG$50,3,FALSE),""),"")</f>
        <v/>
      </c>
      <c r="D13" s="30" t="str">
        <f>IF(F13&lt;&gt;"",IFERROR(VLOOKUP(F13,MetricsDefinition!$E$2:$O$506,3,FALSE),""),"")</f>
        <v/>
      </c>
      <c r="E13" s="193"/>
      <c r="F13" s="415"/>
      <c r="G13" s="30" t="str">
        <f>IF(F13&lt;&gt;"",IFERROR(VLOOKUP(F13,MetricsDefinition!$E$2:$W$506,5,FALSE),""),"")</f>
        <v/>
      </c>
      <c r="H13" s="195" t="str">
        <f>IF(IF($F13&lt;&gt;"",IFERROR(VLOOKUP($F13,MetricsDefinition!$E$2:$W$506,6,FALSE),""),"")&lt;&gt;"", SUBSTITUTE(IF($F13&lt;&gt;"",IFERROR(VLOOKUP($F13,MetricsDefinition!$E$2:$W$506,6,FALSE),""),""),"Size Unit",E$3),"")</f>
        <v/>
      </c>
      <c r="I13" s="195" t="str">
        <f>IF(AND($F13&lt;&gt;"",M13&lt;&gt;""),IFERROR(VLOOKUP($M13,ListMaster!$D$2:$E$9,2,FALSE),""),"")</f>
        <v/>
      </c>
      <c r="J13" s="197"/>
      <c r="K13" s="197"/>
      <c r="L13" s="197"/>
      <c r="M13" s="30" t="str">
        <f>IF($F13&lt;&gt;"",IFERROR(VLOOKUP($F13,MetricsDefinition!$E$2:$W$506,8,FALSE),""),"")</f>
        <v/>
      </c>
      <c r="N13" s="194"/>
      <c r="O13" s="196"/>
      <c r="P13" s="242"/>
      <c r="Q13" s="199"/>
      <c r="R13" s="195" t="str">
        <f>IF($F13&lt;&gt;"",IFERROR(VLOOKUP($F13,MetricsDefinition!$E$2:$W$506,12,FALSE),""),"")</f>
        <v/>
      </c>
      <c r="S13" s="200" t="str">
        <f>IF($F13&lt;&gt;"",IFERROR(VLOOKUP($F13,MetricsDefinition!$E$2:$W$506,13,FALSE),""),"")</f>
        <v/>
      </c>
      <c r="T13" s="275" t="str">
        <f>IF($F13&lt;&gt;"",IFERROR(VLOOKUP($F13,MetricsDefinition!$E$2:$W$507,4,FALSE),""),"")</f>
        <v/>
      </c>
      <c r="U13" s="246"/>
      <c r="V13" s="30" t="str">
        <f>IF($F13&lt;&gt;"",IFERROR(VLOOKUP($F13,MetricsDefinition!$E$2:$W$219,7,FALSE),""),"")</f>
        <v/>
      </c>
      <c r="W13" s="198"/>
      <c r="X13" s="194"/>
      <c r="Y13" s="200" t="str">
        <f>IF(X13="Yes","Control Chart and/or Prediction Model",IF($F13&lt;&gt;"",IFERROR(VLOOKUP($F13,MetricsDefinition!$E$2:$W$507,15,FALSE),""),""))</f>
        <v/>
      </c>
      <c r="Z13" s="201"/>
      <c r="AA13" s="194"/>
      <c r="AB13" s="202"/>
      <c r="AC13" s="3" t="str">
        <f t="shared" si="2"/>
        <v/>
      </c>
      <c r="AD13" s="172" t="str">
        <f>IF(F13&lt;&gt;"",IF(VLOOKUP(F13,MetricsDefinition!$E$1:$Z$215,20,FALSE)=E13,0,1),"")</f>
        <v/>
      </c>
      <c r="AE13" s="172" t="str">
        <f t="shared" si="0"/>
        <v/>
      </c>
    </row>
    <row r="14" spans="1:31" ht="48.65" customHeight="1">
      <c r="A14" s="30" t="str">
        <f>IF(F14&lt;&gt;"",IFERROR(VLOOKUP(F14,MetricsDefinition!$E$2:$O$506,2,FALSE),""),"")</f>
        <v/>
      </c>
      <c r="B14" s="30" t="str">
        <f t="shared" si="1"/>
        <v/>
      </c>
      <c r="C14" s="30" t="str">
        <f>IF(D14&lt;&gt;"",IFERROR(VLOOKUP(D14,ListMaster!$CE$1:$CG$50,3,FALSE),""),"")</f>
        <v/>
      </c>
      <c r="D14" s="30" t="str">
        <f>IF(F14&lt;&gt;"",IFERROR(VLOOKUP(F14,MetricsDefinition!$E$2:$O$506,3,FALSE),""),"")</f>
        <v/>
      </c>
      <c r="E14" s="193"/>
      <c r="F14" s="415"/>
      <c r="G14" s="30" t="str">
        <f>IF(F14&lt;&gt;"",IFERROR(VLOOKUP(F14,MetricsDefinition!$E$2:$W$506,5,FALSE),""),"")</f>
        <v/>
      </c>
      <c r="H14" s="195" t="str">
        <f>IF(IF($F14&lt;&gt;"",IFERROR(VLOOKUP($F14,MetricsDefinition!$E$2:$W$506,6,FALSE),""),"")&lt;&gt;"", SUBSTITUTE(IF($F14&lt;&gt;"",IFERROR(VLOOKUP($F14,MetricsDefinition!$E$2:$W$506,6,FALSE),""),""),"Size Unit",E$3),"")</f>
        <v/>
      </c>
      <c r="I14" s="195" t="str">
        <f>IF(AND($F14&lt;&gt;"",M14&lt;&gt;""),IFERROR(VLOOKUP($M14,ListMaster!$D$2:$E$9,2,FALSE),""),"")</f>
        <v/>
      </c>
      <c r="J14" s="197"/>
      <c r="K14" s="197"/>
      <c r="L14" s="197"/>
      <c r="M14" s="30" t="str">
        <f>IF($F14&lt;&gt;"",IFERROR(VLOOKUP($F14,MetricsDefinition!$E$2:$W$506,8,FALSE),""),"")</f>
        <v/>
      </c>
      <c r="N14" s="194"/>
      <c r="O14" s="196"/>
      <c r="P14" s="242"/>
      <c r="Q14" s="199"/>
      <c r="R14" s="195" t="str">
        <f>IF($F14&lt;&gt;"",IFERROR(VLOOKUP($F14,MetricsDefinition!$E$2:$W$506,12,FALSE),""),"")</f>
        <v/>
      </c>
      <c r="S14" s="200" t="str">
        <f>IF($F14&lt;&gt;"",IFERROR(VLOOKUP($F14,MetricsDefinition!$E$2:$W$506,13,FALSE),""),"")</f>
        <v/>
      </c>
      <c r="T14" s="275" t="str">
        <f>IF($F14&lt;&gt;"",IFERROR(VLOOKUP($F14,MetricsDefinition!$E$2:$W$507,4,FALSE),""),"")</f>
        <v/>
      </c>
      <c r="U14" s="246"/>
      <c r="V14" s="30" t="str">
        <f>IF($F14&lt;&gt;"",IFERROR(VLOOKUP($F14,MetricsDefinition!$E$2:$W$219,7,FALSE),""),"")</f>
        <v/>
      </c>
      <c r="W14" s="198"/>
      <c r="X14" s="194"/>
      <c r="Y14" s="200" t="str">
        <f>IF(X14="Yes","Control Chart and/or Prediction Model",IF($F14&lt;&gt;"",IFERROR(VLOOKUP($F14,MetricsDefinition!$E$2:$W$507,15,FALSE),""),""))</f>
        <v/>
      </c>
      <c r="Z14" s="201"/>
      <c r="AA14" s="194"/>
      <c r="AB14" s="202"/>
      <c r="AC14" s="3" t="str">
        <f t="shared" si="2"/>
        <v/>
      </c>
      <c r="AD14" s="172" t="str">
        <f>IF(F14&lt;&gt;"",IF(VLOOKUP(F14,MetricsDefinition!$E$1:$Z$215,20,FALSE)=E14,0,1),"")</f>
        <v/>
      </c>
      <c r="AE14" s="172" t="str">
        <f t="shared" si="0"/>
        <v/>
      </c>
    </row>
    <row r="15" spans="1:31" ht="48.65" customHeight="1">
      <c r="A15" s="30" t="str">
        <f>IF(F15&lt;&gt;"",IFERROR(VLOOKUP(F15,MetricsDefinition!$E$2:$O$506,2,FALSE),""),"")</f>
        <v/>
      </c>
      <c r="B15" s="30" t="str">
        <f t="shared" si="1"/>
        <v/>
      </c>
      <c r="C15" s="30" t="str">
        <f>IF(D15&lt;&gt;"",IFERROR(VLOOKUP(D15,ListMaster!$CE$1:$CG$50,3,FALSE),""),"")</f>
        <v/>
      </c>
      <c r="D15" s="30" t="str">
        <f>IF(F15&lt;&gt;"",IFERROR(VLOOKUP(F15,MetricsDefinition!$E$2:$O$506,3,FALSE),""),"")</f>
        <v/>
      </c>
      <c r="E15" s="193"/>
      <c r="F15" s="415"/>
      <c r="G15" s="30" t="str">
        <f>IF(F15&lt;&gt;"",IFERROR(VLOOKUP(F15,MetricsDefinition!$E$2:$W$506,5,FALSE),""),"")</f>
        <v/>
      </c>
      <c r="H15" s="195" t="str">
        <f>IF(IF($F15&lt;&gt;"",IFERROR(VLOOKUP($F15,MetricsDefinition!$E$2:$W$506,6,FALSE),""),"")&lt;&gt;"", SUBSTITUTE(IF($F15&lt;&gt;"",IFERROR(VLOOKUP($F15,MetricsDefinition!$E$2:$W$506,6,FALSE),""),""),"Size Unit",E$3),"")</f>
        <v/>
      </c>
      <c r="I15" s="195" t="str">
        <f>IF(AND($F15&lt;&gt;"",M15&lt;&gt;""),IFERROR(VLOOKUP($M15,ListMaster!$D$2:$E$9,2,FALSE),""),"")</f>
        <v/>
      </c>
      <c r="J15" s="197"/>
      <c r="K15" s="197"/>
      <c r="L15" s="197"/>
      <c r="M15" s="30" t="str">
        <f>IF($F15&lt;&gt;"",IFERROR(VLOOKUP($F15,MetricsDefinition!$E$2:$W$506,8,FALSE),""),"")</f>
        <v/>
      </c>
      <c r="N15" s="194"/>
      <c r="O15" s="196"/>
      <c r="P15" s="242"/>
      <c r="Q15" s="199"/>
      <c r="R15" s="195" t="str">
        <f>IF($F15&lt;&gt;"",IFERROR(VLOOKUP($F15,MetricsDefinition!$E$2:$W$506,12,FALSE),""),"")</f>
        <v/>
      </c>
      <c r="S15" s="200" t="str">
        <f>IF($F15&lt;&gt;"",IFERROR(VLOOKUP($F15,MetricsDefinition!$E$2:$W$506,13,FALSE),""),"")</f>
        <v/>
      </c>
      <c r="T15" s="275" t="str">
        <f>IF($F15&lt;&gt;"",IFERROR(VLOOKUP($F15,MetricsDefinition!$E$2:$W$507,4,FALSE),""),"")</f>
        <v/>
      </c>
      <c r="U15" s="246"/>
      <c r="V15" s="30" t="str">
        <f>IF($F15&lt;&gt;"",IFERROR(VLOOKUP($F15,MetricsDefinition!$E$2:$W$219,7,FALSE),""),"")</f>
        <v/>
      </c>
      <c r="W15" s="198"/>
      <c r="X15" s="194"/>
      <c r="Y15" s="200" t="str">
        <f>IF(X15="Yes","Control Chart and/or Prediction Model",IF($F15&lt;&gt;"",IFERROR(VLOOKUP($F15,MetricsDefinition!$E$2:$W$507,15,FALSE),""),""))</f>
        <v/>
      </c>
      <c r="Z15" s="201"/>
      <c r="AA15" s="194"/>
      <c r="AB15" s="202"/>
      <c r="AC15" s="3" t="str">
        <f t="shared" si="2"/>
        <v/>
      </c>
      <c r="AD15" s="172" t="str">
        <f>IF(F15&lt;&gt;"",IF(VLOOKUP(F15,MetricsDefinition!$E$1:$Z$215,20,FALSE)=E15,0,1),"")</f>
        <v/>
      </c>
      <c r="AE15" s="172" t="str">
        <f t="shared" si="0"/>
        <v/>
      </c>
    </row>
    <row r="16" spans="1:31" ht="48.65" customHeight="1">
      <c r="A16" s="30" t="str">
        <f>IF(F16&lt;&gt;"",IFERROR(VLOOKUP(F16,MetricsDefinition!$E$2:$O$506,2,FALSE),""),"")</f>
        <v/>
      </c>
      <c r="B16" s="30" t="str">
        <f t="shared" si="1"/>
        <v/>
      </c>
      <c r="C16" s="30" t="str">
        <f>IF(D16&lt;&gt;"",IFERROR(VLOOKUP(D16,ListMaster!$CE$1:$CG$50,3,FALSE),""),"")</f>
        <v/>
      </c>
      <c r="D16" s="30" t="str">
        <f>IF(F16&lt;&gt;"",IFERROR(VLOOKUP(F16,MetricsDefinition!$E$2:$O$506,3,FALSE),""),"")</f>
        <v/>
      </c>
      <c r="E16" s="193"/>
      <c r="F16" s="415"/>
      <c r="G16" s="30" t="str">
        <f>IF(F16&lt;&gt;"",IFERROR(VLOOKUP(F16,MetricsDefinition!$E$2:$W$506,5,FALSE),""),"")</f>
        <v/>
      </c>
      <c r="H16" s="195" t="str">
        <f>IF(IF($F16&lt;&gt;"",IFERROR(VLOOKUP($F16,MetricsDefinition!$E$2:$W$506,6,FALSE),""),"")&lt;&gt;"", SUBSTITUTE(IF($F16&lt;&gt;"",IFERROR(VLOOKUP($F16,MetricsDefinition!$E$2:$W$506,6,FALSE),""),""),"Size Unit",E$3),"")</f>
        <v/>
      </c>
      <c r="I16" s="195" t="str">
        <f>IF(AND($F16&lt;&gt;"",M16&lt;&gt;""),IFERROR(VLOOKUP($M16,ListMaster!$D$2:$E$9,2,FALSE),""),"")</f>
        <v/>
      </c>
      <c r="J16" s="197"/>
      <c r="K16" s="197"/>
      <c r="L16" s="197"/>
      <c r="M16" s="30" t="str">
        <f>IF($F16&lt;&gt;"",IFERROR(VLOOKUP($F16,MetricsDefinition!$E$2:$W$506,8,FALSE),""),"")</f>
        <v/>
      </c>
      <c r="N16" s="194"/>
      <c r="O16" s="196"/>
      <c r="P16" s="242"/>
      <c r="Q16" s="199"/>
      <c r="R16" s="195" t="str">
        <f>IF($F16&lt;&gt;"",IFERROR(VLOOKUP($F16,MetricsDefinition!$E$2:$W$506,12,FALSE),""),"")</f>
        <v/>
      </c>
      <c r="S16" s="200" t="str">
        <f>IF($F16&lt;&gt;"",IFERROR(VLOOKUP($F16,MetricsDefinition!$E$2:$W$506,13,FALSE),""),"")</f>
        <v/>
      </c>
      <c r="T16" s="275" t="str">
        <f>IF($F16&lt;&gt;"",IFERROR(VLOOKUP($F16,MetricsDefinition!$E$2:$W$507,4,FALSE),""),"")</f>
        <v/>
      </c>
      <c r="U16" s="246"/>
      <c r="V16" s="30" t="str">
        <f>IF($F16&lt;&gt;"",IFERROR(VLOOKUP($F16,MetricsDefinition!$E$2:$W$219,7,FALSE),""),"")</f>
        <v/>
      </c>
      <c r="W16" s="198"/>
      <c r="X16" s="194"/>
      <c r="Y16" s="200" t="str">
        <f>IF(X16="Yes","Control Chart and/or Prediction Model",IF($F16&lt;&gt;"",IFERROR(VLOOKUP($F16,MetricsDefinition!$E$2:$W$507,15,FALSE),""),""))</f>
        <v/>
      </c>
      <c r="Z16" s="201"/>
      <c r="AA16" s="194"/>
      <c r="AB16" s="202"/>
      <c r="AC16" s="3" t="str">
        <f t="shared" si="2"/>
        <v/>
      </c>
      <c r="AD16" s="172" t="str">
        <f>IF(F16&lt;&gt;"",IF(VLOOKUP(F16,MetricsDefinition!$E$1:$Z$215,20,FALSE)=E16,0,1),"")</f>
        <v/>
      </c>
      <c r="AE16" s="172" t="str">
        <f t="shared" si="0"/>
        <v/>
      </c>
    </row>
    <row r="17" spans="1:31" ht="48.65" customHeight="1">
      <c r="A17" s="30" t="str">
        <f>IF(F17&lt;&gt;"",IFERROR(VLOOKUP(F17,MetricsDefinition!$E$2:$O$506,2,FALSE),""),"")</f>
        <v/>
      </c>
      <c r="B17" s="30" t="str">
        <f t="shared" si="1"/>
        <v/>
      </c>
      <c r="C17" s="30" t="str">
        <f>IF(D17&lt;&gt;"",IFERROR(VLOOKUP(D17,ListMaster!$CE$1:$CG$50,3,FALSE),""),"")</f>
        <v/>
      </c>
      <c r="D17" s="30" t="str">
        <f>IF(F17&lt;&gt;"",IFERROR(VLOOKUP(F17,MetricsDefinition!$E$2:$O$506,3,FALSE),""),"")</f>
        <v/>
      </c>
      <c r="E17" s="193"/>
      <c r="F17" s="415"/>
      <c r="G17" s="30" t="str">
        <f>IF(F17&lt;&gt;"",IFERROR(VLOOKUP(F17,MetricsDefinition!$E$2:$W$506,5,FALSE),""),"")</f>
        <v/>
      </c>
      <c r="H17" s="195" t="str">
        <f>IF(IF($F17&lt;&gt;"",IFERROR(VLOOKUP($F17,MetricsDefinition!$E$2:$W$506,6,FALSE),""),"")&lt;&gt;"", SUBSTITUTE(IF($F17&lt;&gt;"",IFERROR(VLOOKUP($F17,MetricsDefinition!$E$2:$W$506,6,FALSE),""),""),"Size Unit",E$3),"")</f>
        <v/>
      </c>
      <c r="I17" s="195" t="str">
        <f>IF(AND($F17&lt;&gt;"",M17&lt;&gt;""),IFERROR(VLOOKUP($M17,ListMaster!$D$2:$E$9,2,FALSE),""),"")</f>
        <v/>
      </c>
      <c r="J17" s="197"/>
      <c r="K17" s="197"/>
      <c r="L17" s="197"/>
      <c r="M17" s="30" t="str">
        <f>IF($F17&lt;&gt;"",IFERROR(VLOOKUP($F17,MetricsDefinition!$E$2:$W$506,8,FALSE),""),"")</f>
        <v/>
      </c>
      <c r="N17" s="194"/>
      <c r="O17" s="196"/>
      <c r="P17" s="242"/>
      <c r="Q17" s="199"/>
      <c r="R17" s="195" t="str">
        <f>IF($F17&lt;&gt;"",IFERROR(VLOOKUP($F17,MetricsDefinition!$E$2:$W$506,12,FALSE),""),"")</f>
        <v/>
      </c>
      <c r="S17" s="200" t="str">
        <f>IF($F17&lt;&gt;"",IFERROR(VLOOKUP($F17,MetricsDefinition!$E$2:$W$506,13,FALSE),""),"")</f>
        <v/>
      </c>
      <c r="T17" s="275" t="str">
        <f>IF($F17&lt;&gt;"",IFERROR(VLOOKUP($F17,MetricsDefinition!$E$2:$W$507,4,FALSE),""),"")</f>
        <v/>
      </c>
      <c r="U17" s="246"/>
      <c r="V17" s="30" t="str">
        <f>IF($F17&lt;&gt;"",IFERROR(VLOOKUP($F17,MetricsDefinition!$E$2:$W$219,7,FALSE),""),"")</f>
        <v/>
      </c>
      <c r="W17" s="198"/>
      <c r="X17" s="194"/>
      <c r="Y17" s="200" t="str">
        <f>IF(X17="Yes","Control Chart and/or Prediction Model",IF($F17&lt;&gt;"",IFERROR(VLOOKUP($F17,MetricsDefinition!$E$2:$W$507,15,FALSE),""),""))</f>
        <v/>
      </c>
      <c r="Z17" s="201"/>
      <c r="AA17" s="194"/>
      <c r="AB17" s="202"/>
      <c r="AC17" s="3" t="str">
        <f t="shared" si="2"/>
        <v/>
      </c>
      <c r="AD17" s="172" t="str">
        <f>IF(F17&lt;&gt;"",IF(VLOOKUP(F17,MetricsDefinition!$E$1:$Z$215,20,FALSE)=E17,0,1),"")</f>
        <v/>
      </c>
      <c r="AE17" s="172" t="str">
        <f t="shared" si="0"/>
        <v/>
      </c>
    </row>
    <row r="18" spans="1:31" ht="48.65" customHeight="1">
      <c r="A18" s="30" t="str">
        <f>IF(F18&lt;&gt;"",IFERROR(VLOOKUP(F18,MetricsDefinition!$E$2:$O$506,2,FALSE),""),"")</f>
        <v/>
      </c>
      <c r="B18" s="30" t="str">
        <f t="shared" si="1"/>
        <v/>
      </c>
      <c r="C18" s="30" t="str">
        <f>IF(D18&lt;&gt;"",IFERROR(VLOOKUP(D18,ListMaster!$CE$1:$CG$50,3,FALSE),""),"")</f>
        <v/>
      </c>
      <c r="D18" s="30" t="str">
        <f>IF(F18&lt;&gt;"",IFERROR(VLOOKUP(F18,MetricsDefinition!$E$2:$O$506,3,FALSE),""),"")</f>
        <v/>
      </c>
      <c r="E18" s="193"/>
      <c r="F18" s="415"/>
      <c r="G18" s="30" t="str">
        <f>IF(F18&lt;&gt;"",IFERROR(VLOOKUP(F18,MetricsDefinition!$E$2:$W$506,5,FALSE),""),"")</f>
        <v/>
      </c>
      <c r="H18" s="195" t="str">
        <f>IF(IF($F18&lt;&gt;"",IFERROR(VLOOKUP($F18,MetricsDefinition!$E$2:$W$506,6,FALSE),""),"")&lt;&gt;"", SUBSTITUTE(IF($F18&lt;&gt;"",IFERROR(VLOOKUP($F18,MetricsDefinition!$E$2:$W$506,6,FALSE),""),""),"Size Unit",E$3),"")</f>
        <v/>
      </c>
      <c r="I18" s="195" t="str">
        <f>IF(AND($F18&lt;&gt;"",M18&lt;&gt;""),IFERROR(VLOOKUP($M18,ListMaster!$D$2:$E$9,2,FALSE),""),"")</f>
        <v/>
      </c>
      <c r="J18" s="197"/>
      <c r="K18" s="197"/>
      <c r="L18" s="197"/>
      <c r="M18" s="30" t="str">
        <f>IF($F18&lt;&gt;"",IFERROR(VLOOKUP($F18,MetricsDefinition!$E$2:$W$506,8,FALSE),""),"")</f>
        <v/>
      </c>
      <c r="N18" s="194"/>
      <c r="O18" s="196"/>
      <c r="P18" s="242"/>
      <c r="Q18" s="199"/>
      <c r="R18" s="195" t="str">
        <f>IF($F18&lt;&gt;"",IFERROR(VLOOKUP($F18,MetricsDefinition!$E$2:$W$506,12,FALSE),""),"")</f>
        <v/>
      </c>
      <c r="S18" s="200" t="str">
        <f>IF($F18&lt;&gt;"",IFERROR(VLOOKUP($F18,MetricsDefinition!$E$2:$W$506,13,FALSE),""),"")</f>
        <v/>
      </c>
      <c r="T18" s="275" t="str">
        <f>IF($F18&lt;&gt;"",IFERROR(VLOOKUP($F18,MetricsDefinition!$E$2:$W$507,4,FALSE),""),"")</f>
        <v/>
      </c>
      <c r="U18" s="246"/>
      <c r="V18" s="30" t="str">
        <f>IF($F18&lt;&gt;"",IFERROR(VLOOKUP($F18,MetricsDefinition!$E$2:$W$219,7,FALSE),""),"")</f>
        <v/>
      </c>
      <c r="W18" s="198"/>
      <c r="X18" s="194"/>
      <c r="Y18" s="200" t="str">
        <f>IF(X18="Yes","Control Chart and/or Prediction Model",IF($F18&lt;&gt;"",IFERROR(VLOOKUP($F18,MetricsDefinition!$E$2:$W$507,15,FALSE),""),""))</f>
        <v/>
      </c>
      <c r="Z18" s="201"/>
      <c r="AA18" s="194"/>
      <c r="AB18" s="202"/>
      <c r="AC18" s="3" t="str">
        <f t="shared" si="2"/>
        <v/>
      </c>
      <c r="AD18" s="172" t="str">
        <f>IF(F18&lt;&gt;"",IF(VLOOKUP(F18,MetricsDefinition!$E$1:$Z$215,20,FALSE)=E18,0,1),"")</f>
        <v/>
      </c>
      <c r="AE18" s="172" t="str">
        <f t="shared" si="0"/>
        <v/>
      </c>
    </row>
    <row r="19" spans="1:31" ht="48.65" customHeight="1">
      <c r="A19" s="30" t="str">
        <f>IF(F19&lt;&gt;"",IFERROR(VLOOKUP(F19,MetricsDefinition!$E$2:$O$506,2,FALSE),""),"")</f>
        <v/>
      </c>
      <c r="B19" s="30" t="str">
        <f t="shared" si="1"/>
        <v/>
      </c>
      <c r="C19" s="30" t="str">
        <f>IF(D19&lt;&gt;"",IFERROR(VLOOKUP(D19,ListMaster!$CE$1:$CG$50,3,FALSE),""),"")</f>
        <v/>
      </c>
      <c r="D19" s="30" t="str">
        <f>IF(F19&lt;&gt;"",IFERROR(VLOOKUP(F19,MetricsDefinition!$E$2:$O$506,3,FALSE),""),"")</f>
        <v/>
      </c>
      <c r="E19" s="193"/>
      <c r="F19" s="415"/>
      <c r="G19" s="30" t="str">
        <f>IF(F19&lt;&gt;"",IFERROR(VLOOKUP(F19,MetricsDefinition!$E$2:$W$506,5,FALSE),""),"")</f>
        <v/>
      </c>
      <c r="H19" s="195" t="str">
        <f>IF(IF($F19&lt;&gt;"",IFERROR(VLOOKUP($F19,MetricsDefinition!$E$2:$W$506,6,FALSE),""),"")&lt;&gt;"", SUBSTITUTE(IF($F19&lt;&gt;"",IFERROR(VLOOKUP($F19,MetricsDefinition!$E$2:$W$506,6,FALSE),""),""),"Size Unit",E$3),"")</f>
        <v/>
      </c>
      <c r="I19" s="195" t="str">
        <f>IF(AND($F19&lt;&gt;"",M19&lt;&gt;""),IFERROR(VLOOKUP($M19,ListMaster!$D$2:$E$9,2,FALSE),""),"")</f>
        <v/>
      </c>
      <c r="J19" s="197"/>
      <c r="K19" s="197"/>
      <c r="L19" s="197"/>
      <c r="M19" s="30" t="str">
        <f>IF($F19&lt;&gt;"",IFERROR(VLOOKUP($F19,MetricsDefinition!$E$2:$W$506,8,FALSE),""),"")</f>
        <v/>
      </c>
      <c r="N19" s="194"/>
      <c r="O19" s="196"/>
      <c r="P19" s="242"/>
      <c r="Q19" s="199"/>
      <c r="R19" s="195" t="str">
        <f>IF($F19&lt;&gt;"",IFERROR(VLOOKUP($F19,MetricsDefinition!$E$2:$W$506,12,FALSE),""),"")</f>
        <v/>
      </c>
      <c r="S19" s="200" t="str">
        <f>IF($F19&lt;&gt;"",IFERROR(VLOOKUP($F19,MetricsDefinition!$E$2:$W$506,13,FALSE),""),"")</f>
        <v/>
      </c>
      <c r="T19" s="275" t="str">
        <f>IF($F19&lt;&gt;"",IFERROR(VLOOKUP($F19,MetricsDefinition!$E$2:$W$507,4,FALSE),""),"")</f>
        <v/>
      </c>
      <c r="U19" s="246"/>
      <c r="V19" s="30" t="str">
        <f>IF($F19&lt;&gt;"",IFERROR(VLOOKUP($F19,MetricsDefinition!$E$2:$W$219,7,FALSE),""),"")</f>
        <v/>
      </c>
      <c r="W19" s="198"/>
      <c r="X19" s="194"/>
      <c r="Y19" s="200" t="str">
        <f>IF(X19="Yes","Control Chart and/or Prediction Model",IF($F19&lt;&gt;"",IFERROR(VLOOKUP($F19,MetricsDefinition!$E$2:$W$507,15,FALSE),""),""))</f>
        <v/>
      </c>
      <c r="Z19" s="201"/>
      <c r="AA19" s="194"/>
      <c r="AB19" s="202"/>
      <c r="AC19" s="3" t="str">
        <f t="shared" si="2"/>
        <v/>
      </c>
      <c r="AD19" s="172" t="str">
        <f>IF(F19&lt;&gt;"",IF(VLOOKUP(F19,MetricsDefinition!$E$1:$Z$215,20,FALSE)=E19,0,1),"")</f>
        <v/>
      </c>
      <c r="AE19" s="172" t="str">
        <f t="shared" si="0"/>
        <v/>
      </c>
    </row>
    <row r="20" spans="1:31" ht="48.65" customHeight="1">
      <c r="A20" s="30" t="str">
        <f>IF(F20&lt;&gt;"",IFERROR(VLOOKUP(F20,MetricsDefinition!$E$2:$O$506,2,FALSE),""),"")</f>
        <v/>
      </c>
      <c r="B20" s="30" t="str">
        <f t="shared" si="1"/>
        <v/>
      </c>
      <c r="C20" s="30" t="str">
        <f>IF(D20&lt;&gt;"",IFERROR(VLOOKUP(D20,ListMaster!$CE$1:$CG$50,3,FALSE),""),"")</f>
        <v/>
      </c>
      <c r="D20" s="30" t="str">
        <f>IF(F20&lt;&gt;"",IFERROR(VLOOKUP(F20,MetricsDefinition!$E$2:$O$506,3,FALSE),""),"")</f>
        <v/>
      </c>
      <c r="E20" s="193"/>
      <c r="F20" s="415"/>
      <c r="G20" s="30" t="str">
        <f>IF(F20&lt;&gt;"",IFERROR(VLOOKUP(F20,MetricsDefinition!$E$2:$W$506,5,FALSE),""),"")</f>
        <v/>
      </c>
      <c r="H20" s="195" t="str">
        <f>IF(IF($F20&lt;&gt;"",IFERROR(VLOOKUP($F20,MetricsDefinition!$E$2:$W$506,6,FALSE),""),"")&lt;&gt;"", SUBSTITUTE(IF($F20&lt;&gt;"",IFERROR(VLOOKUP($F20,MetricsDefinition!$E$2:$W$506,6,FALSE),""),""),"Size Unit",E$3),"")</f>
        <v/>
      </c>
      <c r="I20" s="195" t="str">
        <f>IF(AND($F20&lt;&gt;"",M20&lt;&gt;""),IFERROR(VLOOKUP($M20,ListMaster!$D$2:$E$9,2,FALSE),""),"")</f>
        <v/>
      </c>
      <c r="J20" s="197"/>
      <c r="K20" s="197"/>
      <c r="L20" s="197"/>
      <c r="M20" s="30" t="str">
        <f>IF($F20&lt;&gt;"",IFERROR(VLOOKUP($F20,MetricsDefinition!$E$2:$W$506,8,FALSE),""),"")</f>
        <v/>
      </c>
      <c r="N20" s="194"/>
      <c r="O20" s="196"/>
      <c r="P20" s="242"/>
      <c r="Q20" s="199"/>
      <c r="R20" s="195" t="str">
        <f>IF($F20&lt;&gt;"",IFERROR(VLOOKUP($F20,MetricsDefinition!$E$2:$W$506,12,FALSE),""),"")</f>
        <v/>
      </c>
      <c r="S20" s="200" t="str">
        <f>IF($F20&lt;&gt;"",IFERROR(VLOOKUP($F20,MetricsDefinition!$E$2:$W$506,13,FALSE),""),"")</f>
        <v/>
      </c>
      <c r="T20" s="275" t="str">
        <f>IF($F20&lt;&gt;"",IFERROR(VLOOKUP($F20,MetricsDefinition!$E$2:$W$507,4,FALSE),""),"")</f>
        <v/>
      </c>
      <c r="U20" s="246"/>
      <c r="V20" s="30" t="str">
        <f>IF($F20&lt;&gt;"",IFERROR(VLOOKUP($F20,MetricsDefinition!$E$2:$W$219,7,FALSE),""),"")</f>
        <v/>
      </c>
      <c r="W20" s="198"/>
      <c r="X20" s="194"/>
      <c r="Y20" s="200" t="str">
        <f>IF(X20="Yes","Control Chart and/or Prediction Model",IF($F20&lt;&gt;"",IFERROR(VLOOKUP($F20,MetricsDefinition!$E$2:$W$507,15,FALSE),""),""))</f>
        <v/>
      </c>
      <c r="Z20" s="201"/>
      <c r="AA20" s="194"/>
      <c r="AB20" s="202"/>
      <c r="AC20" s="3" t="str">
        <f t="shared" si="2"/>
        <v/>
      </c>
      <c r="AD20" s="172" t="str">
        <f>IF(F20&lt;&gt;"",IF(VLOOKUP(F20,MetricsDefinition!$E$1:$Z$215,20,FALSE)=E20,0,1),"")</f>
        <v/>
      </c>
      <c r="AE20" s="172" t="str">
        <f t="shared" si="0"/>
        <v/>
      </c>
    </row>
    <row r="21" spans="1:31" ht="48.65" customHeight="1">
      <c r="A21" s="30" t="str">
        <f>IF(F21&lt;&gt;"",IFERROR(VLOOKUP(F21,MetricsDefinition!$E$2:$O$506,2,FALSE),""),"")</f>
        <v/>
      </c>
      <c r="B21" s="30" t="str">
        <f t="shared" si="1"/>
        <v/>
      </c>
      <c r="C21" s="30" t="str">
        <f>IF(D21&lt;&gt;"",IFERROR(VLOOKUP(D21,ListMaster!$CE$1:$CG$50,3,FALSE),""),"")</f>
        <v/>
      </c>
      <c r="D21" s="30" t="str">
        <f>IF(F21&lt;&gt;"",IFERROR(VLOOKUP(F21,MetricsDefinition!$E$2:$O$506,3,FALSE),""),"")</f>
        <v/>
      </c>
      <c r="E21" s="193"/>
      <c r="F21" s="415"/>
      <c r="G21" s="30" t="str">
        <f>IF(F21&lt;&gt;"",IFERROR(VLOOKUP(F21,MetricsDefinition!$E$2:$W$506,5,FALSE),""),"")</f>
        <v/>
      </c>
      <c r="H21" s="195" t="str">
        <f>IF(IF($F21&lt;&gt;"",IFERROR(VLOOKUP($F21,MetricsDefinition!$E$2:$W$506,6,FALSE),""),"")&lt;&gt;"", SUBSTITUTE(IF($F21&lt;&gt;"",IFERROR(VLOOKUP($F21,MetricsDefinition!$E$2:$W$506,6,FALSE),""),""),"Size Unit",E$3),"")</f>
        <v/>
      </c>
      <c r="I21" s="195" t="str">
        <f>IF(AND($F21&lt;&gt;"",M21&lt;&gt;""),IFERROR(VLOOKUP($M21,ListMaster!$D$2:$E$9,2,FALSE),""),"")</f>
        <v/>
      </c>
      <c r="J21" s="197"/>
      <c r="K21" s="197"/>
      <c r="L21" s="197"/>
      <c r="M21" s="30" t="str">
        <f>IF($F21&lt;&gt;"",IFERROR(VLOOKUP($F21,MetricsDefinition!$E$2:$W$506,8,FALSE),""),"")</f>
        <v/>
      </c>
      <c r="N21" s="194"/>
      <c r="O21" s="196"/>
      <c r="P21" s="242"/>
      <c r="Q21" s="199"/>
      <c r="R21" s="195" t="str">
        <f>IF($F21&lt;&gt;"",IFERROR(VLOOKUP($F21,MetricsDefinition!$E$2:$W$506,12,FALSE),""),"")</f>
        <v/>
      </c>
      <c r="S21" s="200" t="str">
        <f>IF($F21&lt;&gt;"",IFERROR(VLOOKUP($F21,MetricsDefinition!$E$2:$W$506,13,FALSE),""),"")</f>
        <v/>
      </c>
      <c r="T21" s="275" t="str">
        <f>IF($F21&lt;&gt;"",IFERROR(VLOOKUP($F21,MetricsDefinition!$E$2:$W$507,4,FALSE),""),"")</f>
        <v/>
      </c>
      <c r="U21" s="246"/>
      <c r="V21" s="30" t="str">
        <f>IF($F21&lt;&gt;"",IFERROR(VLOOKUP($F21,MetricsDefinition!$E$2:$W$219,7,FALSE),""),"")</f>
        <v/>
      </c>
      <c r="W21" s="198"/>
      <c r="X21" s="194"/>
      <c r="Y21" s="200" t="str">
        <f>IF(X21="Yes","Control Chart and/or Prediction Model",IF($F21&lt;&gt;"",IFERROR(VLOOKUP($F21,MetricsDefinition!$E$2:$W$507,15,FALSE),""),""))</f>
        <v/>
      </c>
      <c r="Z21" s="201"/>
      <c r="AA21" s="194"/>
      <c r="AB21" s="202"/>
      <c r="AC21" s="3" t="str">
        <f t="shared" si="2"/>
        <v/>
      </c>
      <c r="AD21" s="172" t="str">
        <f>IF(F21&lt;&gt;"",IF(VLOOKUP(F21,MetricsDefinition!$E$1:$Z$215,20,FALSE)=E21,0,1),"")</f>
        <v/>
      </c>
      <c r="AE21" s="172" t="str">
        <f t="shared" si="0"/>
        <v/>
      </c>
    </row>
    <row r="22" spans="1:31" ht="48.65" customHeight="1">
      <c r="A22" s="30" t="str">
        <f>IF(F22&lt;&gt;"",IFERROR(VLOOKUP(F22,MetricsDefinition!$E$2:$O$506,2,FALSE),""),"")</f>
        <v/>
      </c>
      <c r="B22" s="30" t="str">
        <f t="shared" si="1"/>
        <v/>
      </c>
      <c r="C22" s="30" t="str">
        <f>IF(D22&lt;&gt;"",IFERROR(VLOOKUP(D22,ListMaster!$CE$1:$CG$50,3,FALSE),""),"")</f>
        <v/>
      </c>
      <c r="D22" s="30" t="str">
        <f>IF(F22&lt;&gt;"",IFERROR(VLOOKUP(F22,MetricsDefinition!$E$2:$O$506,3,FALSE),""),"")</f>
        <v/>
      </c>
      <c r="E22" s="193"/>
      <c r="F22" s="415"/>
      <c r="G22" s="30" t="str">
        <f>IF(F22&lt;&gt;"",IFERROR(VLOOKUP(F22,MetricsDefinition!$E$2:$W$506,5,FALSE),""),"")</f>
        <v/>
      </c>
      <c r="H22" s="195" t="str">
        <f>IF(IF($F22&lt;&gt;"",IFERROR(VLOOKUP($F22,MetricsDefinition!$E$2:$W$506,6,FALSE),""),"")&lt;&gt;"", SUBSTITUTE(IF($F22&lt;&gt;"",IFERROR(VLOOKUP($F22,MetricsDefinition!$E$2:$W$506,6,FALSE),""),""),"Size Unit",E$3),"")</f>
        <v/>
      </c>
      <c r="I22" s="195" t="str">
        <f>IF(AND($F22&lt;&gt;"",M22&lt;&gt;""),IFERROR(VLOOKUP($M22,ListMaster!$D$2:$E$9,2,FALSE),""),"")</f>
        <v/>
      </c>
      <c r="J22" s="197"/>
      <c r="K22" s="197"/>
      <c r="L22" s="197"/>
      <c r="M22" s="30" t="str">
        <f>IF($F22&lt;&gt;"",IFERROR(VLOOKUP($F22,MetricsDefinition!$E$2:$W$506,8,FALSE),""),"")</f>
        <v/>
      </c>
      <c r="N22" s="194"/>
      <c r="O22" s="196"/>
      <c r="P22" s="242"/>
      <c r="Q22" s="199"/>
      <c r="R22" s="195" t="str">
        <f>IF($F22&lt;&gt;"",IFERROR(VLOOKUP($F22,MetricsDefinition!$E$2:$W$506,12,FALSE),""),"")</f>
        <v/>
      </c>
      <c r="S22" s="200" t="str">
        <f>IF($F22&lt;&gt;"",IFERROR(VLOOKUP($F22,MetricsDefinition!$E$2:$W$506,13,FALSE),""),"")</f>
        <v/>
      </c>
      <c r="T22" s="275" t="str">
        <f>IF($F22&lt;&gt;"",IFERROR(VLOOKUP($F22,MetricsDefinition!$E$2:$W$507,4,FALSE),""),"")</f>
        <v/>
      </c>
      <c r="U22" s="246"/>
      <c r="V22" s="30" t="str">
        <f>IF($F22&lt;&gt;"",IFERROR(VLOOKUP($F22,MetricsDefinition!$E$2:$W$219,7,FALSE),""),"")</f>
        <v/>
      </c>
      <c r="W22" s="198"/>
      <c r="X22" s="194"/>
      <c r="Y22" s="200" t="str">
        <f>IF(X22="Yes","Control Chart and/or Prediction Model",IF($F22&lt;&gt;"",IFERROR(VLOOKUP($F22,MetricsDefinition!$E$2:$W$507,15,FALSE),""),""))</f>
        <v/>
      </c>
      <c r="Z22" s="201"/>
      <c r="AA22" s="194"/>
      <c r="AB22" s="202"/>
      <c r="AC22" s="3" t="str">
        <f t="shared" si="2"/>
        <v/>
      </c>
      <c r="AD22" s="172" t="str">
        <f>IF(F22&lt;&gt;"",IF(VLOOKUP(F22,MetricsDefinition!$E$1:$Z$215,20,FALSE)=E22,0,1),"")</f>
        <v/>
      </c>
      <c r="AE22" s="172" t="str">
        <f t="shared" si="0"/>
        <v/>
      </c>
    </row>
    <row r="23" spans="1:31" ht="48.65" customHeight="1">
      <c r="A23" s="30" t="str">
        <f>IF(F23&lt;&gt;"",IFERROR(VLOOKUP(F23,MetricsDefinition!$E$2:$O$506,2,FALSE),""),"")</f>
        <v/>
      </c>
      <c r="B23" s="30" t="str">
        <f t="shared" si="1"/>
        <v/>
      </c>
      <c r="C23" s="30" t="str">
        <f>IF(D23&lt;&gt;"",IFERROR(VLOOKUP(D23,ListMaster!$CE$1:$CG$50,3,FALSE),""),"")</f>
        <v/>
      </c>
      <c r="D23" s="30" t="str">
        <f>IF(F23&lt;&gt;"",IFERROR(VLOOKUP(F23,MetricsDefinition!$E$2:$O$506,3,FALSE),""),"")</f>
        <v/>
      </c>
      <c r="E23" s="193"/>
      <c r="F23" s="415"/>
      <c r="G23" s="30" t="str">
        <f>IF(F23&lt;&gt;"",IFERROR(VLOOKUP(F23,MetricsDefinition!$E$2:$W$506,5,FALSE),""),"")</f>
        <v/>
      </c>
      <c r="H23" s="195" t="str">
        <f>IF(IF($F23&lt;&gt;"",IFERROR(VLOOKUP($F23,MetricsDefinition!$E$2:$W$506,6,FALSE),""),"")&lt;&gt;"", SUBSTITUTE(IF($F23&lt;&gt;"",IFERROR(VLOOKUP($F23,MetricsDefinition!$E$2:$W$506,6,FALSE),""),""),"Size Unit",E$3),"")</f>
        <v/>
      </c>
      <c r="I23" s="195" t="str">
        <f>IF(AND($F23&lt;&gt;"",M23&lt;&gt;""),IFERROR(VLOOKUP($M23,ListMaster!$D$2:$E$9,2,FALSE),""),"")</f>
        <v/>
      </c>
      <c r="J23" s="197"/>
      <c r="K23" s="197"/>
      <c r="L23" s="197"/>
      <c r="M23" s="30" t="str">
        <f>IF($F23&lt;&gt;"",IFERROR(VLOOKUP($F23,MetricsDefinition!$E$2:$W$506,8,FALSE),""),"")</f>
        <v/>
      </c>
      <c r="N23" s="194"/>
      <c r="O23" s="196"/>
      <c r="P23" s="242"/>
      <c r="Q23" s="199"/>
      <c r="R23" s="195" t="str">
        <f>IF($F23&lt;&gt;"",IFERROR(VLOOKUP($F23,MetricsDefinition!$E$2:$W$506,12,FALSE),""),"")</f>
        <v/>
      </c>
      <c r="S23" s="200" t="str">
        <f>IF($F23&lt;&gt;"",IFERROR(VLOOKUP($F23,MetricsDefinition!$E$2:$W$506,13,FALSE),""),"")</f>
        <v/>
      </c>
      <c r="T23" s="275" t="str">
        <f>IF($F23&lt;&gt;"",IFERROR(VLOOKUP($F23,MetricsDefinition!$E$2:$W$507,4,FALSE),""),"")</f>
        <v/>
      </c>
      <c r="U23" s="246"/>
      <c r="V23" s="30" t="str">
        <f>IF($F23&lt;&gt;"",IFERROR(VLOOKUP($F23,MetricsDefinition!$E$2:$W$219,7,FALSE),""),"")</f>
        <v/>
      </c>
      <c r="W23" s="198"/>
      <c r="X23" s="194"/>
      <c r="Y23" s="200" t="str">
        <f>IF(X23="Yes","Control Chart and/or Prediction Model",IF($F23&lt;&gt;"",IFERROR(VLOOKUP($F23,MetricsDefinition!$E$2:$W$507,15,FALSE),""),""))</f>
        <v/>
      </c>
      <c r="Z23" s="201"/>
      <c r="AA23" s="194"/>
      <c r="AB23" s="202"/>
      <c r="AC23" s="3" t="str">
        <f t="shared" si="2"/>
        <v/>
      </c>
      <c r="AD23" s="172" t="str">
        <f>IF(F23&lt;&gt;"",IF(VLOOKUP(F23,MetricsDefinition!$E$1:$Z$215,20,FALSE)=E23,0,1),"")</f>
        <v/>
      </c>
      <c r="AE23" s="172" t="str">
        <f t="shared" si="0"/>
        <v/>
      </c>
    </row>
    <row r="24" spans="1:31" ht="48.65" customHeight="1">
      <c r="A24" s="30" t="str">
        <f>IF(F24&lt;&gt;"",IFERROR(VLOOKUP(F24,MetricsDefinition!$E$2:$O$506,2,FALSE),""),"")</f>
        <v/>
      </c>
      <c r="B24" s="30" t="str">
        <f t="shared" si="1"/>
        <v/>
      </c>
      <c r="C24" s="30" t="str">
        <f>IF(D24&lt;&gt;"",IFERROR(VLOOKUP(D24,ListMaster!$CE$1:$CG$50,3,FALSE),""),"")</f>
        <v/>
      </c>
      <c r="D24" s="30" t="str">
        <f>IF(F24&lt;&gt;"",IFERROR(VLOOKUP(F24,MetricsDefinition!$E$2:$O$506,3,FALSE),""),"")</f>
        <v/>
      </c>
      <c r="E24" s="193"/>
      <c r="F24" s="415"/>
      <c r="G24" s="30" t="str">
        <f>IF(F24&lt;&gt;"",IFERROR(VLOOKUP(F24,MetricsDefinition!$E$2:$W$506,5,FALSE),""),"")</f>
        <v/>
      </c>
      <c r="H24" s="195" t="str">
        <f>IF(IF($F24&lt;&gt;"",IFERROR(VLOOKUP($F24,MetricsDefinition!$E$2:$W$506,6,FALSE),""),"")&lt;&gt;"", SUBSTITUTE(IF($F24&lt;&gt;"",IFERROR(VLOOKUP($F24,MetricsDefinition!$E$2:$W$506,6,FALSE),""),""),"Size Unit",E$3),"")</f>
        <v/>
      </c>
      <c r="I24" s="195" t="str">
        <f>IF(AND($F24&lt;&gt;"",M24&lt;&gt;""),IFERROR(VLOOKUP($M24,ListMaster!$D$2:$E$9,2,FALSE),""),"")</f>
        <v/>
      </c>
      <c r="J24" s="197"/>
      <c r="K24" s="197"/>
      <c r="L24" s="197"/>
      <c r="M24" s="30" t="str">
        <f>IF($F24&lt;&gt;"",IFERROR(VLOOKUP($F24,MetricsDefinition!$E$2:$W$506,8,FALSE),""),"")</f>
        <v/>
      </c>
      <c r="N24" s="194"/>
      <c r="O24" s="196"/>
      <c r="P24" s="242"/>
      <c r="Q24" s="199"/>
      <c r="R24" s="195" t="str">
        <f>IF($F24&lt;&gt;"",IFERROR(VLOOKUP($F24,MetricsDefinition!$E$2:$W$506,12,FALSE),""),"")</f>
        <v/>
      </c>
      <c r="S24" s="200" t="str">
        <f>IF($F24&lt;&gt;"",IFERROR(VLOOKUP($F24,MetricsDefinition!$E$2:$W$506,13,FALSE),""),"")</f>
        <v/>
      </c>
      <c r="T24" s="275" t="str">
        <f>IF($F24&lt;&gt;"",IFERROR(VLOOKUP($F24,MetricsDefinition!$E$2:$W$507,4,FALSE),""),"")</f>
        <v/>
      </c>
      <c r="U24" s="246"/>
      <c r="V24" s="30" t="str">
        <f>IF($F24&lt;&gt;"",IFERROR(VLOOKUP($F24,MetricsDefinition!$E$2:$W$219,7,FALSE),""),"")</f>
        <v/>
      </c>
      <c r="W24" s="198"/>
      <c r="X24" s="194"/>
      <c r="Y24" s="200" t="str">
        <f>IF(X24="Yes","Control Chart and/or Prediction Model",IF($F24&lt;&gt;"",IFERROR(VLOOKUP($F24,MetricsDefinition!$E$2:$W$507,15,FALSE),""),""))</f>
        <v/>
      </c>
      <c r="Z24" s="201"/>
      <c r="AA24" s="194"/>
      <c r="AB24" s="202"/>
      <c r="AC24" s="3" t="str">
        <f t="shared" si="2"/>
        <v/>
      </c>
      <c r="AD24" s="172" t="str">
        <f>IF(F24&lt;&gt;"",IF(VLOOKUP(F24,MetricsDefinition!$E$1:$Z$215,20,FALSE)=E24,0,1),"")</f>
        <v/>
      </c>
      <c r="AE24" s="172" t="str">
        <f t="shared" si="0"/>
        <v/>
      </c>
    </row>
    <row r="25" spans="1:31" ht="48.65" customHeight="1">
      <c r="A25" s="30" t="str">
        <f>IF(F25&lt;&gt;"",IFERROR(VLOOKUP(F25,MetricsDefinition!$E$2:$O$506,2,FALSE),""),"")</f>
        <v/>
      </c>
      <c r="B25" s="30" t="str">
        <f t="shared" si="1"/>
        <v/>
      </c>
      <c r="C25" s="30" t="str">
        <f>IF(D25&lt;&gt;"",IFERROR(VLOOKUP(D25,ListMaster!$CE$1:$CG$50,3,FALSE),""),"")</f>
        <v/>
      </c>
      <c r="D25" s="30" t="str">
        <f>IF(F25&lt;&gt;"",IFERROR(VLOOKUP(F25,MetricsDefinition!$E$2:$O$506,3,FALSE),""),"")</f>
        <v/>
      </c>
      <c r="E25" s="193"/>
      <c r="F25" s="415"/>
      <c r="G25" s="30" t="str">
        <f>IF(F25&lt;&gt;"",IFERROR(VLOOKUP(F25,MetricsDefinition!$E$2:$W$506,5,FALSE),""),"")</f>
        <v/>
      </c>
      <c r="H25" s="195" t="str">
        <f>IF(IF($F25&lt;&gt;"",IFERROR(VLOOKUP($F25,MetricsDefinition!$E$2:$W$506,6,FALSE),""),"")&lt;&gt;"", SUBSTITUTE(IF($F25&lt;&gt;"",IFERROR(VLOOKUP($F25,MetricsDefinition!$E$2:$W$506,6,FALSE),""),""),"Size Unit",E$3),"")</f>
        <v/>
      </c>
      <c r="I25" s="195" t="str">
        <f>IF(AND($F25&lt;&gt;"",M25&lt;&gt;""),IFERROR(VLOOKUP($M25,ListMaster!$D$2:$E$9,2,FALSE),""),"")</f>
        <v/>
      </c>
      <c r="J25" s="197"/>
      <c r="K25" s="197"/>
      <c r="L25" s="197"/>
      <c r="M25" s="30" t="str">
        <f>IF($F25&lt;&gt;"",IFERROR(VLOOKUP($F25,MetricsDefinition!$E$2:$W$506,8,FALSE),""),"")</f>
        <v/>
      </c>
      <c r="N25" s="194"/>
      <c r="O25" s="196"/>
      <c r="P25" s="242"/>
      <c r="Q25" s="199"/>
      <c r="R25" s="195" t="str">
        <f>IF($F25&lt;&gt;"",IFERROR(VLOOKUP($F25,MetricsDefinition!$E$2:$W$506,12,FALSE),""),"")</f>
        <v/>
      </c>
      <c r="S25" s="200" t="str">
        <f>IF($F25&lt;&gt;"",IFERROR(VLOOKUP($F25,MetricsDefinition!$E$2:$W$506,13,FALSE),""),"")</f>
        <v/>
      </c>
      <c r="T25" s="275" t="str">
        <f>IF($F25&lt;&gt;"",IFERROR(VLOOKUP($F25,MetricsDefinition!$E$2:$W$507,4,FALSE),""),"")</f>
        <v/>
      </c>
      <c r="U25" s="246"/>
      <c r="V25" s="30" t="str">
        <f>IF($F25&lt;&gt;"",IFERROR(VLOOKUP($F25,MetricsDefinition!$E$2:$W$219,7,FALSE),""),"")</f>
        <v/>
      </c>
      <c r="W25" s="198"/>
      <c r="X25" s="194"/>
      <c r="Y25" s="200" t="str">
        <f>IF(X25="Yes","Control Chart and/or Prediction Model",IF($F25&lt;&gt;"",IFERROR(VLOOKUP($F25,MetricsDefinition!$E$2:$W$507,15,FALSE),""),""))</f>
        <v/>
      </c>
      <c r="Z25" s="201"/>
      <c r="AA25" s="194"/>
      <c r="AB25" s="202"/>
      <c r="AC25" s="3" t="str">
        <f t="shared" si="2"/>
        <v/>
      </c>
      <c r="AD25" s="172" t="str">
        <f>IF(F25&lt;&gt;"",IF(VLOOKUP(F25,MetricsDefinition!$E$1:$Z$215,20,FALSE)=E25,0,1),"")</f>
        <v/>
      </c>
      <c r="AE25" s="172" t="str">
        <f t="shared" si="0"/>
        <v/>
      </c>
    </row>
    <row r="26" spans="1:31" ht="48.65" customHeight="1">
      <c r="A26" s="30" t="str">
        <f>IF(F26&lt;&gt;"",IFERROR(VLOOKUP(F26,MetricsDefinition!$E$2:$O$506,2,FALSE),""),"")</f>
        <v/>
      </c>
      <c r="B26" s="30" t="str">
        <f t="shared" si="1"/>
        <v/>
      </c>
      <c r="C26" s="30" t="str">
        <f>IF(D26&lt;&gt;"",IFERROR(VLOOKUP(D26,ListMaster!$CE$1:$CG$50,3,FALSE),""),"")</f>
        <v/>
      </c>
      <c r="D26" s="30" t="str">
        <f>IF(F26&lt;&gt;"",IFERROR(VLOOKUP(F26,MetricsDefinition!$E$2:$O$506,3,FALSE),""),"")</f>
        <v/>
      </c>
      <c r="E26" s="193"/>
      <c r="F26" s="415"/>
      <c r="G26" s="30" t="str">
        <f>IF(F26&lt;&gt;"",IFERROR(VLOOKUP(F26,MetricsDefinition!$E$2:$W$506,5,FALSE),""),"")</f>
        <v/>
      </c>
      <c r="H26" s="195" t="str">
        <f>IF(IF($F26&lt;&gt;"",IFERROR(VLOOKUP($F26,MetricsDefinition!$E$2:$W$506,6,FALSE),""),"")&lt;&gt;"", SUBSTITUTE(IF($F26&lt;&gt;"",IFERROR(VLOOKUP($F26,MetricsDefinition!$E$2:$W$506,6,FALSE),""),""),"Size Unit",E$3),"")</f>
        <v/>
      </c>
      <c r="I26" s="195" t="str">
        <f>IF(AND($F26&lt;&gt;"",M26&lt;&gt;""),IFERROR(VLOOKUP($M26,ListMaster!$D$2:$E$9,2,FALSE),""),"")</f>
        <v/>
      </c>
      <c r="J26" s="197"/>
      <c r="K26" s="197"/>
      <c r="L26" s="197"/>
      <c r="M26" s="30" t="str">
        <f>IF($F26&lt;&gt;"",IFERROR(VLOOKUP($F26,MetricsDefinition!$E$2:$W$506,8,FALSE),""),"")</f>
        <v/>
      </c>
      <c r="N26" s="194"/>
      <c r="O26" s="196"/>
      <c r="P26" s="242"/>
      <c r="Q26" s="199"/>
      <c r="R26" s="195" t="str">
        <f>IF($F26&lt;&gt;"",IFERROR(VLOOKUP($F26,MetricsDefinition!$E$2:$W$506,12,FALSE),""),"")</f>
        <v/>
      </c>
      <c r="S26" s="200" t="str">
        <f>IF($F26&lt;&gt;"",IFERROR(VLOOKUP($F26,MetricsDefinition!$E$2:$W$506,13,FALSE),""),"")</f>
        <v/>
      </c>
      <c r="T26" s="275" t="str">
        <f>IF($F26&lt;&gt;"",IFERROR(VLOOKUP($F26,MetricsDefinition!$E$2:$W$507,4,FALSE),""),"")</f>
        <v/>
      </c>
      <c r="U26" s="246"/>
      <c r="V26" s="30" t="str">
        <f>IF($F26&lt;&gt;"",IFERROR(VLOOKUP($F26,MetricsDefinition!$E$2:$W$219,7,FALSE),""),"")</f>
        <v/>
      </c>
      <c r="W26" s="198"/>
      <c r="X26" s="194"/>
      <c r="Y26" s="200" t="str">
        <f>IF(X26="Yes","Control Chart and/or Prediction Model",IF($F26&lt;&gt;"",IFERROR(VLOOKUP($F26,MetricsDefinition!$E$2:$W$507,15,FALSE),""),""))</f>
        <v/>
      </c>
      <c r="Z26" s="201"/>
      <c r="AA26" s="194"/>
      <c r="AB26" s="202"/>
      <c r="AC26" s="3" t="str">
        <f t="shared" si="2"/>
        <v/>
      </c>
      <c r="AD26" s="172" t="str">
        <f>IF(F26&lt;&gt;"",IF(VLOOKUP(F26,MetricsDefinition!$E$1:$Z$215,20,FALSE)=E26,0,1),"")</f>
        <v/>
      </c>
      <c r="AE26" s="172" t="str">
        <f t="shared" si="0"/>
        <v/>
      </c>
    </row>
    <row r="27" spans="1:31" ht="48.65" customHeight="1">
      <c r="A27" s="30" t="str">
        <f>IF(F27&lt;&gt;"",IFERROR(VLOOKUP(F27,MetricsDefinition!$E$2:$O$506,2,FALSE),""),"")</f>
        <v/>
      </c>
      <c r="B27" s="30" t="str">
        <f t="shared" si="1"/>
        <v/>
      </c>
      <c r="C27" s="30" t="str">
        <f>IF(D27&lt;&gt;"",IFERROR(VLOOKUP(D27,ListMaster!$CE$1:$CG$50,3,FALSE),""),"")</f>
        <v/>
      </c>
      <c r="D27" s="30" t="str">
        <f>IF(F27&lt;&gt;"",IFERROR(VLOOKUP(F27,MetricsDefinition!$E$2:$O$506,3,FALSE),""),"")</f>
        <v/>
      </c>
      <c r="E27" s="193"/>
      <c r="F27" s="415"/>
      <c r="G27" s="30" t="str">
        <f>IF(F27&lt;&gt;"",IFERROR(VLOOKUP(F27,MetricsDefinition!$E$2:$W$506,5,FALSE),""),"")</f>
        <v/>
      </c>
      <c r="H27" s="195" t="str">
        <f>IF(IF($F27&lt;&gt;"",IFERROR(VLOOKUP($F27,MetricsDefinition!$E$2:$W$506,6,FALSE),""),"")&lt;&gt;"", SUBSTITUTE(IF($F27&lt;&gt;"",IFERROR(VLOOKUP($F27,MetricsDefinition!$E$2:$W$506,6,FALSE),""),""),"Size Unit",E$3),"")</f>
        <v/>
      </c>
      <c r="I27" s="195" t="str">
        <f>IF(AND($F27&lt;&gt;"",M27&lt;&gt;""),IFERROR(VLOOKUP($M27,ListMaster!$D$2:$E$9,2,FALSE),""),"")</f>
        <v/>
      </c>
      <c r="J27" s="197"/>
      <c r="K27" s="197"/>
      <c r="L27" s="197"/>
      <c r="M27" s="30" t="str">
        <f>IF($F27&lt;&gt;"",IFERROR(VLOOKUP($F27,MetricsDefinition!$E$2:$W$506,8,FALSE),""),"")</f>
        <v/>
      </c>
      <c r="N27" s="194"/>
      <c r="O27" s="196"/>
      <c r="P27" s="242"/>
      <c r="Q27" s="199"/>
      <c r="R27" s="195" t="str">
        <f>IF($F27&lt;&gt;"",IFERROR(VLOOKUP($F27,MetricsDefinition!$E$2:$W$506,12,FALSE),""),"")</f>
        <v/>
      </c>
      <c r="S27" s="200" t="str">
        <f>IF($F27&lt;&gt;"",IFERROR(VLOOKUP($F27,MetricsDefinition!$E$2:$W$506,13,FALSE),""),"")</f>
        <v/>
      </c>
      <c r="T27" s="275" t="str">
        <f>IF($F27&lt;&gt;"",IFERROR(VLOOKUP($F27,MetricsDefinition!$E$2:$W$507,4,FALSE),""),"")</f>
        <v/>
      </c>
      <c r="U27" s="246"/>
      <c r="V27" s="30" t="str">
        <f>IF($F27&lt;&gt;"",IFERROR(VLOOKUP($F27,MetricsDefinition!$E$2:$W$219,7,FALSE),""),"")</f>
        <v/>
      </c>
      <c r="W27" s="198"/>
      <c r="X27" s="194"/>
      <c r="Y27" s="200" t="str">
        <f>IF(X27="Yes","Control Chart and/or Prediction Model",IF($F27&lt;&gt;"",IFERROR(VLOOKUP($F27,MetricsDefinition!$E$2:$W$507,15,FALSE),""),""))</f>
        <v/>
      </c>
      <c r="Z27" s="201"/>
      <c r="AA27" s="194"/>
      <c r="AB27" s="202"/>
      <c r="AC27" s="3" t="str">
        <f t="shared" si="2"/>
        <v/>
      </c>
      <c r="AD27" s="172" t="str">
        <f>IF(F27&lt;&gt;"",IF(VLOOKUP(F27,MetricsDefinition!$E$1:$Z$215,20,FALSE)=E27,0,1),"")</f>
        <v/>
      </c>
      <c r="AE27" s="172" t="str">
        <f t="shared" si="0"/>
        <v/>
      </c>
    </row>
    <row r="28" spans="1:31" ht="48.65" customHeight="1">
      <c r="A28" s="30" t="str">
        <f>IF(F28&lt;&gt;"",IFERROR(VLOOKUP(F28,MetricsDefinition!$E$2:$O$506,2,FALSE),""),"")</f>
        <v/>
      </c>
      <c r="B28" s="30" t="str">
        <f t="shared" si="1"/>
        <v/>
      </c>
      <c r="C28" s="30" t="str">
        <f>IF(D28&lt;&gt;"",IFERROR(VLOOKUP(D28,ListMaster!$CE$1:$CG$50,3,FALSE),""),"")</f>
        <v/>
      </c>
      <c r="D28" s="30" t="str">
        <f>IF(F28&lt;&gt;"",IFERROR(VLOOKUP(F28,MetricsDefinition!$E$2:$O$506,3,FALSE),""),"")</f>
        <v/>
      </c>
      <c r="E28" s="193"/>
      <c r="F28" s="415"/>
      <c r="G28" s="30" t="str">
        <f>IF(F28&lt;&gt;"",IFERROR(VLOOKUP(F28,MetricsDefinition!$E$2:$W$506,5,FALSE),""),"")</f>
        <v/>
      </c>
      <c r="H28" s="195" t="str">
        <f>IF(IF($F28&lt;&gt;"",IFERROR(VLOOKUP($F28,MetricsDefinition!$E$2:$W$506,6,FALSE),""),"")&lt;&gt;"", SUBSTITUTE(IF($F28&lt;&gt;"",IFERROR(VLOOKUP($F28,MetricsDefinition!$E$2:$W$506,6,FALSE),""),""),"Size Unit",E$3),"")</f>
        <v/>
      </c>
      <c r="I28" s="195" t="str">
        <f>IF(AND($F28&lt;&gt;"",M28&lt;&gt;""),IFERROR(VLOOKUP($M28,ListMaster!$D$2:$E$9,2,FALSE),""),"")</f>
        <v/>
      </c>
      <c r="J28" s="197"/>
      <c r="K28" s="197"/>
      <c r="L28" s="197"/>
      <c r="M28" s="30" t="str">
        <f>IF($F28&lt;&gt;"",IFERROR(VLOOKUP($F28,MetricsDefinition!$E$2:$W$506,8,FALSE),""),"")</f>
        <v/>
      </c>
      <c r="N28" s="194"/>
      <c r="O28" s="196"/>
      <c r="P28" s="242"/>
      <c r="Q28" s="199"/>
      <c r="R28" s="195" t="str">
        <f>IF($F28&lt;&gt;"",IFERROR(VLOOKUP($F28,MetricsDefinition!$E$2:$W$506,12,FALSE),""),"")</f>
        <v/>
      </c>
      <c r="S28" s="200" t="str">
        <f>IF($F28&lt;&gt;"",IFERROR(VLOOKUP($F28,MetricsDefinition!$E$2:$W$506,13,FALSE),""),"")</f>
        <v/>
      </c>
      <c r="T28" s="275" t="str">
        <f>IF($F28&lt;&gt;"",IFERROR(VLOOKUP($F28,MetricsDefinition!$E$2:$W$507,4,FALSE),""),"")</f>
        <v/>
      </c>
      <c r="U28" s="246"/>
      <c r="V28" s="30" t="str">
        <f>IF($F28&lt;&gt;"",IFERROR(VLOOKUP($F28,MetricsDefinition!$E$2:$W$219,7,FALSE),""),"")</f>
        <v/>
      </c>
      <c r="W28" s="198"/>
      <c r="X28" s="194"/>
      <c r="Y28" s="200" t="str">
        <f>IF(X28="Yes","Control Chart and/or Prediction Model",IF($F28&lt;&gt;"",IFERROR(VLOOKUP($F28,MetricsDefinition!$E$2:$W$507,15,FALSE),""),""))</f>
        <v/>
      </c>
      <c r="Z28" s="201"/>
      <c r="AA28" s="194"/>
      <c r="AB28" s="202"/>
      <c r="AC28" s="3" t="str">
        <f t="shared" si="2"/>
        <v/>
      </c>
      <c r="AD28" s="172" t="str">
        <f>IF(F28&lt;&gt;"",IF(VLOOKUP(F28,MetricsDefinition!$E$1:$Z$215,20,FALSE)=E28,0,1),"")</f>
        <v/>
      </c>
      <c r="AE28" s="172" t="str">
        <f t="shared" si="0"/>
        <v/>
      </c>
    </row>
    <row r="29" spans="1:31" ht="48.65" customHeight="1">
      <c r="A29" s="30" t="str">
        <f>IF(F29&lt;&gt;"",IFERROR(VLOOKUP(F29,MetricsDefinition!$E$2:$O$506,2,FALSE),""),"")</f>
        <v/>
      </c>
      <c r="B29" s="30" t="str">
        <f t="shared" si="1"/>
        <v/>
      </c>
      <c r="C29" s="30" t="str">
        <f>IF(D29&lt;&gt;"",IFERROR(VLOOKUP(D29,ListMaster!$CE$1:$CG$50,3,FALSE),""),"")</f>
        <v/>
      </c>
      <c r="D29" s="30" t="str">
        <f>IF(F29&lt;&gt;"",IFERROR(VLOOKUP(F29,MetricsDefinition!$E$2:$O$506,3,FALSE),""),"")</f>
        <v/>
      </c>
      <c r="E29" s="193"/>
      <c r="F29" s="415"/>
      <c r="G29" s="30" t="str">
        <f>IF(F29&lt;&gt;"",IFERROR(VLOOKUP(F29,MetricsDefinition!$E$2:$W$506,5,FALSE),""),"")</f>
        <v/>
      </c>
      <c r="H29" s="195" t="str">
        <f>IF(IF($F29&lt;&gt;"",IFERROR(VLOOKUP($F29,MetricsDefinition!$E$2:$W$506,6,FALSE),""),"")&lt;&gt;"", SUBSTITUTE(IF($F29&lt;&gt;"",IFERROR(VLOOKUP($F29,MetricsDefinition!$E$2:$W$506,6,FALSE),""),""),"Size Unit",E$3),"")</f>
        <v/>
      </c>
      <c r="I29" s="195" t="str">
        <f>IF(AND($F29&lt;&gt;"",M29&lt;&gt;""),IFERROR(VLOOKUP($M29,ListMaster!$D$2:$E$9,2,FALSE),""),"")</f>
        <v/>
      </c>
      <c r="J29" s="197"/>
      <c r="K29" s="197"/>
      <c r="L29" s="197"/>
      <c r="M29" s="30" t="str">
        <f>IF($F29&lt;&gt;"",IFERROR(VLOOKUP($F29,MetricsDefinition!$E$2:$W$506,8,FALSE),""),"")</f>
        <v/>
      </c>
      <c r="N29" s="194"/>
      <c r="O29" s="196"/>
      <c r="P29" s="242"/>
      <c r="Q29" s="199"/>
      <c r="R29" s="195" t="str">
        <f>IF($F29&lt;&gt;"",IFERROR(VLOOKUP($F29,MetricsDefinition!$E$2:$W$506,12,FALSE),""),"")</f>
        <v/>
      </c>
      <c r="S29" s="200" t="str">
        <f>IF($F29&lt;&gt;"",IFERROR(VLOOKUP($F29,MetricsDefinition!$E$2:$W$506,13,FALSE),""),"")</f>
        <v/>
      </c>
      <c r="T29" s="275" t="str">
        <f>IF($F29&lt;&gt;"",IFERROR(VLOOKUP($F29,MetricsDefinition!$E$2:$W$507,4,FALSE),""),"")</f>
        <v/>
      </c>
      <c r="U29" s="246"/>
      <c r="V29" s="30" t="str">
        <f>IF($F29&lt;&gt;"",IFERROR(VLOOKUP($F29,MetricsDefinition!$E$2:$W$219,7,FALSE),""),"")</f>
        <v/>
      </c>
      <c r="W29" s="198"/>
      <c r="X29" s="194"/>
      <c r="Y29" s="200" t="str">
        <f>IF(X29="Yes","Control Chart and/or Prediction Model",IF($F29&lt;&gt;"",IFERROR(VLOOKUP($F29,MetricsDefinition!$E$2:$W$507,15,FALSE),""),""))</f>
        <v/>
      </c>
      <c r="Z29" s="201"/>
      <c r="AA29" s="194"/>
      <c r="AB29" s="202"/>
      <c r="AC29" s="3" t="str">
        <f t="shared" si="2"/>
        <v/>
      </c>
      <c r="AD29" s="172" t="str">
        <f>IF(F29&lt;&gt;"",IF(VLOOKUP(F29,MetricsDefinition!$E$1:$Z$215,20,FALSE)=E29,0,1),"")</f>
        <v/>
      </c>
      <c r="AE29" s="172" t="str">
        <f t="shared" si="0"/>
        <v/>
      </c>
    </row>
    <row r="30" spans="1:31" ht="48.65" customHeight="1">
      <c r="A30" s="30" t="str">
        <f>IF(F30&lt;&gt;"",IFERROR(VLOOKUP(F30,MetricsDefinition!$E$2:$O$506,2,FALSE),""),"")</f>
        <v/>
      </c>
      <c r="B30" s="30" t="str">
        <f t="shared" si="1"/>
        <v/>
      </c>
      <c r="C30" s="30" t="str">
        <f>IF(D30&lt;&gt;"",IFERROR(VLOOKUP(D30,ListMaster!$CE$1:$CG$50,3,FALSE),""),"")</f>
        <v/>
      </c>
      <c r="D30" s="30" t="str">
        <f>IF(F30&lt;&gt;"",IFERROR(VLOOKUP(F30,MetricsDefinition!$E$2:$O$506,3,FALSE),""),"")</f>
        <v/>
      </c>
      <c r="E30" s="193"/>
      <c r="F30" s="415"/>
      <c r="G30" s="30" t="str">
        <f>IF(F30&lt;&gt;"",IFERROR(VLOOKUP(F30,MetricsDefinition!$E$2:$W$506,5,FALSE),""),"")</f>
        <v/>
      </c>
      <c r="H30" s="195" t="str">
        <f>IF(IF($F30&lt;&gt;"",IFERROR(VLOOKUP($F30,MetricsDefinition!$E$2:$W$506,6,FALSE),""),"")&lt;&gt;"", SUBSTITUTE(IF($F30&lt;&gt;"",IFERROR(VLOOKUP($F30,MetricsDefinition!$E$2:$W$506,6,FALSE),""),""),"Size Unit",E$3),"")</f>
        <v/>
      </c>
      <c r="I30" s="195" t="str">
        <f>IF(AND($F30&lt;&gt;"",M30&lt;&gt;""),IFERROR(VLOOKUP($M30,ListMaster!$D$2:$E$9,2,FALSE),""),"")</f>
        <v/>
      </c>
      <c r="J30" s="197"/>
      <c r="K30" s="197"/>
      <c r="L30" s="197"/>
      <c r="M30" s="30" t="str">
        <f>IF($F30&lt;&gt;"",IFERROR(VLOOKUP($F30,MetricsDefinition!$E$2:$W$506,8,FALSE),""),"")</f>
        <v/>
      </c>
      <c r="N30" s="194"/>
      <c r="O30" s="196"/>
      <c r="P30" s="242"/>
      <c r="Q30" s="199"/>
      <c r="R30" s="195" t="str">
        <f>IF($F30&lt;&gt;"",IFERROR(VLOOKUP($F30,MetricsDefinition!$E$2:$W$506,12,FALSE),""),"")</f>
        <v/>
      </c>
      <c r="S30" s="200" t="str">
        <f>IF($F30&lt;&gt;"",IFERROR(VLOOKUP($F30,MetricsDefinition!$E$2:$W$506,13,FALSE),""),"")</f>
        <v/>
      </c>
      <c r="T30" s="275" t="str">
        <f>IF($F30&lt;&gt;"",IFERROR(VLOOKUP($F30,MetricsDefinition!$E$2:$W$507,4,FALSE),""),"")</f>
        <v/>
      </c>
      <c r="U30" s="246"/>
      <c r="V30" s="30" t="str">
        <f>IF($F30&lt;&gt;"",IFERROR(VLOOKUP($F30,MetricsDefinition!$E$2:$W$219,7,FALSE),""),"")</f>
        <v/>
      </c>
      <c r="W30" s="198"/>
      <c r="X30" s="194"/>
      <c r="Y30" s="200" t="str">
        <f>IF(X30="Yes","Control Chart and/or Prediction Model",IF($F30&lt;&gt;"",IFERROR(VLOOKUP($F30,MetricsDefinition!$E$2:$W$507,15,FALSE),""),""))</f>
        <v/>
      </c>
      <c r="Z30" s="201"/>
      <c r="AA30" s="194"/>
      <c r="AB30" s="202"/>
      <c r="AC30" s="3" t="str">
        <f t="shared" si="2"/>
        <v/>
      </c>
      <c r="AD30" s="172" t="str">
        <f>IF(F30&lt;&gt;"",IF(VLOOKUP(F30,MetricsDefinition!$E$1:$Z$215,20,FALSE)=E30,0,1),"")</f>
        <v/>
      </c>
      <c r="AE30" s="172" t="str">
        <f t="shared" si="0"/>
        <v/>
      </c>
    </row>
    <row r="31" spans="1:31" ht="48.65" customHeight="1">
      <c r="A31" s="30" t="str">
        <f>IF(F31&lt;&gt;"",IFERROR(VLOOKUP(F31,MetricsDefinition!$E$2:$O$506,2,FALSE),""),"")</f>
        <v/>
      </c>
      <c r="B31" s="30" t="str">
        <f t="shared" si="1"/>
        <v/>
      </c>
      <c r="C31" s="30" t="str">
        <f>IF(D31&lt;&gt;"",IFERROR(VLOOKUP(D31,ListMaster!$CE$1:$CG$50,3,FALSE),""),"")</f>
        <v/>
      </c>
      <c r="D31" s="30" t="str">
        <f>IF(F31&lt;&gt;"",IFERROR(VLOOKUP(F31,MetricsDefinition!$E$2:$O$506,3,FALSE),""),"")</f>
        <v/>
      </c>
      <c r="E31" s="193"/>
      <c r="F31" s="415"/>
      <c r="G31" s="30" t="str">
        <f>IF(F31&lt;&gt;"",IFERROR(VLOOKUP(F31,MetricsDefinition!$E$2:$W$506,5,FALSE),""),"")</f>
        <v/>
      </c>
      <c r="H31" s="195" t="str">
        <f>IF(IF($F31&lt;&gt;"",IFERROR(VLOOKUP($F31,MetricsDefinition!$E$2:$W$506,6,FALSE),""),"")&lt;&gt;"", SUBSTITUTE(IF($F31&lt;&gt;"",IFERROR(VLOOKUP($F31,MetricsDefinition!$E$2:$W$506,6,FALSE),""),""),"Size Unit",E$3),"")</f>
        <v/>
      </c>
      <c r="I31" s="195" t="str">
        <f>IF(AND($F31&lt;&gt;"",M31&lt;&gt;""),IFERROR(VLOOKUP($M31,ListMaster!$D$2:$E$9,2,FALSE),""),"")</f>
        <v/>
      </c>
      <c r="J31" s="197"/>
      <c r="K31" s="197"/>
      <c r="L31" s="197"/>
      <c r="M31" s="30" t="str">
        <f>IF($F31&lt;&gt;"",IFERROR(VLOOKUP($F31,MetricsDefinition!$E$2:$W$506,8,FALSE),""),"")</f>
        <v/>
      </c>
      <c r="N31" s="194"/>
      <c r="O31" s="196"/>
      <c r="P31" s="242"/>
      <c r="Q31" s="199"/>
      <c r="R31" s="195" t="str">
        <f>IF($F31&lt;&gt;"",IFERROR(VLOOKUP($F31,MetricsDefinition!$E$2:$W$506,12,FALSE),""),"")</f>
        <v/>
      </c>
      <c r="S31" s="200" t="str">
        <f>IF($F31&lt;&gt;"",IFERROR(VLOOKUP($F31,MetricsDefinition!$E$2:$W$506,13,FALSE),""),"")</f>
        <v/>
      </c>
      <c r="T31" s="275" t="str">
        <f>IF($F31&lt;&gt;"",IFERROR(VLOOKUP($F31,MetricsDefinition!$E$2:$W$507,4,FALSE),""),"")</f>
        <v/>
      </c>
      <c r="U31" s="246"/>
      <c r="V31" s="30" t="str">
        <f>IF($F31&lt;&gt;"",IFERROR(VLOOKUP($F31,MetricsDefinition!$E$2:$W$219,7,FALSE),""),"")</f>
        <v/>
      </c>
      <c r="W31" s="198"/>
      <c r="X31" s="194"/>
      <c r="Y31" s="200" t="str">
        <f>IF(X31="Yes","Control Chart and/or Prediction Model",IF($F31&lt;&gt;"",IFERROR(VLOOKUP($F31,MetricsDefinition!$E$2:$W$507,15,FALSE),""),""))</f>
        <v/>
      </c>
      <c r="Z31" s="201"/>
      <c r="AA31" s="194"/>
      <c r="AB31" s="202"/>
      <c r="AC31" s="3" t="str">
        <f t="shared" si="2"/>
        <v/>
      </c>
      <c r="AD31" s="172" t="str">
        <f>IF(F31&lt;&gt;"",IF(VLOOKUP(F31,MetricsDefinition!$E$1:$Z$215,20,FALSE)=E31,0,1),"")</f>
        <v/>
      </c>
      <c r="AE31" s="172" t="str">
        <f t="shared" si="0"/>
        <v/>
      </c>
    </row>
    <row r="32" spans="1:31" ht="48.65" customHeight="1">
      <c r="A32" s="30" t="str">
        <f>IF(F32&lt;&gt;"",IFERROR(VLOOKUP(F32,MetricsDefinition!$E$2:$O$506,2,FALSE),""),"")</f>
        <v/>
      </c>
      <c r="B32" s="30" t="str">
        <f t="shared" si="1"/>
        <v/>
      </c>
      <c r="C32" s="30" t="str">
        <f>IF(D32&lt;&gt;"",IFERROR(VLOOKUP(D32,ListMaster!$CE$1:$CG$50,3,FALSE),""),"")</f>
        <v/>
      </c>
      <c r="D32" s="30" t="str">
        <f>IF(F32&lt;&gt;"",IFERROR(VLOOKUP(F32,MetricsDefinition!$E$2:$O$506,3,FALSE),""),"")</f>
        <v/>
      </c>
      <c r="E32" s="193"/>
      <c r="F32" s="415"/>
      <c r="G32" s="30" t="str">
        <f>IF(F32&lt;&gt;"",IFERROR(VLOOKUP(F32,MetricsDefinition!$E$2:$W$506,5,FALSE),""),"")</f>
        <v/>
      </c>
      <c r="H32" s="195" t="str">
        <f>IF(IF($F32&lt;&gt;"",IFERROR(VLOOKUP($F32,MetricsDefinition!$E$2:$W$506,6,FALSE),""),"")&lt;&gt;"", SUBSTITUTE(IF($F32&lt;&gt;"",IFERROR(VLOOKUP($F32,MetricsDefinition!$E$2:$W$506,6,FALSE),""),""),"Size Unit",E$3),"")</f>
        <v/>
      </c>
      <c r="I32" s="195" t="str">
        <f>IF(AND($F32&lt;&gt;"",M32&lt;&gt;""),IFERROR(VLOOKUP($M32,ListMaster!$D$2:$E$9,2,FALSE),""),"")</f>
        <v/>
      </c>
      <c r="J32" s="197"/>
      <c r="K32" s="197"/>
      <c r="L32" s="197"/>
      <c r="M32" s="30" t="str">
        <f>IF($F32&lt;&gt;"",IFERROR(VLOOKUP($F32,MetricsDefinition!$E$2:$W$506,8,FALSE),""),"")</f>
        <v/>
      </c>
      <c r="N32" s="194"/>
      <c r="O32" s="196"/>
      <c r="P32" s="242"/>
      <c r="Q32" s="199"/>
      <c r="R32" s="195" t="str">
        <f>IF($F32&lt;&gt;"",IFERROR(VLOOKUP($F32,MetricsDefinition!$E$2:$W$506,12,FALSE),""),"")</f>
        <v/>
      </c>
      <c r="S32" s="200" t="str">
        <f>IF($F32&lt;&gt;"",IFERROR(VLOOKUP($F32,MetricsDefinition!$E$2:$W$506,13,FALSE),""),"")</f>
        <v/>
      </c>
      <c r="T32" s="275" t="str">
        <f>IF($F32&lt;&gt;"",IFERROR(VLOOKUP($F32,MetricsDefinition!$E$2:$W$507,4,FALSE),""),"")</f>
        <v/>
      </c>
      <c r="U32" s="246"/>
      <c r="V32" s="30" t="str">
        <f>IF($F32&lt;&gt;"",IFERROR(VLOOKUP($F32,MetricsDefinition!$E$2:$W$219,7,FALSE),""),"")</f>
        <v/>
      </c>
      <c r="W32" s="198"/>
      <c r="X32" s="194"/>
      <c r="Y32" s="200" t="str">
        <f>IF(X32="Yes","Control Chart and/or Prediction Model",IF($F32&lt;&gt;"",IFERROR(VLOOKUP($F32,MetricsDefinition!$E$2:$W$507,15,FALSE),""),""))</f>
        <v/>
      </c>
      <c r="Z32" s="201"/>
      <c r="AA32" s="194"/>
      <c r="AB32" s="202"/>
      <c r="AC32" s="3" t="str">
        <f t="shared" si="2"/>
        <v/>
      </c>
      <c r="AD32" s="172" t="str">
        <f>IF(F32&lt;&gt;"",IF(VLOOKUP(F32,MetricsDefinition!$E$1:$Z$215,20,FALSE)=E32,0,1),"")</f>
        <v/>
      </c>
      <c r="AE32" s="172" t="str">
        <f t="shared" si="0"/>
        <v/>
      </c>
    </row>
    <row r="33" spans="1:31" ht="48.65" customHeight="1">
      <c r="A33" s="30" t="str">
        <f>IF(F33&lt;&gt;"",IFERROR(VLOOKUP(F33,MetricsDefinition!$E$2:$O$506,2,FALSE),""),"")</f>
        <v/>
      </c>
      <c r="B33" s="30" t="str">
        <f t="shared" si="1"/>
        <v/>
      </c>
      <c r="C33" s="30" t="str">
        <f>IF(D33&lt;&gt;"",IFERROR(VLOOKUP(D33,ListMaster!$CE$1:$CG$50,3,FALSE),""),"")</f>
        <v/>
      </c>
      <c r="D33" s="30" t="str">
        <f>IF(F33&lt;&gt;"",IFERROR(VLOOKUP(F33,MetricsDefinition!$E$2:$O$506,3,FALSE),""),"")</f>
        <v/>
      </c>
      <c r="E33" s="193"/>
      <c r="F33" s="415"/>
      <c r="G33" s="30" t="str">
        <f>IF(F33&lt;&gt;"",IFERROR(VLOOKUP(F33,MetricsDefinition!$E$2:$W$506,5,FALSE),""),"")</f>
        <v/>
      </c>
      <c r="H33" s="195" t="str">
        <f>IF(IF($F33&lt;&gt;"",IFERROR(VLOOKUP($F33,MetricsDefinition!$E$2:$W$506,6,FALSE),""),"")&lt;&gt;"", SUBSTITUTE(IF($F33&lt;&gt;"",IFERROR(VLOOKUP($F33,MetricsDefinition!$E$2:$W$506,6,FALSE),""),""),"Size Unit",E$3),"")</f>
        <v/>
      </c>
      <c r="I33" s="195" t="str">
        <f>IF(AND($F33&lt;&gt;"",M33&lt;&gt;""),IFERROR(VLOOKUP($M33,ListMaster!$D$2:$E$9,2,FALSE),""),"")</f>
        <v/>
      </c>
      <c r="J33" s="197"/>
      <c r="K33" s="197"/>
      <c r="L33" s="197"/>
      <c r="M33" s="30" t="str">
        <f>IF($F33&lt;&gt;"",IFERROR(VLOOKUP($F33,MetricsDefinition!$E$2:$W$506,8,FALSE),""),"")</f>
        <v/>
      </c>
      <c r="N33" s="194"/>
      <c r="O33" s="196"/>
      <c r="P33" s="242"/>
      <c r="Q33" s="199"/>
      <c r="R33" s="195" t="str">
        <f>IF($F33&lt;&gt;"",IFERROR(VLOOKUP($F33,MetricsDefinition!$E$2:$W$506,12,FALSE),""),"")</f>
        <v/>
      </c>
      <c r="S33" s="200" t="str">
        <f>IF($F33&lt;&gt;"",IFERROR(VLOOKUP($F33,MetricsDefinition!$E$2:$W$506,13,FALSE),""),"")</f>
        <v/>
      </c>
      <c r="T33" s="275" t="str">
        <f>IF($F33&lt;&gt;"",IFERROR(VLOOKUP($F33,MetricsDefinition!$E$2:$W$507,4,FALSE),""),"")</f>
        <v/>
      </c>
      <c r="U33" s="246"/>
      <c r="V33" s="30" t="str">
        <f>IF($F33&lt;&gt;"",IFERROR(VLOOKUP($F33,MetricsDefinition!$E$2:$W$219,7,FALSE),""),"")</f>
        <v/>
      </c>
      <c r="W33" s="198"/>
      <c r="X33" s="194"/>
      <c r="Y33" s="200" t="str">
        <f>IF(X33="Yes","Control Chart and/or Prediction Model",IF($F33&lt;&gt;"",IFERROR(VLOOKUP($F33,MetricsDefinition!$E$2:$W$507,15,FALSE),""),""))</f>
        <v/>
      </c>
      <c r="Z33" s="201"/>
      <c r="AA33" s="194"/>
      <c r="AB33" s="202"/>
      <c r="AC33" s="3" t="str">
        <f t="shared" si="2"/>
        <v/>
      </c>
      <c r="AD33" s="172" t="str">
        <f>IF(F33&lt;&gt;"",IF(VLOOKUP(F33,MetricsDefinition!$E$1:$Z$215,20,FALSE)=E33,0,1),"")</f>
        <v/>
      </c>
      <c r="AE33" s="172" t="str">
        <f t="shared" si="0"/>
        <v/>
      </c>
    </row>
    <row r="34" spans="1:31" ht="48.65" customHeight="1">
      <c r="A34" s="30" t="str">
        <f>IF(F34&lt;&gt;"",IFERROR(VLOOKUP(F34,MetricsDefinition!$E$2:$O$506,2,FALSE),""),"")</f>
        <v/>
      </c>
      <c r="B34" s="30" t="str">
        <f t="shared" si="1"/>
        <v/>
      </c>
      <c r="C34" s="30" t="str">
        <f>IF(D34&lt;&gt;"",IFERROR(VLOOKUP(D34,ListMaster!$CE$1:$CG$50,3,FALSE),""),"")</f>
        <v/>
      </c>
      <c r="D34" s="30" t="str">
        <f>IF(F34&lt;&gt;"",IFERROR(VLOOKUP(F34,MetricsDefinition!$E$2:$O$506,3,FALSE),""),"")</f>
        <v/>
      </c>
      <c r="E34" s="193"/>
      <c r="F34" s="415"/>
      <c r="G34" s="30" t="str">
        <f>IF(F34&lt;&gt;"",IFERROR(VLOOKUP(F34,MetricsDefinition!$E$2:$W$506,5,FALSE),""),"")</f>
        <v/>
      </c>
      <c r="H34" s="195" t="str">
        <f>IF(IF($F34&lt;&gt;"",IFERROR(VLOOKUP($F34,MetricsDefinition!$E$2:$W$506,6,FALSE),""),"")&lt;&gt;"", SUBSTITUTE(IF($F34&lt;&gt;"",IFERROR(VLOOKUP($F34,MetricsDefinition!$E$2:$W$506,6,FALSE),""),""),"Size Unit",E$3),"")</f>
        <v/>
      </c>
      <c r="I34" s="195" t="str">
        <f>IF(AND($F34&lt;&gt;"",M34&lt;&gt;""),IFERROR(VLOOKUP($M34,ListMaster!$D$2:$E$9,2,FALSE),""),"")</f>
        <v/>
      </c>
      <c r="J34" s="197"/>
      <c r="K34" s="197"/>
      <c r="L34" s="197"/>
      <c r="M34" s="30" t="str">
        <f>IF($F34&lt;&gt;"",IFERROR(VLOOKUP($F34,MetricsDefinition!$E$2:$W$506,8,FALSE),""),"")</f>
        <v/>
      </c>
      <c r="N34" s="194"/>
      <c r="O34" s="196"/>
      <c r="P34" s="242"/>
      <c r="Q34" s="199"/>
      <c r="R34" s="195" t="str">
        <f>IF($F34&lt;&gt;"",IFERROR(VLOOKUP($F34,MetricsDefinition!$E$2:$W$506,12,FALSE),""),"")</f>
        <v/>
      </c>
      <c r="S34" s="200" t="str">
        <f>IF($F34&lt;&gt;"",IFERROR(VLOOKUP($F34,MetricsDefinition!$E$2:$W$506,13,FALSE),""),"")</f>
        <v/>
      </c>
      <c r="T34" s="275" t="str">
        <f>IF($F34&lt;&gt;"",IFERROR(VLOOKUP($F34,MetricsDefinition!$E$2:$W$507,4,FALSE),""),"")</f>
        <v/>
      </c>
      <c r="U34" s="246"/>
      <c r="V34" s="30" t="str">
        <f>IF($F34&lt;&gt;"",IFERROR(VLOOKUP($F34,MetricsDefinition!$E$2:$W$219,7,FALSE),""),"")</f>
        <v/>
      </c>
      <c r="W34" s="198"/>
      <c r="X34" s="194"/>
      <c r="Y34" s="200" t="str">
        <f>IF(X34="Yes","Control Chart and/or Prediction Model",IF($F34&lt;&gt;"",IFERROR(VLOOKUP($F34,MetricsDefinition!$E$2:$W$507,15,FALSE),""),""))</f>
        <v/>
      </c>
      <c r="Z34" s="201"/>
      <c r="AA34" s="194"/>
      <c r="AB34" s="202"/>
      <c r="AC34" s="3" t="str">
        <f t="shared" si="2"/>
        <v/>
      </c>
      <c r="AD34" s="172" t="str">
        <f>IF(F34&lt;&gt;"",IF(VLOOKUP(F34,MetricsDefinition!$E$1:$Z$215,20,FALSE)=E34,0,1),"")</f>
        <v/>
      </c>
      <c r="AE34" s="172" t="str">
        <f t="shared" si="0"/>
        <v/>
      </c>
    </row>
    <row r="35" spans="1:31" ht="48.65" customHeight="1">
      <c r="A35" s="30" t="str">
        <f>IF(F35&lt;&gt;"",IFERROR(VLOOKUP(F35,MetricsDefinition!$E$2:$O$506,2,FALSE),""),"")</f>
        <v/>
      </c>
      <c r="B35" s="30" t="str">
        <f t="shared" si="1"/>
        <v/>
      </c>
      <c r="C35" s="30" t="str">
        <f>IF(D35&lt;&gt;"",IFERROR(VLOOKUP(D35,ListMaster!$CE$1:$CG$50,3,FALSE),""),"")</f>
        <v/>
      </c>
      <c r="D35" s="30" t="str">
        <f>IF(F35&lt;&gt;"",IFERROR(VLOOKUP(F35,MetricsDefinition!$E$2:$O$506,3,FALSE),""),"")</f>
        <v/>
      </c>
      <c r="E35" s="193"/>
      <c r="F35" s="415"/>
      <c r="G35" s="30" t="str">
        <f>IF(F35&lt;&gt;"",IFERROR(VLOOKUP(F35,MetricsDefinition!$E$2:$W$506,5,FALSE),""),"")</f>
        <v/>
      </c>
      <c r="H35" s="195" t="str">
        <f>IF(IF($F35&lt;&gt;"",IFERROR(VLOOKUP($F35,MetricsDefinition!$E$2:$W$506,6,FALSE),""),"")&lt;&gt;"", SUBSTITUTE(IF($F35&lt;&gt;"",IFERROR(VLOOKUP($F35,MetricsDefinition!$E$2:$W$506,6,FALSE),""),""),"Size Unit",E$3),"")</f>
        <v/>
      </c>
      <c r="I35" s="195" t="str">
        <f>IF(AND($F35&lt;&gt;"",M35&lt;&gt;""),IFERROR(VLOOKUP($M35,ListMaster!$D$2:$E$9,2,FALSE),""),"")</f>
        <v/>
      </c>
      <c r="J35" s="197"/>
      <c r="K35" s="197"/>
      <c r="L35" s="197"/>
      <c r="M35" s="30" t="str">
        <f>IF($F35&lt;&gt;"",IFERROR(VLOOKUP($F35,MetricsDefinition!$E$2:$W$506,8,FALSE),""),"")</f>
        <v/>
      </c>
      <c r="N35" s="194"/>
      <c r="O35" s="196"/>
      <c r="P35" s="242"/>
      <c r="Q35" s="199"/>
      <c r="R35" s="195" t="str">
        <f>IF($F35&lt;&gt;"",IFERROR(VLOOKUP($F35,MetricsDefinition!$E$2:$W$506,12,FALSE),""),"")</f>
        <v/>
      </c>
      <c r="S35" s="200" t="str">
        <f>IF($F35&lt;&gt;"",IFERROR(VLOOKUP($F35,MetricsDefinition!$E$2:$W$506,13,FALSE),""),"")</f>
        <v/>
      </c>
      <c r="T35" s="275" t="str">
        <f>IF($F35&lt;&gt;"",IFERROR(VLOOKUP($F35,MetricsDefinition!$E$2:$W$507,4,FALSE),""),"")</f>
        <v/>
      </c>
      <c r="U35" s="246"/>
      <c r="V35" s="30" t="str">
        <f>IF($F35&lt;&gt;"",IFERROR(VLOOKUP($F35,MetricsDefinition!$E$2:$W$219,7,FALSE),""),"")</f>
        <v/>
      </c>
      <c r="W35" s="198"/>
      <c r="X35" s="194"/>
      <c r="Y35" s="200" t="str">
        <f>IF(X35="Yes","Control Chart and/or Prediction Model",IF($F35&lt;&gt;"",IFERROR(VLOOKUP($F35,MetricsDefinition!$E$2:$W$507,15,FALSE),""),""))</f>
        <v/>
      </c>
      <c r="Z35" s="201"/>
      <c r="AA35" s="194"/>
      <c r="AB35" s="202"/>
      <c r="AC35" s="3" t="str">
        <f t="shared" si="2"/>
        <v/>
      </c>
      <c r="AD35" s="172" t="str">
        <f>IF(F35&lt;&gt;"",IF(VLOOKUP(F35,MetricsDefinition!$E$1:$Z$215,20,FALSE)=E35,0,1),"")</f>
        <v/>
      </c>
      <c r="AE35" s="172" t="str">
        <f t="shared" si="0"/>
        <v/>
      </c>
    </row>
    <row r="36" spans="1:31" ht="48.65" customHeight="1">
      <c r="A36" s="30" t="str">
        <f>IF(F36&lt;&gt;"",IFERROR(VLOOKUP(F36,MetricsDefinition!$E$2:$O$506,2,FALSE),""),"")</f>
        <v/>
      </c>
      <c r="B36" s="30" t="str">
        <f t="shared" si="1"/>
        <v/>
      </c>
      <c r="C36" s="30" t="str">
        <f>IF(D36&lt;&gt;"",IFERROR(VLOOKUP(D36,ListMaster!$CE$1:$CG$50,3,FALSE),""),"")</f>
        <v/>
      </c>
      <c r="D36" s="30" t="str">
        <f>IF(F36&lt;&gt;"",IFERROR(VLOOKUP(F36,MetricsDefinition!$E$2:$O$506,3,FALSE),""),"")</f>
        <v/>
      </c>
      <c r="E36" s="193"/>
      <c r="F36" s="415"/>
      <c r="G36" s="30" t="str">
        <f>IF(F36&lt;&gt;"",IFERROR(VLOOKUP(F36,MetricsDefinition!$E$2:$W$506,5,FALSE),""),"")</f>
        <v/>
      </c>
      <c r="H36" s="195" t="str">
        <f>IF(IF($F36&lt;&gt;"",IFERROR(VLOOKUP($F36,MetricsDefinition!$E$2:$W$506,6,FALSE),""),"")&lt;&gt;"", SUBSTITUTE(IF($F36&lt;&gt;"",IFERROR(VLOOKUP($F36,MetricsDefinition!$E$2:$W$506,6,FALSE),""),""),"Size Unit",E$3),"")</f>
        <v/>
      </c>
      <c r="I36" s="195" t="str">
        <f>IF(AND($F36&lt;&gt;"",M36&lt;&gt;""),IFERROR(VLOOKUP($M36,ListMaster!$D$2:$E$9,2,FALSE),""),"")</f>
        <v/>
      </c>
      <c r="J36" s="197"/>
      <c r="K36" s="197"/>
      <c r="L36" s="197"/>
      <c r="M36" s="30" t="str">
        <f>IF($F36&lt;&gt;"",IFERROR(VLOOKUP($F36,MetricsDefinition!$E$2:$W$506,8,FALSE),""),"")</f>
        <v/>
      </c>
      <c r="N36" s="194"/>
      <c r="O36" s="196"/>
      <c r="P36" s="242"/>
      <c r="Q36" s="199"/>
      <c r="R36" s="195" t="str">
        <f>IF($F36&lt;&gt;"",IFERROR(VLOOKUP($F36,MetricsDefinition!$E$2:$W$506,12,FALSE),""),"")</f>
        <v/>
      </c>
      <c r="S36" s="200" t="str">
        <f>IF($F36&lt;&gt;"",IFERROR(VLOOKUP($F36,MetricsDefinition!$E$2:$W$506,13,FALSE),""),"")</f>
        <v/>
      </c>
      <c r="T36" s="275" t="str">
        <f>IF($F36&lt;&gt;"",IFERROR(VLOOKUP($F36,MetricsDefinition!$E$2:$W$507,4,FALSE),""),"")</f>
        <v/>
      </c>
      <c r="U36" s="246"/>
      <c r="V36" s="30" t="str">
        <f>IF($F36&lt;&gt;"",IFERROR(VLOOKUP($F36,MetricsDefinition!$E$2:$W$219,7,FALSE),""),"")</f>
        <v/>
      </c>
      <c r="W36" s="198"/>
      <c r="X36" s="194"/>
      <c r="Y36" s="200" t="str">
        <f>IF(X36="Yes","Control Chart and/or Prediction Model",IF($F36&lt;&gt;"",IFERROR(VLOOKUP($F36,MetricsDefinition!$E$2:$W$507,15,FALSE),""),""))</f>
        <v/>
      </c>
      <c r="Z36" s="201"/>
      <c r="AA36" s="194"/>
      <c r="AB36" s="202"/>
      <c r="AC36" s="3" t="str">
        <f t="shared" ref="AC36:AC67" si="3">IF(F36&lt;&gt;"",IF(AND(G36&lt;&gt;"",H36&lt;&gt;"",O36&lt;&gt;"",J36&lt;&gt;"",M36&lt;&gt;"",P36&lt;&gt;"",V36&lt;&gt;"",Q36&lt;&gt;"",R36&lt;&gt;"",S36&lt;&gt;"",N36&lt;&gt;"",X36&lt;&gt;"")=TRUE,0,1),"")</f>
        <v/>
      </c>
      <c r="AD36" s="172" t="str">
        <f>IF(F36&lt;&gt;"",IF(VLOOKUP(F36,MetricsDefinition!$E$1:$Z$215,20,FALSE)=E36,0,1),"")</f>
        <v/>
      </c>
      <c r="AE36" s="172" t="str">
        <f t="shared" si="0"/>
        <v/>
      </c>
    </row>
    <row r="37" spans="1:31" ht="48.65" customHeight="1">
      <c r="A37" s="30" t="str">
        <f>IF(F37&lt;&gt;"",IFERROR(VLOOKUP(F37,MetricsDefinition!$E$2:$O$506,2,FALSE),""),"")</f>
        <v/>
      </c>
      <c r="B37" s="30" t="str">
        <f t="shared" si="1"/>
        <v/>
      </c>
      <c r="C37" s="30" t="str">
        <f>IF(D37&lt;&gt;"",IFERROR(VLOOKUP(D37,ListMaster!$CE$1:$CG$50,3,FALSE),""),"")</f>
        <v/>
      </c>
      <c r="D37" s="30" t="str">
        <f>IF(F37&lt;&gt;"",IFERROR(VLOOKUP(F37,MetricsDefinition!$E$2:$O$506,3,FALSE),""),"")</f>
        <v/>
      </c>
      <c r="E37" s="193"/>
      <c r="F37" s="415"/>
      <c r="G37" s="30" t="str">
        <f>IF(F37&lt;&gt;"",IFERROR(VLOOKUP(F37,MetricsDefinition!$E$2:$W$506,5,FALSE),""),"")</f>
        <v/>
      </c>
      <c r="H37" s="195" t="str">
        <f>IF(IF($F37&lt;&gt;"",IFERROR(VLOOKUP($F37,MetricsDefinition!$E$2:$W$506,6,FALSE),""),"")&lt;&gt;"", SUBSTITUTE(IF($F37&lt;&gt;"",IFERROR(VLOOKUP($F37,MetricsDefinition!$E$2:$W$506,6,FALSE),""),""),"Size Unit",E$3),"")</f>
        <v/>
      </c>
      <c r="I37" s="195" t="str">
        <f>IF(AND($F37&lt;&gt;"",M37&lt;&gt;""),IFERROR(VLOOKUP($M37,ListMaster!$D$2:$E$9,2,FALSE),""),"")</f>
        <v/>
      </c>
      <c r="J37" s="197"/>
      <c r="K37" s="197"/>
      <c r="L37" s="197"/>
      <c r="M37" s="30" t="str">
        <f>IF($F37&lt;&gt;"",IFERROR(VLOOKUP($F37,MetricsDefinition!$E$2:$W$506,8,FALSE),""),"")</f>
        <v/>
      </c>
      <c r="N37" s="194"/>
      <c r="O37" s="196"/>
      <c r="P37" s="242"/>
      <c r="Q37" s="199"/>
      <c r="R37" s="195" t="str">
        <f>IF($F37&lt;&gt;"",IFERROR(VLOOKUP($F37,MetricsDefinition!$E$2:$W$506,12,FALSE),""),"")</f>
        <v/>
      </c>
      <c r="S37" s="200" t="str">
        <f>IF($F37&lt;&gt;"",IFERROR(VLOOKUP($F37,MetricsDefinition!$E$2:$W$506,13,FALSE),""),"")</f>
        <v/>
      </c>
      <c r="T37" s="275" t="str">
        <f>IF($F37&lt;&gt;"",IFERROR(VLOOKUP($F37,MetricsDefinition!$E$2:$W$507,4,FALSE),""),"")</f>
        <v/>
      </c>
      <c r="U37" s="246"/>
      <c r="V37" s="30" t="str">
        <f>IF($F37&lt;&gt;"",IFERROR(VLOOKUP($F37,MetricsDefinition!$E$2:$W$219,7,FALSE),""),"")</f>
        <v/>
      </c>
      <c r="W37" s="198"/>
      <c r="X37" s="194"/>
      <c r="Y37" s="200" t="str">
        <f>IF(X37="Yes","Control Chart and/or Prediction Model",IF($F37&lt;&gt;"",IFERROR(VLOOKUP($F37,MetricsDefinition!$E$2:$W$507,15,FALSE),""),""))</f>
        <v/>
      </c>
      <c r="Z37" s="201"/>
      <c r="AA37" s="194"/>
      <c r="AB37" s="202"/>
      <c r="AC37" s="3" t="str">
        <f t="shared" si="3"/>
        <v/>
      </c>
      <c r="AD37" s="172" t="str">
        <f>IF(F37&lt;&gt;"",IF(VLOOKUP(F37,MetricsDefinition!$E$1:$Z$215,20,FALSE)=E37,0,1),"")</f>
        <v/>
      </c>
      <c r="AE37" s="172" t="str">
        <f t="shared" ref="AE37:AE68" si="4">IF(U37&lt;&gt;"",IF(IFERROR(VLOOKUP(U37,$F$5:$F$73,1,FALSE),"")&lt;&gt;"",0,1),"")</f>
        <v/>
      </c>
    </row>
    <row r="38" spans="1:31" ht="48.65" customHeight="1">
      <c r="A38" s="30" t="str">
        <f>IF(F38&lt;&gt;"",IFERROR(VLOOKUP(F38,MetricsDefinition!$E$2:$O$506,2,FALSE),""),"")</f>
        <v/>
      </c>
      <c r="B38" s="30" t="str">
        <f t="shared" si="1"/>
        <v/>
      </c>
      <c r="C38" s="30" t="str">
        <f>IF(D38&lt;&gt;"",IFERROR(VLOOKUP(D38,ListMaster!$CE$1:$CG$50,3,FALSE),""),"")</f>
        <v/>
      </c>
      <c r="D38" s="30" t="str">
        <f>IF(F38&lt;&gt;"",IFERROR(VLOOKUP(F38,MetricsDefinition!$E$2:$O$506,3,FALSE),""),"")</f>
        <v/>
      </c>
      <c r="E38" s="193"/>
      <c r="F38" s="415"/>
      <c r="G38" s="30" t="str">
        <f>IF(F38&lt;&gt;"",IFERROR(VLOOKUP(F38,MetricsDefinition!$E$2:$W$506,5,FALSE),""),"")</f>
        <v/>
      </c>
      <c r="H38" s="195" t="str">
        <f>IF(IF($F38&lt;&gt;"",IFERROR(VLOOKUP($F38,MetricsDefinition!$E$2:$W$506,6,FALSE),""),"")&lt;&gt;"", SUBSTITUTE(IF($F38&lt;&gt;"",IFERROR(VLOOKUP($F38,MetricsDefinition!$E$2:$W$506,6,FALSE),""),""),"Size Unit",E$3),"")</f>
        <v/>
      </c>
      <c r="I38" s="195" t="str">
        <f>IF(AND($F38&lt;&gt;"",M38&lt;&gt;""),IFERROR(VLOOKUP($M38,ListMaster!$D$2:$E$9,2,FALSE),""),"")</f>
        <v/>
      </c>
      <c r="J38" s="197"/>
      <c r="K38" s="197"/>
      <c r="L38" s="197"/>
      <c r="M38" s="30" t="str">
        <f>IF($F38&lt;&gt;"",IFERROR(VLOOKUP($F38,MetricsDefinition!$E$2:$W$506,8,FALSE),""),"")</f>
        <v/>
      </c>
      <c r="N38" s="194"/>
      <c r="O38" s="196"/>
      <c r="P38" s="242"/>
      <c r="Q38" s="199"/>
      <c r="R38" s="195" t="str">
        <f>IF($F38&lt;&gt;"",IFERROR(VLOOKUP($F38,MetricsDefinition!$E$2:$W$506,12,FALSE),""),"")</f>
        <v/>
      </c>
      <c r="S38" s="200" t="str">
        <f>IF($F38&lt;&gt;"",IFERROR(VLOOKUP($F38,MetricsDefinition!$E$2:$W$506,13,FALSE),""),"")</f>
        <v/>
      </c>
      <c r="T38" s="275" t="str">
        <f>IF($F38&lt;&gt;"",IFERROR(VLOOKUP($F38,MetricsDefinition!$E$2:$W$507,4,FALSE),""),"")</f>
        <v/>
      </c>
      <c r="U38" s="246"/>
      <c r="V38" s="30" t="str">
        <f>IF($F38&lt;&gt;"",IFERROR(VLOOKUP($F38,MetricsDefinition!$E$2:$W$219,7,FALSE),""),"")</f>
        <v/>
      </c>
      <c r="W38" s="198"/>
      <c r="X38" s="194"/>
      <c r="Y38" s="200" t="str">
        <f>IF(X38="Yes","Control Chart and/or Prediction Model",IF($F38&lt;&gt;"",IFERROR(VLOOKUP($F38,MetricsDefinition!$E$2:$W$507,15,FALSE),""),""))</f>
        <v/>
      </c>
      <c r="Z38" s="201"/>
      <c r="AA38" s="194"/>
      <c r="AB38" s="202"/>
      <c r="AC38" s="3" t="str">
        <f t="shared" si="3"/>
        <v/>
      </c>
      <c r="AD38" s="172" t="str">
        <f>IF(F38&lt;&gt;"",IF(VLOOKUP(F38,MetricsDefinition!$E$1:$Z$215,20,FALSE)=E38,0,1),"")</f>
        <v/>
      </c>
      <c r="AE38" s="172" t="str">
        <f t="shared" si="4"/>
        <v/>
      </c>
    </row>
    <row r="39" spans="1:31" ht="48.65" customHeight="1">
      <c r="A39" s="30" t="str">
        <f>IF(F39&lt;&gt;"",IFERROR(VLOOKUP(F39,MetricsDefinition!$E$2:$O$506,2,FALSE),""),"")</f>
        <v/>
      </c>
      <c r="B39" s="30" t="str">
        <f t="shared" si="1"/>
        <v/>
      </c>
      <c r="C39" s="30" t="str">
        <f>IF(D39&lt;&gt;"",IFERROR(VLOOKUP(D39,ListMaster!$CE$1:$CG$50,3,FALSE),""),"")</f>
        <v/>
      </c>
      <c r="D39" s="30" t="str">
        <f>IF(F39&lt;&gt;"",IFERROR(VLOOKUP(F39,MetricsDefinition!$E$2:$O$506,3,FALSE),""),"")</f>
        <v/>
      </c>
      <c r="E39" s="193"/>
      <c r="F39" s="415"/>
      <c r="G39" s="30" t="str">
        <f>IF(F39&lt;&gt;"",IFERROR(VLOOKUP(F39,MetricsDefinition!$E$2:$W$506,5,FALSE),""),"")</f>
        <v/>
      </c>
      <c r="H39" s="195" t="str">
        <f>IF(IF($F39&lt;&gt;"",IFERROR(VLOOKUP($F39,MetricsDefinition!$E$2:$W$506,6,FALSE),""),"")&lt;&gt;"", SUBSTITUTE(IF($F39&lt;&gt;"",IFERROR(VLOOKUP($F39,MetricsDefinition!$E$2:$W$506,6,FALSE),""),""),"Size Unit",E$3),"")</f>
        <v/>
      </c>
      <c r="I39" s="195" t="str">
        <f>IF(AND($F39&lt;&gt;"",M39&lt;&gt;""),IFERROR(VLOOKUP($M39,ListMaster!$D$2:$E$9,2,FALSE),""),"")</f>
        <v/>
      </c>
      <c r="J39" s="197"/>
      <c r="K39" s="197"/>
      <c r="L39" s="197"/>
      <c r="M39" s="30" t="str">
        <f>IF($F39&lt;&gt;"",IFERROR(VLOOKUP($F39,MetricsDefinition!$E$2:$W$506,8,FALSE),""),"")</f>
        <v/>
      </c>
      <c r="N39" s="194"/>
      <c r="O39" s="196"/>
      <c r="P39" s="242"/>
      <c r="Q39" s="199"/>
      <c r="R39" s="195" t="str">
        <f>IF($F39&lt;&gt;"",IFERROR(VLOOKUP($F39,MetricsDefinition!$E$2:$W$506,12,FALSE),""),"")</f>
        <v/>
      </c>
      <c r="S39" s="200" t="str">
        <f>IF($F39&lt;&gt;"",IFERROR(VLOOKUP($F39,MetricsDefinition!$E$2:$W$506,13,FALSE),""),"")</f>
        <v/>
      </c>
      <c r="T39" s="275" t="str">
        <f>IF($F39&lt;&gt;"",IFERROR(VLOOKUP($F39,MetricsDefinition!$E$2:$W$507,4,FALSE),""),"")</f>
        <v/>
      </c>
      <c r="U39" s="246"/>
      <c r="V39" s="30" t="str">
        <f>IF($F39&lt;&gt;"",IFERROR(VLOOKUP($F39,MetricsDefinition!$E$2:$W$219,7,FALSE),""),"")</f>
        <v/>
      </c>
      <c r="W39" s="198"/>
      <c r="X39" s="194"/>
      <c r="Y39" s="200" t="str">
        <f>IF(X39="Yes","Control Chart and/or Prediction Model",IF($F39&lt;&gt;"",IFERROR(VLOOKUP($F39,MetricsDefinition!$E$2:$W$507,15,FALSE),""),""))</f>
        <v/>
      </c>
      <c r="Z39" s="201"/>
      <c r="AA39" s="194"/>
      <c r="AB39" s="202"/>
      <c r="AC39" s="3" t="str">
        <f t="shared" si="3"/>
        <v/>
      </c>
      <c r="AD39" s="172" t="str">
        <f>IF(F39&lt;&gt;"",IF(VLOOKUP(F39,MetricsDefinition!$E$1:$Z$215,20,FALSE)=E39,0,1),"")</f>
        <v/>
      </c>
      <c r="AE39" s="172" t="str">
        <f t="shared" si="4"/>
        <v/>
      </c>
    </row>
    <row r="40" spans="1:31" ht="48.65" customHeight="1">
      <c r="A40" s="30" t="str">
        <f>IF(F40&lt;&gt;"",IFERROR(VLOOKUP(F40,MetricsDefinition!$E$2:$O$506,2,FALSE),""),"")</f>
        <v/>
      </c>
      <c r="B40" s="30" t="str">
        <f t="shared" si="1"/>
        <v/>
      </c>
      <c r="C40" s="30" t="str">
        <f>IF(D40&lt;&gt;"",IFERROR(VLOOKUP(D40,ListMaster!$CE$1:$CG$50,3,FALSE),""),"")</f>
        <v/>
      </c>
      <c r="D40" s="30" t="str">
        <f>IF(F40&lt;&gt;"",IFERROR(VLOOKUP(F40,MetricsDefinition!$E$2:$O$506,3,FALSE),""),"")</f>
        <v/>
      </c>
      <c r="E40" s="193"/>
      <c r="F40" s="415"/>
      <c r="G40" s="30" t="str">
        <f>IF(F40&lt;&gt;"",IFERROR(VLOOKUP(F40,MetricsDefinition!$E$2:$W$506,5,FALSE),""),"")</f>
        <v/>
      </c>
      <c r="H40" s="195" t="str">
        <f>IF(IF($F40&lt;&gt;"",IFERROR(VLOOKUP($F40,MetricsDefinition!$E$2:$W$506,6,FALSE),""),"")&lt;&gt;"", SUBSTITUTE(IF($F40&lt;&gt;"",IFERROR(VLOOKUP($F40,MetricsDefinition!$E$2:$W$506,6,FALSE),""),""),"Size Unit",E$3),"")</f>
        <v/>
      </c>
      <c r="I40" s="195" t="str">
        <f>IF(AND($F40&lt;&gt;"",M40&lt;&gt;""),IFERROR(VLOOKUP($M40,ListMaster!$D$2:$E$9,2,FALSE),""),"")</f>
        <v/>
      </c>
      <c r="J40" s="197"/>
      <c r="K40" s="197"/>
      <c r="L40" s="197"/>
      <c r="M40" s="30" t="str">
        <f>IF($F40&lt;&gt;"",IFERROR(VLOOKUP($F40,MetricsDefinition!$E$2:$W$506,8,FALSE),""),"")</f>
        <v/>
      </c>
      <c r="N40" s="194"/>
      <c r="O40" s="196"/>
      <c r="P40" s="242"/>
      <c r="Q40" s="199"/>
      <c r="R40" s="195" t="str">
        <f>IF($F40&lt;&gt;"",IFERROR(VLOOKUP($F40,MetricsDefinition!$E$2:$W$506,12,FALSE),""),"")</f>
        <v/>
      </c>
      <c r="S40" s="200" t="str">
        <f>IF($F40&lt;&gt;"",IFERROR(VLOOKUP($F40,MetricsDefinition!$E$2:$W$506,13,FALSE),""),"")</f>
        <v/>
      </c>
      <c r="T40" s="275" t="str">
        <f>IF($F40&lt;&gt;"",IFERROR(VLOOKUP($F40,MetricsDefinition!$E$2:$W$507,4,FALSE),""),"")</f>
        <v/>
      </c>
      <c r="U40" s="246"/>
      <c r="V40" s="30" t="str">
        <f>IF($F40&lt;&gt;"",IFERROR(VLOOKUP($F40,MetricsDefinition!$E$2:$W$219,7,FALSE),""),"")</f>
        <v/>
      </c>
      <c r="W40" s="198"/>
      <c r="X40" s="194"/>
      <c r="Y40" s="200" t="str">
        <f>IF(X40="Yes","Control Chart and/or Prediction Model",IF($F40&lt;&gt;"",IFERROR(VLOOKUP($F40,MetricsDefinition!$E$2:$W$507,15,FALSE),""),""))</f>
        <v/>
      </c>
      <c r="Z40" s="201"/>
      <c r="AA40" s="194"/>
      <c r="AB40" s="202"/>
      <c r="AC40" s="3" t="str">
        <f t="shared" si="3"/>
        <v/>
      </c>
      <c r="AD40" s="172" t="str">
        <f>IF(F40&lt;&gt;"",IF(VLOOKUP(F40,MetricsDefinition!$E$1:$Z$215,20,FALSE)=E40,0,1),"")</f>
        <v/>
      </c>
      <c r="AE40" s="172" t="str">
        <f t="shared" si="4"/>
        <v/>
      </c>
    </row>
    <row r="41" spans="1:31" ht="48.65" customHeight="1">
      <c r="A41" s="30" t="str">
        <f>IF(F41&lt;&gt;"",IFERROR(VLOOKUP(F41,MetricsDefinition!$E$2:$O$506,2,FALSE),""),"")</f>
        <v/>
      </c>
      <c r="B41" s="30" t="str">
        <f t="shared" si="1"/>
        <v/>
      </c>
      <c r="C41" s="30" t="str">
        <f>IF(D41&lt;&gt;"",IFERROR(VLOOKUP(D41,ListMaster!$CE$1:$CG$50,3,FALSE),""),"")</f>
        <v/>
      </c>
      <c r="D41" s="30" t="str">
        <f>IF(F41&lt;&gt;"",IFERROR(VLOOKUP(F41,MetricsDefinition!$E$2:$O$506,3,FALSE),""),"")</f>
        <v/>
      </c>
      <c r="E41" s="193"/>
      <c r="F41" s="415"/>
      <c r="G41" s="30" t="str">
        <f>IF(F41&lt;&gt;"",IFERROR(VLOOKUP(F41,MetricsDefinition!$E$2:$W$506,5,FALSE),""),"")</f>
        <v/>
      </c>
      <c r="H41" s="195" t="str">
        <f>IF(IF($F41&lt;&gt;"",IFERROR(VLOOKUP($F41,MetricsDefinition!$E$2:$W$506,6,FALSE),""),"")&lt;&gt;"", SUBSTITUTE(IF($F41&lt;&gt;"",IFERROR(VLOOKUP($F41,MetricsDefinition!$E$2:$W$506,6,FALSE),""),""),"Size Unit",E$3),"")</f>
        <v/>
      </c>
      <c r="I41" s="195" t="str">
        <f>IF(AND($F41&lt;&gt;"",M41&lt;&gt;""),IFERROR(VLOOKUP($M41,ListMaster!$D$2:$E$9,2,FALSE),""),"")</f>
        <v/>
      </c>
      <c r="J41" s="197"/>
      <c r="K41" s="197"/>
      <c r="L41" s="197"/>
      <c r="M41" s="30" t="str">
        <f>IF($F41&lt;&gt;"",IFERROR(VLOOKUP($F41,MetricsDefinition!$E$2:$W$506,8,FALSE),""),"")</f>
        <v/>
      </c>
      <c r="N41" s="194"/>
      <c r="O41" s="196"/>
      <c r="P41" s="242"/>
      <c r="Q41" s="199"/>
      <c r="R41" s="195" t="str">
        <f>IF($F41&lt;&gt;"",IFERROR(VLOOKUP($F41,MetricsDefinition!$E$2:$W$506,12,FALSE),""),"")</f>
        <v/>
      </c>
      <c r="S41" s="200" t="str">
        <f>IF($F41&lt;&gt;"",IFERROR(VLOOKUP($F41,MetricsDefinition!$E$2:$W$506,13,FALSE),""),"")</f>
        <v/>
      </c>
      <c r="T41" s="275" t="str">
        <f>IF($F41&lt;&gt;"",IFERROR(VLOOKUP($F41,MetricsDefinition!$E$2:$W$507,4,FALSE),""),"")</f>
        <v/>
      </c>
      <c r="U41" s="246"/>
      <c r="V41" s="30" t="str">
        <f>IF($F41&lt;&gt;"",IFERROR(VLOOKUP($F41,MetricsDefinition!$E$2:$W$219,7,FALSE),""),"")</f>
        <v/>
      </c>
      <c r="W41" s="198"/>
      <c r="X41" s="194"/>
      <c r="Y41" s="200" t="str">
        <f>IF(X41="Yes","Control Chart and/or Prediction Model",IF($F41&lt;&gt;"",IFERROR(VLOOKUP($F41,MetricsDefinition!$E$2:$W$507,15,FALSE),""),""))</f>
        <v/>
      </c>
      <c r="Z41" s="201"/>
      <c r="AA41" s="194"/>
      <c r="AB41" s="202"/>
      <c r="AC41" s="3" t="str">
        <f t="shared" si="3"/>
        <v/>
      </c>
      <c r="AD41" s="172" t="str">
        <f>IF(F41&lt;&gt;"",IF(VLOOKUP(F41,MetricsDefinition!$E$1:$Z$215,20,FALSE)=E41,0,1),"")</f>
        <v/>
      </c>
      <c r="AE41" s="172" t="str">
        <f t="shared" si="4"/>
        <v/>
      </c>
    </row>
    <row r="42" spans="1:31" ht="48.65" customHeight="1">
      <c r="A42" s="30" t="str">
        <f>IF(F42&lt;&gt;"",IFERROR(VLOOKUP(F42,MetricsDefinition!$E$2:$O$506,2,FALSE),""),"")</f>
        <v/>
      </c>
      <c r="B42" s="30" t="str">
        <f t="shared" si="1"/>
        <v/>
      </c>
      <c r="C42" s="30" t="str">
        <f>IF(D42&lt;&gt;"",IFERROR(VLOOKUP(D42,ListMaster!$CE$1:$CG$50,3,FALSE),""),"")</f>
        <v/>
      </c>
      <c r="D42" s="30" t="str">
        <f>IF(F42&lt;&gt;"",IFERROR(VLOOKUP(F42,MetricsDefinition!$E$2:$O$506,3,FALSE),""),"")</f>
        <v/>
      </c>
      <c r="E42" s="193"/>
      <c r="F42" s="415"/>
      <c r="G42" s="30" t="str">
        <f>IF(F42&lt;&gt;"",IFERROR(VLOOKUP(F42,MetricsDefinition!$E$2:$W$506,5,FALSE),""),"")</f>
        <v/>
      </c>
      <c r="H42" s="195" t="str">
        <f>IF(IF($F42&lt;&gt;"",IFERROR(VLOOKUP($F42,MetricsDefinition!$E$2:$W$506,6,FALSE),""),"")&lt;&gt;"", SUBSTITUTE(IF($F42&lt;&gt;"",IFERROR(VLOOKUP($F42,MetricsDefinition!$E$2:$W$506,6,FALSE),""),""),"Size Unit",E$3),"")</f>
        <v/>
      </c>
      <c r="I42" s="195" t="str">
        <f>IF(AND($F42&lt;&gt;"",M42&lt;&gt;""),IFERROR(VLOOKUP($M42,ListMaster!$D$2:$E$9,2,FALSE),""),"")</f>
        <v/>
      </c>
      <c r="J42" s="197"/>
      <c r="K42" s="197"/>
      <c r="L42" s="197"/>
      <c r="M42" s="30" t="str">
        <f>IF($F42&lt;&gt;"",IFERROR(VLOOKUP($F42,MetricsDefinition!$E$2:$W$506,8,FALSE),""),"")</f>
        <v/>
      </c>
      <c r="N42" s="194"/>
      <c r="O42" s="196"/>
      <c r="P42" s="242"/>
      <c r="Q42" s="199"/>
      <c r="R42" s="195" t="str">
        <f>IF($F42&lt;&gt;"",IFERROR(VLOOKUP($F42,MetricsDefinition!$E$2:$W$506,12,FALSE),""),"")</f>
        <v/>
      </c>
      <c r="S42" s="200" t="str">
        <f>IF($F42&lt;&gt;"",IFERROR(VLOOKUP($F42,MetricsDefinition!$E$2:$W$506,13,FALSE),""),"")</f>
        <v/>
      </c>
      <c r="T42" s="275" t="str">
        <f>IF($F42&lt;&gt;"",IFERROR(VLOOKUP($F42,MetricsDefinition!$E$2:$W$507,4,FALSE),""),"")</f>
        <v/>
      </c>
      <c r="U42" s="246"/>
      <c r="V42" s="30" t="str">
        <f>IF($F42&lt;&gt;"",IFERROR(VLOOKUP($F42,MetricsDefinition!$E$2:$W$219,7,FALSE),""),"")</f>
        <v/>
      </c>
      <c r="W42" s="198"/>
      <c r="X42" s="194"/>
      <c r="Y42" s="200" t="str">
        <f>IF(X42="Yes","Control Chart and/or Prediction Model",IF($F42&lt;&gt;"",IFERROR(VLOOKUP($F42,MetricsDefinition!$E$2:$W$507,15,FALSE),""),""))</f>
        <v/>
      </c>
      <c r="Z42" s="201"/>
      <c r="AA42" s="194"/>
      <c r="AB42" s="202"/>
      <c r="AC42" s="3" t="str">
        <f t="shared" si="3"/>
        <v/>
      </c>
      <c r="AD42" s="172" t="str">
        <f>IF(F42&lt;&gt;"",IF(VLOOKUP(F42,MetricsDefinition!$E$1:$Z$215,20,FALSE)=E42,0,1),"")</f>
        <v/>
      </c>
      <c r="AE42" s="172" t="str">
        <f t="shared" si="4"/>
        <v/>
      </c>
    </row>
    <row r="43" spans="1:31" ht="48.65" customHeight="1">
      <c r="A43" s="30" t="str">
        <f>IF(F43&lt;&gt;"",IFERROR(VLOOKUP(F43,MetricsDefinition!$E$2:$O$506,2,FALSE),""),"")</f>
        <v/>
      </c>
      <c r="B43" s="30" t="str">
        <f t="shared" si="1"/>
        <v/>
      </c>
      <c r="C43" s="30" t="str">
        <f>IF(D43&lt;&gt;"",IFERROR(VLOOKUP(D43,ListMaster!$CE$1:$CG$50,3,FALSE),""),"")</f>
        <v/>
      </c>
      <c r="D43" s="30" t="str">
        <f>IF(F43&lt;&gt;"",IFERROR(VLOOKUP(F43,MetricsDefinition!$E$2:$O$506,3,FALSE),""),"")</f>
        <v/>
      </c>
      <c r="E43" s="193"/>
      <c r="F43" s="415"/>
      <c r="G43" s="30" t="str">
        <f>IF(F43&lt;&gt;"",IFERROR(VLOOKUP(F43,MetricsDefinition!$E$2:$W$506,5,FALSE),""),"")</f>
        <v/>
      </c>
      <c r="H43" s="195" t="str">
        <f>IF(IF($F43&lt;&gt;"",IFERROR(VLOOKUP($F43,MetricsDefinition!$E$2:$W$506,6,FALSE),""),"")&lt;&gt;"", SUBSTITUTE(IF($F43&lt;&gt;"",IFERROR(VLOOKUP($F43,MetricsDefinition!$E$2:$W$506,6,FALSE),""),""),"Size Unit",E$3),"")</f>
        <v/>
      </c>
      <c r="I43" s="195" t="str">
        <f>IF(AND($F43&lt;&gt;"",M43&lt;&gt;""),IFERROR(VLOOKUP($M43,ListMaster!$D$2:$E$9,2,FALSE),""),"")</f>
        <v/>
      </c>
      <c r="J43" s="197"/>
      <c r="K43" s="197"/>
      <c r="L43" s="197"/>
      <c r="M43" s="30" t="str">
        <f>IF($F43&lt;&gt;"",IFERROR(VLOOKUP($F43,MetricsDefinition!$E$2:$W$506,8,FALSE),""),"")</f>
        <v/>
      </c>
      <c r="N43" s="194"/>
      <c r="O43" s="196"/>
      <c r="P43" s="242"/>
      <c r="Q43" s="199"/>
      <c r="R43" s="195" t="str">
        <f>IF($F43&lt;&gt;"",IFERROR(VLOOKUP($F43,MetricsDefinition!$E$2:$W$506,12,FALSE),""),"")</f>
        <v/>
      </c>
      <c r="S43" s="200" t="str">
        <f>IF($F43&lt;&gt;"",IFERROR(VLOOKUP($F43,MetricsDefinition!$E$2:$W$506,13,FALSE),""),"")</f>
        <v/>
      </c>
      <c r="T43" s="275" t="str">
        <f>IF($F43&lt;&gt;"",IFERROR(VLOOKUP($F43,MetricsDefinition!$E$2:$W$507,4,FALSE),""),"")</f>
        <v/>
      </c>
      <c r="U43" s="246"/>
      <c r="V43" s="30" t="str">
        <f>IF($F43&lt;&gt;"",IFERROR(VLOOKUP($F43,MetricsDefinition!$E$2:$W$219,7,FALSE),""),"")</f>
        <v/>
      </c>
      <c r="W43" s="198"/>
      <c r="X43" s="194"/>
      <c r="Y43" s="200" t="str">
        <f>IF(X43="Yes","Control Chart and/or Prediction Model",IF($F43&lt;&gt;"",IFERROR(VLOOKUP($F43,MetricsDefinition!$E$2:$W$507,15,FALSE),""),""))</f>
        <v/>
      </c>
      <c r="Z43" s="201"/>
      <c r="AA43" s="194"/>
      <c r="AB43" s="202"/>
      <c r="AC43" s="3" t="str">
        <f t="shared" si="3"/>
        <v/>
      </c>
      <c r="AD43" s="172" t="str">
        <f>IF(F43&lt;&gt;"",IF(VLOOKUP(F43,MetricsDefinition!$E$1:$Z$215,20,FALSE)=E43,0,1),"")</f>
        <v/>
      </c>
      <c r="AE43" s="172" t="str">
        <f t="shared" si="4"/>
        <v/>
      </c>
    </row>
    <row r="44" spans="1:31" ht="48.65" customHeight="1">
      <c r="A44" s="30" t="str">
        <f>IF(F44&lt;&gt;"",IFERROR(VLOOKUP(F44,MetricsDefinition!$E$2:$O$506,2,FALSE),""),"")</f>
        <v/>
      </c>
      <c r="B44" s="30" t="str">
        <f t="shared" si="1"/>
        <v/>
      </c>
      <c r="C44" s="30" t="str">
        <f>IF(D44&lt;&gt;"",IFERROR(VLOOKUP(D44,ListMaster!$CE$1:$CG$50,3,FALSE),""),"")</f>
        <v/>
      </c>
      <c r="D44" s="30" t="str">
        <f>IF(F44&lt;&gt;"",IFERROR(VLOOKUP(F44,MetricsDefinition!$E$2:$O$506,3,FALSE),""),"")</f>
        <v/>
      </c>
      <c r="E44" s="193"/>
      <c r="F44" s="415"/>
      <c r="G44" s="30" t="str">
        <f>IF(F44&lt;&gt;"",IFERROR(VLOOKUP(F44,MetricsDefinition!$E$2:$W$506,5,FALSE),""),"")</f>
        <v/>
      </c>
      <c r="H44" s="195" t="str">
        <f>IF(IF($F44&lt;&gt;"",IFERROR(VLOOKUP($F44,MetricsDefinition!$E$2:$W$506,6,FALSE),""),"")&lt;&gt;"", SUBSTITUTE(IF($F44&lt;&gt;"",IFERROR(VLOOKUP($F44,MetricsDefinition!$E$2:$W$506,6,FALSE),""),""),"Size Unit",E$3),"")</f>
        <v/>
      </c>
      <c r="I44" s="195" t="str">
        <f>IF(AND($F44&lt;&gt;"",M44&lt;&gt;""),IFERROR(VLOOKUP($M44,ListMaster!$D$2:$E$9,2,FALSE),""),"")</f>
        <v/>
      </c>
      <c r="J44" s="197"/>
      <c r="K44" s="197"/>
      <c r="L44" s="197"/>
      <c r="M44" s="30" t="str">
        <f>IF($F44&lt;&gt;"",IFERROR(VLOOKUP($F44,MetricsDefinition!$E$2:$W$506,8,FALSE),""),"")</f>
        <v/>
      </c>
      <c r="N44" s="194"/>
      <c r="O44" s="196"/>
      <c r="P44" s="242"/>
      <c r="Q44" s="199"/>
      <c r="R44" s="195" t="str">
        <f>IF($F44&lt;&gt;"",IFERROR(VLOOKUP($F44,MetricsDefinition!$E$2:$W$506,12,FALSE),""),"")</f>
        <v/>
      </c>
      <c r="S44" s="200" t="str">
        <f>IF($F44&lt;&gt;"",IFERROR(VLOOKUP($F44,MetricsDefinition!$E$2:$W$506,13,FALSE),""),"")</f>
        <v/>
      </c>
      <c r="T44" s="275" t="str">
        <f>IF($F44&lt;&gt;"",IFERROR(VLOOKUP($F44,MetricsDefinition!$E$2:$W$507,4,FALSE),""),"")</f>
        <v/>
      </c>
      <c r="U44" s="246"/>
      <c r="V44" s="30" t="str">
        <f>IF($F44&lt;&gt;"",IFERROR(VLOOKUP($F44,MetricsDefinition!$E$2:$W$219,7,FALSE),""),"")</f>
        <v/>
      </c>
      <c r="W44" s="198"/>
      <c r="X44" s="194"/>
      <c r="Y44" s="200" t="str">
        <f>IF(X44="Yes","Control Chart and/or Prediction Model",IF($F44&lt;&gt;"",IFERROR(VLOOKUP($F44,MetricsDefinition!$E$2:$W$507,15,FALSE),""),""))</f>
        <v/>
      </c>
      <c r="Z44" s="201"/>
      <c r="AA44" s="194"/>
      <c r="AB44" s="202"/>
      <c r="AC44" s="3" t="str">
        <f t="shared" si="3"/>
        <v/>
      </c>
      <c r="AD44" s="172" t="str">
        <f>IF(F44&lt;&gt;"",IF(VLOOKUP(F44,MetricsDefinition!$E$1:$Z$215,20,FALSE)=E44,0,1),"")</f>
        <v/>
      </c>
      <c r="AE44" s="172" t="str">
        <f t="shared" si="4"/>
        <v/>
      </c>
    </row>
    <row r="45" spans="1:31" ht="48.65" customHeight="1">
      <c r="A45" s="30" t="str">
        <f>IF(F45&lt;&gt;"",IFERROR(VLOOKUP(F45,MetricsDefinition!$E$2:$O$506,2,FALSE),""),"")</f>
        <v/>
      </c>
      <c r="B45" s="30" t="str">
        <f t="shared" si="1"/>
        <v/>
      </c>
      <c r="C45" s="30" t="str">
        <f>IF(D45&lt;&gt;"",IFERROR(VLOOKUP(D45,ListMaster!$CE$1:$CG$50,3,FALSE),""),"")</f>
        <v/>
      </c>
      <c r="D45" s="30" t="str">
        <f>IF(F45&lt;&gt;"",IFERROR(VLOOKUP(F45,MetricsDefinition!$E$2:$O$506,3,FALSE),""),"")</f>
        <v/>
      </c>
      <c r="E45" s="193"/>
      <c r="F45" s="415"/>
      <c r="G45" s="30" t="str">
        <f>IF(F45&lt;&gt;"",IFERROR(VLOOKUP(F45,MetricsDefinition!$E$2:$W$506,5,FALSE),""),"")</f>
        <v/>
      </c>
      <c r="H45" s="195" t="str">
        <f>IF(IF($F45&lt;&gt;"",IFERROR(VLOOKUP($F45,MetricsDefinition!$E$2:$W$506,6,FALSE),""),"")&lt;&gt;"", SUBSTITUTE(IF($F45&lt;&gt;"",IFERROR(VLOOKUP($F45,MetricsDefinition!$E$2:$W$506,6,FALSE),""),""),"Size Unit",E$3),"")</f>
        <v/>
      </c>
      <c r="I45" s="195" t="str">
        <f>IF(AND($F45&lt;&gt;"",M45&lt;&gt;""),IFERROR(VLOOKUP($M45,ListMaster!$D$2:$E$9,2,FALSE),""),"")</f>
        <v/>
      </c>
      <c r="J45" s="197"/>
      <c r="K45" s="197"/>
      <c r="L45" s="197"/>
      <c r="M45" s="30" t="str">
        <f>IF($F45&lt;&gt;"",IFERROR(VLOOKUP($F45,MetricsDefinition!$E$2:$W$506,8,FALSE),""),"")</f>
        <v/>
      </c>
      <c r="N45" s="194"/>
      <c r="O45" s="196"/>
      <c r="P45" s="242"/>
      <c r="Q45" s="199"/>
      <c r="R45" s="195" t="str">
        <f>IF($F45&lt;&gt;"",IFERROR(VLOOKUP($F45,MetricsDefinition!$E$2:$W$506,12,FALSE),""),"")</f>
        <v/>
      </c>
      <c r="S45" s="200" t="str">
        <f>IF($F45&lt;&gt;"",IFERROR(VLOOKUP($F45,MetricsDefinition!$E$2:$W$506,13,FALSE),""),"")</f>
        <v/>
      </c>
      <c r="T45" s="275" t="str">
        <f>IF($F45&lt;&gt;"",IFERROR(VLOOKUP($F45,MetricsDefinition!$E$2:$W$507,4,FALSE),""),"")</f>
        <v/>
      </c>
      <c r="U45" s="246"/>
      <c r="V45" s="30" t="str">
        <f>IF($F45&lt;&gt;"",IFERROR(VLOOKUP($F45,MetricsDefinition!$E$2:$W$219,7,FALSE),""),"")</f>
        <v/>
      </c>
      <c r="W45" s="198"/>
      <c r="X45" s="194"/>
      <c r="Y45" s="200" t="str">
        <f>IF(X45="Yes","Control Chart and/or Prediction Model",IF($F45&lt;&gt;"",IFERROR(VLOOKUP($F45,MetricsDefinition!$E$2:$W$507,15,FALSE),""),""))</f>
        <v/>
      </c>
      <c r="Z45" s="201"/>
      <c r="AA45" s="194"/>
      <c r="AB45" s="202"/>
      <c r="AC45" s="3" t="str">
        <f t="shared" si="3"/>
        <v/>
      </c>
      <c r="AD45" s="172" t="str">
        <f>IF(F45&lt;&gt;"",IF(VLOOKUP(F45,MetricsDefinition!$E$1:$Z$215,20,FALSE)=E45,0,1),"")</f>
        <v/>
      </c>
      <c r="AE45" s="172" t="str">
        <f t="shared" si="4"/>
        <v/>
      </c>
    </row>
    <row r="46" spans="1:31" ht="48.65" customHeight="1">
      <c r="A46" s="30" t="str">
        <f>IF(F46&lt;&gt;"",IFERROR(VLOOKUP(F46,MetricsDefinition!$E$2:$O$506,2,FALSE),""),"")</f>
        <v/>
      </c>
      <c r="B46" s="30" t="str">
        <f t="shared" si="1"/>
        <v/>
      </c>
      <c r="C46" s="30" t="str">
        <f>IF(D46&lt;&gt;"",IFERROR(VLOOKUP(D46,ListMaster!$CE$1:$CG$50,3,FALSE),""),"")</f>
        <v/>
      </c>
      <c r="D46" s="30" t="str">
        <f>IF(F46&lt;&gt;"",IFERROR(VLOOKUP(F46,MetricsDefinition!$E$2:$O$506,3,FALSE),""),"")</f>
        <v/>
      </c>
      <c r="E46" s="193"/>
      <c r="F46" s="415"/>
      <c r="G46" s="30" t="str">
        <f>IF(F46&lt;&gt;"",IFERROR(VLOOKUP(F46,MetricsDefinition!$E$2:$W$506,5,FALSE),""),"")</f>
        <v/>
      </c>
      <c r="H46" s="195" t="str">
        <f>IF(IF($F46&lt;&gt;"",IFERROR(VLOOKUP($F46,MetricsDefinition!$E$2:$W$506,6,FALSE),""),"")&lt;&gt;"", SUBSTITUTE(IF($F46&lt;&gt;"",IFERROR(VLOOKUP($F46,MetricsDefinition!$E$2:$W$506,6,FALSE),""),""),"Size Unit",E$3),"")</f>
        <v/>
      </c>
      <c r="I46" s="195" t="str">
        <f>IF(AND($F46&lt;&gt;"",M46&lt;&gt;""),IFERROR(VLOOKUP($M46,ListMaster!$D$2:$E$9,2,FALSE),""),"")</f>
        <v/>
      </c>
      <c r="J46" s="197"/>
      <c r="K46" s="197"/>
      <c r="L46" s="197"/>
      <c r="M46" s="30" t="str">
        <f>IF($F46&lt;&gt;"",IFERROR(VLOOKUP($F46,MetricsDefinition!$E$2:$W$506,8,FALSE),""),"")</f>
        <v/>
      </c>
      <c r="N46" s="194"/>
      <c r="O46" s="196"/>
      <c r="P46" s="242"/>
      <c r="Q46" s="199"/>
      <c r="R46" s="195" t="str">
        <f>IF($F46&lt;&gt;"",IFERROR(VLOOKUP($F46,MetricsDefinition!$E$2:$W$506,12,FALSE),""),"")</f>
        <v/>
      </c>
      <c r="S46" s="200" t="str">
        <f>IF($F46&lt;&gt;"",IFERROR(VLOOKUP($F46,MetricsDefinition!$E$2:$W$506,13,FALSE),""),"")</f>
        <v/>
      </c>
      <c r="T46" s="275" t="str">
        <f>IF($F46&lt;&gt;"",IFERROR(VLOOKUP($F46,MetricsDefinition!$E$2:$W$507,4,FALSE),""),"")</f>
        <v/>
      </c>
      <c r="U46" s="246"/>
      <c r="V46" s="30" t="str">
        <f>IF($F46&lt;&gt;"",IFERROR(VLOOKUP($F46,MetricsDefinition!$E$2:$W$219,7,FALSE),""),"")</f>
        <v/>
      </c>
      <c r="W46" s="198"/>
      <c r="X46" s="194"/>
      <c r="Y46" s="200" t="str">
        <f>IF(X46="Yes","Control Chart and/or Prediction Model",IF($F46&lt;&gt;"",IFERROR(VLOOKUP($F46,MetricsDefinition!$E$2:$W$507,15,FALSE),""),""))</f>
        <v/>
      </c>
      <c r="Z46" s="201"/>
      <c r="AA46" s="194"/>
      <c r="AB46" s="202"/>
      <c r="AC46" s="3" t="str">
        <f t="shared" si="3"/>
        <v/>
      </c>
      <c r="AD46" s="172" t="str">
        <f>IF(F46&lt;&gt;"",IF(VLOOKUP(F46,MetricsDefinition!$E$1:$Z$215,20,FALSE)=E46,0,1),"")</f>
        <v/>
      </c>
      <c r="AE46" s="172" t="str">
        <f t="shared" si="4"/>
        <v/>
      </c>
    </row>
    <row r="47" spans="1:31" ht="48.65" customHeight="1">
      <c r="A47" s="30" t="str">
        <f>IF(F47&lt;&gt;"",IFERROR(VLOOKUP(F47,MetricsDefinition!$E$2:$O$506,2,FALSE),""),"")</f>
        <v/>
      </c>
      <c r="B47" s="30" t="str">
        <f t="shared" si="1"/>
        <v/>
      </c>
      <c r="C47" s="30" t="str">
        <f>IF(D47&lt;&gt;"",IFERROR(VLOOKUP(D47,ListMaster!$CE$1:$CG$50,3,FALSE),""),"")</f>
        <v/>
      </c>
      <c r="D47" s="30" t="str">
        <f>IF(F47&lt;&gt;"",IFERROR(VLOOKUP(F47,MetricsDefinition!$E$2:$O$506,3,FALSE),""),"")</f>
        <v/>
      </c>
      <c r="E47" s="193"/>
      <c r="F47" s="415"/>
      <c r="G47" s="30" t="str">
        <f>IF(F47&lt;&gt;"",IFERROR(VLOOKUP(F47,MetricsDefinition!$E$2:$W$506,5,FALSE),""),"")</f>
        <v/>
      </c>
      <c r="H47" s="195" t="str">
        <f>IF(IF($F47&lt;&gt;"",IFERROR(VLOOKUP($F47,MetricsDefinition!$E$2:$W$506,6,FALSE),""),"")&lt;&gt;"", SUBSTITUTE(IF($F47&lt;&gt;"",IFERROR(VLOOKUP($F47,MetricsDefinition!$E$2:$W$506,6,FALSE),""),""),"Size Unit",E$3),"")</f>
        <v/>
      </c>
      <c r="I47" s="195" t="str">
        <f>IF(AND($F47&lt;&gt;"",M47&lt;&gt;""),IFERROR(VLOOKUP($M47,ListMaster!$D$2:$E$9,2,FALSE),""),"")</f>
        <v/>
      </c>
      <c r="J47" s="197"/>
      <c r="K47" s="197"/>
      <c r="L47" s="197"/>
      <c r="M47" s="30" t="str">
        <f>IF($F47&lt;&gt;"",IFERROR(VLOOKUP($F47,MetricsDefinition!$E$2:$W$506,8,FALSE),""),"")</f>
        <v/>
      </c>
      <c r="N47" s="194"/>
      <c r="O47" s="196"/>
      <c r="P47" s="242"/>
      <c r="Q47" s="199"/>
      <c r="R47" s="195" t="str">
        <f>IF($F47&lt;&gt;"",IFERROR(VLOOKUP($F47,MetricsDefinition!$E$2:$W$506,12,FALSE),""),"")</f>
        <v/>
      </c>
      <c r="S47" s="200" t="str">
        <f>IF($F47&lt;&gt;"",IFERROR(VLOOKUP($F47,MetricsDefinition!$E$2:$W$506,13,FALSE),""),"")</f>
        <v/>
      </c>
      <c r="T47" s="275" t="str">
        <f>IF($F47&lt;&gt;"",IFERROR(VLOOKUP($F47,MetricsDefinition!$E$2:$W$507,4,FALSE),""),"")</f>
        <v/>
      </c>
      <c r="U47" s="246"/>
      <c r="V47" s="30" t="str">
        <f>IF($F47&lt;&gt;"",IFERROR(VLOOKUP($F47,MetricsDefinition!$E$2:$W$219,7,FALSE),""),"")</f>
        <v/>
      </c>
      <c r="W47" s="198"/>
      <c r="X47" s="194"/>
      <c r="Y47" s="200" t="str">
        <f>IF(X47="Yes","Control Chart and/or Prediction Model",IF($F47&lt;&gt;"",IFERROR(VLOOKUP($F47,MetricsDefinition!$E$2:$W$507,15,FALSE),""),""))</f>
        <v/>
      </c>
      <c r="Z47" s="201"/>
      <c r="AA47" s="194"/>
      <c r="AB47" s="202"/>
      <c r="AC47" s="3" t="str">
        <f t="shared" si="3"/>
        <v/>
      </c>
      <c r="AD47" s="172" t="str">
        <f>IF(F47&lt;&gt;"",IF(VLOOKUP(F47,MetricsDefinition!$E$1:$Z$215,20,FALSE)=E47,0,1),"")</f>
        <v/>
      </c>
      <c r="AE47" s="172" t="str">
        <f t="shared" si="4"/>
        <v/>
      </c>
    </row>
    <row r="48" spans="1:31" ht="48.65" customHeight="1">
      <c r="A48" s="30" t="str">
        <f>IF(F48&lt;&gt;"",IFERROR(VLOOKUP(F48,MetricsDefinition!$E$2:$O$506,2,FALSE),""),"")</f>
        <v/>
      </c>
      <c r="B48" s="30" t="str">
        <f t="shared" si="1"/>
        <v/>
      </c>
      <c r="C48" s="30" t="str">
        <f>IF(D48&lt;&gt;"",IFERROR(VLOOKUP(D48,ListMaster!$CE$1:$CG$50,3,FALSE),""),"")</f>
        <v/>
      </c>
      <c r="D48" s="30" t="str">
        <f>IF(F48&lt;&gt;"",IFERROR(VLOOKUP(F48,MetricsDefinition!$E$2:$O$506,3,FALSE),""),"")</f>
        <v/>
      </c>
      <c r="E48" s="193"/>
      <c r="F48" s="415"/>
      <c r="G48" s="30" t="str">
        <f>IF(F48&lt;&gt;"",IFERROR(VLOOKUP(F48,MetricsDefinition!$E$2:$W$506,5,FALSE),""),"")</f>
        <v/>
      </c>
      <c r="H48" s="195" t="str">
        <f>IF(IF($F48&lt;&gt;"",IFERROR(VLOOKUP($F48,MetricsDefinition!$E$2:$W$506,6,FALSE),""),"")&lt;&gt;"", SUBSTITUTE(IF($F48&lt;&gt;"",IFERROR(VLOOKUP($F48,MetricsDefinition!$E$2:$W$506,6,FALSE),""),""),"Size Unit",E$3),"")</f>
        <v/>
      </c>
      <c r="I48" s="195" t="str">
        <f>IF(AND($F48&lt;&gt;"",M48&lt;&gt;""),IFERROR(VLOOKUP($M48,ListMaster!$D$2:$E$9,2,FALSE),""),"")</f>
        <v/>
      </c>
      <c r="J48" s="197"/>
      <c r="K48" s="197"/>
      <c r="L48" s="197"/>
      <c r="M48" s="30" t="str">
        <f>IF($F48&lt;&gt;"",IFERROR(VLOOKUP($F48,MetricsDefinition!$E$2:$W$506,8,FALSE),""),"")</f>
        <v/>
      </c>
      <c r="N48" s="194"/>
      <c r="O48" s="196"/>
      <c r="P48" s="242"/>
      <c r="Q48" s="199"/>
      <c r="R48" s="195" t="str">
        <f>IF($F48&lt;&gt;"",IFERROR(VLOOKUP($F48,MetricsDefinition!$E$2:$W$506,12,FALSE),""),"")</f>
        <v/>
      </c>
      <c r="S48" s="200" t="str">
        <f>IF($F48&lt;&gt;"",IFERROR(VLOOKUP($F48,MetricsDefinition!$E$2:$W$506,13,FALSE),""),"")</f>
        <v/>
      </c>
      <c r="T48" s="275" t="str">
        <f>IF($F48&lt;&gt;"",IFERROR(VLOOKUP($F48,MetricsDefinition!$E$2:$W$507,4,FALSE),""),"")</f>
        <v/>
      </c>
      <c r="U48" s="246"/>
      <c r="V48" s="30" t="str">
        <f>IF($F48&lt;&gt;"",IFERROR(VLOOKUP($F48,MetricsDefinition!$E$2:$W$219,7,FALSE),""),"")</f>
        <v/>
      </c>
      <c r="W48" s="198"/>
      <c r="X48" s="194"/>
      <c r="Y48" s="200" t="str">
        <f>IF(X48="Yes","Control Chart and/or Prediction Model",IF($F48&lt;&gt;"",IFERROR(VLOOKUP($F48,MetricsDefinition!$E$2:$W$507,15,FALSE),""),""))</f>
        <v/>
      </c>
      <c r="Z48" s="201"/>
      <c r="AA48" s="194"/>
      <c r="AB48" s="202"/>
      <c r="AC48" s="3" t="str">
        <f t="shared" si="3"/>
        <v/>
      </c>
      <c r="AD48" s="172" t="str">
        <f>IF(F48&lt;&gt;"",IF(VLOOKUP(F48,MetricsDefinition!$E$1:$Z$215,20,FALSE)=E48,0,1),"")</f>
        <v/>
      </c>
      <c r="AE48" s="172" t="str">
        <f t="shared" si="4"/>
        <v/>
      </c>
    </row>
    <row r="49" spans="1:31" ht="48.65" customHeight="1">
      <c r="A49" s="30" t="str">
        <f>IF(F49&lt;&gt;"",IFERROR(VLOOKUP(F49,MetricsDefinition!$E$2:$O$506,2,FALSE),""),"")</f>
        <v/>
      </c>
      <c r="B49" s="30" t="str">
        <f t="shared" si="1"/>
        <v/>
      </c>
      <c r="C49" s="30" t="str">
        <f>IF(D49&lt;&gt;"",IFERROR(VLOOKUP(D49,ListMaster!$CE$1:$CG$50,3,FALSE),""),"")</f>
        <v/>
      </c>
      <c r="D49" s="30" t="str">
        <f>IF(F49&lt;&gt;"",IFERROR(VLOOKUP(F49,MetricsDefinition!$E$2:$O$506,3,FALSE),""),"")</f>
        <v/>
      </c>
      <c r="E49" s="193"/>
      <c r="F49" s="415"/>
      <c r="G49" s="30" t="str">
        <f>IF(F49&lt;&gt;"",IFERROR(VLOOKUP(F49,MetricsDefinition!$E$2:$W$506,5,FALSE),""),"")</f>
        <v/>
      </c>
      <c r="H49" s="195" t="str">
        <f>IF(IF($F49&lt;&gt;"",IFERROR(VLOOKUP($F49,MetricsDefinition!$E$2:$W$506,6,FALSE),""),"")&lt;&gt;"", SUBSTITUTE(IF($F49&lt;&gt;"",IFERROR(VLOOKUP($F49,MetricsDefinition!$E$2:$W$506,6,FALSE),""),""),"Size Unit",E$3),"")</f>
        <v/>
      </c>
      <c r="I49" s="195" t="str">
        <f>IF(AND($F49&lt;&gt;"",M49&lt;&gt;""),IFERROR(VLOOKUP($M49,ListMaster!$D$2:$E$9,2,FALSE),""),"")</f>
        <v/>
      </c>
      <c r="J49" s="197"/>
      <c r="K49" s="197"/>
      <c r="L49" s="197"/>
      <c r="M49" s="30" t="str">
        <f>IF($F49&lt;&gt;"",IFERROR(VLOOKUP($F49,MetricsDefinition!$E$2:$W$506,8,FALSE),""),"")</f>
        <v/>
      </c>
      <c r="N49" s="194"/>
      <c r="O49" s="196"/>
      <c r="P49" s="242"/>
      <c r="Q49" s="199"/>
      <c r="R49" s="195" t="str">
        <f>IF($F49&lt;&gt;"",IFERROR(VLOOKUP($F49,MetricsDefinition!$E$2:$W$506,12,FALSE),""),"")</f>
        <v/>
      </c>
      <c r="S49" s="200" t="str">
        <f>IF($F49&lt;&gt;"",IFERROR(VLOOKUP($F49,MetricsDefinition!$E$2:$W$506,13,FALSE),""),"")</f>
        <v/>
      </c>
      <c r="T49" s="275" t="str">
        <f>IF($F49&lt;&gt;"",IFERROR(VLOOKUP($F49,MetricsDefinition!$E$2:$W$507,4,FALSE),""),"")</f>
        <v/>
      </c>
      <c r="U49" s="246"/>
      <c r="V49" s="30" t="str">
        <f>IF($F49&lt;&gt;"",IFERROR(VLOOKUP($F49,MetricsDefinition!$E$2:$W$219,7,FALSE),""),"")</f>
        <v/>
      </c>
      <c r="W49" s="198"/>
      <c r="X49" s="194"/>
      <c r="Y49" s="200" t="str">
        <f>IF(X49="Yes","Control Chart and/or Prediction Model",IF($F49&lt;&gt;"",IFERROR(VLOOKUP($F49,MetricsDefinition!$E$2:$W$507,15,FALSE),""),""))</f>
        <v/>
      </c>
      <c r="Z49" s="201"/>
      <c r="AA49" s="194"/>
      <c r="AB49" s="202"/>
      <c r="AC49" s="3" t="str">
        <f t="shared" si="3"/>
        <v/>
      </c>
      <c r="AD49" s="172" t="str">
        <f>IF(F49&lt;&gt;"",IF(VLOOKUP(F49,MetricsDefinition!$E$1:$Z$215,20,FALSE)=E49,0,1),"")</f>
        <v/>
      </c>
      <c r="AE49" s="172" t="str">
        <f t="shared" si="4"/>
        <v/>
      </c>
    </row>
    <row r="50" spans="1:31" ht="48.65" customHeight="1">
      <c r="A50" s="30" t="str">
        <f>IF(F50&lt;&gt;"",IFERROR(VLOOKUP(F50,MetricsDefinition!$E$2:$O$506,2,FALSE),""),"")</f>
        <v/>
      </c>
      <c r="B50" s="30" t="str">
        <f t="shared" si="1"/>
        <v/>
      </c>
      <c r="C50" s="30" t="str">
        <f>IF(D50&lt;&gt;"",IFERROR(VLOOKUP(D50,ListMaster!$CE$1:$CG$50,3,FALSE),""),"")</f>
        <v/>
      </c>
      <c r="D50" s="30" t="str">
        <f>IF(F50&lt;&gt;"",IFERROR(VLOOKUP(F50,MetricsDefinition!$E$2:$O$506,3,FALSE),""),"")</f>
        <v/>
      </c>
      <c r="E50" s="193"/>
      <c r="F50" s="415"/>
      <c r="G50" s="30" t="str">
        <f>IF(F50&lt;&gt;"",IFERROR(VLOOKUP(F50,MetricsDefinition!$E$2:$W$506,5,FALSE),""),"")</f>
        <v/>
      </c>
      <c r="H50" s="195" t="str">
        <f>IF(IF($F50&lt;&gt;"",IFERROR(VLOOKUP($F50,MetricsDefinition!$E$2:$W$506,6,FALSE),""),"")&lt;&gt;"", SUBSTITUTE(IF($F50&lt;&gt;"",IFERROR(VLOOKUP($F50,MetricsDefinition!$E$2:$W$506,6,FALSE),""),""),"Size Unit",E$3),"")</f>
        <v/>
      </c>
      <c r="I50" s="195" t="str">
        <f>IF(AND($F50&lt;&gt;"",M50&lt;&gt;""),IFERROR(VLOOKUP($M50,ListMaster!$D$2:$E$9,2,FALSE),""),"")</f>
        <v/>
      </c>
      <c r="J50" s="197"/>
      <c r="K50" s="197"/>
      <c r="L50" s="197"/>
      <c r="M50" s="30" t="str">
        <f>IF($F50&lt;&gt;"",IFERROR(VLOOKUP($F50,MetricsDefinition!$E$2:$W$506,8,FALSE),""),"")</f>
        <v/>
      </c>
      <c r="N50" s="194"/>
      <c r="O50" s="196"/>
      <c r="P50" s="242"/>
      <c r="Q50" s="199"/>
      <c r="R50" s="195" t="str">
        <f>IF($F50&lt;&gt;"",IFERROR(VLOOKUP($F50,MetricsDefinition!$E$2:$W$506,12,FALSE),""),"")</f>
        <v/>
      </c>
      <c r="S50" s="200" t="str">
        <f>IF($F50&lt;&gt;"",IFERROR(VLOOKUP($F50,MetricsDefinition!$E$2:$W$506,13,FALSE),""),"")</f>
        <v/>
      </c>
      <c r="T50" s="275" t="str">
        <f>IF($F50&lt;&gt;"",IFERROR(VLOOKUP($F50,MetricsDefinition!$E$2:$W$507,4,FALSE),""),"")</f>
        <v/>
      </c>
      <c r="U50" s="246"/>
      <c r="V50" s="30" t="str">
        <f>IF($F50&lt;&gt;"",IFERROR(VLOOKUP($F50,MetricsDefinition!$E$2:$W$219,7,FALSE),""),"")</f>
        <v/>
      </c>
      <c r="W50" s="198"/>
      <c r="X50" s="194"/>
      <c r="Y50" s="200" t="str">
        <f>IF(X50="Yes","Control Chart and/or Prediction Model",IF($F50&lt;&gt;"",IFERROR(VLOOKUP($F50,MetricsDefinition!$E$2:$W$507,15,FALSE),""),""))</f>
        <v/>
      </c>
      <c r="Z50" s="201"/>
      <c r="AA50" s="194"/>
      <c r="AB50" s="202"/>
      <c r="AC50" s="3" t="str">
        <f t="shared" si="3"/>
        <v/>
      </c>
      <c r="AD50" s="172" t="str">
        <f>IF(F50&lt;&gt;"",IF(VLOOKUP(F50,MetricsDefinition!$E$1:$Z$215,20,FALSE)=E50,0,1),"")</f>
        <v/>
      </c>
      <c r="AE50" s="172" t="str">
        <f t="shared" si="4"/>
        <v/>
      </c>
    </row>
    <row r="51" spans="1:31" ht="48.65" customHeight="1">
      <c r="A51" s="30" t="str">
        <f>IF(F51&lt;&gt;"",IFERROR(VLOOKUP(F51,MetricsDefinition!$E$2:$O$506,2,FALSE),""),"")</f>
        <v/>
      </c>
      <c r="B51" s="30" t="str">
        <f t="shared" si="1"/>
        <v/>
      </c>
      <c r="C51" s="30" t="str">
        <f>IF(D51&lt;&gt;"",IFERROR(VLOOKUP(D51,ListMaster!$CE$1:$CG$50,3,FALSE),""),"")</f>
        <v/>
      </c>
      <c r="D51" s="30" t="str">
        <f>IF(F51&lt;&gt;"",IFERROR(VLOOKUP(F51,MetricsDefinition!$E$2:$O$506,3,FALSE),""),"")</f>
        <v/>
      </c>
      <c r="E51" s="193"/>
      <c r="F51" s="415"/>
      <c r="G51" s="30" t="str">
        <f>IF(F51&lt;&gt;"",IFERROR(VLOOKUP(F51,MetricsDefinition!$E$2:$W$506,5,FALSE),""),"")</f>
        <v/>
      </c>
      <c r="H51" s="195" t="str">
        <f>IF(IF($F51&lt;&gt;"",IFERROR(VLOOKUP($F51,MetricsDefinition!$E$2:$W$506,6,FALSE),""),"")&lt;&gt;"", SUBSTITUTE(IF($F51&lt;&gt;"",IFERROR(VLOOKUP($F51,MetricsDefinition!$E$2:$W$506,6,FALSE),""),""),"Size Unit",E$3),"")</f>
        <v/>
      </c>
      <c r="I51" s="195" t="str">
        <f>IF(AND($F51&lt;&gt;"",M51&lt;&gt;""),IFERROR(VLOOKUP($M51,ListMaster!$D$2:$E$9,2,FALSE),""),"")</f>
        <v/>
      </c>
      <c r="J51" s="197"/>
      <c r="K51" s="197"/>
      <c r="L51" s="197"/>
      <c r="M51" s="30" t="str">
        <f>IF($F51&lt;&gt;"",IFERROR(VLOOKUP($F51,MetricsDefinition!$E$2:$W$506,8,FALSE),""),"")</f>
        <v/>
      </c>
      <c r="N51" s="194"/>
      <c r="O51" s="196"/>
      <c r="P51" s="242"/>
      <c r="Q51" s="199"/>
      <c r="R51" s="195" t="str">
        <f>IF($F51&lt;&gt;"",IFERROR(VLOOKUP($F51,MetricsDefinition!$E$2:$W$506,12,FALSE),""),"")</f>
        <v/>
      </c>
      <c r="S51" s="200" t="str">
        <f>IF($F51&lt;&gt;"",IFERROR(VLOOKUP($F51,MetricsDefinition!$E$2:$W$506,13,FALSE),""),"")</f>
        <v/>
      </c>
      <c r="T51" s="275" t="str">
        <f>IF($F51&lt;&gt;"",IFERROR(VLOOKUP($F51,MetricsDefinition!$E$2:$W$507,4,FALSE),""),"")</f>
        <v/>
      </c>
      <c r="U51" s="246"/>
      <c r="V51" s="30" t="str">
        <f>IF($F51&lt;&gt;"",IFERROR(VLOOKUP($F51,MetricsDefinition!$E$2:$W$219,7,FALSE),""),"")</f>
        <v/>
      </c>
      <c r="W51" s="198"/>
      <c r="X51" s="194"/>
      <c r="Y51" s="200" t="str">
        <f>IF(X51="Yes","Control Chart and/or Prediction Model",IF($F51&lt;&gt;"",IFERROR(VLOOKUP($F51,MetricsDefinition!$E$2:$W$507,15,FALSE),""),""))</f>
        <v/>
      </c>
      <c r="Z51" s="201"/>
      <c r="AA51" s="194"/>
      <c r="AB51" s="202"/>
      <c r="AC51" s="3" t="str">
        <f t="shared" si="3"/>
        <v/>
      </c>
      <c r="AD51" s="172" t="str">
        <f>IF(F51&lt;&gt;"",IF(VLOOKUP(F51,MetricsDefinition!$E$1:$Z$215,20,FALSE)=E51,0,1),"")</f>
        <v/>
      </c>
      <c r="AE51" s="172" t="str">
        <f t="shared" si="4"/>
        <v/>
      </c>
    </row>
    <row r="52" spans="1:31" ht="48.65" customHeight="1">
      <c r="A52" s="30" t="str">
        <f>IF(F52&lt;&gt;"",IFERROR(VLOOKUP(F52,MetricsDefinition!$E$2:$O$506,2,FALSE),""),"")</f>
        <v/>
      </c>
      <c r="B52" s="30" t="str">
        <f t="shared" si="1"/>
        <v/>
      </c>
      <c r="C52" s="30" t="str">
        <f>IF(D52&lt;&gt;"",IFERROR(VLOOKUP(D52,ListMaster!$CE$1:$CG$50,3,FALSE),""),"")</f>
        <v/>
      </c>
      <c r="D52" s="30" t="str">
        <f>IF(F52&lt;&gt;"",IFERROR(VLOOKUP(F52,MetricsDefinition!$E$2:$O$506,3,FALSE),""),"")</f>
        <v/>
      </c>
      <c r="E52" s="193"/>
      <c r="F52" s="415"/>
      <c r="G52" s="30" t="str">
        <f>IF(F52&lt;&gt;"",IFERROR(VLOOKUP(F52,MetricsDefinition!$E$2:$W$506,5,FALSE),""),"")</f>
        <v/>
      </c>
      <c r="H52" s="195" t="str">
        <f>IF(IF($F52&lt;&gt;"",IFERROR(VLOOKUP($F52,MetricsDefinition!$E$2:$W$506,6,FALSE),""),"")&lt;&gt;"", SUBSTITUTE(IF($F52&lt;&gt;"",IFERROR(VLOOKUP($F52,MetricsDefinition!$E$2:$W$506,6,FALSE),""),""),"Size Unit",E$3),"")</f>
        <v/>
      </c>
      <c r="I52" s="195" t="str">
        <f>IF(AND($F52&lt;&gt;"",M52&lt;&gt;""),IFERROR(VLOOKUP($M52,ListMaster!$D$2:$E$9,2,FALSE),""),"")</f>
        <v/>
      </c>
      <c r="J52" s="197"/>
      <c r="K52" s="197"/>
      <c r="L52" s="197"/>
      <c r="M52" s="30" t="str">
        <f>IF($F52&lt;&gt;"",IFERROR(VLOOKUP($F52,MetricsDefinition!$E$2:$W$506,8,FALSE),""),"")</f>
        <v/>
      </c>
      <c r="N52" s="194"/>
      <c r="O52" s="196"/>
      <c r="P52" s="242"/>
      <c r="Q52" s="199"/>
      <c r="R52" s="195" t="str">
        <f>IF($F52&lt;&gt;"",IFERROR(VLOOKUP($F52,MetricsDefinition!$E$2:$W$506,12,FALSE),""),"")</f>
        <v/>
      </c>
      <c r="S52" s="200" t="str">
        <f>IF($F52&lt;&gt;"",IFERROR(VLOOKUP($F52,MetricsDefinition!$E$2:$W$506,13,FALSE),""),"")</f>
        <v/>
      </c>
      <c r="T52" s="275" t="str">
        <f>IF($F52&lt;&gt;"",IFERROR(VLOOKUP($F52,MetricsDefinition!$E$2:$W$507,4,FALSE),""),"")</f>
        <v/>
      </c>
      <c r="U52" s="246"/>
      <c r="V52" s="30" t="str">
        <f>IF($F52&lt;&gt;"",IFERROR(VLOOKUP($F52,MetricsDefinition!$E$2:$W$219,7,FALSE),""),"")</f>
        <v/>
      </c>
      <c r="W52" s="198"/>
      <c r="X52" s="194"/>
      <c r="Y52" s="200" t="str">
        <f>IF(X52="Yes","Control Chart and/or Prediction Model",IF($F52&lt;&gt;"",IFERROR(VLOOKUP($F52,MetricsDefinition!$E$2:$W$507,15,FALSE),""),""))</f>
        <v/>
      </c>
      <c r="Z52" s="201"/>
      <c r="AA52" s="194"/>
      <c r="AB52" s="202"/>
      <c r="AC52" s="3" t="str">
        <f t="shared" si="3"/>
        <v/>
      </c>
      <c r="AD52" s="172" t="str">
        <f>IF(F52&lt;&gt;"",IF(VLOOKUP(F52,MetricsDefinition!$E$1:$Z$215,20,FALSE)=E52,0,1),"")</f>
        <v/>
      </c>
      <c r="AE52" s="172" t="str">
        <f t="shared" si="4"/>
        <v/>
      </c>
    </row>
    <row r="53" spans="1:31" ht="48.65" customHeight="1">
      <c r="A53" s="30" t="str">
        <f>IF(F53&lt;&gt;"",IFERROR(VLOOKUP(F53,MetricsDefinition!$E$2:$O$506,2,FALSE),""),"")</f>
        <v/>
      </c>
      <c r="B53" s="30" t="str">
        <f t="shared" si="1"/>
        <v/>
      </c>
      <c r="C53" s="30" t="str">
        <f>IF(D53&lt;&gt;"",IFERROR(VLOOKUP(D53,ListMaster!$CE$1:$CG$50,3,FALSE),""),"")</f>
        <v/>
      </c>
      <c r="D53" s="30" t="str">
        <f>IF(F53&lt;&gt;"",IFERROR(VLOOKUP(F53,MetricsDefinition!$E$2:$O$506,3,FALSE),""),"")</f>
        <v/>
      </c>
      <c r="E53" s="193"/>
      <c r="F53" s="415"/>
      <c r="G53" s="30" t="str">
        <f>IF(F53&lt;&gt;"",IFERROR(VLOOKUP(F53,MetricsDefinition!$E$2:$W$506,5,FALSE),""),"")</f>
        <v/>
      </c>
      <c r="H53" s="195" t="str">
        <f>IF(IF($F53&lt;&gt;"",IFERROR(VLOOKUP($F53,MetricsDefinition!$E$2:$W$506,6,FALSE),""),"")&lt;&gt;"", SUBSTITUTE(IF($F53&lt;&gt;"",IFERROR(VLOOKUP($F53,MetricsDefinition!$E$2:$W$506,6,FALSE),""),""),"Size Unit",E$3),"")</f>
        <v/>
      </c>
      <c r="I53" s="195" t="str">
        <f>IF(AND($F53&lt;&gt;"",M53&lt;&gt;""),IFERROR(VLOOKUP($M53,ListMaster!$D$2:$E$9,2,FALSE),""),"")</f>
        <v/>
      </c>
      <c r="J53" s="197"/>
      <c r="K53" s="197"/>
      <c r="L53" s="197"/>
      <c r="M53" s="30" t="str">
        <f>IF($F53&lt;&gt;"",IFERROR(VLOOKUP($F53,MetricsDefinition!$E$2:$W$506,8,FALSE),""),"")</f>
        <v/>
      </c>
      <c r="N53" s="194"/>
      <c r="O53" s="196"/>
      <c r="P53" s="242"/>
      <c r="Q53" s="199"/>
      <c r="R53" s="195" t="str">
        <f>IF($F53&lt;&gt;"",IFERROR(VLOOKUP($F53,MetricsDefinition!$E$2:$W$506,12,FALSE),""),"")</f>
        <v/>
      </c>
      <c r="S53" s="200" t="str">
        <f>IF($F53&lt;&gt;"",IFERROR(VLOOKUP($F53,MetricsDefinition!$E$2:$W$506,13,FALSE),""),"")</f>
        <v/>
      </c>
      <c r="T53" s="275" t="str">
        <f>IF($F53&lt;&gt;"",IFERROR(VLOOKUP($F53,MetricsDefinition!$E$2:$W$507,4,FALSE),""),"")</f>
        <v/>
      </c>
      <c r="U53" s="246"/>
      <c r="V53" s="30" t="str">
        <f>IF($F53&lt;&gt;"",IFERROR(VLOOKUP($F53,MetricsDefinition!$E$2:$W$219,7,FALSE),""),"")</f>
        <v/>
      </c>
      <c r="W53" s="198"/>
      <c r="X53" s="194"/>
      <c r="Y53" s="200" t="str">
        <f>IF(X53="Yes","Control Chart and/or Prediction Model",IF($F53&lt;&gt;"",IFERROR(VLOOKUP($F53,MetricsDefinition!$E$2:$W$507,15,FALSE),""),""))</f>
        <v/>
      </c>
      <c r="Z53" s="201"/>
      <c r="AA53" s="194"/>
      <c r="AB53" s="202"/>
      <c r="AC53" s="3" t="str">
        <f t="shared" si="3"/>
        <v/>
      </c>
      <c r="AD53" s="172" t="str">
        <f>IF(F53&lt;&gt;"",IF(VLOOKUP(F53,MetricsDefinition!$E$1:$Z$215,20,FALSE)=E53,0,1),"")</f>
        <v/>
      </c>
      <c r="AE53" s="172" t="str">
        <f t="shared" si="4"/>
        <v/>
      </c>
    </row>
    <row r="54" spans="1:31" ht="48.65" customHeight="1">
      <c r="A54" s="30" t="str">
        <f>IF(F54&lt;&gt;"",IFERROR(VLOOKUP(F54,MetricsDefinition!$E$2:$O$506,2,FALSE),""),"")</f>
        <v/>
      </c>
      <c r="B54" s="30" t="str">
        <f t="shared" si="1"/>
        <v/>
      </c>
      <c r="C54" s="30" t="str">
        <f>IF(D54&lt;&gt;"",IFERROR(VLOOKUP(D54,ListMaster!$CE$1:$CG$50,3,FALSE),""),"")</f>
        <v/>
      </c>
      <c r="D54" s="30" t="str">
        <f>IF(F54&lt;&gt;"",IFERROR(VLOOKUP(F54,MetricsDefinition!$E$2:$O$506,3,FALSE),""),"")</f>
        <v/>
      </c>
      <c r="E54" s="193"/>
      <c r="F54" s="415"/>
      <c r="G54" s="30" t="str">
        <f>IF(F54&lt;&gt;"",IFERROR(VLOOKUP(F54,MetricsDefinition!$E$2:$W$506,5,FALSE),""),"")</f>
        <v/>
      </c>
      <c r="H54" s="195" t="str">
        <f>IF(IF($F54&lt;&gt;"",IFERROR(VLOOKUP($F54,MetricsDefinition!$E$2:$W$506,6,FALSE),""),"")&lt;&gt;"", SUBSTITUTE(IF($F54&lt;&gt;"",IFERROR(VLOOKUP($F54,MetricsDefinition!$E$2:$W$506,6,FALSE),""),""),"Size Unit",E$3),"")</f>
        <v/>
      </c>
      <c r="I54" s="195" t="str">
        <f>IF(AND($F54&lt;&gt;"",M54&lt;&gt;""),IFERROR(VLOOKUP($M54,ListMaster!$D$2:$E$9,2,FALSE),""),"")</f>
        <v/>
      </c>
      <c r="J54" s="197"/>
      <c r="K54" s="197"/>
      <c r="L54" s="197"/>
      <c r="M54" s="30" t="str">
        <f>IF($F54&lt;&gt;"",IFERROR(VLOOKUP($F54,MetricsDefinition!$E$2:$W$506,8,FALSE),""),"")</f>
        <v/>
      </c>
      <c r="N54" s="194"/>
      <c r="O54" s="196"/>
      <c r="P54" s="242"/>
      <c r="Q54" s="199"/>
      <c r="R54" s="195" t="str">
        <f>IF($F54&lt;&gt;"",IFERROR(VLOOKUP($F54,MetricsDefinition!$E$2:$W$506,12,FALSE),""),"")</f>
        <v/>
      </c>
      <c r="S54" s="200" t="str">
        <f>IF($F54&lt;&gt;"",IFERROR(VLOOKUP($F54,MetricsDefinition!$E$2:$W$506,13,FALSE),""),"")</f>
        <v/>
      </c>
      <c r="T54" s="275" t="str">
        <f>IF($F54&lt;&gt;"",IFERROR(VLOOKUP($F54,MetricsDefinition!$E$2:$W$507,4,FALSE),""),"")</f>
        <v/>
      </c>
      <c r="U54" s="246"/>
      <c r="V54" s="30" t="str">
        <f>IF($F54&lt;&gt;"",IFERROR(VLOOKUP($F54,MetricsDefinition!$E$2:$W$219,7,FALSE),""),"")</f>
        <v/>
      </c>
      <c r="W54" s="198"/>
      <c r="X54" s="194"/>
      <c r="Y54" s="200" t="str">
        <f>IF(X54="Yes","Control Chart and/or Prediction Model",IF($F54&lt;&gt;"",IFERROR(VLOOKUP($F54,MetricsDefinition!$E$2:$W$507,15,FALSE),""),""))</f>
        <v/>
      </c>
      <c r="Z54" s="201"/>
      <c r="AA54" s="194"/>
      <c r="AB54" s="202"/>
      <c r="AC54" s="3" t="str">
        <f t="shared" si="3"/>
        <v/>
      </c>
      <c r="AD54" s="172" t="str">
        <f>IF(F54&lt;&gt;"",IF(VLOOKUP(F54,MetricsDefinition!$E$1:$Z$215,20,FALSE)=E54,0,1),"")</f>
        <v/>
      </c>
      <c r="AE54" s="172" t="str">
        <f t="shared" si="4"/>
        <v/>
      </c>
    </row>
    <row r="55" spans="1:31" ht="48.65" customHeight="1">
      <c r="A55" s="30" t="str">
        <f>IF(F55&lt;&gt;"",IFERROR(VLOOKUP(F55,MetricsDefinition!$E$2:$O$506,2,FALSE),""),"")</f>
        <v/>
      </c>
      <c r="B55" s="30" t="str">
        <f t="shared" si="1"/>
        <v/>
      </c>
      <c r="C55" s="30" t="str">
        <f>IF(D55&lt;&gt;"",IFERROR(VLOOKUP(D55,ListMaster!$CE$1:$CG$50,3,FALSE),""),"")</f>
        <v/>
      </c>
      <c r="D55" s="30" t="str">
        <f>IF(F55&lt;&gt;"",IFERROR(VLOOKUP(F55,MetricsDefinition!$E$2:$O$506,3,FALSE),""),"")</f>
        <v/>
      </c>
      <c r="E55" s="193"/>
      <c r="F55" s="415"/>
      <c r="G55" s="30" t="str">
        <f>IF(F55&lt;&gt;"",IFERROR(VLOOKUP(F55,MetricsDefinition!$E$2:$W$506,5,FALSE),""),"")</f>
        <v/>
      </c>
      <c r="H55" s="195" t="str">
        <f>IF(IF($F55&lt;&gt;"",IFERROR(VLOOKUP($F55,MetricsDefinition!$E$2:$W$506,6,FALSE),""),"")&lt;&gt;"", SUBSTITUTE(IF($F55&lt;&gt;"",IFERROR(VLOOKUP($F55,MetricsDefinition!$E$2:$W$506,6,FALSE),""),""),"Size Unit",E$3),"")</f>
        <v/>
      </c>
      <c r="I55" s="195" t="str">
        <f>IF(AND($F55&lt;&gt;"",M55&lt;&gt;""),IFERROR(VLOOKUP($M55,ListMaster!$D$2:$E$9,2,FALSE),""),"")</f>
        <v/>
      </c>
      <c r="J55" s="197"/>
      <c r="K55" s="197"/>
      <c r="L55" s="197"/>
      <c r="M55" s="30" t="str">
        <f>IF($F55&lt;&gt;"",IFERROR(VLOOKUP($F55,MetricsDefinition!$E$2:$W$506,8,FALSE),""),"")</f>
        <v/>
      </c>
      <c r="N55" s="194"/>
      <c r="O55" s="196"/>
      <c r="P55" s="242"/>
      <c r="Q55" s="199"/>
      <c r="R55" s="195" t="str">
        <f>IF($F55&lt;&gt;"",IFERROR(VLOOKUP($F55,MetricsDefinition!$E$2:$W$506,12,FALSE),""),"")</f>
        <v/>
      </c>
      <c r="S55" s="200" t="str">
        <f>IF($F55&lt;&gt;"",IFERROR(VLOOKUP($F55,MetricsDefinition!$E$2:$W$506,13,FALSE),""),"")</f>
        <v/>
      </c>
      <c r="T55" s="275" t="str">
        <f>IF($F55&lt;&gt;"",IFERROR(VLOOKUP($F55,MetricsDefinition!$E$2:$W$507,4,FALSE),""),"")</f>
        <v/>
      </c>
      <c r="U55" s="246"/>
      <c r="V55" s="30" t="str">
        <f>IF($F55&lt;&gt;"",IFERROR(VLOOKUP($F55,MetricsDefinition!$E$2:$W$219,7,FALSE),""),"")</f>
        <v/>
      </c>
      <c r="W55" s="198"/>
      <c r="X55" s="194"/>
      <c r="Y55" s="200" t="str">
        <f>IF(X55="Yes","Control Chart and/or Prediction Model",IF($F55&lt;&gt;"",IFERROR(VLOOKUP($F55,MetricsDefinition!$E$2:$W$507,15,FALSE),""),""))</f>
        <v/>
      </c>
      <c r="Z55" s="201"/>
      <c r="AA55" s="194"/>
      <c r="AB55" s="202"/>
      <c r="AC55" s="3" t="str">
        <f t="shared" si="3"/>
        <v/>
      </c>
      <c r="AD55" s="172" t="str">
        <f>IF(F55&lt;&gt;"",IF(VLOOKUP(F55,MetricsDefinition!$E$1:$Z$215,20,FALSE)=E55,0,1),"")</f>
        <v/>
      </c>
      <c r="AE55" s="172" t="str">
        <f t="shared" si="4"/>
        <v/>
      </c>
    </row>
    <row r="56" spans="1:31" ht="48.65" customHeight="1">
      <c r="A56" s="30" t="str">
        <f>IF(F56&lt;&gt;"",IFERROR(VLOOKUP(F56,MetricsDefinition!$E$2:$O$506,2,FALSE),""),"")</f>
        <v/>
      </c>
      <c r="B56" s="30" t="str">
        <f t="shared" si="1"/>
        <v/>
      </c>
      <c r="C56" s="30" t="str">
        <f>IF(D56&lt;&gt;"",IFERROR(VLOOKUP(D56,ListMaster!$CE$1:$CG$50,3,FALSE),""),"")</f>
        <v/>
      </c>
      <c r="D56" s="30" t="str">
        <f>IF(F56&lt;&gt;"",IFERROR(VLOOKUP(F56,MetricsDefinition!$E$2:$O$506,3,FALSE),""),"")</f>
        <v/>
      </c>
      <c r="E56" s="193"/>
      <c r="F56" s="415"/>
      <c r="G56" s="30" t="str">
        <f>IF(F56&lt;&gt;"",IFERROR(VLOOKUP(F56,MetricsDefinition!$E$2:$W$506,5,FALSE),""),"")</f>
        <v/>
      </c>
      <c r="H56" s="195" t="str">
        <f>IF(IF($F56&lt;&gt;"",IFERROR(VLOOKUP($F56,MetricsDefinition!$E$2:$W$506,6,FALSE),""),"")&lt;&gt;"", SUBSTITUTE(IF($F56&lt;&gt;"",IFERROR(VLOOKUP($F56,MetricsDefinition!$E$2:$W$506,6,FALSE),""),""),"Size Unit",E$3),"")</f>
        <v/>
      </c>
      <c r="I56" s="195" t="str">
        <f>IF(AND($F56&lt;&gt;"",M56&lt;&gt;""),IFERROR(VLOOKUP($M56,ListMaster!$D$2:$E$9,2,FALSE),""),"")</f>
        <v/>
      </c>
      <c r="J56" s="197"/>
      <c r="K56" s="197"/>
      <c r="L56" s="197"/>
      <c r="M56" s="30" t="str">
        <f>IF($F56&lt;&gt;"",IFERROR(VLOOKUP($F56,MetricsDefinition!$E$2:$W$506,8,FALSE),""),"")</f>
        <v/>
      </c>
      <c r="N56" s="194"/>
      <c r="O56" s="196"/>
      <c r="P56" s="242"/>
      <c r="Q56" s="199"/>
      <c r="R56" s="195" t="str">
        <f>IF($F56&lt;&gt;"",IFERROR(VLOOKUP($F56,MetricsDefinition!$E$2:$W$506,12,FALSE),""),"")</f>
        <v/>
      </c>
      <c r="S56" s="200" t="str">
        <f>IF($F56&lt;&gt;"",IFERROR(VLOOKUP($F56,MetricsDefinition!$E$2:$W$506,13,FALSE),""),"")</f>
        <v/>
      </c>
      <c r="T56" s="275" t="str">
        <f>IF($F56&lt;&gt;"",IFERROR(VLOOKUP($F56,MetricsDefinition!$E$2:$W$507,4,FALSE),""),"")</f>
        <v/>
      </c>
      <c r="U56" s="246"/>
      <c r="V56" s="30" t="str">
        <f>IF($F56&lt;&gt;"",IFERROR(VLOOKUP($F56,MetricsDefinition!$E$2:$W$219,7,FALSE),""),"")</f>
        <v/>
      </c>
      <c r="W56" s="198"/>
      <c r="X56" s="194"/>
      <c r="Y56" s="200" t="str">
        <f>IF(X56="Yes","Control Chart and/or Prediction Model",IF($F56&lt;&gt;"",IFERROR(VLOOKUP($F56,MetricsDefinition!$E$2:$W$507,15,FALSE),""),""))</f>
        <v/>
      </c>
      <c r="Z56" s="201"/>
      <c r="AA56" s="194"/>
      <c r="AB56" s="202"/>
      <c r="AC56" s="3" t="str">
        <f t="shared" si="3"/>
        <v/>
      </c>
      <c r="AD56" s="172" t="str">
        <f>IF(F56&lt;&gt;"",IF(VLOOKUP(F56,MetricsDefinition!$E$1:$Z$215,20,FALSE)=E56,0,1),"")</f>
        <v/>
      </c>
      <c r="AE56" s="172" t="str">
        <f t="shared" si="4"/>
        <v/>
      </c>
    </row>
    <row r="57" spans="1:31" ht="48.65" customHeight="1">
      <c r="A57" s="30" t="str">
        <f>IF(F57&lt;&gt;"",IFERROR(VLOOKUP(F57,MetricsDefinition!$E$2:$O$506,2,FALSE),""),"")</f>
        <v/>
      </c>
      <c r="B57" s="30" t="str">
        <f t="shared" si="1"/>
        <v/>
      </c>
      <c r="C57" s="30" t="str">
        <f>IF(D57&lt;&gt;"",IFERROR(VLOOKUP(D57,ListMaster!$CE$1:$CG$50,3,FALSE),""),"")</f>
        <v/>
      </c>
      <c r="D57" s="30" t="str">
        <f>IF(F57&lt;&gt;"",IFERROR(VLOOKUP(F57,MetricsDefinition!$E$2:$O$506,3,FALSE),""),"")</f>
        <v/>
      </c>
      <c r="E57" s="193"/>
      <c r="F57" s="415"/>
      <c r="G57" s="30" t="str">
        <f>IF(F57&lt;&gt;"",IFERROR(VLOOKUP(F57,MetricsDefinition!$E$2:$W$506,5,FALSE),""),"")</f>
        <v/>
      </c>
      <c r="H57" s="195" t="str">
        <f>IF(IF($F57&lt;&gt;"",IFERROR(VLOOKUP($F57,MetricsDefinition!$E$2:$W$506,6,FALSE),""),"")&lt;&gt;"", SUBSTITUTE(IF($F57&lt;&gt;"",IFERROR(VLOOKUP($F57,MetricsDefinition!$E$2:$W$506,6,FALSE),""),""),"Size Unit",E$3),"")</f>
        <v/>
      </c>
      <c r="I57" s="195" t="str">
        <f>IF(AND($F57&lt;&gt;"",M57&lt;&gt;""),IFERROR(VLOOKUP($M57,ListMaster!$D$2:$E$9,2,FALSE),""),"")</f>
        <v/>
      </c>
      <c r="J57" s="197"/>
      <c r="K57" s="197"/>
      <c r="L57" s="197"/>
      <c r="M57" s="30" t="str">
        <f>IF($F57&lt;&gt;"",IFERROR(VLOOKUP($F57,MetricsDefinition!$E$2:$W$506,8,FALSE),""),"")</f>
        <v/>
      </c>
      <c r="N57" s="194"/>
      <c r="O57" s="196"/>
      <c r="P57" s="242"/>
      <c r="Q57" s="199"/>
      <c r="R57" s="195" t="str">
        <f>IF($F57&lt;&gt;"",IFERROR(VLOOKUP($F57,MetricsDefinition!$E$2:$W$506,12,FALSE),""),"")</f>
        <v/>
      </c>
      <c r="S57" s="200" t="str">
        <f>IF($F57&lt;&gt;"",IFERROR(VLOOKUP($F57,MetricsDefinition!$E$2:$W$506,13,FALSE),""),"")</f>
        <v/>
      </c>
      <c r="T57" s="275" t="str">
        <f>IF($F57&lt;&gt;"",IFERROR(VLOOKUP($F57,MetricsDefinition!$E$2:$W$507,4,FALSE),""),"")</f>
        <v/>
      </c>
      <c r="U57" s="246"/>
      <c r="V57" s="30" t="str">
        <f>IF($F57&lt;&gt;"",IFERROR(VLOOKUP($F57,MetricsDefinition!$E$2:$W$219,7,FALSE),""),"")</f>
        <v/>
      </c>
      <c r="W57" s="198"/>
      <c r="X57" s="194"/>
      <c r="Y57" s="200" t="str">
        <f>IF(X57="Yes","Control Chart and/or Prediction Model",IF($F57&lt;&gt;"",IFERROR(VLOOKUP($F57,MetricsDefinition!$E$2:$W$507,15,FALSE),""),""))</f>
        <v/>
      </c>
      <c r="Z57" s="201"/>
      <c r="AA57" s="194"/>
      <c r="AB57" s="202"/>
      <c r="AC57" s="3" t="str">
        <f t="shared" si="3"/>
        <v/>
      </c>
      <c r="AD57" s="172" t="str">
        <f>IF(F57&lt;&gt;"",IF(VLOOKUP(F57,MetricsDefinition!$E$1:$Z$215,20,FALSE)=E57,0,1),"")</f>
        <v/>
      </c>
      <c r="AE57" s="172" t="str">
        <f t="shared" si="4"/>
        <v/>
      </c>
    </row>
    <row r="58" spans="1:31" ht="48.65" customHeight="1">
      <c r="A58" s="30" t="str">
        <f>IF(F58&lt;&gt;"",IFERROR(VLOOKUP(F58,MetricsDefinition!$E$2:$O$506,2,FALSE),""),"")</f>
        <v/>
      </c>
      <c r="B58" s="30" t="str">
        <f t="shared" si="1"/>
        <v/>
      </c>
      <c r="C58" s="30" t="str">
        <f>IF(D58&lt;&gt;"",IFERROR(VLOOKUP(D58,ListMaster!$CE$1:$CG$50,3,FALSE),""),"")</f>
        <v/>
      </c>
      <c r="D58" s="30" t="str">
        <f>IF(F58&lt;&gt;"",IFERROR(VLOOKUP(F58,MetricsDefinition!$E$2:$O$506,3,FALSE),""),"")</f>
        <v/>
      </c>
      <c r="E58" s="193"/>
      <c r="F58" s="415"/>
      <c r="G58" s="30" t="str">
        <f>IF(F58&lt;&gt;"",IFERROR(VLOOKUP(F58,MetricsDefinition!$E$2:$W$506,5,FALSE),""),"")</f>
        <v/>
      </c>
      <c r="H58" s="195" t="str">
        <f>IF(IF($F58&lt;&gt;"",IFERROR(VLOOKUP($F58,MetricsDefinition!$E$2:$W$506,6,FALSE),""),"")&lt;&gt;"", SUBSTITUTE(IF($F58&lt;&gt;"",IFERROR(VLOOKUP($F58,MetricsDefinition!$E$2:$W$506,6,FALSE),""),""),"Size Unit",E$3),"")</f>
        <v/>
      </c>
      <c r="I58" s="195" t="str">
        <f>IF(AND($F58&lt;&gt;"",M58&lt;&gt;""),IFERROR(VLOOKUP($M58,ListMaster!$D$2:$E$9,2,FALSE),""),"")</f>
        <v/>
      </c>
      <c r="J58" s="197"/>
      <c r="K58" s="197"/>
      <c r="L58" s="197"/>
      <c r="M58" s="30" t="str">
        <f>IF($F58&lt;&gt;"",IFERROR(VLOOKUP($F58,MetricsDefinition!$E$2:$W$506,8,FALSE),""),"")</f>
        <v/>
      </c>
      <c r="N58" s="194"/>
      <c r="O58" s="196"/>
      <c r="P58" s="242"/>
      <c r="Q58" s="199"/>
      <c r="R58" s="195" t="str">
        <f>IF($F58&lt;&gt;"",IFERROR(VLOOKUP($F58,MetricsDefinition!$E$2:$W$506,12,FALSE),""),"")</f>
        <v/>
      </c>
      <c r="S58" s="200" t="str">
        <f>IF($F58&lt;&gt;"",IFERROR(VLOOKUP($F58,MetricsDefinition!$E$2:$W$506,13,FALSE),""),"")</f>
        <v/>
      </c>
      <c r="T58" s="275" t="str">
        <f>IF($F58&lt;&gt;"",IFERROR(VLOOKUP($F58,MetricsDefinition!$E$2:$W$507,4,FALSE),""),"")</f>
        <v/>
      </c>
      <c r="U58" s="246"/>
      <c r="V58" s="30" t="str">
        <f>IF($F58&lt;&gt;"",IFERROR(VLOOKUP($F58,MetricsDefinition!$E$2:$W$219,7,FALSE),""),"")</f>
        <v/>
      </c>
      <c r="W58" s="198"/>
      <c r="X58" s="194"/>
      <c r="Y58" s="200" t="str">
        <f>IF(X58="Yes","Control Chart and/or Prediction Model",IF($F58&lt;&gt;"",IFERROR(VLOOKUP($F58,MetricsDefinition!$E$2:$W$507,15,FALSE),""),""))</f>
        <v/>
      </c>
      <c r="Z58" s="201"/>
      <c r="AA58" s="194"/>
      <c r="AB58" s="202"/>
      <c r="AC58" s="3" t="str">
        <f t="shared" si="3"/>
        <v/>
      </c>
      <c r="AD58" s="172" t="str">
        <f>IF(F58&lt;&gt;"",IF(VLOOKUP(F58,MetricsDefinition!$E$1:$Z$215,20,FALSE)=E58,0,1),"")</f>
        <v/>
      </c>
      <c r="AE58" s="172" t="str">
        <f t="shared" si="4"/>
        <v/>
      </c>
    </row>
    <row r="59" spans="1:31" ht="48.65" customHeight="1">
      <c r="A59" s="30" t="str">
        <f>IF(F59&lt;&gt;"",IFERROR(VLOOKUP(F59,MetricsDefinition!$E$2:$O$506,2,FALSE),""),"")</f>
        <v/>
      </c>
      <c r="B59" s="30" t="str">
        <f t="shared" si="1"/>
        <v/>
      </c>
      <c r="C59" s="30" t="str">
        <f>IF(D59&lt;&gt;"",IFERROR(VLOOKUP(D59,ListMaster!$CE$1:$CG$50,3,FALSE),""),"")</f>
        <v/>
      </c>
      <c r="D59" s="30" t="str">
        <f>IF(F59&lt;&gt;"",IFERROR(VLOOKUP(F59,MetricsDefinition!$E$2:$O$506,3,FALSE),""),"")</f>
        <v/>
      </c>
      <c r="E59" s="193"/>
      <c r="F59" s="415"/>
      <c r="G59" s="30" t="str">
        <f>IF(F59&lt;&gt;"",IFERROR(VLOOKUP(F59,MetricsDefinition!$E$2:$W$506,5,FALSE),""),"")</f>
        <v/>
      </c>
      <c r="H59" s="195" t="str">
        <f>IF(IF($F59&lt;&gt;"",IFERROR(VLOOKUP($F59,MetricsDefinition!$E$2:$W$506,6,FALSE),""),"")&lt;&gt;"", SUBSTITUTE(IF($F59&lt;&gt;"",IFERROR(VLOOKUP($F59,MetricsDefinition!$E$2:$W$506,6,FALSE),""),""),"Size Unit",E$3),"")</f>
        <v/>
      </c>
      <c r="I59" s="195" t="str">
        <f>IF(AND($F59&lt;&gt;"",M59&lt;&gt;""),IFERROR(VLOOKUP($M59,ListMaster!$D$2:$E$9,2,FALSE),""),"")</f>
        <v/>
      </c>
      <c r="J59" s="197"/>
      <c r="K59" s="197"/>
      <c r="L59" s="197"/>
      <c r="M59" s="30" t="str">
        <f>IF($F59&lt;&gt;"",IFERROR(VLOOKUP($F59,MetricsDefinition!$E$2:$W$506,8,FALSE),""),"")</f>
        <v/>
      </c>
      <c r="N59" s="194"/>
      <c r="O59" s="196"/>
      <c r="P59" s="242"/>
      <c r="Q59" s="199"/>
      <c r="R59" s="195" t="str">
        <f>IF($F59&lt;&gt;"",IFERROR(VLOOKUP($F59,MetricsDefinition!$E$2:$W$506,12,FALSE),""),"")</f>
        <v/>
      </c>
      <c r="S59" s="200" t="str">
        <f>IF($F59&lt;&gt;"",IFERROR(VLOOKUP($F59,MetricsDefinition!$E$2:$W$506,13,FALSE),""),"")</f>
        <v/>
      </c>
      <c r="T59" s="275" t="str">
        <f>IF($F59&lt;&gt;"",IFERROR(VLOOKUP($F59,MetricsDefinition!$E$2:$W$507,4,FALSE),""),"")</f>
        <v/>
      </c>
      <c r="U59" s="246"/>
      <c r="V59" s="30" t="str">
        <f>IF($F59&lt;&gt;"",IFERROR(VLOOKUP($F59,MetricsDefinition!$E$2:$W$219,7,FALSE),""),"")</f>
        <v/>
      </c>
      <c r="W59" s="198"/>
      <c r="X59" s="194"/>
      <c r="Y59" s="200" t="str">
        <f>IF(X59="Yes","Control Chart and/or Prediction Model",IF($F59&lt;&gt;"",IFERROR(VLOOKUP($F59,MetricsDefinition!$E$2:$W$507,15,FALSE),""),""))</f>
        <v/>
      </c>
      <c r="Z59" s="201"/>
      <c r="AA59" s="194"/>
      <c r="AB59" s="202"/>
      <c r="AC59" s="3" t="str">
        <f t="shared" si="3"/>
        <v/>
      </c>
      <c r="AD59" s="172" t="str">
        <f>IF(F59&lt;&gt;"",IF(VLOOKUP(F59,MetricsDefinition!$E$1:$Z$215,20,FALSE)=E59,0,1),"")</f>
        <v/>
      </c>
      <c r="AE59" s="172" t="str">
        <f t="shared" si="4"/>
        <v/>
      </c>
    </row>
    <row r="60" spans="1:31" ht="48.65" customHeight="1">
      <c r="A60" s="30" t="str">
        <f>IF(F60&lt;&gt;"",IFERROR(VLOOKUP(F60,MetricsDefinition!$E$2:$O$506,2,FALSE),""),"")</f>
        <v/>
      </c>
      <c r="B60" s="30" t="str">
        <f t="shared" si="1"/>
        <v/>
      </c>
      <c r="C60" s="30" t="str">
        <f>IF(D60&lt;&gt;"",IFERROR(VLOOKUP(D60,ListMaster!$CE$1:$CG$50,3,FALSE),""),"")</f>
        <v/>
      </c>
      <c r="D60" s="30" t="str">
        <f>IF(F60&lt;&gt;"",IFERROR(VLOOKUP(F60,MetricsDefinition!$E$2:$O$506,3,FALSE),""),"")</f>
        <v/>
      </c>
      <c r="E60" s="193"/>
      <c r="F60" s="415"/>
      <c r="G60" s="30" t="str">
        <f>IF(F60&lt;&gt;"",IFERROR(VLOOKUP(F60,MetricsDefinition!$E$2:$W$506,5,FALSE),""),"")</f>
        <v/>
      </c>
      <c r="H60" s="195" t="str">
        <f>IF(IF($F60&lt;&gt;"",IFERROR(VLOOKUP($F60,MetricsDefinition!$E$2:$W$506,6,FALSE),""),"")&lt;&gt;"", SUBSTITUTE(IF($F60&lt;&gt;"",IFERROR(VLOOKUP($F60,MetricsDefinition!$E$2:$W$506,6,FALSE),""),""),"Size Unit",E$3),"")</f>
        <v/>
      </c>
      <c r="I60" s="195" t="str">
        <f>IF(AND($F60&lt;&gt;"",M60&lt;&gt;""),IFERROR(VLOOKUP($M60,ListMaster!$D$2:$E$9,2,FALSE),""),"")</f>
        <v/>
      </c>
      <c r="J60" s="197"/>
      <c r="K60" s="197"/>
      <c r="L60" s="197"/>
      <c r="M60" s="30" t="str">
        <f>IF($F60&lt;&gt;"",IFERROR(VLOOKUP($F60,MetricsDefinition!$E$2:$W$506,8,FALSE),""),"")</f>
        <v/>
      </c>
      <c r="N60" s="194"/>
      <c r="O60" s="196"/>
      <c r="P60" s="242"/>
      <c r="Q60" s="199"/>
      <c r="R60" s="195" t="str">
        <f>IF($F60&lt;&gt;"",IFERROR(VLOOKUP($F60,MetricsDefinition!$E$2:$W$506,12,FALSE),""),"")</f>
        <v/>
      </c>
      <c r="S60" s="200" t="str">
        <f>IF($F60&lt;&gt;"",IFERROR(VLOOKUP($F60,MetricsDefinition!$E$2:$W$506,13,FALSE),""),"")</f>
        <v/>
      </c>
      <c r="T60" s="275" t="str">
        <f>IF($F60&lt;&gt;"",IFERROR(VLOOKUP($F60,MetricsDefinition!$E$2:$W$507,4,FALSE),""),"")</f>
        <v/>
      </c>
      <c r="U60" s="246"/>
      <c r="V60" s="30" t="str">
        <f>IF($F60&lt;&gt;"",IFERROR(VLOOKUP($F60,MetricsDefinition!$E$2:$W$219,7,FALSE),""),"")</f>
        <v/>
      </c>
      <c r="W60" s="198"/>
      <c r="X60" s="194"/>
      <c r="Y60" s="200" t="str">
        <f>IF(X60="Yes","Control Chart and/or Prediction Model",IF($F60&lt;&gt;"",IFERROR(VLOOKUP($F60,MetricsDefinition!$E$2:$W$507,15,FALSE),""),""))</f>
        <v/>
      </c>
      <c r="Z60" s="201"/>
      <c r="AA60" s="194"/>
      <c r="AB60" s="202"/>
      <c r="AC60" s="3" t="str">
        <f t="shared" si="3"/>
        <v/>
      </c>
      <c r="AD60" s="172" t="str">
        <f>IF(F60&lt;&gt;"",IF(VLOOKUP(F60,MetricsDefinition!$E$1:$Z$215,20,FALSE)=E60,0,1),"")</f>
        <v/>
      </c>
      <c r="AE60" s="172" t="str">
        <f t="shared" si="4"/>
        <v/>
      </c>
    </row>
    <row r="61" spans="1:31" ht="48.65" customHeight="1">
      <c r="A61" s="30" t="str">
        <f>IF(F61&lt;&gt;"",IFERROR(VLOOKUP(F61,MetricsDefinition!$E$2:$O$506,2,FALSE),""),"")</f>
        <v/>
      </c>
      <c r="B61" s="30" t="str">
        <f t="shared" si="1"/>
        <v/>
      </c>
      <c r="C61" s="30" t="str">
        <f>IF(D61&lt;&gt;"",IFERROR(VLOOKUP(D61,ListMaster!$CE$1:$CG$50,3,FALSE),""),"")</f>
        <v/>
      </c>
      <c r="D61" s="30" t="str">
        <f>IF(F61&lt;&gt;"",IFERROR(VLOOKUP(F61,MetricsDefinition!$E$2:$O$506,3,FALSE),""),"")</f>
        <v/>
      </c>
      <c r="E61" s="193"/>
      <c r="F61" s="415"/>
      <c r="G61" s="30" t="str">
        <f>IF(F61&lt;&gt;"",IFERROR(VLOOKUP(F61,MetricsDefinition!$E$2:$W$506,5,FALSE),""),"")</f>
        <v/>
      </c>
      <c r="H61" s="195" t="str">
        <f>IF(IF($F61&lt;&gt;"",IFERROR(VLOOKUP($F61,MetricsDefinition!$E$2:$W$506,6,FALSE),""),"")&lt;&gt;"", SUBSTITUTE(IF($F61&lt;&gt;"",IFERROR(VLOOKUP($F61,MetricsDefinition!$E$2:$W$506,6,FALSE),""),""),"Size Unit",E$3),"")</f>
        <v/>
      </c>
      <c r="I61" s="195" t="str">
        <f>IF(AND($F61&lt;&gt;"",M61&lt;&gt;""),IFERROR(VLOOKUP($M61,ListMaster!$D$2:$E$9,2,FALSE),""),"")</f>
        <v/>
      </c>
      <c r="J61" s="197"/>
      <c r="K61" s="197"/>
      <c r="L61" s="197"/>
      <c r="M61" s="30" t="str">
        <f>IF($F61&lt;&gt;"",IFERROR(VLOOKUP($F61,MetricsDefinition!$E$2:$W$506,8,FALSE),""),"")</f>
        <v/>
      </c>
      <c r="N61" s="194"/>
      <c r="O61" s="196"/>
      <c r="P61" s="242"/>
      <c r="Q61" s="199"/>
      <c r="R61" s="195" t="str">
        <f>IF($F61&lt;&gt;"",IFERROR(VLOOKUP($F61,MetricsDefinition!$E$2:$W$506,12,FALSE),""),"")</f>
        <v/>
      </c>
      <c r="S61" s="200" t="str">
        <f>IF($F61&lt;&gt;"",IFERROR(VLOOKUP($F61,MetricsDefinition!$E$2:$W$506,13,FALSE),""),"")</f>
        <v/>
      </c>
      <c r="T61" s="275" t="str">
        <f>IF($F61&lt;&gt;"",IFERROR(VLOOKUP($F61,MetricsDefinition!$E$2:$W$507,4,FALSE),""),"")</f>
        <v/>
      </c>
      <c r="U61" s="246"/>
      <c r="V61" s="30" t="str">
        <f>IF($F61&lt;&gt;"",IFERROR(VLOOKUP($F61,MetricsDefinition!$E$2:$W$219,7,FALSE),""),"")</f>
        <v/>
      </c>
      <c r="W61" s="198"/>
      <c r="X61" s="194"/>
      <c r="Y61" s="200" t="str">
        <f>IF(X61="Yes","Control Chart and/or Prediction Model",IF($F61&lt;&gt;"",IFERROR(VLOOKUP($F61,MetricsDefinition!$E$2:$W$507,15,FALSE),""),""))</f>
        <v/>
      </c>
      <c r="Z61" s="201"/>
      <c r="AA61" s="194"/>
      <c r="AB61" s="202"/>
      <c r="AC61" s="3" t="str">
        <f t="shared" si="3"/>
        <v/>
      </c>
      <c r="AD61" s="172" t="str">
        <f>IF(F61&lt;&gt;"",IF(VLOOKUP(F61,MetricsDefinition!$E$1:$Z$215,20,FALSE)=E61,0,1),"")</f>
        <v/>
      </c>
      <c r="AE61" s="172" t="str">
        <f t="shared" si="4"/>
        <v/>
      </c>
    </row>
    <row r="62" spans="1:31" ht="48.65" customHeight="1">
      <c r="A62" s="30" t="str">
        <f>IF(F62&lt;&gt;"",IFERROR(VLOOKUP(F62,MetricsDefinition!$E$2:$O$506,2,FALSE),""),"")</f>
        <v/>
      </c>
      <c r="B62" s="30" t="str">
        <f t="shared" si="1"/>
        <v/>
      </c>
      <c r="C62" s="30" t="str">
        <f>IF(D62&lt;&gt;"",IFERROR(VLOOKUP(D62,ListMaster!$CE$1:$CG$50,3,FALSE),""),"")</f>
        <v/>
      </c>
      <c r="D62" s="30" t="str">
        <f>IF(F62&lt;&gt;"",IFERROR(VLOOKUP(F62,MetricsDefinition!$E$2:$O$506,3,FALSE),""),"")</f>
        <v/>
      </c>
      <c r="E62" s="193"/>
      <c r="F62" s="415"/>
      <c r="G62" s="30" t="str">
        <f>IF(F62&lt;&gt;"",IFERROR(VLOOKUP(F62,MetricsDefinition!$E$2:$W$506,5,FALSE),""),"")</f>
        <v/>
      </c>
      <c r="H62" s="195" t="str">
        <f>IF(IF($F62&lt;&gt;"",IFERROR(VLOOKUP($F62,MetricsDefinition!$E$2:$W$506,6,FALSE),""),"")&lt;&gt;"", SUBSTITUTE(IF($F62&lt;&gt;"",IFERROR(VLOOKUP($F62,MetricsDefinition!$E$2:$W$506,6,FALSE),""),""),"Size Unit",E$3),"")</f>
        <v/>
      </c>
      <c r="I62" s="195" t="str">
        <f>IF(AND($F62&lt;&gt;"",M62&lt;&gt;""),IFERROR(VLOOKUP($M62,ListMaster!$D$2:$E$9,2,FALSE),""),"")</f>
        <v/>
      </c>
      <c r="J62" s="197"/>
      <c r="K62" s="197"/>
      <c r="L62" s="197"/>
      <c r="M62" s="30" t="str">
        <f>IF($F62&lt;&gt;"",IFERROR(VLOOKUP($F62,MetricsDefinition!$E$2:$W$506,8,FALSE),""),"")</f>
        <v/>
      </c>
      <c r="N62" s="194"/>
      <c r="O62" s="196"/>
      <c r="P62" s="242"/>
      <c r="Q62" s="199"/>
      <c r="R62" s="195" t="str">
        <f>IF($F62&lt;&gt;"",IFERROR(VLOOKUP($F62,MetricsDefinition!$E$2:$W$506,12,FALSE),""),"")</f>
        <v/>
      </c>
      <c r="S62" s="200" t="str">
        <f>IF($F62&lt;&gt;"",IFERROR(VLOOKUP($F62,MetricsDefinition!$E$2:$W$506,13,FALSE),""),"")</f>
        <v/>
      </c>
      <c r="T62" s="275" t="str">
        <f>IF($F62&lt;&gt;"",IFERROR(VLOOKUP($F62,MetricsDefinition!$E$2:$W$507,4,FALSE),""),"")</f>
        <v/>
      </c>
      <c r="U62" s="246"/>
      <c r="V62" s="30" t="str">
        <f>IF($F62&lt;&gt;"",IFERROR(VLOOKUP($F62,MetricsDefinition!$E$2:$W$219,7,FALSE),""),"")</f>
        <v/>
      </c>
      <c r="W62" s="198"/>
      <c r="X62" s="194"/>
      <c r="Y62" s="200" t="str">
        <f>IF(X62="Yes","Control Chart and/or Prediction Model",IF($F62&lt;&gt;"",IFERROR(VLOOKUP($F62,MetricsDefinition!$E$2:$W$507,15,FALSE),""),""))</f>
        <v/>
      </c>
      <c r="Z62" s="201"/>
      <c r="AA62" s="194"/>
      <c r="AB62" s="202"/>
      <c r="AC62" s="3" t="str">
        <f t="shared" si="3"/>
        <v/>
      </c>
      <c r="AD62" s="172" t="str">
        <f>IF(F62&lt;&gt;"",IF(VLOOKUP(F62,MetricsDefinition!$E$1:$Z$215,20,FALSE)=E62,0,1),"")</f>
        <v/>
      </c>
      <c r="AE62" s="172" t="str">
        <f t="shared" si="4"/>
        <v/>
      </c>
    </row>
    <row r="63" spans="1:31" ht="48.65" customHeight="1">
      <c r="A63" s="30" t="str">
        <f>IF(F63&lt;&gt;"",IFERROR(VLOOKUP(F63,MetricsDefinition!$E$2:$O$506,2,FALSE),""),"")</f>
        <v/>
      </c>
      <c r="B63" s="30" t="str">
        <f t="shared" si="1"/>
        <v/>
      </c>
      <c r="C63" s="30" t="str">
        <f>IF(D63&lt;&gt;"",IFERROR(VLOOKUP(D63,ListMaster!$CE$1:$CG$50,3,FALSE),""),"")</f>
        <v/>
      </c>
      <c r="D63" s="30" t="str">
        <f>IF(F63&lt;&gt;"",IFERROR(VLOOKUP(F63,MetricsDefinition!$E$2:$O$506,3,FALSE),""),"")</f>
        <v/>
      </c>
      <c r="E63" s="193"/>
      <c r="F63" s="415"/>
      <c r="G63" s="30" t="str">
        <f>IF(F63&lt;&gt;"",IFERROR(VLOOKUP(F63,MetricsDefinition!$E$2:$W$506,5,FALSE),""),"")</f>
        <v/>
      </c>
      <c r="H63" s="195" t="str">
        <f>IF(IF($F63&lt;&gt;"",IFERROR(VLOOKUP($F63,MetricsDefinition!$E$2:$W$506,6,FALSE),""),"")&lt;&gt;"", SUBSTITUTE(IF($F63&lt;&gt;"",IFERROR(VLOOKUP($F63,MetricsDefinition!$E$2:$W$506,6,FALSE),""),""),"Size Unit",E$3),"")</f>
        <v/>
      </c>
      <c r="I63" s="195" t="str">
        <f>IF(AND($F63&lt;&gt;"",M63&lt;&gt;""),IFERROR(VLOOKUP($M63,ListMaster!$D$2:$E$9,2,FALSE),""),"")</f>
        <v/>
      </c>
      <c r="J63" s="197"/>
      <c r="K63" s="197"/>
      <c r="L63" s="197"/>
      <c r="M63" s="30" t="str">
        <f>IF($F63&lt;&gt;"",IFERROR(VLOOKUP($F63,MetricsDefinition!$E$2:$W$506,8,FALSE),""),"")</f>
        <v/>
      </c>
      <c r="N63" s="194"/>
      <c r="O63" s="196"/>
      <c r="P63" s="242"/>
      <c r="Q63" s="199"/>
      <c r="R63" s="195" t="str">
        <f>IF($F63&lt;&gt;"",IFERROR(VLOOKUP($F63,MetricsDefinition!$E$2:$W$506,12,FALSE),""),"")</f>
        <v/>
      </c>
      <c r="S63" s="200" t="str">
        <f>IF($F63&lt;&gt;"",IFERROR(VLOOKUP($F63,MetricsDefinition!$E$2:$W$506,13,FALSE),""),"")</f>
        <v/>
      </c>
      <c r="T63" s="275" t="str">
        <f>IF($F63&lt;&gt;"",IFERROR(VLOOKUP($F63,MetricsDefinition!$E$2:$W$507,4,FALSE),""),"")</f>
        <v/>
      </c>
      <c r="U63" s="246"/>
      <c r="V63" s="30" t="str">
        <f>IF($F63&lt;&gt;"",IFERROR(VLOOKUP($F63,MetricsDefinition!$E$2:$W$219,7,FALSE),""),"")</f>
        <v/>
      </c>
      <c r="W63" s="198"/>
      <c r="X63" s="194"/>
      <c r="Y63" s="200" t="str">
        <f>IF(X63="Yes","Control Chart and/or Prediction Model",IF($F63&lt;&gt;"",IFERROR(VLOOKUP($F63,MetricsDefinition!$E$2:$W$507,15,FALSE),""),""))</f>
        <v/>
      </c>
      <c r="Z63" s="201"/>
      <c r="AA63" s="194"/>
      <c r="AB63" s="202"/>
      <c r="AC63" s="3" t="str">
        <f t="shared" si="3"/>
        <v/>
      </c>
      <c r="AD63" s="172" t="str">
        <f>IF(F63&lt;&gt;"",IF(VLOOKUP(F63,MetricsDefinition!$E$1:$Z$215,20,FALSE)=E63,0,1),"")</f>
        <v/>
      </c>
      <c r="AE63" s="172" t="str">
        <f t="shared" si="4"/>
        <v/>
      </c>
    </row>
    <row r="64" spans="1:31" ht="48.65" customHeight="1">
      <c r="A64" s="30" t="str">
        <f>IF(F64&lt;&gt;"",IFERROR(VLOOKUP(F64,MetricsDefinition!$E$2:$O$506,2,FALSE),""),"")</f>
        <v/>
      </c>
      <c r="B64" s="30" t="str">
        <f t="shared" si="1"/>
        <v/>
      </c>
      <c r="C64" s="30" t="str">
        <f>IF(D64&lt;&gt;"",IFERROR(VLOOKUP(D64,ListMaster!$CE$1:$CG$50,3,FALSE),""),"")</f>
        <v/>
      </c>
      <c r="D64" s="30" t="str">
        <f>IF(F64&lt;&gt;"",IFERROR(VLOOKUP(F64,MetricsDefinition!$E$2:$O$506,3,FALSE),""),"")</f>
        <v/>
      </c>
      <c r="E64" s="193"/>
      <c r="F64" s="415"/>
      <c r="G64" s="30" t="str">
        <f>IF(F64&lt;&gt;"",IFERROR(VLOOKUP(F64,MetricsDefinition!$E$2:$W$506,5,FALSE),""),"")</f>
        <v/>
      </c>
      <c r="H64" s="195" t="str">
        <f>IF(IF($F64&lt;&gt;"",IFERROR(VLOOKUP($F64,MetricsDefinition!$E$2:$W$506,6,FALSE),""),"")&lt;&gt;"", SUBSTITUTE(IF($F64&lt;&gt;"",IFERROR(VLOOKUP($F64,MetricsDefinition!$E$2:$W$506,6,FALSE),""),""),"Size Unit",E$3),"")</f>
        <v/>
      </c>
      <c r="I64" s="195" t="str">
        <f>IF(AND($F64&lt;&gt;"",M64&lt;&gt;""),IFERROR(VLOOKUP($M64,ListMaster!$D$2:$E$9,2,FALSE),""),"")</f>
        <v/>
      </c>
      <c r="J64" s="197"/>
      <c r="K64" s="197"/>
      <c r="L64" s="197"/>
      <c r="M64" s="30" t="str">
        <f>IF($F64&lt;&gt;"",IFERROR(VLOOKUP($F64,MetricsDefinition!$E$2:$W$506,8,FALSE),""),"")</f>
        <v/>
      </c>
      <c r="N64" s="194"/>
      <c r="O64" s="196"/>
      <c r="P64" s="242"/>
      <c r="Q64" s="199"/>
      <c r="R64" s="195" t="str">
        <f>IF($F64&lt;&gt;"",IFERROR(VLOOKUP($F64,MetricsDefinition!$E$2:$W$506,12,FALSE),""),"")</f>
        <v/>
      </c>
      <c r="S64" s="200" t="str">
        <f>IF($F64&lt;&gt;"",IFERROR(VLOOKUP($F64,MetricsDefinition!$E$2:$W$506,13,FALSE),""),"")</f>
        <v/>
      </c>
      <c r="T64" s="275" t="str">
        <f>IF($F64&lt;&gt;"",IFERROR(VLOOKUP($F64,MetricsDefinition!$E$2:$W$507,4,FALSE),""),"")</f>
        <v/>
      </c>
      <c r="U64" s="246"/>
      <c r="V64" s="30" t="str">
        <f>IF($F64&lt;&gt;"",IFERROR(VLOOKUP($F64,MetricsDefinition!$E$2:$W$219,7,FALSE),""),"")</f>
        <v/>
      </c>
      <c r="W64" s="198"/>
      <c r="X64" s="194"/>
      <c r="Y64" s="200" t="str">
        <f>IF(X64="Yes","Control Chart and/or Prediction Model",IF($F64&lt;&gt;"",IFERROR(VLOOKUP($F64,MetricsDefinition!$E$2:$W$507,15,FALSE),""),""))</f>
        <v/>
      </c>
      <c r="Z64" s="201"/>
      <c r="AA64" s="194"/>
      <c r="AB64" s="202"/>
      <c r="AC64" s="3" t="str">
        <f t="shared" si="3"/>
        <v/>
      </c>
      <c r="AD64" s="172" t="str">
        <f>IF(F64&lt;&gt;"",IF(VLOOKUP(F64,MetricsDefinition!$E$1:$Z$215,20,FALSE)=E64,0,1),"")</f>
        <v/>
      </c>
      <c r="AE64" s="172" t="str">
        <f t="shared" si="4"/>
        <v/>
      </c>
    </row>
    <row r="65" spans="1:31" ht="48.65" customHeight="1">
      <c r="A65" s="30" t="str">
        <f>IF(F65&lt;&gt;"",IFERROR(VLOOKUP(F65,MetricsDefinition!$E$2:$O$506,2,FALSE),""),"")</f>
        <v/>
      </c>
      <c r="B65" s="30" t="str">
        <f t="shared" si="1"/>
        <v/>
      </c>
      <c r="C65" s="30" t="str">
        <f>IF(D65&lt;&gt;"",IFERROR(VLOOKUP(D65,ListMaster!$CE$1:$CG$50,3,FALSE),""),"")</f>
        <v/>
      </c>
      <c r="D65" s="30" t="str">
        <f>IF(F65&lt;&gt;"",IFERROR(VLOOKUP(F65,MetricsDefinition!$E$2:$O$506,3,FALSE),""),"")</f>
        <v/>
      </c>
      <c r="E65" s="193"/>
      <c r="F65" s="415"/>
      <c r="G65" s="30" t="str">
        <f>IF(F65&lt;&gt;"",IFERROR(VLOOKUP(F65,MetricsDefinition!$E$2:$W$506,5,FALSE),""),"")</f>
        <v/>
      </c>
      <c r="H65" s="195" t="str">
        <f>IF(IF($F65&lt;&gt;"",IFERROR(VLOOKUP($F65,MetricsDefinition!$E$2:$W$506,6,FALSE),""),"")&lt;&gt;"", SUBSTITUTE(IF($F65&lt;&gt;"",IFERROR(VLOOKUP($F65,MetricsDefinition!$E$2:$W$506,6,FALSE),""),""),"Size Unit",E$3),"")</f>
        <v/>
      </c>
      <c r="I65" s="195" t="str">
        <f>IF(AND($F65&lt;&gt;"",M65&lt;&gt;""),IFERROR(VLOOKUP($M65,ListMaster!$D$2:$E$9,2,FALSE),""),"")</f>
        <v/>
      </c>
      <c r="J65" s="197"/>
      <c r="K65" s="197"/>
      <c r="L65" s="197"/>
      <c r="M65" s="30" t="str">
        <f>IF($F65&lt;&gt;"",IFERROR(VLOOKUP($F65,MetricsDefinition!$E$2:$W$506,8,FALSE),""),"")</f>
        <v/>
      </c>
      <c r="N65" s="194"/>
      <c r="O65" s="196"/>
      <c r="P65" s="242"/>
      <c r="Q65" s="199"/>
      <c r="R65" s="195" t="str">
        <f>IF($F65&lt;&gt;"",IFERROR(VLOOKUP($F65,MetricsDefinition!$E$2:$W$506,12,FALSE),""),"")</f>
        <v/>
      </c>
      <c r="S65" s="200" t="str">
        <f>IF($F65&lt;&gt;"",IFERROR(VLOOKUP($F65,MetricsDefinition!$E$2:$W$506,13,FALSE),""),"")</f>
        <v/>
      </c>
      <c r="T65" s="275" t="str">
        <f>IF($F65&lt;&gt;"",IFERROR(VLOOKUP($F65,MetricsDefinition!$E$2:$W$507,4,FALSE),""),"")</f>
        <v/>
      </c>
      <c r="U65" s="246"/>
      <c r="V65" s="30" t="str">
        <f>IF($F65&lt;&gt;"",IFERROR(VLOOKUP($F65,MetricsDefinition!$E$2:$W$219,7,FALSE),""),"")</f>
        <v/>
      </c>
      <c r="W65" s="198"/>
      <c r="X65" s="194"/>
      <c r="Y65" s="200" t="str">
        <f>IF(X65="Yes","Control Chart and/or Prediction Model",IF($F65&lt;&gt;"",IFERROR(VLOOKUP($F65,MetricsDefinition!$E$2:$W$507,15,FALSE),""),""))</f>
        <v/>
      </c>
      <c r="Z65" s="201"/>
      <c r="AA65" s="194"/>
      <c r="AB65" s="202"/>
      <c r="AC65" s="3" t="str">
        <f t="shared" si="3"/>
        <v/>
      </c>
      <c r="AD65" s="172" t="str">
        <f>IF(F65&lt;&gt;"",IF(VLOOKUP(F65,MetricsDefinition!$E$1:$Z$215,20,FALSE)=E65,0,1),"")</f>
        <v/>
      </c>
      <c r="AE65" s="172" t="str">
        <f t="shared" si="4"/>
        <v/>
      </c>
    </row>
    <row r="66" spans="1:31" ht="48.65" customHeight="1">
      <c r="A66" s="30" t="str">
        <f>IF(F66&lt;&gt;"",IFERROR(VLOOKUP(F66,MetricsDefinition!$E$2:$O$506,2,FALSE),""),"")</f>
        <v/>
      </c>
      <c r="B66" s="30" t="str">
        <f t="shared" si="1"/>
        <v/>
      </c>
      <c r="C66" s="30" t="str">
        <f>IF(D66&lt;&gt;"",IFERROR(VLOOKUP(D66,ListMaster!$CE$1:$CG$50,3,FALSE),""),"")</f>
        <v/>
      </c>
      <c r="D66" s="30" t="str">
        <f>IF(F66&lt;&gt;"",IFERROR(VLOOKUP(F66,MetricsDefinition!$E$2:$O$506,3,FALSE),""),"")</f>
        <v/>
      </c>
      <c r="E66" s="193"/>
      <c r="F66" s="415"/>
      <c r="G66" s="30" t="str">
        <f>IF(F66&lt;&gt;"",IFERROR(VLOOKUP(F66,MetricsDefinition!$E$2:$W$506,5,FALSE),""),"")</f>
        <v/>
      </c>
      <c r="H66" s="195" t="str">
        <f>IF(IF($F66&lt;&gt;"",IFERROR(VLOOKUP($F66,MetricsDefinition!$E$2:$W$506,6,FALSE),""),"")&lt;&gt;"", SUBSTITUTE(IF($F66&lt;&gt;"",IFERROR(VLOOKUP($F66,MetricsDefinition!$E$2:$W$506,6,FALSE),""),""),"Size Unit",E$3),"")</f>
        <v/>
      </c>
      <c r="I66" s="195" t="str">
        <f>IF(AND($F66&lt;&gt;"",M66&lt;&gt;""),IFERROR(VLOOKUP($M66,ListMaster!$D$2:$E$9,2,FALSE),""),"")</f>
        <v/>
      </c>
      <c r="J66" s="197"/>
      <c r="K66" s="197"/>
      <c r="L66" s="197"/>
      <c r="M66" s="30" t="str">
        <f>IF($F66&lt;&gt;"",IFERROR(VLOOKUP($F66,MetricsDefinition!$E$2:$W$506,8,FALSE),""),"")</f>
        <v/>
      </c>
      <c r="N66" s="194"/>
      <c r="O66" s="196"/>
      <c r="P66" s="242"/>
      <c r="Q66" s="199"/>
      <c r="R66" s="195" t="str">
        <f>IF($F66&lt;&gt;"",IFERROR(VLOOKUP($F66,MetricsDefinition!$E$2:$W$506,12,FALSE),""),"")</f>
        <v/>
      </c>
      <c r="S66" s="200" t="str">
        <f>IF($F66&lt;&gt;"",IFERROR(VLOOKUP($F66,MetricsDefinition!$E$2:$W$506,13,FALSE),""),"")</f>
        <v/>
      </c>
      <c r="T66" s="275" t="str">
        <f>IF($F66&lt;&gt;"",IFERROR(VLOOKUP($F66,MetricsDefinition!$E$2:$W$507,4,FALSE),""),"")</f>
        <v/>
      </c>
      <c r="U66" s="246"/>
      <c r="V66" s="30" t="str">
        <f>IF($F66&lt;&gt;"",IFERROR(VLOOKUP($F66,MetricsDefinition!$E$2:$W$219,7,FALSE),""),"")</f>
        <v/>
      </c>
      <c r="W66" s="198"/>
      <c r="X66" s="194"/>
      <c r="Y66" s="200" t="str">
        <f>IF(X66="Yes","Control Chart and/or Prediction Model",IF($F66&lt;&gt;"",IFERROR(VLOOKUP($F66,MetricsDefinition!$E$2:$W$507,15,FALSE),""),""))</f>
        <v/>
      </c>
      <c r="Z66" s="201"/>
      <c r="AA66" s="194"/>
      <c r="AB66" s="202"/>
      <c r="AC66" s="3" t="str">
        <f t="shared" si="3"/>
        <v/>
      </c>
      <c r="AD66" s="172" t="str">
        <f>IF(F66&lt;&gt;"",IF(VLOOKUP(F66,MetricsDefinition!$E$1:$Z$215,20,FALSE)=E66,0,1),"")</f>
        <v/>
      </c>
      <c r="AE66" s="172" t="str">
        <f t="shared" si="4"/>
        <v/>
      </c>
    </row>
    <row r="67" spans="1:31" ht="48.65" customHeight="1">
      <c r="A67" s="30" t="str">
        <f>IF(F67&lt;&gt;"",IFERROR(VLOOKUP(F67,MetricsDefinition!$E$2:$O$506,2,FALSE),""),"")</f>
        <v/>
      </c>
      <c r="B67" s="30" t="str">
        <f t="shared" si="1"/>
        <v/>
      </c>
      <c r="C67" s="30" t="str">
        <f>IF(D67&lt;&gt;"",IFERROR(VLOOKUP(D67,ListMaster!$CE$1:$CG$50,3,FALSE),""),"")</f>
        <v/>
      </c>
      <c r="D67" s="30" t="str">
        <f>IF(F67&lt;&gt;"",IFERROR(VLOOKUP(F67,MetricsDefinition!$E$2:$O$506,3,FALSE),""),"")</f>
        <v/>
      </c>
      <c r="E67" s="193"/>
      <c r="F67" s="415"/>
      <c r="G67" s="30" t="str">
        <f>IF(F67&lt;&gt;"",IFERROR(VLOOKUP(F67,MetricsDefinition!$E$2:$W$506,5,FALSE),""),"")</f>
        <v/>
      </c>
      <c r="H67" s="195" t="str">
        <f>IF(IF($F67&lt;&gt;"",IFERROR(VLOOKUP($F67,MetricsDefinition!$E$2:$W$506,6,FALSE),""),"")&lt;&gt;"", SUBSTITUTE(IF($F67&lt;&gt;"",IFERROR(VLOOKUP($F67,MetricsDefinition!$E$2:$W$506,6,FALSE),""),""),"Size Unit",E$3),"")</f>
        <v/>
      </c>
      <c r="I67" s="195" t="str">
        <f>IF(AND($F67&lt;&gt;"",M67&lt;&gt;""),IFERROR(VLOOKUP($M67,ListMaster!$D$2:$E$9,2,FALSE),""),"")</f>
        <v/>
      </c>
      <c r="J67" s="197"/>
      <c r="K67" s="197"/>
      <c r="L67" s="197"/>
      <c r="M67" s="30" t="str">
        <f>IF($F67&lt;&gt;"",IFERROR(VLOOKUP($F67,MetricsDefinition!$E$2:$W$506,8,FALSE),""),"")</f>
        <v/>
      </c>
      <c r="N67" s="194"/>
      <c r="O67" s="196"/>
      <c r="P67" s="242"/>
      <c r="Q67" s="199"/>
      <c r="R67" s="195" t="str">
        <f>IF($F67&lt;&gt;"",IFERROR(VLOOKUP($F67,MetricsDefinition!$E$2:$W$506,12,FALSE),""),"")</f>
        <v/>
      </c>
      <c r="S67" s="200" t="str">
        <f>IF($F67&lt;&gt;"",IFERROR(VLOOKUP($F67,MetricsDefinition!$E$2:$W$506,13,FALSE),""),"")</f>
        <v/>
      </c>
      <c r="T67" s="275" t="str">
        <f>IF($F67&lt;&gt;"",IFERROR(VLOOKUP($F67,MetricsDefinition!$E$2:$W$507,4,FALSE),""),"")</f>
        <v/>
      </c>
      <c r="U67" s="246"/>
      <c r="V67" s="30" t="str">
        <f>IF($F67&lt;&gt;"",IFERROR(VLOOKUP($F67,MetricsDefinition!$E$2:$W$219,7,FALSE),""),"")</f>
        <v/>
      </c>
      <c r="W67" s="198"/>
      <c r="X67" s="194"/>
      <c r="Y67" s="200" t="str">
        <f>IF(X67="Yes","Control Chart and/or Prediction Model",IF($F67&lt;&gt;"",IFERROR(VLOOKUP($F67,MetricsDefinition!$E$2:$W$507,15,FALSE),""),""))</f>
        <v/>
      </c>
      <c r="Z67" s="201"/>
      <c r="AA67" s="194"/>
      <c r="AB67" s="202"/>
      <c r="AC67" s="3" t="str">
        <f t="shared" si="3"/>
        <v/>
      </c>
      <c r="AD67" s="172" t="str">
        <f>IF(F67&lt;&gt;"",IF(VLOOKUP(F67,MetricsDefinition!$E$1:$Z$215,20,FALSE)=E67,0,1),"")</f>
        <v/>
      </c>
      <c r="AE67" s="172" t="str">
        <f t="shared" si="4"/>
        <v/>
      </c>
    </row>
    <row r="68" spans="1:31" ht="48.65" customHeight="1">
      <c r="A68" s="30" t="str">
        <f>IF(F68&lt;&gt;"",IFERROR(VLOOKUP(F68,MetricsDefinition!$E$2:$O$506,2,FALSE),""),"")</f>
        <v/>
      </c>
      <c r="B68" s="30" t="str">
        <f t="shared" si="1"/>
        <v/>
      </c>
      <c r="C68" s="30" t="str">
        <f>IF(D68&lt;&gt;"",IFERROR(VLOOKUP(D68,ListMaster!$CE$1:$CG$50,3,FALSE),""),"")</f>
        <v/>
      </c>
      <c r="D68" s="30" t="str">
        <f>IF(F68&lt;&gt;"",IFERROR(VLOOKUP(F68,MetricsDefinition!$E$2:$O$506,3,FALSE),""),"")</f>
        <v/>
      </c>
      <c r="E68" s="193"/>
      <c r="F68" s="415"/>
      <c r="G68" s="30" t="str">
        <f>IF(F68&lt;&gt;"",IFERROR(VLOOKUP(F68,MetricsDefinition!$E$2:$W$506,5,FALSE),""),"")</f>
        <v/>
      </c>
      <c r="H68" s="195" t="str">
        <f>IF(IF($F68&lt;&gt;"",IFERROR(VLOOKUP($F68,MetricsDefinition!$E$2:$W$506,6,FALSE),""),"")&lt;&gt;"", SUBSTITUTE(IF($F68&lt;&gt;"",IFERROR(VLOOKUP($F68,MetricsDefinition!$E$2:$W$506,6,FALSE),""),""),"Size Unit",E$3),"")</f>
        <v/>
      </c>
      <c r="I68" s="195" t="str">
        <f>IF(AND($F68&lt;&gt;"",M68&lt;&gt;""),IFERROR(VLOOKUP($M68,ListMaster!$D$2:$E$9,2,FALSE),""),"")</f>
        <v/>
      </c>
      <c r="J68" s="197"/>
      <c r="K68" s="197"/>
      <c r="L68" s="197"/>
      <c r="M68" s="30" t="str">
        <f>IF($F68&lt;&gt;"",IFERROR(VLOOKUP($F68,MetricsDefinition!$E$2:$W$506,8,FALSE),""),"")</f>
        <v/>
      </c>
      <c r="N68" s="194"/>
      <c r="O68" s="196"/>
      <c r="P68" s="242"/>
      <c r="Q68" s="199"/>
      <c r="R68" s="195" t="str">
        <f>IF($F68&lt;&gt;"",IFERROR(VLOOKUP($F68,MetricsDefinition!$E$2:$W$506,12,FALSE),""),"")</f>
        <v/>
      </c>
      <c r="S68" s="200" t="str">
        <f>IF($F68&lt;&gt;"",IFERROR(VLOOKUP($F68,MetricsDefinition!$E$2:$W$506,13,FALSE),""),"")</f>
        <v/>
      </c>
      <c r="T68" s="275" t="str">
        <f>IF($F68&lt;&gt;"",IFERROR(VLOOKUP($F68,MetricsDefinition!$E$2:$W$507,4,FALSE),""),"")</f>
        <v/>
      </c>
      <c r="U68" s="246"/>
      <c r="V68" s="30" t="str">
        <f>IF($F68&lt;&gt;"",IFERROR(VLOOKUP($F68,MetricsDefinition!$E$2:$W$219,7,FALSE),""),"")</f>
        <v/>
      </c>
      <c r="W68" s="198"/>
      <c r="X68" s="194"/>
      <c r="Y68" s="200" t="str">
        <f>IF(X68="Yes","Control Chart and/or Prediction Model",IF($F68&lt;&gt;"",IFERROR(VLOOKUP($F68,MetricsDefinition!$E$2:$W$507,15,FALSE),""),""))</f>
        <v/>
      </c>
      <c r="Z68" s="201"/>
      <c r="AA68" s="194"/>
      <c r="AB68" s="202"/>
      <c r="AC68" s="3" t="str">
        <f t="shared" ref="AC68:AC75" si="5">IF(F68&lt;&gt;"",IF(AND(G68&lt;&gt;"",H68&lt;&gt;"",O68&lt;&gt;"",J68&lt;&gt;"",M68&lt;&gt;"",P68&lt;&gt;"",V68&lt;&gt;"",Q68&lt;&gt;"",R68&lt;&gt;"",S68&lt;&gt;"",N68&lt;&gt;"",X68&lt;&gt;"")=TRUE,0,1),"")</f>
        <v/>
      </c>
      <c r="AD68" s="172" t="str">
        <f>IF(F68&lt;&gt;"",IF(VLOOKUP(F68,MetricsDefinition!$E$1:$Z$215,20,FALSE)=E68,0,1),"")</f>
        <v/>
      </c>
      <c r="AE68" s="172" t="str">
        <f t="shared" si="4"/>
        <v/>
      </c>
    </row>
    <row r="69" spans="1:31" ht="48.65" customHeight="1">
      <c r="A69" s="30" t="str">
        <f>IF(F69&lt;&gt;"",IFERROR(VLOOKUP(F69,MetricsDefinition!$E$2:$O$506,2,FALSE),""),"")</f>
        <v/>
      </c>
      <c r="B69" s="30" t="str">
        <f t="shared" si="1"/>
        <v/>
      </c>
      <c r="C69" s="30" t="str">
        <f>IF(D69&lt;&gt;"",IFERROR(VLOOKUP(D69,ListMaster!$CE$1:$CG$50,3,FALSE),""),"")</f>
        <v/>
      </c>
      <c r="D69" s="30" t="str">
        <f>IF(F69&lt;&gt;"",IFERROR(VLOOKUP(F69,MetricsDefinition!$E$2:$O$506,3,FALSE),""),"")</f>
        <v/>
      </c>
      <c r="E69" s="193"/>
      <c r="F69" s="415"/>
      <c r="G69" s="30" t="str">
        <f>IF(F69&lt;&gt;"",IFERROR(VLOOKUP(F69,MetricsDefinition!$E$2:$W$506,5,FALSE),""),"")</f>
        <v/>
      </c>
      <c r="H69" s="195" t="str">
        <f>IF(IF($F69&lt;&gt;"",IFERROR(VLOOKUP($F69,MetricsDefinition!$E$2:$W$506,6,FALSE),""),"")&lt;&gt;"", SUBSTITUTE(IF($F69&lt;&gt;"",IFERROR(VLOOKUP($F69,MetricsDefinition!$E$2:$W$506,6,FALSE),""),""),"Size Unit",E$3),"")</f>
        <v/>
      </c>
      <c r="I69" s="195" t="str">
        <f>IF(AND($F69&lt;&gt;"",M69&lt;&gt;""),IFERROR(VLOOKUP($M69,ListMaster!$D$2:$E$9,2,FALSE),""),"")</f>
        <v/>
      </c>
      <c r="J69" s="197"/>
      <c r="K69" s="197"/>
      <c r="L69" s="197"/>
      <c r="M69" s="30" t="str">
        <f>IF($F69&lt;&gt;"",IFERROR(VLOOKUP($F69,MetricsDefinition!$E$2:$W$506,8,FALSE),""),"")</f>
        <v/>
      </c>
      <c r="N69" s="194"/>
      <c r="O69" s="196"/>
      <c r="P69" s="242"/>
      <c r="Q69" s="199"/>
      <c r="R69" s="195" t="str">
        <f>IF($F69&lt;&gt;"",IFERROR(VLOOKUP($F69,MetricsDefinition!$E$2:$W$506,12,FALSE),""),"")</f>
        <v/>
      </c>
      <c r="S69" s="200" t="str">
        <f>IF($F69&lt;&gt;"",IFERROR(VLOOKUP($F69,MetricsDefinition!$E$2:$W$506,13,FALSE),""),"")</f>
        <v/>
      </c>
      <c r="T69" s="275" t="str">
        <f>IF($F69&lt;&gt;"",IFERROR(VLOOKUP($F69,MetricsDefinition!$E$2:$W$507,4,FALSE),""),"")</f>
        <v/>
      </c>
      <c r="U69" s="246"/>
      <c r="V69" s="30" t="str">
        <f>IF($F69&lt;&gt;"",IFERROR(VLOOKUP($F69,MetricsDefinition!$E$2:$W$219,7,FALSE),""),"")</f>
        <v/>
      </c>
      <c r="W69" s="198"/>
      <c r="X69" s="194"/>
      <c r="Y69" s="200" t="str">
        <f>IF(X69="Yes","Control Chart and/or Prediction Model",IF($F69&lt;&gt;"",IFERROR(VLOOKUP($F69,MetricsDefinition!$E$2:$W$507,15,FALSE),""),""))</f>
        <v/>
      </c>
      <c r="Z69" s="201"/>
      <c r="AA69" s="194"/>
      <c r="AB69" s="202"/>
      <c r="AC69" s="3" t="str">
        <f t="shared" si="5"/>
        <v/>
      </c>
      <c r="AD69" s="172" t="str">
        <f>IF(F69&lt;&gt;"",IF(VLOOKUP(F69,MetricsDefinition!$E$1:$Z$215,20,FALSE)=E69,0,1),"")</f>
        <v/>
      </c>
      <c r="AE69" s="172" t="str">
        <f t="shared" ref="AE69:AE75" si="6">IF(U69&lt;&gt;"",IF(IFERROR(VLOOKUP(U69,$F$5:$F$73,1,FALSE),"")&lt;&gt;"",0,1),"")</f>
        <v/>
      </c>
    </row>
    <row r="70" spans="1:31" ht="48.65" customHeight="1">
      <c r="A70" s="30" t="str">
        <f>IF(F70&lt;&gt;"",IFERROR(VLOOKUP(F70,MetricsDefinition!$E$2:$O$506,2,FALSE),""),"")</f>
        <v/>
      </c>
      <c r="B70" s="30" t="str">
        <f t="shared" ref="B70:B75" si="7">IF(A70="Business Objective",A70,IF(A70="Process Objective","Measurement and Performance Objective-MPO",IF(A70="Sub-Process Objective","Sub-Process Metric","")))</f>
        <v/>
      </c>
      <c r="C70" s="30" t="str">
        <f>IF(D70&lt;&gt;"",IFERROR(VLOOKUP(D70,ListMaster!$CE$1:$CG$50,3,FALSE),""),"")</f>
        <v/>
      </c>
      <c r="D70" s="30" t="str">
        <f>IF(F70&lt;&gt;"",IFERROR(VLOOKUP(F70,MetricsDefinition!$E$2:$O$506,3,FALSE),""),"")</f>
        <v/>
      </c>
      <c r="E70" s="193"/>
      <c r="F70" s="415"/>
      <c r="G70" s="30" t="str">
        <f>IF(F70&lt;&gt;"",IFERROR(VLOOKUP(F70,MetricsDefinition!$E$2:$W$506,5,FALSE),""),"")</f>
        <v/>
      </c>
      <c r="H70" s="195" t="str">
        <f>IF(IF($F70&lt;&gt;"",IFERROR(VLOOKUP($F70,MetricsDefinition!$E$2:$W$506,6,FALSE),""),"")&lt;&gt;"", SUBSTITUTE(IF($F70&lt;&gt;"",IFERROR(VLOOKUP($F70,MetricsDefinition!$E$2:$W$506,6,FALSE),""),""),"Size Unit",E$3),"")</f>
        <v/>
      </c>
      <c r="I70" s="195" t="str">
        <f>IF(AND($F70&lt;&gt;"",M70&lt;&gt;""),IFERROR(VLOOKUP($M70,ListMaster!$D$2:$E$9,2,FALSE),""),"")</f>
        <v/>
      </c>
      <c r="J70" s="197"/>
      <c r="K70" s="197"/>
      <c r="L70" s="197"/>
      <c r="M70" s="30" t="str">
        <f>IF($F70&lt;&gt;"",IFERROR(VLOOKUP($F70,MetricsDefinition!$E$2:$W$506,8,FALSE),""),"")</f>
        <v/>
      </c>
      <c r="N70" s="194"/>
      <c r="O70" s="196"/>
      <c r="P70" s="242"/>
      <c r="Q70" s="199"/>
      <c r="R70" s="195" t="str">
        <f>IF($F70&lt;&gt;"",IFERROR(VLOOKUP($F70,MetricsDefinition!$E$2:$W$506,12,FALSE),""),"")</f>
        <v/>
      </c>
      <c r="S70" s="200" t="str">
        <f>IF($F70&lt;&gt;"",IFERROR(VLOOKUP($F70,MetricsDefinition!$E$2:$W$506,13,FALSE),""),"")</f>
        <v/>
      </c>
      <c r="T70" s="275" t="str">
        <f>IF($F70&lt;&gt;"",IFERROR(VLOOKUP($F70,MetricsDefinition!$E$2:$W$507,4,FALSE),""),"")</f>
        <v/>
      </c>
      <c r="U70" s="246"/>
      <c r="V70" s="30" t="str">
        <f>IF($F70&lt;&gt;"",IFERROR(VLOOKUP($F70,MetricsDefinition!$E$2:$W$219,7,FALSE),""),"")</f>
        <v/>
      </c>
      <c r="W70" s="198"/>
      <c r="X70" s="194"/>
      <c r="Y70" s="200" t="str">
        <f>IF(X70="Yes","Control Chart and/or Prediction Model",IF($F70&lt;&gt;"",IFERROR(VLOOKUP($F70,MetricsDefinition!$E$2:$W$507,15,FALSE),""),""))</f>
        <v/>
      </c>
      <c r="Z70" s="201"/>
      <c r="AA70" s="194"/>
      <c r="AB70" s="202"/>
      <c r="AC70" s="3" t="str">
        <f t="shared" si="5"/>
        <v/>
      </c>
      <c r="AD70" s="172" t="str">
        <f>IF(F70&lt;&gt;"",IF(VLOOKUP(F70,MetricsDefinition!$E$1:$Z$215,20,FALSE)=E70,0,1),"")</f>
        <v/>
      </c>
      <c r="AE70" s="172" t="str">
        <f t="shared" si="6"/>
        <v/>
      </c>
    </row>
    <row r="71" spans="1:31" ht="48.65" customHeight="1">
      <c r="A71" s="30" t="str">
        <f>IF(F71&lt;&gt;"",IFERROR(VLOOKUP(F71,MetricsDefinition!$E$2:$O$506,2,FALSE),""),"")</f>
        <v/>
      </c>
      <c r="B71" s="30" t="str">
        <f t="shared" si="7"/>
        <v/>
      </c>
      <c r="C71" s="30" t="str">
        <f>IF(D71&lt;&gt;"",IFERROR(VLOOKUP(D71,ListMaster!$CE$1:$CG$50,3,FALSE),""),"")</f>
        <v/>
      </c>
      <c r="D71" s="30" t="str">
        <f>IF(F71&lt;&gt;"",IFERROR(VLOOKUP(F71,MetricsDefinition!$E$2:$O$506,3,FALSE),""),"")</f>
        <v/>
      </c>
      <c r="E71" s="193"/>
      <c r="F71" s="415"/>
      <c r="G71" s="30" t="str">
        <f>IF(F71&lt;&gt;"",IFERROR(VLOOKUP(F71,MetricsDefinition!$E$2:$W$506,5,FALSE),""),"")</f>
        <v/>
      </c>
      <c r="H71" s="195" t="str">
        <f>IF(IF($F71&lt;&gt;"",IFERROR(VLOOKUP($F71,MetricsDefinition!$E$2:$W$506,6,FALSE),""),"")&lt;&gt;"", SUBSTITUTE(IF($F71&lt;&gt;"",IFERROR(VLOOKUP($F71,MetricsDefinition!$E$2:$W$506,6,FALSE),""),""),"Size Unit",E$3),"")</f>
        <v/>
      </c>
      <c r="I71" s="195" t="str">
        <f>IF(AND($F71&lt;&gt;"",M71&lt;&gt;""),IFERROR(VLOOKUP($M71,ListMaster!$D$2:$E$9,2,FALSE),""),"")</f>
        <v/>
      </c>
      <c r="J71" s="197"/>
      <c r="K71" s="197"/>
      <c r="L71" s="197"/>
      <c r="M71" s="30" t="str">
        <f>IF($F71&lt;&gt;"",IFERROR(VLOOKUP($F71,MetricsDefinition!$E$2:$W$506,8,FALSE),""),"")</f>
        <v/>
      </c>
      <c r="N71" s="194"/>
      <c r="O71" s="196"/>
      <c r="P71" s="242"/>
      <c r="Q71" s="199"/>
      <c r="R71" s="195" t="str">
        <f>IF($F71&lt;&gt;"",IFERROR(VLOOKUP($F71,MetricsDefinition!$E$2:$W$506,12,FALSE),""),"")</f>
        <v/>
      </c>
      <c r="S71" s="200" t="str">
        <f>IF($F71&lt;&gt;"",IFERROR(VLOOKUP($F71,MetricsDefinition!$E$2:$W$506,13,FALSE),""),"")</f>
        <v/>
      </c>
      <c r="T71" s="275" t="str">
        <f>IF($F71&lt;&gt;"",IFERROR(VLOOKUP($F71,MetricsDefinition!$E$2:$W$507,4,FALSE),""),"")</f>
        <v/>
      </c>
      <c r="U71" s="246"/>
      <c r="V71" s="30" t="str">
        <f>IF($F71&lt;&gt;"",IFERROR(VLOOKUP($F71,MetricsDefinition!$E$2:$W$219,7,FALSE),""),"")</f>
        <v/>
      </c>
      <c r="W71" s="198"/>
      <c r="X71" s="194"/>
      <c r="Y71" s="200" t="str">
        <f>IF(X71="Yes","Control Chart and/or Prediction Model",IF($F71&lt;&gt;"",IFERROR(VLOOKUP($F71,MetricsDefinition!$E$2:$W$507,15,FALSE),""),""))</f>
        <v/>
      </c>
      <c r="Z71" s="201"/>
      <c r="AA71" s="194"/>
      <c r="AB71" s="202"/>
      <c r="AC71" s="3" t="str">
        <f t="shared" si="5"/>
        <v/>
      </c>
      <c r="AD71" s="172" t="str">
        <f>IF(F71&lt;&gt;"",IF(VLOOKUP(F71,MetricsDefinition!$E$1:$Z$215,20,FALSE)=E71,0,1),"")</f>
        <v/>
      </c>
      <c r="AE71" s="172" t="str">
        <f t="shared" si="6"/>
        <v/>
      </c>
    </row>
    <row r="72" spans="1:31" ht="48.65" customHeight="1">
      <c r="A72" s="30" t="str">
        <f>IF(F72&lt;&gt;"",IFERROR(VLOOKUP(F72,MetricsDefinition!$E$2:$O$506,2,FALSE),""),"")</f>
        <v/>
      </c>
      <c r="B72" s="30" t="str">
        <f t="shared" si="7"/>
        <v/>
      </c>
      <c r="C72" s="30" t="str">
        <f>IF(D72&lt;&gt;"",IFERROR(VLOOKUP(D72,ListMaster!$CE$1:$CG$50,3,FALSE),""),"")</f>
        <v/>
      </c>
      <c r="D72" s="30" t="str">
        <f>IF(F72&lt;&gt;"",IFERROR(VLOOKUP(F72,MetricsDefinition!$E$2:$O$506,3,FALSE),""),"")</f>
        <v/>
      </c>
      <c r="E72" s="193"/>
      <c r="F72" s="415"/>
      <c r="G72" s="30" t="str">
        <f>IF(F72&lt;&gt;"",IFERROR(VLOOKUP(F72,MetricsDefinition!$E$2:$W$506,5,FALSE),""),"")</f>
        <v/>
      </c>
      <c r="H72" s="195" t="str">
        <f>IF(IF($F72&lt;&gt;"",IFERROR(VLOOKUP($F72,MetricsDefinition!$E$2:$W$506,6,FALSE),""),"")&lt;&gt;"", SUBSTITUTE(IF($F72&lt;&gt;"",IFERROR(VLOOKUP($F72,MetricsDefinition!$E$2:$W$506,6,FALSE),""),""),"Size Unit",E$3),"")</f>
        <v/>
      </c>
      <c r="I72" s="195" t="str">
        <f>IF(AND($F72&lt;&gt;"",M72&lt;&gt;""),IFERROR(VLOOKUP($M72,ListMaster!$D$2:$E$9,2,FALSE),""),"")</f>
        <v/>
      </c>
      <c r="J72" s="197"/>
      <c r="K72" s="197"/>
      <c r="L72" s="197"/>
      <c r="M72" s="30" t="str">
        <f>IF($F72&lt;&gt;"",IFERROR(VLOOKUP($F72,MetricsDefinition!$E$2:$W$506,8,FALSE),""),"")</f>
        <v/>
      </c>
      <c r="N72" s="194"/>
      <c r="O72" s="196"/>
      <c r="P72" s="242"/>
      <c r="Q72" s="199"/>
      <c r="R72" s="195" t="str">
        <f>IF($F72&lt;&gt;"",IFERROR(VLOOKUP($F72,MetricsDefinition!$E$2:$W$506,12,FALSE),""),"")</f>
        <v/>
      </c>
      <c r="S72" s="200" t="str">
        <f>IF($F72&lt;&gt;"",IFERROR(VLOOKUP($F72,MetricsDefinition!$E$2:$W$506,13,FALSE),""),"")</f>
        <v/>
      </c>
      <c r="T72" s="275" t="str">
        <f>IF($F72&lt;&gt;"",IFERROR(VLOOKUP($F72,MetricsDefinition!$E$2:$W$507,4,FALSE),""),"")</f>
        <v/>
      </c>
      <c r="U72" s="246"/>
      <c r="V72" s="30" t="str">
        <f>IF($F72&lt;&gt;"",IFERROR(VLOOKUP($F72,MetricsDefinition!$E$2:$W$219,7,FALSE),""),"")</f>
        <v/>
      </c>
      <c r="W72" s="198"/>
      <c r="X72" s="194"/>
      <c r="Y72" s="200" t="str">
        <f>IF(X72="Yes","Control Chart and/or Prediction Model",IF($F72&lt;&gt;"",IFERROR(VLOOKUP($F72,MetricsDefinition!$E$2:$W$507,15,FALSE),""),""))</f>
        <v/>
      </c>
      <c r="Z72" s="201"/>
      <c r="AA72" s="194"/>
      <c r="AB72" s="202"/>
      <c r="AC72" s="3" t="str">
        <f t="shared" si="5"/>
        <v/>
      </c>
      <c r="AD72" s="172" t="str">
        <f>IF(F72&lt;&gt;"",IF(VLOOKUP(F72,MetricsDefinition!$E$1:$Z$215,20,FALSE)=E72,0,1),"")</f>
        <v/>
      </c>
      <c r="AE72" s="172" t="str">
        <f t="shared" si="6"/>
        <v/>
      </c>
    </row>
    <row r="73" spans="1:31" ht="48.65" customHeight="1">
      <c r="A73" s="30" t="str">
        <f>IF(F73&lt;&gt;"",IFERROR(VLOOKUP(F73,MetricsDefinition!$E$2:$O$506,2,FALSE),""),"")</f>
        <v/>
      </c>
      <c r="B73" s="30" t="str">
        <f t="shared" si="7"/>
        <v/>
      </c>
      <c r="C73" s="30" t="str">
        <f>IF(D73&lt;&gt;"",IFERROR(VLOOKUP(D73,ListMaster!$CE$1:$CG$50,3,FALSE),""),"")</f>
        <v/>
      </c>
      <c r="D73" s="30" t="str">
        <f>IF(F73&lt;&gt;"",IFERROR(VLOOKUP(F73,MetricsDefinition!$E$2:$O$506,3,FALSE),""),"")</f>
        <v/>
      </c>
      <c r="E73" s="193"/>
      <c r="F73" s="415"/>
      <c r="G73" s="30" t="str">
        <f>IF(F73&lt;&gt;"",IFERROR(VLOOKUP(F73,MetricsDefinition!$E$2:$W$506,5,FALSE),""),"")</f>
        <v/>
      </c>
      <c r="H73" s="195" t="str">
        <f>IF(IF($F73&lt;&gt;"",IFERROR(VLOOKUP($F73,MetricsDefinition!$E$2:$W$506,6,FALSE),""),"")&lt;&gt;"", SUBSTITUTE(IF($F73&lt;&gt;"",IFERROR(VLOOKUP($F73,MetricsDefinition!$E$2:$W$506,6,FALSE),""),""),"Size Unit",E$3),"")</f>
        <v/>
      </c>
      <c r="I73" s="195" t="str">
        <f>IF(AND($F73&lt;&gt;"",M73&lt;&gt;""),IFERROR(VLOOKUP($M73,ListMaster!$D$2:$E$9,2,FALSE),""),"")</f>
        <v/>
      </c>
      <c r="J73" s="197"/>
      <c r="K73" s="197"/>
      <c r="L73" s="197"/>
      <c r="M73" s="30" t="str">
        <f>IF($F73&lt;&gt;"",IFERROR(VLOOKUP($F73,MetricsDefinition!$E$2:$W$506,8,FALSE),""),"")</f>
        <v/>
      </c>
      <c r="N73" s="194"/>
      <c r="O73" s="196"/>
      <c r="P73" s="242"/>
      <c r="Q73" s="199"/>
      <c r="R73" s="195" t="str">
        <f>IF($F73&lt;&gt;"",IFERROR(VLOOKUP($F73,MetricsDefinition!$E$2:$W$506,12,FALSE),""),"")</f>
        <v/>
      </c>
      <c r="S73" s="200" t="str">
        <f>IF($F73&lt;&gt;"",IFERROR(VLOOKUP($F73,MetricsDefinition!$E$2:$W$506,13,FALSE),""),"")</f>
        <v/>
      </c>
      <c r="T73" s="275" t="str">
        <f>IF($F73&lt;&gt;"",IFERROR(VLOOKUP($F73,MetricsDefinition!$E$2:$W$507,4,FALSE),""),"")</f>
        <v/>
      </c>
      <c r="U73" s="246"/>
      <c r="V73" s="30" t="str">
        <f>IF($F73&lt;&gt;"",IFERROR(VLOOKUP($F73,MetricsDefinition!$E$2:$W$219,7,FALSE),""),"")</f>
        <v/>
      </c>
      <c r="W73" s="198"/>
      <c r="X73" s="194"/>
      <c r="Y73" s="200" t="str">
        <f>IF(X73="Yes","Control Chart and/or Prediction Model",IF($F73&lt;&gt;"",IFERROR(VLOOKUP($F73,MetricsDefinition!$E$2:$W$507,15,FALSE),""),""))</f>
        <v/>
      </c>
      <c r="Z73" s="201"/>
      <c r="AA73" s="194"/>
      <c r="AB73" s="202"/>
      <c r="AC73" s="3" t="str">
        <f t="shared" si="5"/>
        <v/>
      </c>
      <c r="AD73" s="172" t="str">
        <f>IF(F73&lt;&gt;"",IF(VLOOKUP(F73,MetricsDefinition!$E$1:$Z$215,20,FALSE)=E73,0,1),"")</f>
        <v/>
      </c>
      <c r="AE73" s="172" t="str">
        <f t="shared" si="6"/>
        <v/>
      </c>
    </row>
    <row r="74" spans="1:31" ht="48.65" customHeight="1">
      <c r="A74" s="30" t="str">
        <f>IF(F74&lt;&gt;"",IFERROR(VLOOKUP(F74,MetricsDefinition!$E$2:$O$506,2,FALSE),""),"")</f>
        <v/>
      </c>
      <c r="B74" s="30" t="str">
        <f t="shared" si="7"/>
        <v/>
      </c>
      <c r="C74" s="30" t="str">
        <f>IF(D74&lt;&gt;"",IFERROR(VLOOKUP(D74,ListMaster!$CE$1:$CG$50,3,FALSE),""),"")</f>
        <v/>
      </c>
      <c r="D74" s="30" t="str">
        <f>IF(F74&lt;&gt;"",IFERROR(VLOOKUP(F74,MetricsDefinition!$E$2:$O$506,3,FALSE),""),"")</f>
        <v/>
      </c>
      <c r="E74" s="193"/>
      <c r="F74" s="415"/>
      <c r="G74" s="30" t="str">
        <f>IF(F74&lt;&gt;"",IFERROR(VLOOKUP(F74,MetricsDefinition!$E$2:$W$506,5,FALSE),""),"")</f>
        <v/>
      </c>
      <c r="H74" s="195" t="str">
        <f>IF(IF($F74&lt;&gt;"",IFERROR(VLOOKUP($F74,MetricsDefinition!$E$2:$W$506,6,FALSE),""),"")&lt;&gt;"", SUBSTITUTE(IF($F74&lt;&gt;"",IFERROR(VLOOKUP($F74,MetricsDefinition!$E$2:$W$506,6,FALSE),""),""),"Size Unit",E$3),"")</f>
        <v/>
      </c>
      <c r="I74" s="195" t="str">
        <f>IF(AND($F74&lt;&gt;"",M74&lt;&gt;""),IFERROR(VLOOKUP($M74,ListMaster!$D$2:$E$9,2,FALSE),""),"")</f>
        <v/>
      </c>
      <c r="J74" s="197"/>
      <c r="K74" s="197"/>
      <c r="L74" s="197"/>
      <c r="M74" s="30" t="str">
        <f>IF($F74&lt;&gt;"",IFERROR(VLOOKUP($F74,MetricsDefinition!$E$2:$W$506,8,FALSE),""),"")</f>
        <v/>
      </c>
      <c r="N74" s="194"/>
      <c r="O74" s="196"/>
      <c r="P74" s="242"/>
      <c r="Q74" s="199"/>
      <c r="R74" s="195" t="str">
        <f>IF($F74&lt;&gt;"",IFERROR(VLOOKUP($F74,MetricsDefinition!$E$2:$W$506,12,FALSE),""),"")</f>
        <v/>
      </c>
      <c r="S74" s="200" t="str">
        <f>IF($F74&lt;&gt;"",IFERROR(VLOOKUP($F74,MetricsDefinition!$E$2:$W$506,13,FALSE),""),"")</f>
        <v/>
      </c>
      <c r="T74" s="275" t="str">
        <f>IF($F74&lt;&gt;"",IFERROR(VLOOKUP($F74,MetricsDefinition!$E$2:$W$507,4,FALSE),""),"")</f>
        <v/>
      </c>
      <c r="U74" s="246"/>
      <c r="V74" s="30" t="str">
        <f>IF($F74&lt;&gt;"",IFERROR(VLOOKUP($F74,MetricsDefinition!$E$2:$W$219,7,FALSE),""),"")</f>
        <v/>
      </c>
      <c r="W74" s="198"/>
      <c r="X74" s="194"/>
      <c r="Y74" s="200" t="str">
        <f>IF(X74="Yes","Control Chart and/or Prediction Model",IF($F74&lt;&gt;"",IFERROR(VLOOKUP($F74,MetricsDefinition!$E$2:$W$507,15,FALSE),""),""))</f>
        <v/>
      </c>
      <c r="Z74" s="201"/>
      <c r="AA74" s="194"/>
      <c r="AB74" s="202"/>
      <c r="AC74" s="3" t="str">
        <f t="shared" si="5"/>
        <v/>
      </c>
      <c r="AD74" s="172" t="str">
        <f>IF(F74&lt;&gt;"",IF(VLOOKUP(F74,MetricsDefinition!$E$1:$Z$215,20,FALSE)=E74,0,1),"")</f>
        <v/>
      </c>
      <c r="AE74" s="172" t="str">
        <f t="shared" si="6"/>
        <v/>
      </c>
    </row>
    <row r="75" spans="1:31" ht="48.65" customHeight="1">
      <c r="A75" s="30" t="str">
        <f>IF(F75&lt;&gt;"",IFERROR(VLOOKUP(F75,MetricsDefinition!$E$2:$O$506,2,FALSE),""),"")</f>
        <v/>
      </c>
      <c r="B75" s="30" t="str">
        <f t="shared" si="7"/>
        <v/>
      </c>
      <c r="C75" s="30" t="str">
        <f>IF(D75&lt;&gt;"",IFERROR(VLOOKUP(D75,ListMaster!$CE$1:$CG$50,3,FALSE),""),"")</f>
        <v/>
      </c>
      <c r="D75" s="30" t="str">
        <f>IF(F75&lt;&gt;"",IFERROR(VLOOKUP(F75,MetricsDefinition!$E$2:$O$506,3,FALSE),""),"")</f>
        <v/>
      </c>
      <c r="E75" s="193"/>
      <c r="F75" s="415"/>
      <c r="G75" s="30" t="str">
        <f>IF(F75&lt;&gt;"",IFERROR(VLOOKUP(F75,MetricsDefinition!$E$2:$W$506,5,FALSE),""),"")</f>
        <v/>
      </c>
      <c r="H75" s="195" t="str">
        <f>IF(IF($F75&lt;&gt;"",IFERROR(VLOOKUP($F75,MetricsDefinition!$E$2:$W$506,6,FALSE),""),"")&lt;&gt;"", SUBSTITUTE(IF($F75&lt;&gt;"",IFERROR(VLOOKUP($F75,MetricsDefinition!$E$2:$W$506,6,FALSE),""),""),"Size Unit",E$3),"")</f>
        <v/>
      </c>
      <c r="I75" s="195" t="str">
        <f>IF(AND($F75&lt;&gt;"",M75&lt;&gt;""),IFERROR(VLOOKUP($M75,ListMaster!$D$2:$E$9,2,FALSE),""),"")</f>
        <v/>
      </c>
      <c r="J75" s="197"/>
      <c r="K75" s="197"/>
      <c r="L75" s="197"/>
      <c r="M75" s="30" t="str">
        <f>IF($F75&lt;&gt;"",IFERROR(VLOOKUP($F75,MetricsDefinition!$E$2:$W$506,8,FALSE),""),"")</f>
        <v/>
      </c>
      <c r="N75" s="194"/>
      <c r="O75" s="196"/>
      <c r="P75" s="242"/>
      <c r="Q75" s="199"/>
      <c r="R75" s="195" t="str">
        <f>IF($F75&lt;&gt;"",IFERROR(VLOOKUP($F75,MetricsDefinition!$E$2:$W$506,12,FALSE),""),"")</f>
        <v/>
      </c>
      <c r="S75" s="200" t="str">
        <f>IF($F75&lt;&gt;"",IFERROR(VLOOKUP($F75,MetricsDefinition!$E$2:$W$506,13,FALSE),""),"")</f>
        <v/>
      </c>
      <c r="T75" s="275" t="str">
        <f>IF($F75&lt;&gt;"",IFERROR(VLOOKUP($F75,MetricsDefinition!$E$2:$W$507,4,FALSE),""),"")</f>
        <v/>
      </c>
      <c r="U75" s="246"/>
      <c r="V75" s="30" t="str">
        <f>IF($F75&lt;&gt;"",IFERROR(VLOOKUP($F75,MetricsDefinition!$E$2:$W$219,7,FALSE),""),"")</f>
        <v/>
      </c>
      <c r="W75" s="198"/>
      <c r="X75" s="194"/>
      <c r="Y75" s="200" t="str">
        <f>IF(X75="Yes","Control Chart and/or Prediction Model",IF($F75&lt;&gt;"",IFERROR(VLOOKUP($F75,MetricsDefinition!$E$2:$W$507,15,FALSE),""),""))</f>
        <v/>
      </c>
      <c r="Z75" s="201"/>
      <c r="AA75" s="194"/>
      <c r="AB75" s="202"/>
      <c r="AC75" s="3" t="str">
        <f t="shared" si="5"/>
        <v/>
      </c>
      <c r="AD75" s="172" t="str">
        <f>IF(F75&lt;&gt;"",IF(VLOOKUP(F75,MetricsDefinition!$E$1:$Z$215,20,FALSE)=E75,0,1),"")</f>
        <v/>
      </c>
      <c r="AE75" s="172" t="str">
        <f t="shared" si="6"/>
        <v/>
      </c>
    </row>
  </sheetData>
  <mergeCells count="2">
    <mergeCell ref="I4:J4"/>
    <mergeCell ref="F3:G3"/>
  </mergeCells>
  <conditionalFormatting sqref="E5:E75">
    <cfRule type="expression" dxfId="12" priority="19">
      <formula>$AD5=1</formula>
    </cfRule>
  </conditionalFormatting>
  <conditionalFormatting sqref="F3">
    <cfRule type="cellIs" dxfId="11" priority="11" stopIfTrue="1" operator="notEqual">
      <formula>"Metrics Selection Complete"</formula>
    </cfRule>
    <cfRule type="cellIs" dxfId="10" priority="12" stopIfTrue="1" operator="equal">
      <formula>"Metrics Selection Complete"</formula>
    </cfRule>
  </conditionalFormatting>
  <conditionalFormatting sqref="F5:F75 B5:B75">
    <cfRule type="cellIs" dxfId="9" priority="99" stopIfTrue="1" operator="equal">
      <formula>""""""</formula>
    </cfRule>
    <cfRule type="expression" dxfId="8" priority="100" stopIfTrue="1">
      <formula>$B5="Sub-Process Metric"</formula>
    </cfRule>
    <cfRule type="expression" dxfId="7" priority="101" stopIfTrue="1">
      <formula>$B5="Business Objective"</formula>
    </cfRule>
    <cfRule type="expression" dxfId="6" priority="102" stopIfTrue="1">
      <formula>$B5="Quality and Process Performance Objective-QPPO"</formula>
    </cfRule>
  </conditionalFormatting>
  <conditionalFormatting sqref="F5:F75 B5:B75">
    <cfRule type="expression" dxfId="5" priority="107" stopIfTrue="1">
      <formula>$B5="Measurement and Performance Objective-MPO"</formula>
    </cfRule>
  </conditionalFormatting>
  <conditionalFormatting sqref="U5:U75">
    <cfRule type="expression" dxfId="4" priority="110" stopIfTrue="1">
      <formula>$AE5=1</formula>
    </cfRule>
  </conditionalFormatting>
  <dataValidations count="13">
    <dataValidation type="list" allowBlank="1" showInputMessage="1" showErrorMessage="1" sqref="X65512:X65531 JS65512:JS65531 TO65512:TO65531 ADK65512:ADK65531 ANG65512:ANG65531 AXC65512:AXC65531 BGY65512:BGY65531 BQU65512:BQU65531 CAQ65512:CAQ65531 CKM65512:CKM65531 CUI65512:CUI65531 DEE65512:DEE65531 DOA65512:DOA65531 DXW65512:DXW65531 EHS65512:EHS65531 ERO65512:ERO65531 FBK65512:FBK65531 FLG65512:FLG65531 FVC65512:FVC65531 GEY65512:GEY65531 GOU65512:GOU65531 GYQ65512:GYQ65531 HIM65512:HIM65531 HSI65512:HSI65531 ICE65512:ICE65531 IMA65512:IMA65531 IVW65512:IVW65531 JFS65512:JFS65531 JPO65512:JPO65531 JZK65512:JZK65531 KJG65512:KJG65531 KTC65512:KTC65531 LCY65512:LCY65531 LMU65512:LMU65531 LWQ65512:LWQ65531 MGM65512:MGM65531 MQI65512:MQI65531 NAE65512:NAE65531 NKA65512:NKA65531 NTW65512:NTW65531 ODS65512:ODS65531 ONO65512:ONO65531 OXK65512:OXK65531 PHG65512:PHG65531 PRC65512:PRC65531 QAY65512:QAY65531 QKU65512:QKU65531 QUQ65512:QUQ65531 REM65512:REM65531 ROI65512:ROI65531 RYE65512:RYE65531 SIA65512:SIA65531 SRW65512:SRW65531 TBS65512:TBS65531 TLO65512:TLO65531 TVK65512:TVK65531 UFG65512:UFG65531 UPC65512:UPC65531 UYY65512:UYY65531 VIU65512:VIU65531 VSQ65512:VSQ65531 WCM65512:WCM65531 WMI65512:WMI65531 WWE65512:WWE65531 X131048:X131067 JS131048:JS131067 TO131048:TO131067 ADK131048:ADK131067 ANG131048:ANG131067 AXC131048:AXC131067 BGY131048:BGY131067 BQU131048:BQU131067 CAQ131048:CAQ131067 CKM131048:CKM131067 CUI131048:CUI131067 DEE131048:DEE131067 DOA131048:DOA131067 DXW131048:DXW131067 EHS131048:EHS131067 ERO131048:ERO131067 FBK131048:FBK131067 FLG131048:FLG131067 FVC131048:FVC131067 GEY131048:GEY131067 GOU131048:GOU131067 GYQ131048:GYQ131067 HIM131048:HIM131067 HSI131048:HSI131067 ICE131048:ICE131067 IMA131048:IMA131067 IVW131048:IVW131067 JFS131048:JFS131067 JPO131048:JPO131067 JZK131048:JZK131067 KJG131048:KJG131067 KTC131048:KTC131067 LCY131048:LCY131067 LMU131048:LMU131067 LWQ131048:LWQ131067 MGM131048:MGM131067 MQI131048:MQI131067 NAE131048:NAE131067 NKA131048:NKA131067 NTW131048:NTW131067 ODS131048:ODS131067 ONO131048:ONO131067 OXK131048:OXK131067 PHG131048:PHG131067 PRC131048:PRC131067 QAY131048:QAY131067 QKU131048:QKU131067 QUQ131048:QUQ131067 REM131048:REM131067 ROI131048:ROI131067 RYE131048:RYE131067 SIA131048:SIA131067 SRW131048:SRW131067 TBS131048:TBS131067 TLO131048:TLO131067 TVK131048:TVK131067 UFG131048:UFG131067 UPC131048:UPC131067 UYY131048:UYY131067 VIU131048:VIU131067 VSQ131048:VSQ131067 WCM131048:WCM131067 WMI131048:WMI131067 WWE131048:WWE131067 X196584:X196603 JS196584:JS196603 TO196584:TO196603 ADK196584:ADK196603 ANG196584:ANG196603 AXC196584:AXC196603 BGY196584:BGY196603 BQU196584:BQU196603 CAQ196584:CAQ196603 CKM196584:CKM196603 CUI196584:CUI196603 DEE196584:DEE196603 DOA196584:DOA196603 DXW196584:DXW196603 EHS196584:EHS196603 ERO196584:ERO196603 FBK196584:FBK196603 FLG196584:FLG196603 FVC196584:FVC196603 GEY196584:GEY196603 GOU196584:GOU196603 GYQ196584:GYQ196603 HIM196584:HIM196603 HSI196584:HSI196603 ICE196584:ICE196603 IMA196584:IMA196603 IVW196584:IVW196603 JFS196584:JFS196603 JPO196584:JPO196603 JZK196584:JZK196603 KJG196584:KJG196603 KTC196584:KTC196603 LCY196584:LCY196603 LMU196584:LMU196603 LWQ196584:LWQ196603 MGM196584:MGM196603 MQI196584:MQI196603 NAE196584:NAE196603 NKA196584:NKA196603 NTW196584:NTW196603 ODS196584:ODS196603 ONO196584:ONO196603 OXK196584:OXK196603 PHG196584:PHG196603 PRC196584:PRC196603 QAY196584:QAY196603 QKU196584:QKU196603 QUQ196584:QUQ196603 REM196584:REM196603 ROI196584:ROI196603 RYE196584:RYE196603 SIA196584:SIA196603 SRW196584:SRW196603 TBS196584:TBS196603 TLO196584:TLO196603 TVK196584:TVK196603 UFG196584:UFG196603 UPC196584:UPC196603 UYY196584:UYY196603 VIU196584:VIU196603 VSQ196584:VSQ196603 WCM196584:WCM196603 WMI196584:WMI196603 WWE196584:WWE196603 X262120:X262139 JS262120:JS262139 TO262120:TO262139 ADK262120:ADK262139 ANG262120:ANG262139 AXC262120:AXC262139 BGY262120:BGY262139 BQU262120:BQU262139 CAQ262120:CAQ262139 CKM262120:CKM262139 CUI262120:CUI262139 DEE262120:DEE262139 DOA262120:DOA262139 DXW262120:DXW262139 EHS262120:EHS262139 ERO262120:ERO262139 FBK262120:FBK262139 FLG262120:FLG262139 FVC262120:FVC262139 GEY262120:GEY262139 GOU262120:GOU262139 GYQ262120:GYQ262139 HIM262120:HIM262139 HSI262120:HSI262139 ICE262120:ICE262139 IMA262120:IMA262139 IVW262120:IVW262139 JFS262120:JFS262139 JPO262120:JPO262139 JZK262120:JZK262139 KJG262120:KJG262139 KTC262120:KTC262139 LCY262120:LCY262139 LMU262120:LMU262139 LWQ262120:LWQ262139 MGM262120:MGM262139 MQI262120:MQI262139 NAE262120:NAE262139 NKA262120:NKA262139 NTW262120:NTW262139 ODS262120:ODS262139 ONO262120:ONO262139 OXK262120:OXK262139 PHG262120:PHG262139 PRC262120:PRC262139 QAY262120:QAY262139 QKU262120:QKU262139 QUQ262120:QUQ262139 REM262120:REM262139 ROI262120:ROI262139 RYE262120:RYE262139 SIA262120:SIA262139 SRW262120:SRW262139 TBS262120:TBS262139 TLO262120:TLO262139 TVK262120:TVK262139 UFG262120:UFG262139 UPC262120:UPC262139 UYY262120:UYY262139 VIU262120:VIU262139 VSQ262120:VSQ262139 WCM262120:WCM262139 WMI262120:WMI262139 WWE262120:WWE262139 X327656:X327675 JS327656:JS327675 TO327656:TO327675 ADK327656:ADK327675 ANG327656:ANG327675 AXC327656:AXC327675 BGY327656:BGY327675 BQU327656:BQU327675 CAQ327656:CAQ327675 CKM327656:CKM327675 CUI327656:CUI327675 DEE327656:DEE327675 DOA327656:DOA327675 DXW327656:DXW327675 EHS327656:EHS327675 ERO327656:ERO327675 FBK327656:FBK327675 FLG327656:FLG327675 FVC327656:FVC327675 GEY327656:GEY327675 GOU327656:GOU327675 GYQ327656:GYQ327675 HIM327656:HIM327675 HSI327656:HSI327675 ICE327656:ICE327675 IMA327656:IMA327675 IVW327656:IVW327675 JFS327656:JFS327675 JPO327656:JPO327675 JZK327656:JZK327675 KJG327656:KJG327675 KTC327656:KTC327675 LCY327656:LCY327675 LMU327656:LMU327675 LWQ327656:LWQ327675 MGM327656:MGM327675 MQI327656:MQI327675 NAE327656:NAE327675 NKA327656:NKA327675 NTW327656:NTW327675 ODS327656:ODS327675 ONO327656:ONO327675 OXK327656:OXK327675 PHG327656:PHG327675 PRC327656:PRC327675 QAY327656:QAY327675 QKU327656:QKU327675 QUQ327656:QUQ327675 REM327656:REM327675 ROI327656:ROI327675 RYE327656:RYE327675 SIA327656:SIA327675 SRW327656:SRW327675 TBS327656:TBS327675 TLO327656:TLO327675 TVK327656:TVK327675 UFG327656:UFG327675 UPC327656:UPC327675 UYY327656:UYY327675 VIU327656:VIU327675 VSQ327656:VSQ327675 WCM327656:WCM327675 WMI327656:WMI327675 WWE327656:WWE327675 X393192:X393211 JS393192:JS393211 TO393192:TO393211 ADK393192:ADK393211 ANG393192:ANG393211 AXC393192:AXC393211 BGY393192:BGY393211 BQU393192:BQU393211 CAQ393192:CAQ393211 CKM393192:CKM393211 CUI393192:CUI393211 DEE393192:DEE393211 DOA393192:DOA393211 DXW393192:DXW393211 EHS393192:EHS393211 ERO393192:ERO393211 FBK393192:FBK393211 FLG393192:FLG393211 FVC393192:FVC393211 GEY393192:GEY393211 GOU393192:GOU393211 GYQ393192:GYQ393211 HIM393192:HIM393211 HSI393192:HSI393211 ICE393192:ICE393211 IMA393192:IMA393211 IVW393192:IVW393211 JFS393192:JFS393211 JPO393192:JPO393211 JZK393192:JZK393211 KJG393192:KJG393211 KTC393192:KTC393211 LCY393192:LCY393211 LMU393192:LMU393211 LWQ393192:LWQ393211 MGM393192:MGM393211 MQI393192:MQI393211 NAE393192:NAE393211 NKA393192:NKA393211 NTW393192:NTW393211 ODS393192:ODS393211 ONO393192:ONO393211 OXK393192:OXK393211 PHG393192:PHG393211 PRC393192:PRC393211 QAY393192:QAY393211 QKU393192:QKU393211 QUQ393192:QUQ393211 REM393192:REM393211 ROI393192:ROI393211 RYE393192:RYE393211 SIA393192:SIA393211 SRW393192:SRW393211 TBS393192:TBS393211 TLO393192:TLO393211 TVK393192:TVK393211 UFG393192:UFG393211 UPC393192:UPC393211 UYY393192:UYY393211 VIU393192:VIU393211 VSQ393192:VSQ393211 WCM393192:WCM393211 WMI393192:WMI393211 WWE393192:WWE393211 X458728:X458747 JS458728:JS458747 TO458728:TO458747 ADK458728:ADK458747 ANG458728:ANG458747 AXC458728:AXC458747 BGY458728:BGY458747 BQU458728:BQU458747 CAQ458728:CAQ458747 CKM458728:CKM458747 CUI458728:CUI458747 DEE458728:DEE458747 DOA458728:DOA458747 DXW458728:DXW458747 EHS458728:EHS458747 ERO458728:ERO458747 FBK458728:FBK458747 FLG458728:FLG458747 FVC458728:FVC458747 GEY458728:GEY458747 GOU458728:GOU458747 GYQ458728:GYQ458747 HIM458728:HIM458747 HSI458728:HSI458747 ICE458728:ICE458747 IMA458728:IMA458747 IVW458728:IVW458747 JFS458728:JFS458747 JPO458728:JPO458747 JZK458728:JZK458747 KJG458728:KJG458747 KTC458728:KTC458747 LCY458728:LCY458747 LMU458728:LMU458747 LWQ458728:LWQ458747 MGM458728:MGM458747 MQI458728:MQI458747 NAE458728:NAE458747 NKA458728:NKA458747 NTW458728:NTW458747 ODS458728:ODS458747 ONO458728:ONO458747 OXK458728:OXK458747 PHG458728:PHG458747 PRC458728:PRC458747 QAY458728:QAY458747 QKU458728:QKU458747 QUQ458728:QUQ458747 REM458728:REM458747 ROI458728:ROI458747 RYE458728:RYE458747 SIA458728:SIA458747 SRW458728:SRW458747 TBS458728:TBS458747 TLO458728:TLO458747 TVK458728:TVK458747 UFG458728:UFG458747 UPC458728:UPC458747 UYY458728:UYY458747 VIU458728:VIU458747 VSQ458728:VSQ458747 WCM458728:WCM458747 WMI458728:WMI458747 WWE458728:WWE458747 X524264:X524283 JS524264:JS524283 TO524264:TO524283 ADK524264:ADK524283 ANG524264:ANG524283 AXC524264:AXC524283 BGY524264:BGY524283 BQU524264:BQU524283 CAQ524264:CAQ524283 CKM524264:CKM524283 CUI524264:CUI524283 DEE524264:DEE524283 DOA524264:DOA524283 DXW524264:DXW524283 EHS524264:EHS524283 ERO524264:ERO524283 FBK524264:FBK524283 FLG524264:FLG524283 FVC524264:FVC524283 GEY524264:GEY524283 GOU524264:GOU524283 GYQ524264:GYQ524283 HIM524264:HIM524283 HSI524264:HSI524283 ICE524264:ICE524283 IMA524264:IMA524283 IVW524264:IVW524283 JFS524264:JFS524283 JPO524264:JPO524283 JZK524264:JZK524283 KJG524264:KJG524283 KTC524264:KTC524283 LCY524264:LCY524283 LMU524264:LMU524283 LWQ524264:LWQ524283 MGM524264:MGM524283 MQI524264:MQI524283 NAE524264:NAE524283 NKA524264:NKA524283 NTW524264:NTW524283 ODS524264:ODS524283 ONO524264:ONO524283 OXK524264:OXK524283 PHG524264:PHG524283 PRC524264:PRC524283 QAY524264:QAY524283 QKU524264:QKU524283 QUQ524264:QUQ524283 REM524264:REM524283 ROI524264:ROI524283 RYE524264:RYE524283 SIA524264:SIA524283 SRW524264:SRW524283 TBS524264:TBS524283 TLO524264:TLO524283 TVK524264:TVK524283 UFG524264:UFG524283 UPC524264:UPC524283 UYY524264:UYY524283 VIU524264:VIU524283 VSQ524264:VSQ524283 WCM524264:WCM524283 WMI524264:WMI524283 WWE524264:WWE524283 X589800:X589819 JS589800:JS589819 TO589800:TO589819 ADK589800:ADK589819 ANG589800:ANG589819 AXC589800:AXC589819 BGY589800:BGY589819 BQU589800:BQU589819 CAQ589800:CAQ589819 CKM589800:CKM589819 CUI589800:CUI589819 DEE589800:DEE589819 DOA589800:DOA589819 DXW589800:DXW589819 EHS589800:EHS589819 ERO589800:ERO589819 FBK589800:FBK589819 FLG589800:FLG589819 FVC589800:FVC589819 GEY589800:GEY589819 GOU589800:GOU589819 GYQ589800:GYQ589819 HIM589800:HIM589819 HSI589800:HSI589819 ICE589800:ICE589819 IMA589800:IMA589819 IVW589800:IVW589819 JFS589800:JFS589819 JPO589800:JPO589819 JZK589800:JZK589819 KJG589800:KJG589819 KTC589800:KTC589819 LCY589800:LCY589819 LMU589800:LMU589819 LWQ589800:LWQ589819 MGM589800:MGM589819 MQI589800:MQI589819 NAE589800:NAE589819 NKA589800:NKA589819 NTW589800:NTW589819 ODS589800:ODS589819 ONO589800:ONO589819 OXK589800:OXK589819 PHG589800:PHG589819 PRC589800:PRC589819 QAY589800:QAY589819 QKU589800:QKU589819 QUQ589800:QUQ589819 REM589800:REM589819 ROI589800:ROI589819 RYE589800:RYE589819 SIA589800:SIA589819 SRW589800:SRW589819 TBS589800:TBS589819 TLO589800:TLO589819 TVK589800:TVK589819 UFG589800:UFG589819 UPC589800:UPC589819 UYY589800:UYY589819 VIU589800:VIU589819 VSQ589800:VSQ589819 WCM589800:WCM589819 WMI589800:WMI589819 WWE589800:WWE589819 X655336:X655355 JS655336:JS655355 TO655336:TO655355 ADK655336:ADK655355 ANG655336:ANG655355 AXC655336:AXC655355 BGY655336:BGY655355 BQU655336:BQU655355 CAQ655336:CAQ655355 CKM655336:CKM655355 CUI655336:CUI655355 DEE655336:DEE655355 DOA655336:DOA655355 DXW655336:DXW655355 EHS655336:EHS655355 ERO655336:ERO655355 FBK655336:FBK655355 FLG655336:FLG655355 FVC655336:FVC655355 GEY655336:GEY655355 GOU655336:GOU655355 GYQ655336:GYQ655355 HIM655336:HIM655355 HSI655336:HSI655355 ICE655336:ICE655355 IMA655336:IMA655355 IVW655336:IVW655355 JFS655336:JFS655355 JPO655336:JPO655355 JZK655336:JZK655355 KJG655336:KJG655355 KTC655336:KTC655355 LCY655336:LCY655355 LMU655336:LMU655355 LWQ655336:LWQ655355 MGM655336:MGM655355 MQI655336:MQI655355 NAE655336:NAE655355 NKA655336:NKA655355 NTW655336:NTW655355 ODS655336:ODS655355 ONO655336:ONO655355 OXK655336:OXK655355 PHG655336:PHG655355 PRC655336:PRC655355 QAY655336:QAY655355 QKU655336:QKU655355 QUQ655336:QUQ655355 REM655336:REM655355 ROI655336:ROI655355 RYE655336:RYE655355 SIA655336:SIA655355 SRW655336:SRW655355 TBS655336:TBS655355 TLO655336:TLO655355 TVK655336:TVK655355 UFG655336:UFG655355 UPC655336:UPC655355 UYY655336:UYY655355 VIU655336:VIU655355 VSQ655336:VSQ655355 WCM655336:WCM655355 WMI655336:WMI655355 WWE655336:WWE655355 X720872:X720891 JS720872:JS720891 TO720872:TO720891 ADK720872:ADK720891 ANG720872:ANG720891 AXC720872:AXC720891 BGY720872:BGY720891 BQU720872:BQU720891 CAQ720872:CAQ720891 CKM720872:CKM720891 CUI720872:CUI720891 DEE720872:DEE720891 DOA720872:DOA720891 DXW720872:DXW720891 EHS720872:EHS720891 ERO720872:ERO720891 FBK720872:FBK720891 FLG720872:FLG720891 FVC720872:FVC720891 GEY720872:GEY720891 GOU720872:GOU720891 GYQ720872:GYQ720891 HIM720872:HIM720891 HSI720872:HSI720891 ICE720872:ICE720891 IMA720872:IMA720891 IVW720872:IVW720891 JFS720872:JFS720891 JPO720872:JPO720891 JZK720872:JZK720891 KJG720872:KJG720891 KTC720872:KTC720891 LCY720872:LCY720891 LMU720872:LMU720891 LWQ720872:LWQ720891 MGM720872:MGM720891 MQI720872:MQI720891 NAE720872:NAE720891 NKA720872:NKA720891 NTW720872:NTW720891 ODS720872:ODS720891 ONO720872:ONO720891 OXK720872:OXK720891 PHG720872:PHG720891 PRC720872:PRC720891 QAY720872:QAY720891 QKU720872:QKU720891 QUQ720872:QUQ720891 REM720872:REM720891 ROI720872:ROI720891 RYE720872:RYE720891 SIA720872:SIA720891 SRW720872:SRW720891 TBS720872:TBS720891 TLO720872:TLO720891 TVK720872:TVK720891 UFG720872:UFG720891 UPC720872:UPC720891 UYY720872:UYY720891 VIU720872:VIU720891 VSQ720872:VSQ720891 WCM720872:WCM720891 WMI720872:WMI720891 WWE720872:WWE720891 X786408:X786427 JS786408:JS786427 TO786408:TO786427 ADK786408:ADK786427 ANG786408:ANG786427 AXC786408:AXC786427 BGY786408:BGY786427 BQU786408:BQU786427 CAQ786408:CAQ786427 CKM786408:CKM786427 CUI786408:CUI786427 DEE786408:DEE786427 DOA786408:DOA786427 DXW786408:DXW786427 EHS786408:EHS786427 ERO786408:ERO786427 FBK786408:FBK786427 FLG786408:FLG786427 FVC786408:FVC786427 GEY786408:GEY786427 GOU786408:GOU786427 GYQ786408:GYQ786427 HIM786408:HIM786427 HSI786408:HSI786427 ICE786408:ICE786427 IMA786408:IMA786427 IVW786408:IVW786427 JFS786408:JFS786427 JPO786408:JPO786427 JZK786408:JZK786427 KJG786408:KJG786427 KTC786408:KTC786427 LCY786408:LCY786427 LMU786408:LMU786427 LWQ786408:LWQ786427 MGM786408:MGM786427 MQI786408:MQI786427 NAE786408:NAE786427 NKA786408:NKA786427 NTW786408:NTW786427 ODS786408:ODS786427 ONO786408:ONO786427 OXK786408:OXK786427 PHG786408:PHG786427 PRC786408:PRC786427 QAY786408:QAY786427 QKU786408:QKU786427 QUQ786408:QUQ786427 REM786408:REM786427 ROI786408:ROI786427 RYE786408:RYE786427 SIA786408:SIA786427 SRW786408:SRW786427 TBS786408:TBS786427 TLO786408:TLO786427 TVK786408:TVK786427 UFG786408:UFG786427 UPC786408:UPC786427 UYY786408:UYY786427 VIU786408:VIU786427 VSQ786408:VSQ786427 WCM786408:WCM786427 WMI786408:WMI786427 WWE786408:WWE786427 X851944:X851963 JS851944:JS851963 TO851944:TO851963 ADK851944:ADK851963 ANG851944:ANG851963 AXC851944:AXC851963 BGY851944:BGY851963 BQU851944:BQU851963 CAQ851944:CAQ851963 CKM851944:CKM851963 CUI851944:CUI851963 DEE851944:DEE851963 DOA851944:DOA851963 DXW851944:DXW851963 EHS851944:EHS851963 ERO851944:ERO851963 FBK851944:FBK851963 FLG851944:FLG851963 FVC851944:FVC851963 GEY851944:GEY851963 GOU851944:GOU851963 GYQ851944:GYQ851963 HIM851944:HIM851963 HSI851944:HSI851963 ICE851944:ICE851963 IMA851944:IMA851963 IVW851944:IVW851963 JFS851944:JFS851963 JPO851944:JPO851963 JZK851944:JZK851963 KJG851944:KJG851963 KTC851944:KTC851963 LCY851944:LCY851963 LMU851944:LMU851963 LWQ851944:LWQ851963 MGM851944:MGM851963 MQI851944:MQI851963 NAE851944:NAE851963 NKA851944:NKA851963 NTW851944:NTW851963 ODS851944:ODS851963 ONO851944:ONO851963 OXK851944:OXK851963 PHG851944:PHG851963 PRC851944:PRC851963 QAY851944:QAY851963 QKU851944:QKU851963 QUQ851944:QUQ851963 REM851944:REM851963 ROI851944:ROI851963 RYE851944:RYE851963 SIA851944:SIA851963 SRW851944:SRW851963 TBS851944:TBS851963 TLO851944:TLO851963 TVK851944:TVK851963 UFG851944:UFG851963 UPC851944:UPC851963 UYY851944:UYY851963 VIU851944:VIU851963 VSQ851944:VSQ851963 WCM851944:WCM851963 WMI851944:WMI851963 WWE851944:WWE851963 X917480:X917499 JS917480:JS917499 TO917480:TO917499 ADK917480:ADK917499 ANG917480:ANG917499 AXC917480:AXC917499 BGY917480:BGY917499 BQU917480:BQU917499 CAQ917480:CAQ917499 CKM917480:CKM917499 CUI917480:CUI917499 DEE917480:DEE917499 DOA917480:DOA917499 DXW917480:DXW917499 EHS917480:EHS917499 ERO917480:ERO917499 FBK917480:FBK917499 FLG917480:FLG917499 FVC917480:FVC917499 GEY917480:GEY917499 GOU917480:GOU917499 GYQ917480:GYQ917499 HIM917480:HIM917499 HSI917480:HSI917499 ICE917480:ICE917499 IMA917480:IMA917499 IVW917480:IVW917499 JFS917480:JFS917499 JPO917480:JPO917499 JZK917480:JZK917499 KJG917480:KJG917499 KTC917480:KTC917499 LCY917480:LCY917499 LMU917480:LMU917499 LWQ917480:LWQ917499 MGM917480:MGM917499 MQI917480:MQI917499 NAE917480:NAE917499 NKA917480:NKA917499 NTW917480:NTW917499 ODS917480:ODS917499 ONO917480:ONO917499 OXK917480:OXK917499 PHG917480:PHG917499 PRC917480:PRC917499 QAY917480:QAY917499 QKU917480:QKU917499 QUQ917480:QUQ917499 REM917480:REM917499 ROI917480:ROI917499 RYE917480:RYE917499 SIA917480:SIA917499 SRW917480:SRW917499 TBS917480:TBS917499 TLO917480:TLO917499 TVK917480:TVK917499 UFG917480:UFG917499 UPC917480:UPC917499 UYY917480:UYY917499 VIU917480:VIU917499 VSQ917480:VSQ917499 WCM917480:WCM917499 WMI917480:WMI917499 WWE917480:WWE917499 X983016:X983035 JS983016:JS983035 TO983016:TO983035 ADK983016:ADK983035 ANG983016:ANG983035 AXC983016:AXC983035 BGY983016:BGY983035 BQU983016:BQU983035 CAQ983016:CAQ983035 CKM983016:CKM983035 CUI983016:CUI983035 DEE983016:DEE983035 DOA983016:DOA983035 DXW983016:DXW983035 EHS983016:EHS983035 ERO983016:ERO983035 FBK983016:FBK983035 FLG983016:FLG983035 FVC983016:FVC983035 GEY983016:GEY983035 GOU983016:GOU983035 GYQ983016:GYQ983035 HIM983016:HIM983035 HSI983016:HSI983035 ICE983016:ICE983035 IMA983016:IMA983035 IVW983016:IVW983035 JFS983016:JFS983035 JPO983016:JPO983035 JZK983016:JZK983035 KJG983016:KJG983035 KTC983016:KTC983035 LCY983016:LCY983035 LMU983016:LMU983035 LWQ983016:LWQ983035 MGM983016:MGM983035 MQI983016:MQI983035 NAE983016:NAE983035 NKA983016:NKA983035 NTW983016:NTW983035 ODS983016:ODS983035 ONO983016:ONO983035 OXK983016:OXK983035 PHG983016:PHG983035 PRC983016:PRC983035 QAY983016:QAY983035 QKU983016:QKU983035 QUQ983016:QUQ983035 REM983016:REM983035 ROI983016:ROI983035 RYE983016:RYE983035 SIA983016:SIA983035 SRW983016:SRW983035 TBS983016:TBS983035 TLO983016:TLO983035 TVK983016:TVK983035 UFG983016:UFG983035 UPC983016:UPC983035 UYY983016:UYY983035 VIU983016:VIU983035 VSQ983016:VSQ983035 WCM983016:WCM983035 WMI983016:WMI983035 WWE983016:WWE983035 ANG5:ANG75 TO5:TO75 JS5:JS75 X5:X75 WWE5:WWE75 ADK5:ADK75 WMI5:WMI75 WCM5:WCM75 VSQ5:VSQ75 VIU5:VIU75 UYY5:UYY75 UPC5:UPC75 UFG5:UFG75 TVK5:TVK75 TLO5:TLO75 TBS5:TBS75 SRW5:SRW75 SIA5:SIA75 RYE5:RYE75 ROI5:ROI75 REM5:REM75 QUQ5:QUQ75 QKU5:QKU75 QAY5:QAY75 PRC5:PRC75 PHG5:PHG75 OXK5:OXK75 ONO5:ONO75 ODS5:ODS75 NTW5:NTW75 NKA5:NKA75 NAE5:NAE75 MQI5:MQI75 MGM5:MGM75 LWQ5:LWQ75 LMU5:LMU75 LCY5:LCY75 KTC5:KTC75 KJG5:KJG75 JZK5:JZK75 JPO5:JPO75 JFS5:JFS75 IVW5:IVW75 IMA5:IMA75 ICE5:ICE75 HSI5:HSI75 HIM5:HIM75 GYQ5:GYQ75 GOU5:GOU75 GEY5:GEY75 FVC5:FVC75 FLG5:FLG75 FBK5:FBK75 ERO5:ERO75 EHS5:EHS75 DXW5:DXW75 DOA5:DOA75 DEE5:DEE75 CUI5:CUI75 CKM5:CKM75 CAQ5:CAQ75 BQU5:BQU75 BGY5:BGY75 AXC5:AXC75 Q5:Q75" xr:uid="{C4A4DF38-6F0A-4ADC-8DA7-CD2F8FBAA3E7}">
      <formula1>"Yes,No"</formula1>
    </dataValidation>
    <dataValidation type="list" allowBlank="1" showInputMessage="1" showErrorMessage="1" sqref="WVT983016:WVT983035 JH65512:JH65531 TD65512:TD65531 ACZ65512:ACZ65531 AMV65512:AMV65531 AWR65512:AWR65531 BGN65512:BGN65531 BQJ65512:BQJ65531 CAF65512:CAF65531 CKB65512:CKB65531 CTX65512:CTX65531 DDT65512:DDT65531 DNP65512:DNP65531 DXL65512:DXL65531 EHH65512:EHH65531 ERD65512:ERD65531 FAZ65512:FAZ65531 FKV65512:FKV65531 FUR65512:FUR65531 GEN65512:GEN65531 GOJ65512:GOJ65531 GYF65512:GYF65531 HIB65512:HIB65531 HRX65512:HRX65531 IBT65512:IBT65531 ILP65512:ILP65531 IVL65512:IVL65531 JFH65512:JFH65531 JPD65512:JPD65531 JYZ65512:JYZ65531 KIV65512:KIV65531 KSR65512:KSR65531 LCN65512:LCN65531 LMJ65512:LMJ65531 LWF65512:LWF65531 MGB65512:MGB65531 MPX65512:MPX65531 MZT65512:MZT65531 NJP65512:NJP65531 NTL65512:NTL65531 ODH65512:ODH65531 OND65512:OND65531 OWZ65512:OWZ65531 PGV65512:PGV65531 PQR65512:PQR65531 QAN65512:QAN65531 QKJ65512:QKJ65531 QUF65512:QUF65531 REB65512:REB65531 RNX65512:RNX65531 RXT65512:RXT65531 SHP65512:SHP65531 SRL65512:SRL65531 TBH65512:TBH65531 TLD65512:TLD65531 TUZ65512:TUZ65531 UEV65512:UEV65531 UOR65512:UOR65531 UYN65512:UYN65531 VIJ65512:VIJ65531 VSF65512:VSF65531 WCB65512:WCB65531 WLX65512:WLX65531 WVT65512:WVT65531 JH131048:JH131067 TD131048:TD131067 ACZ131048:ACZ131067 AMV131048:AMV131067 AWR131048:AWR131067 BGN131048:BGN131067 BQJ131048:BQJ131067 CAF131048:CAF131067 CKB131048:CKB131067 CTX131048:CTX131067 DDT131048:DDT131067 DNP131048:DNP131067 DXL131048:DXL131067 EHH131048:EHH131067 ERD131048:ERD131067 FAZ131048:FAZ131067 FKV131048:FKV131067 FUR131048:FUR131067 GEN131048:GEN131067 GOJ131048:GOJ131067 GYF131048:GYF131067 HIB131048:HIB131067 HRX131048:HRX131067 IBT131048:IBT131067 ILP131048:ILP131067 IVL131048:IVL131067 JFH131048:JFH131067 JPD131048:JPD131067 JYZ131048:JYZ131067 KIV131048:KIV131067 KSR131048:KSR131067 LCN131048:LCN131067 LMJ131048:LMJ131067 LWF131048:LWF131067 MGB131048:MGB131067 MPX131048:MPX131067 MZT131048:MZT131067 NJP131048:NJP131067 NTL131048:NTL131067 ODH131048:ODH131067 OND131048:OND131067 OWZ131048:OWZ131067 PGV131048:PGV131067 PQR131048:PQR131067 QAN131048:QAN131067 QKJ131048:QKJ131067 QUF131048:QUF131067 REB131048:REB131067 RNX131048:RNX131067 RXT131048:RXT131067 SHP131048:SHP131067 SRL131048:SRL131067 TBH131048:TBH131067 TLD131048:TLD131067 TUZ131048:TUZ131067 UEV131048:UEV131067 UOR131048:UOR131067 UYN131048:UYN131067 VIJ131048:VIJ131067 VSF131048:VSF131067 WCB131048:WCB131067 WLX131048:WLX131067 WVT131048:WVT131067 JH196584:JH196603 TD196584:TD196603 ACZ196584:ACZ196603 AMV196584:AMV196603 AWR196584:AWR196603 BGN196584:BGN196603 BQJ196584:BQJ196603 CAF196584:CAF196603 CKB196584:CKB196603 CTX196584:CTX196603 DDT196584:DDT196603 DNP196584:DNP196603 DXL196584:DXL196603 EHH196584:EHH196603 ERD196584:ERD196603 FAZ196584:FAZ196603 FKV196584:FKV196603 FUR196584:FUR196603 GEN196584:GEN196603 GOJ196584:GOJ196603 GYF196584:GYF196603 HIB196584:HIB196603 HRX196584:HRX196603 IBT196584:IBT196603 ILP196584:ILP196603 IVL196584:IVL196603 JFH196584:JFH196603 JPD196584:JPD196603 JYZ196584:JYZ196603 KIV196584:KIV196603 KSR196584:KSR196603 LCN196584:LCN196603 LMJ196584:LMJ196603 LWF196584:LWF196603 MGB196584:MGB196603 MPX196584:MPX196603 MZT196584:MZT196603 NJP196584:NJP196603 NTL196584:NTL196603 ODH196584:ODH196603 OND196584:OND196603 OWZ196584:OWZ196603 PGV196584:PGV196603 PQR196584:PQR196603 QAN196584:QAN196603 QKJ196584:QKJ196603 QUF196584:QUF196603 REB196584:REB196603 RNX196584:RNX196603 RXT196584:RXT196603 SHP196584:SHP196603 SRL196584:SRL196603 TBH196584:TBH196603 TLD196584:TLD196603 TUZ196584:TUZ196603 UEV196584:UEV196603 UOR196584:UOR196603 UYN196584:UYN196603 VIJ196584:VIJ196603 VSF196584:VSF196603 WCB196584:WCB196603 WLX196584:WLX196603 WVT196584:WVT196603 JH262120:JH262139 TD262120:TD262139 ACZ262120:ACZ262139 AMV262120:AMV262139 AWR262120:AWR262139 BGN262120:BGN262139 BQJ262120:BQJ262139 CAF262120:CAF262139 CKB262120:CKB262139 CTX262120:CTX262139 DDT262120:DDT262139 DNP262120:DNP262139 DXL262120:DXL262139 EHH262120:EHH262139 ERD262120:ERD262139 FAZ262120:FAZ262139 FKV262120:FKV262139 FUR262120:FUR262139 GEN262120:GEN262139 GOJ262120:GOJ262139 GYF262120:GYF262139 HIB262120:HIB262139 HRX262120:HRX262139 IBT262120:IBT262139 ILP262120:ILP262139 IVL262120:IVL262139 JFH262120:JFH262139 JPD262120:JPD262139 JYZ262120:JYZ262139 KIV262120:KIV262139 KSR262120:KSR262139 LCN262120:LCN262139 LMJ262120:LMJ262139 LWF262120:LWF262139 MGB262120:MGB262139 MPX262120:MPX262139 MZT262120:MZT262139 NJP262120:NJP262139 NTL262120:NTL262139 ODH262120:ODH262139 OND262120:OND262139 OWZ262120:OWZ262139 PGV262120:PGV262139 PQR262120:PQR262139 QAN262120:QAN262139 QKJ262120:QKJ262139 QUF262120:QUF262139 REB262120:REB262139 RNX262120:RNX262139 RXT262120:RXT262139 SHP262120:SHP262139 SRL262120:SRL262139 TBH262120:TBH262139 TLD262120:TLD262139 TUZ262120:TUZ262139 UEV262120:UEV262139 UOR262120:UOR262139 UYN262120:UYN262139 VIJ262120:VIJ262139 VSF262120:VSF262139 WCB262120:WCB262139 WLX262120:WLX262139 WVT262120:WVT262139 JH327656:JH327675 TD327656:TD327675 ACZ327656:ACZ327675 AMV327656:AMV327675 AWR327656:AWR327675 BGN327656:BGN327675 BQJ327656:BQJ327675 CAF327656:CAF327675 CKB327656:CKB327675 CTX327656:CTX327675 DDT327656:DDT327675 DNP327656:DNP327675 DXL327656:DXL327675 EHH327656:EHH327675 ERD327656:ERD327675 FAZ327656:FAZ327675 FKV327656:FKV327675 FUR327656:FUR327675 GEN327656:GEN327675 GOJ327656:GOJ327675 GYF327656:GYF327675 HIB327656:HIB327675 HRX327656:HRX327675 IBT327656:IBT327675 ILP327656:ILP327675 IVL327656:IVL327675 JFH327656:JFH327675 JPD327656:JPD327675 JYZ327656:JYZ327675 KIV327656:KIV327675 KSR327656:KSR327675 LCN327656:LCN327675 LMJ327656:LMJ327675 LWF327656:LWF327675 MGB327656:MGB327675 MPX327656:MPX327675 MZT327656:MZT327675 NJP327656:NJP327675 NTL327656:NTL327675 ODH327656:ODH327675 OND327656:OND327675 OWZ327656:OWZ327675 PGV327656:PGV327675 PQR327656:PQR327675 QAN327656:QAN327675 QKJ327656:QKJ327675 QUF327656:QUF327675 REB327656:REB327675 RNX327656:RNX327675 RXT327656:RXT327675 SHP327656:SHP327675 SRL327656:SRL327675 TBH327656:TBH327675 TLD327656:TLD327675 TUZ327656:TUZ327675 UEV327656:UEV327675 UOR327656:UOR327675 UYN327656:UYN327675 VIJ327656:VIJ327675 VSF327656:VSF327675 WCB327656:WCB327675 WLX327656:WLX327675 WVT327656:WVT327675 JH393192:JH393211 TD393192:TD393211 ACZ393192:ACZ393211 AMV393192:AMV393211 AWR393192:AWR393211 BGN393192:BGN393211 BQJ393192:BQJ393211 CAF393192:CAF393211 CKB393192:CKB393211 CTX393192:CTX393211 DDT393192:DDT393211 DNP393192:DNP393211 DXL393192:DXL393211 EHH393192:EHH393211 ERD393192:ERD393211 FAZ393192:FAZ393211 FKV393192:FKV393211 FUR393192:FUR393211 GEN393192:GEN393211 GOJ393192:GOJ393211 GYF393192:GYF393211 HIB393192:HIB393211 HRX393192:HRX393211 IBT393192:IBT393211 ILP393192:ILP393211 IVL393192:IVL393211 JFH393192:JFH393211 JPD393192:JPD393211 JYZ393192:JYZ393211 KIV393192:KIV393211 KSR393192:KSR393211 LCN393192:LCN393211 LMJ393192:LMJ393211 LWF393192:LWF393211 MGB393192:MGB393211 MPX393192:MPX393211 MZT393192:MZT393211 NJP393192:NJP393211 NTL393192:NTL393211 ODH393192:ODH393211 OND393192:OND393211 OWZ393192:OWZ393211 PGV393192:PGV393211 PQR393192:PQR393211 QAN393192:QAN393211 QKJ393192:QKJ393211 QUF393192:QUF393211 REB393192:REB393211 RNX393192:RNX393211 RXT393192:RXT393211 SHP393192:SHP393211 SRL393192:SRL393211 TBH393192:TBH393211 TLD393192:TLD393211 TUZ393192:TUZ393211 UEV393192:UEV393211 UOR393192:UOR393211 UYN393192:UYN393211 VIJ393192:VIJ393211 VSF393192:VSF393211 WCB393192:WCB393211 WLX393192:WLX393211 WVT393192:WVT393211 JH458728:JH458747 TD458728:TD458747 ACZ458728:ACZ458747 AMV458728:AMV458747 AWR458728:AWR458747 BGN458728:BGN458747 BQJ458728:BQJ458747 CAF458728:CAF458747 CKB458728:CKB458747 CTX458728:CTX458747 DDT458728:DDT458747 DNP458728:DNP458747 DXL458728:DXL458747 EHH458728:EHH458747 ERD458728:ERD458747 FAZ458728:FAZ458747 FKV458728:FKV458747 FUR458728:FUR458747 GEN458728:GEN458747 GOJ458728:GOJ458747 GYF458728:GYF458747 HIB458728:HIB458747 HRX458728:HRX458747 IBT458728:IBT458747 ILP458728:ILP458747 IVL458728:IVL458747 JFH458728:JFH458747 JPD458728:JPD458747 JYZ458728:JYZ458747 KIV458728:KIV458747 KSR458728:KSR458747 LCN458728:LCN458747 LMJ458728:LMJ458747 LWF458728:LWF458747 MGB458728:MGB458747 MPX458728:MPX458747 MZT458728:MZT458747 NJP458728:NJP458747 NTL458728:NTL458747 ODH458728:ODH458747 OND458728:OND458747 OWZ458728:OWZ458747 PGV458728:PGV458747 PQR458728:PQR458747 QAN458728:QAN458747 QKJ458728:QKJ458747 QUF458728:QUF458747 REB458728:REB458747 RNX458728:RNX458747 RXT458728:RXT458747 SHP458728:SHP458747 SRL458728:SRL458747 TBH458728:TBH458747 TLD458728:TLD458747 TUZ458728:TUZ458747 UEV458728:UEV458747 UOR458728:UOR458747 UYN458728:UYN458747 VIJ458728:VIJ458747 VSF458728:VSF458747 WCB458728:WCB458747 WLX458728:WLX458747 WVT458728:WVT458747 JH524264:JH524283 TD524264:TD524283 ACZ524264:ACZ524283 AMV524264:AMV524283 AWR524264:AWR524283 BGN524264:BGN524283 BQJ524264:BQJ524283 CAF524264:CAF524283 CKB524264:CKB524283 CTX524264:CTX524283 DDT524264:DDT524283 DNP524264:DNP524283 DXL524264:DXL524283 EHH524264:EHH524283 ERD524264:ERD524283 FAZ524264:FAZ524283 FKV524264:FKV524283 FUR524264:FUR524283 GEN524264:GEN524283 GOJ524264:GOJ524283 GYF524264:GYF524283 HIB524264:HIB524283 HRX524264:HRX524283 IBT524264:IBT524283 ILP524264:ILP524283 IVL524264:IVL524283 JFH524264:JFH524283 JPD524264:JPD524283 JYZ524264:JYZ524283 KIV524264:KIV524283 KSR524264:KSR524283 LCN524264:LCN524283 LMJ524264:LMJ524283 LWF524264:LWF524283 MGB524264:MGB524283 MPX524264:MPX524283 MZT524264:MZT524283 NJP524264:NJP524283 NTL524264:NTL524283 ODH524264:ODH524283 OND524264:OND524283 OWZ524264:OWZ524283 PGV524264:PGV524283 PQR524264:PQR524283 QAN524264:QAN524283 QKJ524264:QKJ524283 QUF524264:QUF524283 REB524264:REB524283 RNX524264:RNX524283 RXT524264:RXT524283 SHP524264:SHP524283 SRL524264:SRL524283 TBH524264:TBH524283 TLD524264:TLD524283 TUZ524264:TUZ524283 UEV524264:UEV524283 UOR524264:UOR524283 UYN524264:UYN524283 VIJ524264:VIJ524283 VSF524264:VSF524283 WCB524264:WCB524283 WLX524264:WLX524283 WVT524264:WVT524283 JH589800:JH589819 TD589800:TD589819 ACZ589800:ACZ589819 AMV589800:AMV589819 AWR589800:AWR589819 BGN589800:BGN589819 BQJ589800:BQJ589819 CAF589800:CAF589819 CKB589800:CKB589819 CTX589800:CTX589819 DDT589800:DDT589819 DNP589800:DNP589819 DXL589800:DXL589819 EHH589800:EHH589819 ERD589800:ERD589819 FAZ589800:FAZ589819 FKV589800:FKV589819 FUR589800:FUR589819 GEN589800:GEN589819 GOJ589800:GOJ589819 GYF589800:GYF589819 HIB589800:HIB589819 HRX589800:HRX589819 IBT589800:IBT589819 ILP589800:ILP589819 IVL589800:IVL589819 JFH589800:JFH589819 JPD589800:JPD589819 JYZ589800:JYZ589819 KIV589800:KIV589819 KSR589800:KSR589819 LCN589800:LCN589819 LMJ589800:LMJ589819 LWF589800:LWF589819 MGB589800:MGB589819 MPX589800:MPX589819 MZT589800:MZT589819 NJP589800:NJP589819 NTL589800:NTL589819 ODH589800:ODH589819 OND589800:OND589819 OWZ589800:OWZ589819 PGV589800:PGV589819 PQR589800:PQR589819 QAN589800:QAN589819 QKJ589800:QKJ589819 QUF589800:QUF589819 REB589800:REB589819 RNX589800:RNX589819 RXT589800:RXT589819 SHP589800:SHP589819 SRL589800:SRL589819 TBH589800:TBH589819 TLD589800:TLD589819 TUZ589800:TUZ589819 UEV589800:UEV589819 UOR589800:UOR589819 UYN589800:UYN589819 VIJ589800:VIJ589819 VSF589800:VSF589819 WCB589800:WCB589819 WLX589800:WLX589819 WVT589800:WVT589819 JH655336:JH655355 TD655336:TD655355 ACZ655336:ACZ655355 AMV655336:AMV655355 AWR655336:AWR655355 BGN655336:BGN655355 BQJ655336:BQJ655355 CAF655336:CAF655355 CKB655336:CKB655355 CTX655336:CTX655355 DDT655336:DDT655355 DNP655336:DNP655355 DXL655336:DXL655355 EHH655336:EHH655355 ERD655336:ERD655355 FAZ655336:FAZ655355 FKV655336:FKV655355 FUR655336:FUR655355 GEN655336:GEN655355 GOJ655336:GOJ655355 GYF655336:GYF655355 HIB655336:HIB655355 HRX655336:HRX655355 IBT655336:IBT655355 ILP655336:ILP655355 IVL655336:IVL655355 JFH655336:JFH655355 JPD655336:JPD655355 JYZ655336:JYZ655355 KIV655336:KIV655355 KSR655336:KSR655355 LCN655336:LCN655355 LMJ655336:LMJ655355 LWF655336:LWF655355 MGB655336:MGB655355 MPX655336:MPX655355 MZT655336:MZT655355 NJP655336:NJP655355 NTL655336:NTL655355 ODH655336:ODH655355 OND655336:OND655355 OWZ655336:OWZ655355 PGV655336:PGV655355 PQR655336:PQR655355 QAN655336:QAN655355 QKJ655336:QKJ655355 QUF655336:QUF655355 REB655336:REB655355 RNX655336:RNX655355 RXT655336:RXT655355 SHP655336:SHP655355 SRL655336:SRL655355 TBH655336:TBH655355 TLD655336:TLD655355 TUZ655336:TUZ655355 UEV655336:UEV655355 UOR655336:UOR655355 UYN655336:UYN655355 VIJ655336:VIJ655355 VSF655336:VSF655355 WCB655336:WCB655355 WLX655336:WLX655355 WVT655336:WVT655355 JH720872:JH720891 TD720872:TD720891 ACZ720872:ACZ720891 AMV720872:AMV720891 AWR720872:AWR720891 BGN720872:BGN720891 BQJ720872:BQJ720891 CAF720872:CAF720891 CKB720872:CKB720891 CTX720872:CTX720891 DDT720872:DDT720891 DNP720872:DNP720891 DXL720872:DXL720891 EHH720872:EHH720891 ERD720872:ERD720891 FAZ720872:FAZ720891 FKV720872:FKV720891 FUR720872:FUR720891 GEN720872:GEN720891 GOJ720872:GOJ720891 GYF720872:GYF720891 HIB720872:HIB720891 HRX720872:HRX720891 IBT720872:IBT720891 ILP720872:ILP720891 IVL720872:IVL720891 JFH720872:JFH720891 JPD720872:JPD720891 JYZ720872:JYZ720891 KIV720872:KIV720891 KSR720872:KSR720891 LCN720872:LCN720891 LMJ720872:LMJ720891 LWF720872:LWF720891 MGB720872:MGB720891 MPX720872:MPX720891 MZT720872:MZT720891 NJP720872:NJP720891 NTL720872:NTL720891 ODH720872:ODH720891 OND720872:OND720891 OWZ720872:OWZ720891 PGV720872:PGV720891 PQR720872:PQR720891 QAN720872:QAN720891 QKJ720872:QKJ720891 QUF720872:QUF720891 REB720872:REB720891 RNX720872:RNX720891 RXT720872:RXT720891 SHP720872:SHP720891 SRL720872:SRL720891 TBH720872:TBH720891 TLD720872:TLD720891 TUZ720872:TUZ720891 UEV720872:UEV720891 UOR720872:UOR720891 UYN720872:UYN720891 VIJ720872:VIJ720891 VSF720872:VSF720891 WCB720872:WCB720891 WLX720872:WLX720891 WVT720872:WVT720891 JH786408:JH786427 TD786408:TD786427 ACZ786408:ACZ786427 AMV786408:AMV786427 AWR786408:AWR786427 BGN786408:BGN786427 BQJ786408:BQJ786427 CAF786408:CAF786427 CKB786408:CKB786427 CTX786408:CTX786427 DDT786408:DDT786427 DNP786408:DNP786427 DXL786408:DXL786427 EHH786408:EHH786427 ERD786408:ERD786427 FAZ786408:FAZ786427 FKV786408:FKV786427 FUR786408:FUR786427 GEN786408:GEN786427 GOJ786408:GOJ786427 GYF786408:GYF786427 HIB786408:HIB786427 HRX786408:HRX786427 IBT786408:IBT786427 ILP786408:ILP786427 IVL786408:IVL786427 JFH786408:JFH786427 JPD786408:JPD786427 JYZ786408:JYZ786427 KIV786408:KIV786427 KSR786408:KSR786427 LCN786408:LCN786427 LMJ786408:LMJ786427 LWF786408:LWF786427 MGB786408:MGB786427 MPX786408:MPX786427 MZT786408:MZT786427 NJP786408:NJP786427 NTL786408:NTL786427 ODH786408:ODH786427 OND786408:OND786427 OWZ786408:OWZ786427 PGV786408:PGV786427 PQR786408:PQR786427 QAN786408:QAN786427 QKJ786408:QKJ786427 QUF786408:QUF786427 REB786408:REB786427 RNX786408:RNX786427 RXT786408:RXT786427 SHP786408:SHP786427 SRL786408:SRL786427 TBH786408:TBH786427 TLD786408:TLD786427 TUZ786408:TUZ786427 UEV786408:UEV786427 UOR786408:UOR786427 UYN786408:UYN786427 VIJ786408:VIJ786427 VSF786408:VSF786427 WCB786408:WCB786427 WLX786408:WLX786427 WVT786408:WVT786427 JH851944:JH851963 TD851944:TD851963 ACZ851944:ACZ851963 AMV851944:AMV851963 AWR851944:AWR851963 BGN851944:BGN851963 BQJ851944:BQJ851963 CAF851944:CAF851963 CKB851944:CKB851963 CTX851944:CTX851963 DDT851944:DDT851963 DNP851944:DNP851963 DXL851944:DXL851963 EHH851944:EHH851963 ERD851944:ERD851963 FAZ851944:FAZ851963 FKV851944:FKV851963 FUR851944:FUR851963 GEN851944:GEN851963 GOJ851944:GOJ851963 GYF851944:GYF851963 HIB851944:HIB851963 HRX851944:HRX851963 IBT851944:IBT851963 ILP851944:ILP851963 IVL851944:IVL851963 JFH851944:JFH851963 JPD851944:JPD851963 JYZ851944:JYZ851963 KIV851944:KIV851963 KSR851944:KSR851963 LCN851944:LCN851963 LMJ851944:LMJ851963 LWF851944:LWF851963 MGB851944:MGB851963 MPX851944:MPX851963 MZT851944:MZT851963 NJP851944:NJP851963 NTL851944:NTL851963 ODH851944:ODH851963 OND851944:OND851963 OWZ851944:OWZ851963 PGV851944:PGV851963 PQR851944:PQR851963 QAN851944:QAN851963 QKJ851944:QKJ851963 QUF851944:QUF851963 REB851944:REB851963 RNX851944:RNX851963 RXT851944:RXT851963 SHP851944:SHP851963 SRL851944:SRL851963 TBH851944:TBH851963 TLD851944:TLD851963 TUZ851944:TUZ851963 UEV851944:UEV851963 UOR851944:UOR851963 UYN851944:UYN851963 VIJ851944:VIJ851963 VSF851944:VSF851963 WCB851944:WCB851963 WLX851944:WLX851963 WVT851944:WVT851963 JH917480:JH917499 TD917480:TD917499 ACZ917480:ACZ917499 AMV917480:AMV917499 AWR917480:AWR917499 BGN917480:BGN917499 BQJ917480:BQJ917499 CAF917480:CAF917499 CKB917480:CKB917499 CTX917480:CTX917499 DDT917480:DDT917499 DNP917480:DNP917499 DXL917480:DXL917499 EHH917480:EHH917499 ERD917480:ERD917499 FAZ917480:FAZ917499 FKV917480:FKV917499 FUR917480:FUR917499 GEN917480:GEN917499 GOJ917480:GOJ917499 GYF917480:GYF917499 HIB917480:HIB917499 HRX917480:HRX917499 IBT917480:IBT917499 ILP917480:ILP917499 IVL917480:IVL917499 JFH917480:JFH917499 JPD917480:JPD917499 JYZ917480:JYZ917499 KIV917480:KIV917499 KSR917480:KSR917499 LCN917480:LCN917499 LMJ917480:LMJ917499 LWF917480:LWF917499 MGB917480:MGB917499 MPX917480:MPX917499 MZT917480:MZT917499 NJP917480:NJP917499 NTL917480:NTL917499 ODH917480:ODH917499 OND917480:OND917499 OWZ917480:OWZ917499 PGV917480:PGV917499 PQR917480:PQR917499 QAN917480:QAN917499 QKJ917480:QKJ917499 QUF917480:QUF917499 REB917480:REB917499 RNX917480:RNX917499 RXT917480:RXT917499 SHP917480:SHP917499 SRL917480:SRL917499 TBH917480:TBH917499 TLD917480:TLD917499 TUZ917480:TUZ917499 UEV917480:UEV917499 UOR917480:UOR917499 UYN917480:UYN917499 VIJ917480:VIJ917499 VSF917480:VSF917499 WCB917480:WCB917499 WLX917480:WLX917499 WVT917480:WVT917499 JH983016:JH983035 TD983016:TD983035 ACZ983016:ACZ983035 AMV983016:AMV983035 AWR983016:AWR983035 BGN983016:BGN983035 BQJ983016:BQJ983035 CAF983016:CAF983035 CKB983016:CKB983035 CTX983016:CTX983035 DDT983016:DDT983035 DNP983016:DNP983035 DXL983016:DXL983035 EHH983016:EHH983035 ERD983016:ERD983035 FAZ983016:FAZ983035 FKV983016:FKV983035 FUR983016:FUR983035 GEN983016:GEN983035 GOJ983016:GOJ983035 GYF983016:GYF983035 HIB983016:HIB983035 HRX983016:HRX983035 IBT983016:IBT983035 ILP983016:ILP983035 IVL983016:IVL983035 JFH983016:JFH983035 JPD983016:JPD983035 JYZ983016:JYZ983035 KIV983016:KIV983035 KSR983016:KSR983035 LCN983016:LCN983035 LMJ983016:LMJ983035 LWF983016:LWF983035 MGB983016:MGB983035 MPX983016:MPX983035 MZT983016:MZT983035 NJP983016:NJP983035 NTL983016:NTL983035 ODH983016:ODH983035 OND983016:OND983035 OWZ983016:OWZ983035 PGV983016:PGV983035 PQR983016:PQR983035 QAN983016:QAN983035 QKJ983016:QKJ983035 QUF983016:QUF983035 REB983016:REB983035 RNX983016:RNX983035 RXT983016:RXT983035 SHP983016:SHP983035 SRL983016:SRL983035 TBH983016:TBH983035 TLD983016:TLD983035 TUZ983016:TUZ983035 UEV983016:UEV983035 UOR983016:UOR983035 UYN983016:UYN983035 VIJ983016:VIJ983035 VSF983016:VSF983035 WCB983016:WCB983035 WLX983016:WLX983035 O65512:O65531 O524264:O524283 O983016:O983035 O262120:O262139 O917480:O917499 O458728:O458747 O851944:O851963 O131048:O131067 O786408:O786427 O393192:O393211 O720872:O720891 O196584:O196603 O655336:O655355 O327656:O327675 O589800:O589819 ACZ5:ACZ75 TD5:TD75 JH5:JH75 O5:O75 WVT5:WVT75 WLX5:WLX75 WCB5:WCB75 VSF5:VSF75 VIJ5:VIJ75 UYN5:UYN75 UOR5:UOR75 UEV5:UEV75 TUZ5:TUZ75 TLD5:TLD75 TBH5:TBH75 SRL5:SRL75 SHP5:SHP75 RXT5:RXT75 RNX5:RNX75 REB5:REB75 QUF5:QUF75 QKJ5:QKJ75 QAN5:QAN75 PQR5:PQR75 PGV5:PGV75 OWZ5:OWZ75 OND5:OND75 ODH5:ODH75 NTL5:NTL75 NJP5:NJP75 MZT5:MZT75 MPX5:MPX75 MGB5:MGB75 LWF5:LWF75 LMJ5:LMJ75 LCN5:LCN75 KSR5:KSR75 KIV5:KIV75 JYZ5:JYZ75 JPD5:JPD75 JFH5:JFH75 IVL5:IVL75 ILP5:ILP75 IBT5:IBT75 HRX5:HRX75 HIB5:HIB75 GYF5:GYF75 GOJ5:GOJ75 GEN5:GEN75 FUR5:FUR75 FKV5:FKV75 FAZ5:FAZ75 ERD5:ERD75 EHH5:EHH75 DXL5:DXL75 DNP5:DNP75 DDT5:DDT75 CTX5:CTX75 CKB5:CKB75 CAF5:CAF75 BQJ5:BQJ75 BGN5:BGN75 AWR5:AWR75 AMV5:AMV75" xr:uid="{284AF194-E73C-47A5-9564-A74085DEE13A}">
      <formula1>"Ultra High-1,Very High-2,High-3,Medium-4,Low-5"</formula1>
    </dataValidation>
    <dataValidation type="list" allowBlank="1" showInputMessage="1" showErrorMessage="1" sqref="WVZ983016:WVZ983035 WMD983016:WMD983035 V65512:V65531 JN65512:JN65531 TJ65512:TJ65531 ADF65512:ADF65531 ANB65512:ANB65531 AWX65512:AWX65531 BGT65512:BGT65531 BQP65512:BQP65531 CAL65512:CAL65531 CKH65512:CKH65531 CUD65512:CUD65531 DDZ65512:DDZ65531 DNV65512:DNV65531 DXR65512:DXR65531 EHN65512:EHN65531 ERJ65512:ERJ65531 FBF65512:FBF65531 FLB65512:FLB65531 FUX65512:FUX65531 GET65512:GET65531 GOP65512:GOP65531 GYL65512:GYL65531 HIH65512:HIH65531 HSD65512:HSD65531 IBZ65512:IBZ65531 ILV65512:ILV65531 IVR65512:IVR65531 JFN65512:JFN65531 JPJ65512:JPJ65531 JZF65512:JZF65531 KJB65512:KJB65531 KSX65512:KSX65531 LCT65512:LCT65531 LMP65512:LMP65531 LWL65512:LWL65531 MGH65512:MGH65531 MQD65512:MQD65531 MZZ65512:MZZ65531 NJV65512:NJV65531 NTR65512:NTR65531 ODN65512:ODN65531 ONJ65512:ONJ65531 OXF65512:OXF65531 PHB65512:PHB65531 PQX65512:PQX65531 QAT65512:QAT65531 QKP65512:QKP65531 QUL65512:QUL65531 REH65512:REH65531 ROD65512:ROD65531 RXZ65512:RXZ65531 SHV65512:SHV65531 SRR65512:SRR65531 TBN65512:TBN65531 TLJ65512:TLJ65531 TVF65512:TVF65531 UFB65512:UFB65531 UOX65512:UOX65531 UYT65512:UYT65531 VIP65512:VIP65531 VSL65512:VSL65531 WCH65512:WCH65531 WMD65512:WMD65531 WVZ65512:WVZ65531 V131048:V131067 JN131048:JN131067 TJ131048:TJ131067 ADF131048:ADF131067 ANB131048:ANB131067 AWX131048:AWX131067 BGT131048:BGT131067 BQP131048:BQP131067 CAL131048:CAL131067 CKH131048:CKH131067 CUD131048:CUD131067 DDZ131048:DDZ131067 DNV131048:DNV131067 DXR131048:DXR131067 EHN131048:EHN131067 ERJ131048:ERJ131067 FBF131048:FBF131067 FLB131048:FLB131067 FUX131048:FUX131067 GET131048:GET131067 GOP131048:GOP131067 GYL131048:GYL131067 HIH131048:HIH131067 HSD131048:HSD131067 IBZ131048:IBZ131067 ILV131048:ILV131067 IVR131048:IVR131067 JFN131048:JFN131067 JPJ131048:JPJ131067 JZF131048:JZF131067 KJB131048:KJB131067 KSX131048:KSX131067 LCT131048:LCT131067 LMP131048:LMP131067 LWL131048:LWL131067 MGH131048:MGH131067 MQD131048:MQD131067 MZZ131048:MZZ131067 NJV131048:NJV131067 NTR131048:NTR131067 ODN131048:ODN131067 ONJ131048:ONJ131067 OXF131048:OXF131067 PHB131048:PHB131067 PQX131048:PQX131067 QAT131048:QAT131067 QKP131048:QKP131067 QUL131048:QUL131067 REH131048:REH131067 ROD131048:ROD131067 RXZ131048:RXZ131067 SHV131048:SHV131067 SRR131048:SRR131067 TBN131048:TBN131067 TLJ131048:TLJ131067 TVF131048:TVF131067 UFB131048:UFB131067 UOX131048:UOX131067 UYT131048:UYT131067 VIP131048:VIP131067 VSL131048:VSL131067 WCH131048:WCH131067 WMD131048:WMD131067 WVZ131048:WVZ131067 V196584:V196603 JN196584:JN196603 TJ196584:TJ196603 ADF196584:ADF196603 ANB196584:ANB196603 AWX196584:AWX196603 BGT196584:BGT196603 BQP196584:BQP196603 CAL196584:CAL196603 CKH196584:CKH196603 CUD196584:CUD196603 DDZ196584:DDZ196603 DNV196584:DNV196603 DXR196584:DXR196603 EHN196584:EHN196603 ERJ196584:ERJ196603 FBF196584:FBF196603 FLB196584:FLB196603 FUX196584:FUX196603 GET196584:GET196603 GOP196584:GOP196603 GYL196584:GYL196603 HIH196584:HIH196603 HSD196584:HSD196603 IBZ196584:IBZ196603 ILV196584:ILV196603 IVR196584:IVR196603 JFN196584:JFN196603 JPJ196584:JPJ196603 JZF196584:JZF196603 KJB196584:KJB196603 KSX196584:KSX196603 LCT196584:LCT196603 LMP196584:LMP196603 LWL196584:LWL196603 MGH196584:MGH196603 MQD196584:MQD196603 MZZ196584:MZZ196603 NJV196584:NJV196603 NTR196584:NTR196603 ODN196584:ODN196603 ONJ196584:ONJ196603 OXF196584:OXF196603 PHB196584:PHB196603 PQX196584:PQX196603 QAT196584:QAT196603 QKP196584:QKP196603 QUL196584:QUL196603 REH196584:REH196603 ROD196584:ROD196603 RXZ196584:RXZ196603 SHV196584:SHV196603 SRR196584:SRR196603 TBN196584:TBN196603 TLJ196584:TLJ196603 TVF196584:TVF196603 UFB196584:UFB196603 UOX196584:UOX196603 UYT196584:UYT196603 VIP196584:VIP196603 VSL196584:VSL196603 WCH196584:WCH196603 WMD196584:WMD196603 WVZ196584:WVZ196603 V262120:V262139 JN262120:JN262139 TJ262120:TJ262139 ADF262120:ADF262139 ANB262120:ANB262139 AWX262120:AWX262139 BGT262120:BGT262139 BQP262120:BQP262139 CAL262120:CAL262139 CKH262120:CKH262139 CUD262120:CUD262139 DDZ262120:DDZ262139 DNV262120:DNV262139 DXR262120:DXR262139 EHN262120:EHN262139 ERJ262120:ERJ262139 FBF262120:FBF262139 FLB262120:FLB262139 FUX262120:FUX262139 GET262120:GET262139 GOP262120:GOP262139 GYL262120:GYL262139 HIH262120:HIH262139 HSD262120:HSD262139 IBZ262120:IBZ262139 ILV262120:ILV262139 IVR262120:IVR262139 JFN262120:JFN262139 JPJ262120:JPJ262139 JZF262120:JZF262139 KJB262120:KJB262139 KSX262120:KSX262139 LCT262120:LCT262139 LMP262120:LMP262139 LWL262120:LWL262139 MGH262120:MGH262139 MQD262120:MQD262139 MZZ262120:MZZ262139 NJV262120:NJV262139 NTR262120:NTR262139 ODN262120:ODN262139 ONJ262120:ONJ262139 OXF262120:OXF262139 PHB262120:PHB262139 PQX262120:PQX262139 QAT262120:QAT262139 QKP262120:QKP262139 QUL262120:QUL262139 REH262120:REH262139 ROD262120:ROD262139 RXZ262120:RXZ262139 SHV262120:SHV262139 SRR262120:SRR262139 TBN262120:TBN262139 TLJ262120:TLJ262139 TVF262120:TVF262139 UFB262120:UFB262139 UOX262120:UOX262139 UYT262120:UYT262139 VIP262120:VIP262139 VSL262120:VSL262139 WCH262120:WCH262139 WMD262120:WMD262139 WVZ262120:WVZ262139 V327656:V327675 JN327656:JN327675 TJ327656:TJ327675 ADF327656:ADF327675 ANB327656:ANB327675 AWX327656:AWX327675 BGT327656:BGT327675 BQP327656:BQP327675 CAL327656:CAL327675 CKH327656:CKH327675 CUD327656:CUD327675 DDZ327656:DDZ327675 DNV327656:DNV327675 DXR327656:DXR327675 EHN327656:EHN327675 ERJ327656:ERJ327675 FBF327656:FBF327675 FLB327656:FLB327675 FUX327656:FUX327675 GET327656:GET327675 GOP327656:GOP327675 GYL327656:GYL327675 HIH327656:HIH327675 HSD327656:HSD327675 IBZ327656:IBZ327675 ILV327656:ILV327675 IVR327656:IVR327675 JFN327656:JFN327675 JPJ327656:JPJ327675 JZF327656:JZF327675 KJB327656:KJB327675 KSX327656:KSX327675 LCT327656:LCT327675 LMP327656:LMP327675 LWL327656:LWL327675 MGH327656:MGH327675 MQD327656:MQD327675 MZZ327656:MZZ327675 NJV327656:NJV327675 NTR327656:NTR327675 ODN327656:ODN327675 ONJ327656:ONJ327675 OXF327656:OXF327675 PHB327656:PHB327675 PQX327656:PQX327675 QAT327656:QAT327675 QKP327656:QKP327675 QUL327656:QUL327675 REH327656:REH327675 ROD327656:ROD327675 RXZ327656:RXZ327675 SHV327656:SHV327675 SRR327656:SRR327675 TBN327656:TBN327675 TLJ327656:TLJ327675 TVF327656:TVF327675 UFB327656:UFB327675 UOX327656:UOX327675 UYT327656:UYT327675 VIP327656:VIP327675 VSL327656:VSL327675 WCH327656:WCH327675 WMD327656:WMD327675 WVZ327656:WVZ327675 V393192:V393211 JN393192:JN393211 TJ393192:TJ393211 ADF393192:ADF393211 ANB393192:ANB393211 AWX393192:AWX393211 BGT393192:BGT393211 BQP393192:BQP393211 CAL393192:CAL393211 CKH393192:CKH393211 CUD393192:CUD393211 DDZ393192:DDZ393211 DNV393192:DNV393211 DXR393192:DXR393211 EHN393192:EHN393211 ERJ393192:ERJ393211 FBF393192:FBF393211 FLB393192:FLB393211 FUX393192:FUX393211 GET393192:GET393211 GOP393192:GOP393211 GYL393192:GYL393211 HIH393192:HIH393211 HSD393192:HSD393211 IBZ393192:IBZ393211 ILV393192:ILV393211 IVR393192:IVR393211 JFN393192:JFN393211 JPJ393192:JPJ393211 JZF393192:JZF393211 KJB393192:KJB393211 KSX393192:KSX393211 LCT393192:LCT393211 LMP393192:LMP393211 LWL393192:LWL393211 MGH393192:MGH393211 MQD393192:MQD393211 MZZ393192:MZZ393211 NJV393192:NJV393211 NTR393192:NTR393211 ODN393192:ODN393211 ONJ393192:ONJ393211 OXF393192:OXF393211 PHB393192:PHB393211 PQX393192:PQX393211 QAT393192:QAT393211 QKP393192:QKP393211 QUL393192:QUL393211 REH393192:REH393211 ROD393192:ROD393211 RXZ393192:RXZ393211 SHV393192:SHV393211 SRR393192:SRR393211 TBN393192:TBN393211 TLJ393192:TLJ393211 TVF393192:TVF393211 UFB393192:UFB393211 UOX393192:UOX393211 UYT393192:UYT393211 VIP393192:VIP393211 VSL393192:VSL393211 WCH393192:WCH393211 WMD393192:WMD393211 WVZ393192:WVZ393211 V458728:V458747 JN458728:JN458747 TJ458728:TJ458747 ADF458728:ADF458747 ANB458728:ANB458747 AWX458728:AWX458747 BGT458728:BGT458747 BQP458728:BQP458747 CAL458728:CAL458747 CKH458728:CKH458747 CUD458728:CUD458747 DDZ458728:DDZ458747 DNV458728:DNV458747 DXR458728:DXR458747 EHN458728:EHN458747 ERJ458728:ERJ458747 FBF458728:FBF458747 FLB458728:FLB458747 FUX458728:FUX458747 GET458728:GET458747 GOP458728:GOP458747 GYL458728:GYL458747 HIH458728:HIH458747 HSD458728:HSD458747 IBZ458728:IBZ458747 ILV458728:ILV458747 IVR458728:IVR458747 JFN458728:JFN458747 JPJ458728:JPJ458747 JZF458728:JZF458747 KJB458728:KJB458747 KSX458728:KSX458747 LCT458728:LCT458747 LMP458728:LMP458747 LWL458728:LWL458747 MGH458728:MGH458747 MQD458728:MQD458747 MZZ458728:MZZ458747 NJV458728:NJV458747 NTR458728:NTR458747 ODN458728:ODN458747 ONJ458728:ONJ458747 OXF458728:OXF458747 PHB458728:PHB458747 PQX458728:PQX458747 QAT458728:QAT458747 QKP458728:QKP458747 QUL458728:QUL458747 REH458728:REH458747 ROD458728:ROD458747 RXZ458728:RXZ458747 SHV458728:SHV458747 SRR458728:SRR458747 TBN458728:TBN458747 TLJ458728:TLJ458747 TVF458728:TVF458747 UFB458728:UFB458747 UOX458728:UOX458747 UYT458728:UYT458747 VIP458728:VIP458747 VSL458728:VSL458747 WCH458728:WCH458747 WMD458728:WMD458747 WVZ458728:WVZ458747 V524264:V524283 JN524264:JN524283 TJ524264:TJ524283 ADF524264:ADF524283 ANB524264:ANB524283 AWX524264:AWX524283 BGT524264:BGT524283 BQP524264:BQP524283 CAL524264:CAL524283 CKH524264:CKH524283 CUD524264:CUD524283 DDZ524264:DDZ524283 DNV524264:DNV524283 DXR524264:DXR524283 EHN524264:EHN524283 ERJ524264:ERJ524283 FBF524264:FBF524283 FLB524264:FLB524283 FUX524264:FUX524283 GET524264:GET524283 GOP524264:GOP524283 GYL524264:GYL524283 HIH524264:HIH524283 HSD524264:HSD524283 IBZ524264:IBZ524283 ILV524264:ILV524283 IVR524264:IVR524283 JFN524264:JFN524283 JPJ524264:JPJ524283 JZF524264:JZF524283 KJB524264:KJB524283 KSX524264:KSX524283 LCT524264:LCT524283 LMP524264:LMP524283 LWL524264:LWL524283 MGH524264:MGH524283 MQD524264:MQD524283 MZZ524264:MZZ524283 NJV524264:NJV524283 NTR524264:NTR524283 ODN524264:ODN524283 ONJ524264:ONJ524283 OXF524264:OXF524283 PHB524264:PHB524283 PQX524264:PQX524283 QAT524264:QAT524283 QKP524264:QKP524283 QUL524264:QUL524283 REH524264:REH524283 ROD524264:ROD524283 RXZ524264:RXZ524283 SHV524264:SHV524283 SRR524264:SRR524283 TBN524264:TBN524283 TLJ524264:TLJ524283 TVF524264:TVF524283 UFB524264:UFB524283 UOX524264:UOX524283 UYT524264:UYT524283 VIP524264:VIP524283 VSL524264:VSL524283 WCH524264:WCH524283 WMD524264:WMD524283 WVZ524264:WVZ524283 V589800:V589819 JN589800:JN589819 TJ589800:TJ589819 ADF589800:ADF589819 ANB589800:ANB589819 AWX589800:AWX589819 BGT589800:BGT589819 BQP589800:BQP589819 CAL589800:CAL589819 CKH589800:CKH589819 CUD589800:CUD589819 DDZ589800:DDZ589819 DNV589800:DNV589819 DXR589800:DXR589819 EHN589800:EHN589819 ERJ589800:ERJ589819 FBF589800:FBF589819 FLB589800:FLB589819 FUX589800:FUX589819 GET589800:GET589819 GOP589800:GOP589819 GYL589800:GYL589819 HIH589800:HIH589819 HSD589800:HSD589819 IBZ589800:IBZ589819 ILV589800:ILV589819 IVR589800:IVR589819 JFN589800:JFN589819 JPJ589800:JPJ589819 JZF589800:JZF589819 KJB589800:KJB589819 KSX589800:KSX589819 LCT589800:LCT589819 LMP589800:LMP589819 LWL589800:LWL589819 MGH589800:MGH589819 MQD589800:MQD589819 MZZ589800:MZZ589819 NJV589800:NJV589819 NTR589800:NTR589819 ODN589800:ODN589819 ONJ589800:ONJ589819 OXF589800:OXF589819 PHB589800:PHB589819 PQX589800:PQX589819 QAT589800:QAT589819 QKP589800:QKP589819 QUL589800:QUL589819 REH589800:REH589819 ROD589800:ROD589819 RXZ589800:RXZ589819 SHV589800:SHV589819 SRR589800:SRR589819 TBN589800:TBN589819 TLJ589800:TLJ589819 TVF589800:TVF589819 UFB589800:UFB589819 UOX589800:UOX589819 UYT589800:UYT589819 VIP589800:VIP589819 VSL589800:VSL589819 WCH589800:WCH589819 WMD589800:WMD589819 WVZ589800:WVZ589819 V655336:V655355 JN655336:JN655355 TJ655336:TJ655355 ADF655336:ADF655355 ANB655336:ANB655355 AWX655336:AWX655355 BGT655336:BGT655355 BQP655336:BQP655355 CAL655336:CAL655355 CKH655336:CKH655355 CUD655336:CUD655355 DDZ655336:DDZ655355 DNV655336:DNV655355 DXR655336:DXR655355 EHN655336:EHN655355 ERJ655336:ERJ655355 FBF655336:FBF655355 FLB655336:FLB655355 FUX655336:FUX655355 GET655336:GET655355 GOP655336:GOP655355 GYL655336:GYL655355 HIH655336:HIH655355 HSD655336:HSD655355 IBZ655336:IBZ655355 ILV655336:ILV655355 IVR655336:IVR655355 JFN655336:JFN655355 JPJ655336:JPJ655355 JZF655336:JZF655355 KJB655336:KJB655355 KSX655336:KSX655355 LCT655336:LCT655355 LMP655336:LMP655355 LWL655336:LWL655355 MGH655336:MGH655355 MQD655336:MQD655355 MZZ655336:MZZ655355 NJV655336:NJV655355 NTR655336:NTR655355 ODN655336:ODN655355 ONJ655336:ONJ655355 OXF655336:OXF655355 PHB655336:PHB655355 PQX655336:PQX655355 QAT655336:QAT655355 QKP655336:QKP655355 QUL655336:QUL655355 REH655336:REH655355 ROD655336:ROD655355 RXZ655336:RXZ655355 SHV655336:SHV655355 SRR655336:SRR655355 TBN655336:TBN655355 TLJ655336:TLJ655355 TVF655336:TVF655355 UFB655336:UFB655355 UOX655336:UOX655355 UYT655336:UYT655355 VIP655336:VIP655355 VSL655336:VSL655355 WCH655336:WCH655355 WMD655336:WMD655355 WVZ655336:WVZ655355 V720872:V720891 JN720872:JN720891 TJ720872:TJ720891 ADF720872:ADF720891 ANB720872:ANB720891 AWX720872:AWX720891 BGT720872:BGT720891 BQP720872:BQP720891 CAL720872:CAL720891 CKH720872:CKH720891 CUD720872:CUD720891 DDZ720872:DDZ720891 DNV720872:DNV720891 DXR720872:DXR720891 EHN720872:EHN720891 ERJ720872:ERJ720891 FBF720872:FBF720891 FLB720872:FLB720891 FUX720872:FUX720891 GET720872:GET720891 GOP720872:GOP720891 GYL720872:GYL720891 HIH720872:HIH720891 HSD720872:HSD720891 IBZ720872:IBZ720891 ILV720872:ILV720891 IVR720872:IVR720891 JFN720872:JFN720891 JPJ720872:JPJ720891 JZF720872:JZF720891 KJB720872:KJB720891 KSX720872:KSX720891 LCT720872:LCT720891 LMP720872:LMP720891 LWL720872:LWL720891 MGH720872:MGH720891 MQD720872:MQD720891 MZZ720872:MZZ720891 NJV720872:NJV720891 NTR720872:NTR720891 ODN720872:ODN720891 ONJ720872:ONJ720891 OXF720872:OXF720891 PHB720872:PHB720891 PQX720872:PQX720891 QAT720872:QAT720891 QKP720872:QKP720891 QUL720872:QUL720891 REH720872:REH720891 ROD720872:ROD720891 RXZ720872:RXZ720891 SHV720872:SHV720891 SRR720872:SRR720891 TBN720872:TBN720891 TLJ720872:TLJ720891 TVF720872:TVF720891 UFB720872:UFB720891 UOX720872:UOX720891 UYT720872:UYT720891 VIP720872:VIP720891 VSL720872:VSL720891 WCH720872:WCH720891 WMD720872:WMD720891 WVZ720872:WVZ720891 V786408:V786427 JN786408:JN786427 TJ786408:TJ786427 ADF786408:ADF786427 ANB786408:ANB786427 AWX786408:AWX786427 BGT786408:BGT786427 BQP786408:BQP786427 CAL786408:CAL786427 CKH786408:CKH786427 CUD786408:CUD786427 DDZ786408:DDZ786427 DNV786408:DNV786427 DXR786408:DXR786427 EHN786408:EHN786427 ERJ786408:ERJ786427 FBF786408:FBF786427 FLB786408:FLB786427 FUX786408:FUX786427 GET786408:GET786427 GOP786408:GOP786427 GYL786408:GYL786427 HIH786408:HIH786427 HSD786408:HSD786427 IBZ786408:IBZ786427 ILV786408:ILV786427 IVR786408:IVR786427 JFN786408:JFN786427 JPJ786408:JPJ786427 JZF786408:JZF786427 KJB786408:KJB786427 KSX786408:KSX786427 LCT786408:LCT786427 LMP786408:LMP786427 LWL786408:LWL786427 MGH786408:MGH786427 MQD786408:MQD786427 MZZ786408:MZZ786427 NJV786408:NJV786427 NTR786408:NTR786427 ODN786408:ODN786427 ONJ786408:ONJ786427 OXF786408:OXF786427 PHB786408:PHB786427 PQX786408:PQX786427 QAT786408:QAT786427 QKP786408:QKP786427 QUL786408:QUL786427 REH786408:REH786427 ROD786408:ROD786427 RXZ786408:RXZ786427 SHV786408:SHV786427 SRR786408:SRR786427 TBN786408:TBN786427 TLJ786408:TLJ786427 TVF786408:TVF786427 UFB786408:UFB786427 UOX786408:UOX786427 UYT786408:UYT786427 VIP786408:VIP786427 VSL786408:VSL786427 WCH786408:WCH786427 WMD786408:WMD786427 WVZ786408:WVZ786427 V851944:V851963 JN851944:JN851963 TJ851944:TJ851963 ADF851944:ADF851963 ANB851944:ANB851963 AWX851944:AWX851963 BGT851944:BGT851963 BQP851944:BQP851963 CAL851944:CAL851963 CKH851944:CKH851963 CUD851944:CUD851963 DDZ851944:DDZ851963 DNV851944:DNV851963 DXR851944:DXR851963 EHN851944:EHN851963 ERJ851944:ERJ851963 FBF851944:FBF851963 FLB851944:FLB851963 FUX851944:FUX851963 GET851944:GET851963 GOP851944:GOP851963 GYL851944:GYL851963 HIH851944:HIH851963 HSD851944:HSD851963 IBZ851944:IBZ851963 ILV851944:ILV851963 IVR851944:IVR851963 JFN851944:JFN851963 JPJ851944:JPJ851963 JZF851944:JZF851963 KJB851944:KJB851963 KSX851944:KSX851963 LCT851944:LCT851963 LMP851944:LMP851963 LWL851944:LWL851963 MGH851944:MGH851963 MQD851944:MQD851963 MZZ851944:MZZ851963 NJV851944:NJV851963 NTR851944:NTR851963 ODN851944:ODN851963 ONJ851944:ONJ851963 OXF851944:OXF851963 PHB851944:PHB851963 PQX851944:PQX851963 QAT851944:QAT851963 QKP851944:QKP851963 QUL851944:QUL851963 REH851944:REH851963 ROD851944:ROD851963 RXZ851944:RXZ851963 SHV851944:SHV851963 SRR851944:SRR851963 TBN851944:TBN851963 TLJ851944:TLJ851963 TVF851944:TVF851963 UFB851944:UFB851963 UOX851944:UOX851963 UYT851944:UYT851963 VIP851944:VIP851963 VSL851944:VSL851963 WCH851944:WCH851963 WMD851944:WMD851963 WVZ851944:WVZ851963 V917480:V917499 JN917480:JN917499 TJ917480:TJ917499 ADF917480:ADF917499 ANB917480:ANB917499 AWX917480:AWX917499 BGT917480:BGT917499 BQP917480:BQP917499 CAL917480:CAL917499 CKH917480:CKH917499 CUD917480:CUD917499 DDZ917480:DDZ917499 DNV917480:DNV917499 DXR917480:DXR917499 EHN917480:EHN917499 ERJ917480:ERJ917499 FBF917480:FBF917499 FLB917480:FLB917499 FUX917480:FUX917499 GET917480:GET917499 GOP917480:GOP917499 GYL917480:GYL917499 HIH917480:HIH917499 HSD917480:HSD917499 IBZ917480:IBZ917499 ILV917480:ILV917499 IVR917480:IVR917499 JFN917480:JFN917499 JPJ917480:JPJ917499 JZF917480:JZF917499 KJB917480:KJB917499 KSX917480:KSX917499 LCT917480:LCT917499 LMP917480:LMP917499 LWL917480:LWL917499 MGH917480:MGH917499 MQD917480:MQD917499 MZZ917480:MZZ917499 NJV917480:NJV917499 NTR917480:NTR917499 ODN917480:ODN917499 ONJ917480:ONJ917499 OXF917480:OXF917499 PHB917480:PHB917499 PQX917480:PQX917499 QAT917480:QAT917499 QKP917480:QKP917499 QUL917480:QUL917499 REH917480:REH917499 ROD917480:ROD917499 RXZ917480:RXZ917499 SHV917480:SHV917499 SRR917480:SRR917499 TBN917480:TBN917499 TLJ917480:TLJ917499 TVF917480:TVF917499 UFB917480:UFB917499 UOX917480:UOX917499 UYT917480:UYT917499 VIP917480:VIP917499 VSL917480:VSL917499 WCH917480:WCH917499 WMD917480:WMD917499 WVZ917480:WVZ917499 V983016:V983035 JN983016:JN983035 TJ983016:TJ983035 ADF983016:ADF983035 ANB983016:ANB983035 AWX983016:AWX983035 BGT983016:BGT983035 BQP983016:BQP983035 CAL983016:CAL983035 CKH983016:CKH983035 CUD983016:CUD983035 DDZ983016:DDZ983035 DNV983016:DNV983035 DXR983016:DXR983035 EHN983016:EHN983035 ERJ983016:ERJ983035 FBF983016:FBF983035 FLB983016:FLB983035 FUX983016:FUX983035 GET983016:GET983035 GOP983016:GOP983035 GYL983016:GYL983035 HIH983016:HIH983035 HSD983016:HSD983035 IBZ983016:IBZ983035 ILV983016:ILV983035 IVR983016:IVR983035 JFN983016:JFN983035 JPJ983016:JPJ983035 JZF983016:JZF983035 KJB983016:KJB983035 KSX983016:KSX983035 LCT983016:LCT983035 LMP983016:LMP983035 LWL983016:LWL983035 MGH983016:MGH983035 MQD983016:MQD983035 MZZ983016:MZZ983035 NJV983016:NJV983035 NTR983016:NTR983035 ODN983016:ODN983035 ONJ983016:ONJ983035 OXF983016:OXF983035 PHB983016:PHB983035 PQX983016:PQX983035 QAT983016:QAT983035 QKP983016:QKP983035 QUL983016:QUL983035 REH983016:REH983035 ROD983016:ROD983035 RXZ983016:RXZ983035 SHV983016:SHV983035 SRR983016:SRR983035 TBN983016:TBN983035 TLJ983016:TLJ983035 TVF983016:TVF983035 UFB983016:UFB983035 UOX983016:UOX983035 UYT983016:UYT983035 VIP983016:VIP983035 VSL983016:VSL983035 WCH983016:WCH983035 ANB5:ANB75 ADF5:ADF75 TJ5:TJ75 JN5:JN75 WVZ5:WVZ75 WMD5:WMD75 WCH5:WCH75 VSL5:VSL75 VIP5:VIP75 UYT5:UYT75 UOX5:UOX75 UFB5:UFB75 TVF5:TVF75 TLJ5:TLJ75 TBN5:TBN75 SRR5:SRR75 SHV5:SHV75 RXZ5:RXZ75 ROD5:ROD75 REH5:REH75 QUL5:QUL75 QKP5:QKP75 QAT5:QAT75 PQX5:PQX75 PHB5:PHB75 OXF5:OXF75 ONJ5:ONJ75 ODN5:ODN75 NTR5:NTR75 NJV5:NJV75 MZZ5:MZZ75 MQD5:MQD75 MGH5:MGH75 LWL5:LWL75 LMP5:LMP75 LCT5:LCT75 KSX5:KSX75 KJB5:KJB75 JZF5:JZF75 JPJ5:JPJ75 JFN5:JFN75 IVR5:IVR75 ILV5:ILV75 IBZ5:IBZ75 HSD5:HSD75 HIH5:HIH75 GYL5:GYL75 GOP5:GOP75 GET5:GET75 FUX5:FUX75 FLB5:FLB75 FBF5:FBF75 ERJ5:ERJ75 EHN5:EHN75 DXR5:DXR75 DNV5:DNV75 DDZ5:DDZ75 CUD5:CUD75 CKH5:CKH75 CAL5:CAL75 BQP5:BQP75 BGT5:BGT75 AWX5:AWX75" xr:uid="{90F3EC8C-9DF7-431D-AC0C-68026E7FE389}">
      <formula1>"Result,Enaber,Insight"</formula1>
    </dataValidation>
    <dataValidation type="list" allowBlank="1" showInputMessage="1" showErrorMessage="1" sqref="WVX983016:WVX983035 WMB983016:WMB983035 JL65512:JL65531 TH65512:TH65531 ADD65512:ADD65531 AMZ65512:AMZ65531 AWV65512:AWV65531 BGR65512:BGR65531 BQN65512:BQN65531 CAJ65512:CAJ65531 CKF65512:CKF65531 CUB65512:CUB65531 DDX65512:DDX65531 DNT65512:DNT65531 DXP65512:DXP65531 EHL65512:EHL65531 ERH65512:ERH65531 FBD65512:FBD65531 FKZ65512:FKZ65531 FUV65512:FUV65531 GER65512:GER65531 GON65512:GON65531 GYJ65512:GYJ65531 HIF65512:HIF65531 HSB65512:HSB65531 IBX65512:IBX65531 ILT65512:ILT65531 IVP65512:IVP65531 JFL65512:JFL65531 JPH65512:JPH65531 JZD65512:JZD65531 KIZ65512:KIZ65531 KSV65512:KSV65531 LCR65512:LCR65531 LMN65512:LMN65531 LWJ65512:LWJ65531 MGF65512:MGF65531 MQB65512:MQB65531 MZX65512:MZX65531 NJT65512:NJT65531 NTP65512:NTP65531 ODL65512:ODL65531 ONH65512:ONH65531 OXD65512:OXD65531 PGZ65512:PGZ65531 PQV65512:PQV65531 QAR65512:QAR65531 QKN65512:QKN65531 QUJ65512:QUJ65531 REF65512:REF65531 ROB65512:ROB65531 RXX65512:RXX65531 SHT65512:SHT65531 SRP65512:SRP65531 TBL65512:TBL65531 TLH65512:TLH65531 TVD65512:TVD65531 UEZ65512:UEZ65531 UOV65512:UOV65531 UYR65512:UYR65531 VIN65512:VIN65531 VSJ65512:VSJ65531 WCF65512:WCF65531 WMB65512:WMB65531 WVX65512:WVX65531 JL131048:JL131067 TH131048:TH131067 ADD131048:ADD131067 AMZ131048:AMZ131067 AWV131048:AWV131067 BGR131048:BGR131067 BQN131048:BQN131067 CAJ131048:CAJ131067 CKF131048:CKF131067 CUB131048:CUB131067 DDX131048:DDX131067 DNT131048:DNT131067 DXP131048:DXP131067 EHL131048:EHL131067 ERH131048:ERH131067 FBD131048:FBD131067 FKZ131048:FKZ131067 FUV131048:FUV131067 GER131048:GER131067 GON131048:GON131067 GYJ131048:GYJ131067 HIF131048:HIF131067 HSB131048:HSB131067 IBX131048:IBX131067 ILT131048:ILT131067 IVP131048:IVP131067 JFL131048:JFL131067 JPH131048:JPH131067 JZD131048:JZD131067 KIZ131048:KIZ131067 KSV131048:KSV131067 LCR131048:LCR131067 LMN131048:LMN131067 LWJ131048:LWJ131067 MGF131048:MGF131067 MQB131048:MQB131067 MZX131048:MZX131067 NJT131048:NJT131067 NTP131048:NTP131067 ODL131048:ODL131067 ONH131048:ONH131067 OXD131048:OXD131067 PGZ131048:PGZ131067 PQV131048:PQV131067 QAR131048:QAR131067 QKN131048:QKN131067 QUJ131048:QUJ131067 REF131048:REF131067 ROB131048:ROB131067 RXX131048:RXX131067 SHT131048:SHT131067 SRP131048:SRP131067 TBL131048:TBL131067 TLH131048:TLH131067 TVD131048:TVD131067 UEZ131048:UEZ131067 UOV131048:UOV131067 UYR131048:UYR131067 VIN131048:VIN131067 VSJ131048:VSJ131067 WCF131048:WCF131067 WMB131048:WMB131067 WVX131048:WVX131067 JL196584:JL196603 TH196584:TH196603 ADD196584:ADD196603 AMZ196584:AMZ196603 AWV196584:AWV196603 BGR196584:BGR196603 BQN196584:BQN196603 CAJ196584:CAJ196603 CKF196584:CKF196603 CUB196584:CUB196603 DDX196584:DDX196603 DNT196584:DNT196603 DXP196584:DXP196603 EHL196584:EHL196603 ERH196584:ERH196603 FBD196584:FBD196603 FKZ196584:FKZ196603 FUV196584:FUV196603 GER196584:GER196603 GON196584:GON196603 GYJ196584:GYJ196603 HIF196584:HIF196603 HSB196584:HSB196603 IBX196584:IBX196603 ILT196584:ILT196603 IVP196584:IVP196603 JFL196584:JFL196603 JPH196584:JPH196603 JZD196584:JZD196603 KIZ196584:KIZ196603 KSV196584:KSV196603 LCR196584:LCR196603 LMN196584:LMN196603 LWJ196584:LWJ196603 MGF196584:MGF196603 MQB196584:MQB196603 MZX196584:MZX196603 NJT196584:NJT196603 NTP196584:NTP196603 ODL196584:ODL196603 ONH196584:ONH196603 OXD196584:OXD196603 PGZ196584:PGZ196603 PQV196584:PQV196603 QAR196584:QAR196603 QKN196584:QKN196603 QUJ196584:QUJ196603 REF196584:REF196603 ROB196584:ROB196603 RXX196584:RXX196603 SHT196584:SHT196603 SRP196584:SRP196603 TBL196584:TBL196603 TLH196584:TLH196603 TVD196584:TVD196603 UEZ196584:UEZ196603 UOV196584:UOV196603 UYR196584:UYR196603 VIN196584:VIN196603 VSJ196584:VSJ196603 WCF196584:WCF196603 WMB196584:WMB196603 WVX196584:WVX196603 JL262120:JL262139 TH262120:TH262139 ADD262120:ADD262139 AMZ262120:AMZ262139 AWV262120:AWV262139 BGR262120:BGR262139 BQN262120:BQN262139 CAJ262120:CAJ262139 CKF262120:CKF262139 CUB262120:CUB262139 DDX262120:DDX262139 DNT262120:DNT262139 DXP262120:DXP262139 EHL262120:EHL262139 ERH262120:ERH262139 FBD262120:FBD262139 FKZ262120:FKZ262139 FUV262120:FUV262139 GER262120:GER262139 GON262120:GON262139 GYJ262120:GYJ262139 HIF262120:HIF262139 HSB262120:HSB262139 IBX262120:IBX262139 ILT262120:ILT262139 IVP262120:IVP262139 JFL262120:JFL262139 JPH262120:JPH262139 JZD262120:JZD262139 KIZ262120:KIZ262139 KSV262120:KSV262139 LCR262120:LCR262139 LMN262120:LMN262139 LWJ262120:LWJ262139 MGF262120:MGF262139 MQB262120:MQB262139 MZX262120:MZX262139 NJT262120:NJT262139 NTP262120:NTP262139 ODL262120:ODL262139 ONH262120:ONH262139 OXD262120:OXD262139 PGZ262120:PGZ262139 PQV262120:PQV262139 QAR262120:QAR262139 QKN262120:QKN262139 QUJ262120:QUJ262139 REF262120:REF262139 ROB262120:ROB262139 RXX262120:RXX262139 SHT262120:SHT262139 SRP262120:SRP262139 TBL262120:TBL262139 TLH262120:TLH262139 TVD262120:TVD262139 UEZ262120:UEZ262139 UOV262120:UOV262139 UYR262120:UYR262139 VIN262120:VIN262139 VSJ262120:VSJ262139 WCF262120:WCF262139 WMB262120:WMB262139 WVX262120:WVX262139 JL327656:JL327675 TH327656:TH327675 ADD327656:ADD327675 AMZ327656:AMZ327675 AWV327656:AWV327675 BGR327656:BGR327675 BQN327656:BQN327675 CAJ327656:CAJ327675 CKF327656:CKF327675 CUB327656:CUB327675 DDX327656:DDX327675 DNT327656:DNT327675 DXP327656:DXP327675 EHL327656:EHL327675 ERH327656:ERH327675 FBD327656:FBD327675 FKZ327656:FKZ327675 FUV327656:FUV327675 GER327656:GER327675 GON327656:GON327675 GYJ327656:GYJ327675 HIF327656:HIF327675 HSB327656:HSB327675 IBX327656:IBX327675 ILT327656:ILT327675 IVP327656:IVP327675 JFL327656:JFL327675 JPH327656:JPH327675 JZD327656:JZD327675 KIZ327656:KIZ327675 KSV327656:KSV327675 LCR327656:LCR327675 LMN327656:LMN327675 LWJ327656:LWJ327675 MGF327656:MGF327675 MQB327656:MQB327675 MZX327656:MZX327675 NJT327656:NJT327675 NTP327656:NTP327675 ODL327656:ODL327675 ONH327656:ONH327675 OXD327656:OXD327675 PGZ327656:PGZ327675 PQV327656:PQV327675 QAR327656:QAR327675 QKN327656:QKN327675 QUJ327656:QUJ327675 REF327656:REF327675 ROB327656:ROB327675 RXX327656:RXX327675 SHT327656:SHT327675 SRP327656:SRP327675 TBL327656:TBL327675 TLH327656:TLH327675 TVD327656:TVD327675 UEZ327656:UEZ327675 UOV327656:UOV327675 UYR327656:UYR327675 VIN327656:VIN327675 VSJ327656:VSJ327675 WCF327656:WCF327675 WMB327656:WMB327675 WVX327656:WVX327675 JL393192:JL393211 TH393192:TH393211 ADD393192:ADD393211 AMZ393192:AMZ393211 AWV393192:AWV393211 BGR393192:BGR393211 BQN393192:BQN393211 CAJ393192:CAJ393211 CKF393192:CKF393211 CUB393192:CUB393211 DDX393192:DDX393211 DNT393192:DNT393211 DXP393192:DXP393211 EHL393192:EHL393211 ERH393192:ERH393211 FBD393192:FBD393211 FKZ393192:FKZ393211 FUV393192:FUV393211 GER393192:GER393211 GON393192:GON393211 GYJ393192:GYJ393211 HIF393192:HIF393211 HSB393192:HSB393211 IBX393192:IBX393211 ILT393192:ILT393211 IVP393192:IVP393211 JFL393192:JFL393211 JPH393192:JPH393211 JZD393192:JZD393211 KIZ393192:KIZ393211 KSV393192:KSV393211 LCR393192:LCR393211 LMN393192:LMN393211 LWJ393192:LWJ393211 MGF393192:MGF393211 MQB393192:MQB393211 MZX393192:MZX393211 NJT393192:NJT393211 NTP393192:NTP393211 ODL393192:ODL393211 ONH393192:ONH393211 OXD393192:OXD393211 PGZ393192:PGZ393211 PQV393192:PQV393211 QAR393192:QAR393211 QKN393192:QKN393211 QUJ393192:QUJ393211 REF393192:REF393211 ROB393192:ROB393211 RXX393192:RXX393211 SHT393192:SHT393211 SRP393192:SRP393211 TBL393192:TBL393211 TLH393192:TLH393211 TVD393192:TVD393211 UEZ393192:UEZ393211 UOV393192:UOV393211 UYR393192:UYR393211 VIN393192:VIN393211 VSJ393192:VSJ393211 WCF393192:WCF393211 WMB393192:WMB393211 WVX393192:WVX393211 JL458728:JL458747 TH458728:TH458747 ADD458728:ADD458747 AMZ458728:AMZ458747 AWV458728:AWV458747 BGR458728:BGR458747 BQN458728:BQN458747 CAJ458728:CAJ458747 CKF458728:CKF458747 CUB458728:CUB458747 DDX458728:DDX458747 DNT458728:DNT458747 DXP458728:DXP458747 EHL458728:EHL458747 ERH458728:ERH458747 FBD458728:FBD458747 FKZ458728:FKZ458747 FUV458728:FUV458747 GER458728:GER458747 GON458728:GON458747 GYJ458728:GYJ458747 HIF458728:HIF458747 HSB458728:HSB458747 IBX458728:IBX458747 ILT458728:ILT458747 IVP458728:IVP458747 JFL458728:JFL458747 JPH458728:JPH458747 JZD458728:JZD458747 KIZ458728:KIZ458747 KSV458728:KSV458747 LCR458728:LCR458747 LMN458728:LMN458747 LWJ458728:LWJ458747 MGF458728:MGF458747 MQB458728:MQB458747 MZX458728:MZX458747 NJT458728:NJT458747 NTP458728:NTP458747 ODL458728:ODL458747 ONH458728:ONH458747 OXD458728:OXD458747 PGZ458728:PGZ458747 PQV458728:PQV458747 QAR458728:QAR458747 QKN458728:QKN458747 QUJ458728:QUJ458747 REF458728:REF458747 ROB458728:ROB458747 RXX458728:RXX458747 SHT458728:SHT458747 SRP458728:SRP458747 TBL458728:TBL458747 TLH458728:TLH458747 TVD458728:TVD458747 UEZ458728:UEZ458747 UOV458728:UOV458747 UYR458728:UYR458747 VIN458728:VIN458747 VSJ458728:VSJ458747 WCF458728:WCF458747 WMB458728:WMB458747 WVX458728:WVX458747 JL524264:JL524283 TH524264:TH524283 ADD524264:ADD524283 AMZ524264:AMZ524283 AWV524264:AWV524283 BGR524264:BGR524283 BQN524264:BQN524283 CAJ524264:CAJ524283 CKF524264:CKF524283 CUB524264:CUB524283 DDX524264:DDX524283 DNT524264:DNT524283 DXP524264:DXP524283 EHL524264:EHL524283 ERH524264:ERH524283 FBD524264:FBD524283 FKZ524264:FKZ524283 FUV524264:FUV524283 GER524264:GER524283 GON524264:GON524283 GYJ524264:GYJ524283 HIF524264:HIF524283 HSB524264:HSB524283 IBX524264:IBX524283 ILT524264:ILT524283 IVP524264:IVP524283 JFL524264:JFL524283 JPH524264:JPH524283 JZD524264:JZD524283 KIZ524264:KIZ524283 KSV524264:KSV524283 LCR524264:LCR524283 LMN524264:LMN524283 LWJ524264:LWJ524283 MGF524264:MGF524283 MQB524264:MQB524283 MZX524264:MZX524283 NJT524264:NJT524283 NTP524264:NTP524283 ODL524264:ODL524283 ONH524264:ONH524283 OXD524264:OXD524283 PGZ524264:PGZ524283 PQV524264:PQV524283 QAR524264:QAR524283 QKN524264:QKN524283 QUJ524264:QUJ524283 REF524264:REF524283 ROB524264:ROB524283 RXX524264:RXX524283 SHT524264:SHT524283 SRP524264:SRP524283 TBL524264:TBL524283 TLH524264:TLH524283 TVD524264:TVD524283 UEZ524264:UEZ524283 UOV524264:UOV524283 UYR524264:UYR524283 VIN524264:VIN524283 VSJ524264:VSJ524283 WCF524264:WCF524283 WMB524264:WMB524283 WVX524264:WVX524283 JL589800:JL589819 TH589800:TH589819 ADD589800:ADD589819 AMZ589800:AMZ589819 AWV589800:AWV589819 BGR589800:BGR589819 BQN589800:BQN589819 CAJ589800:CAJ589819 CKF589800:CKF589819 CUB589800:CUB589819 DDX589800:DDX589819 DNT589800:DNT589819 DXP589800:DXP589819 EHL589800:EHL589819 ERH589800:ERH589819 FBD589800:FBD589819 FKZ589800:FKZ589819 FUV589800:FUV589819 GER589800:GER589819 GON589800:GON589819 GYJ589800:GYJ589819 HIF589800:HIF589819 HSB589800:HSB589819 IBX589800:IBX589819 ILT589800:ILT589819 IVP589800:IVP589819 JFL589800:JFL589819 JPH589800:JPH589819 JZD589800:JZD589819 KIZ589800:KIZ589819 KSV589800:KSV589819 LCR589800:LCR589819 LMN589800:LMN589819 LWJ589800:LWJ589819 MGF589800:MGF589819 MQB589800:MQB589819 MZX589800:MZX589819 NJT589800:NJT589819 NTP589800:NTP589819 ODL589800:ODL589819 ONH589800:ONH589819 OXD589800:OXD589819 PGZ589800:PGZ589819 PQV589800:PQV589819 QAR589800:QAR589819 QKN589800:QKN589819 QUJ589800:QUJ589819 REF589800:REF589819 ROB589800:ROB589819 RXX589800:RXX589819 SHT589800:SHT589819 SRP589800:SRP589819 TBL589800:TBL589819 TLH589800:TLH589819 TVD589800:TVD589819 UEZ589800:UEZ589819 UOV589800:UOV589819 UYR589800:UYR589819 VIN589800:VIN589819 VSJ589800:VSJ589819 WCF589800:WCF589819 WMB589800:WMB589819 WVX589800:WVX589819 JL655336:JL655355 TH655336:TH655355 ADD655336:ADD655355 AMZ655336:AMZ655355 AWV655336:AWV655355 BGR655336:BGR655355 BQN655336:BQN655355 CAJ655336:CAJ655355 CKF655336:CKF655355 CUB655336:CUB655355 DDX655336:DDX655355 DNT655336:DNT655355 DXP655336:DXP655355 EHL655336:EHL655355 ERH655336:ERH655355 FBD655336:FBD655355 FKZ655336:FKZ655355 FUV655336:FUV655355 GER655336:GER655355 GON655336:GON655355 GYJ655336:GYJ655355 HIF655336:HIF655355 HSB655336:HSB655355 IBX655336:IBX655355 ILT655336:ILT655355 IVP655336:IVP655355 JFL655336:JFL655355 JPH655336:JPH655355 JZD655336:JZD655355 KIZ655336:KIZ655355 KSV655336:KSV655355 LCR655336:LCR655355 LMN655336:LMN655355 LWJ655336:LWJ655355 MGF655336:MGF655355 MQB655336:MQB655355 MZX655336:MZX655355 NJT655336:NJT655355 NTP655336:NTP655355 ODL655336:ODL655355 ONH655336:ONH655355 OXD655336:OXD655355 PGZ655336:PGZ655355 PQV655336:PQV655355 QAR655336:QAR655355 QKN655336:QKN655355 QUJ655336:QUJ655355 REF655336:REF655355 ROB655336:ROB655355 RXX655336:RXX655355 SHT655336:SHT655355 SRP655336:SRP655355 TBL655336:TBL655355 TLH655336:TLH655355 TVD655336:TVD655355 UEZ655336:UEZ655355 UOV655336:UOV655355 UYR655336:UYR655355 VIN655336:VIN655355 VSJ655336:VSJ655355 WCF655336:WCF655355 WMB655336:WMB655355 WVX655336:WVX655355 JL720872:JL720891 TH720872:TH720891 ADD720872:ADD720891 AMZ720872:AMZ720891 AWV720872:AWV720891 BGR720872:BGR720891 BQN720872:BQN720891 CAJ720872:CAJ720891 CKF720872:CKF720891 CUB720872:CUB720891 DDX720872:DDX720891 DNT720872:DNT720891 DXP720872:DXP720891 EHL720872:EHL720891 ERH720872:ERH720891 FBD720872:FBD720891 FKZ720872:FKZ720891 FUV720872:FUV720891 GER720872:GER720891 GON720872:GON720891 GYJ720872:GYJ720891 HIF720872:HIF720891 HSB720872:HSB720891 IBX720872:IBX720891 ILT720872:ILT720891 IVP720872:IVP720891 JFL720872:JFL720891 JPH720872:JPH720891 JZD720872:JZD720891 KIZ720872:KIZ720891 KSV720872:KSV720891 LCR720872:LCR720891 LMN720872:LMN720891 LWJ720872:LWJ720891 MGF720872:MGF720891 MQB720872:MQB720891 MZX720872:MZX720891 NJT720872:NJT720891 NTP720872:NTP720891 ODL720872:ODL720891 ONH720872:ONH720891 OXD720872:OXD720891 PGZ720872:PGZ720891 PQV720872:PQV720891 QAR720872:QAR720891 QKN720872:QKN720891 QUJ720872:QUJ720891 REF720872:REF720891 ROB720872:ROB720891 RXX720872:RXX720891 SHT720872:SHT720891 SRP720872:SRP720891 TBL720872:TBL720891 TLH720872:TLH720891 TVD720872:TVD720891 UEZ720872:UEZ720891 UOV720872:UOV720891 UYR720872:UYR720891 VIN720872:VIN720891 VSJ720872:VSJ720891 WCF720872:WCF720891 WMB720872:WMB720891 WVX720872:WVX720891 JL786408:JL786427 TH786408:TH786427 ADD786408:ADD786427 AMZ786408:AMZ786427 AWV786408:AWV786427 BGR786408:BGR786427 BQN786408:BQN786427 CAJ786408:CAJ786427 CKF786408:CKF786427 CUB786408:CUB786427 DDX786408:DDX786427 DNT786408:DNT786427 DXP786408:DXP786427 EHL786408:EHL786427 ERH786408:ERH786427 FBD786408:FBD786427 FKZ786408:FKZ786427 FUV786408:FUV786427 GER786408:GER786427 GON786408:GON786427 GYJ786408:GYJ786427 HIF786408:HIF786427 HSB786408:HSB786427 IBX786408:IBX786427 ILT786408:ILT786427 IVP786408:IVP786427 JFL786408:JFL786427 JPH786408:JPH786427 JZD786408:JZD786427 KIZ786408:KIZ786427 KSV786408:KSV786427 LCR786408:LCR786427 LMN786408:LMN786427 LWJ786408:LWJ786427 MGF786408:MGF786427 MQB786408:MQB786427 MZX786408:MZX786427 NJT786408:NJT786427 NTP786408:NTP786427 ODL786408:ODL786427 ONH786408:ONH786427 OXD786408:OXD786427 PGZ786408:PGZ786427 PQV786408:PQV786427 QAR786408:QAR786427 QKN786408:QKN786427 QUJ786408:QUJ786427 REF786408:REF786427 ROB786408:ROB786427 RXX786408:RXX786427 SHT786408:SHT786427 SRP786408:SRP786427 TBL786408:TBL786427 TLH786408:TLH786427 TVD786408:TVD786427 UEZ786408:UEZ786427 UOV786408:UOV786427 UYR786408:UYR786427 VIN786408:VIN786427 VSJ786408:VSJ786427 WCF786408:WCF786427 WMB786408:WMB786427 WVX786408:WVX786427 JL851944:JL851963 TH851944:TH851963 ADD851944:ADD851963 AMZ851944:AMZ851963 AWV851944:AWV851963 BGR851944:BGR851963 BQN851944:BQN851963 CAJ851944:CAJ851963 CKF851944:CKF851963 CUB851944:CUB851963 DDX851944:DDX851963 DNT851944:DNT851963 DXP851944:DXP851963 EHL851944:EHL851963 ERH851944:ERH851963 FBD851944:FBD851963 FKZ851944:FKZ851963 FUV851944:FUV851963 GER851944:GER851963 GON851944:GON851963 GYJ851944:GYJ851963 HIF851944:HIF851963 HSB851944:HSB851963 IBX851944:IBX851963 ILT851944:ILT851963 IVP851944:IVP851963 JFL851944:JFL851963 JPH851944:JPH851963 JZD851944:JZD851963 KIZ851944:KIZ851963 KSV851944:KSV851963 LCR851944:LCR851963 LMN851944:LMN851963 LWJ851944:LWJ851963 MGF851944:MGF851963 MQB851944:MQB851963 MZX851944:MZX851963 NJT851944:NJT851963 NTP851944:NTP851963 ODL851944:ODL851963 ONH851944:ONH851963 OXD851944:OXD851963 PGZ851944:PGZ851963 PQV851944:PQV851963 QAR851944:QAR851963 QKN851944:QKN851963 QUJ851944:QUJ851963 REF851944:REF851963 ROB851944:ROB851963 RXX851944:RXX851963 SHT851944:SHT851963 SRP851944:SRP851963 TBL851944:TBL851963 TLH851944:TLH851963 TVD851944:TVD851963 UEZ851944:UEZ851963 UOV851944:UOV851963 UYR851944:UYR851963 VIN851944:VIN851963 VSJ851944:VSJ851963 WCF851944:WCF851963 WMB851944:WMB851963 WVX851944:WVX851963 JL917480:JL917499 TH917480:TH917499 ADD917480:ADD917499 AMZ917480:AMZ917499 AWV917480:AWV917499 BGR917480:BGR917499 BQN917480:BQN917499 CAJ917480:CAJ917499 CKF917480:CKF917499 CUB917480:CUB917499 DDX917480:DDX917499 DNT917480:DNT917499 DXP917480:DXP917499 EHL917480:EHL917499 ERH917480:ERH917499 FBD917480:FBD917499 FKZ917480:FKZ917499 FUV917480:FUV917499 GER917480:GER917499 GON917480:GON917499 GYJ917480:GYJ917499 HIF917480:HIF917499 HSB917480:HSB917499 IBX917480:IBX917499 ILT917480:ILT917499 IVP917480:IVP917499 JFL917480:JFL917499 JPH917480:JPH917499 JZD917480:JZD917499 KIZ917480:KIZ917499 KSV917480:KSV917499 LCR917480:LCR917499 LMN917480:LMN917499 LWJ917480:LWJ917499 MGF917480:MGF917499 MQB917480:MQB917499 MZX917480:MZX917499 NJT917480:NJT917499 NTP917480:NTP917499 ODL917480:ODL917499 ONH917480:ONH917499 OXD917480:OXD917499 PGZ917480:PGZ917499 PQV917480:PQV917499 QAR917480:QAR917499 QKN917480:QKN917499 QUJ917480:QUJ917499 REF917480:REF917499 ROB917480:ROB917499 RXX917480:RXX917499 SHT917480:SHT917499 SRP917480:SRP917499 TBL917480:TBL917499 TLH917480:TLH917499 TVD917480:TVD917499 UEZ917480:UEZ917499 UOV917480:UOV917499 UYR917480:UYR917499 VIN917480:VIN917499 VSJ917480:VSJ917499 WCF917480:WCF917499 WMB917480:WMB917499 WVX917480:WVX917499 JL983016:JL983035 TH983016:TH983035 ADD983016:ADD983035 AMZ983016:AMZ983035 AWV983016:AWV983035 BGR983016:BGR983035 BQN983016:BQN983035 CAJ983016:CAJ983035 CKF983016:CKF983035 CUB983016:CUB983035 DDX983016:DDX983035 DNT983016:DNT983035 DXP983016:DXP983035 EHL983016:EHL983035 ERH983016:ERH983035 FBD983016:FBD983035 FKZ983016:FKZ983035 FUV983016:FUV983035 GER983016:GER983035 GON983016:GON983035 GYJ983016:GYJ983035 HIF983016:HIF983035 HSB983016:HSB983035 IBX983016:IBX983035 ILT983016:ILT983035 IVP983016:IVP983035 JFL983016:JFL983035 JPH983016:JPH983035 JZD983016:JZD983035 KIZ983016:KIZ983035 KSV983016:KSV983035 LCR983016:LCR983035 LMN983016:LMN983035 LWJ983016:LWJ983035 MGF983016:MGF983035 MQB983016:MQB983035 MZX983016:MZX983035 NJT983016:NJT983035 NTP983016:NTP983035 ODL983016:ODL983035 ONH983016:ONH983035 OXD983016:OXD983035 PGZ983016:PGZ983035 PQV983016:PQV983035 QAR983016:QAR983035 QKN983016:QKN983035 QUJ983016:QUJ983035 REF983016:REF983035 ROB983016:ROB983035 RXX983016:RXX983035 SHT983016:SHT983035 SRP983016:SRP983035 TBL983016:TBL983035 TLH983016:TLH983035 TVD983016:TVD983035 UEZ983016:UEZ983035 UOV983016:UOV983035 UYR983016:UYR983035 VIN983016:VIN983035 VSJ983016:VSJ983035 WCF983016:WCF983035 M786408:Q786427 M720872:Q720891 M655336:Q655355 M589800:Q589819 M524264:Q524283 M458728:Q458747 M393192:Q393211 M327656:Q327675 M262120:Q262139 M196584:Q196603 M131048:Q131067 M65512:Q65531 M983016:Q983035 M917480:Q917499 AMZ5:AMZ75 T983016:U983035 T65512:U65531 T131048:U131067 T196584:U196603 T262120:U262139 T327656:U327675 T393192:U393211 T458728:U458747 T524264:U524283 T589800:U589819 T655336:U655355 T720872:U720891 T786408:U786427 T851944:U851963 T917480:U917499 A917480:D917499 A851944:D851963 A786408:D786427 A720872:D720891 A655336:D655355 A589800:D589819 A524264:D524283 A458728:D458747 A393192:D393211 A327656:D327675 A262120:D262139 A196584:D196603 A131048:D131067 A65512:D65531 A983016:D983035 ADD5:ADD75 TH5:TH75 JL5:JL75 WVX5:WVX75 WMB5:WMB75 WCF5:WCF75 VSJ5:VSJ75 VIN5:VIN75 UYR5:UYR75 UOV5:UOV75 UEZ5:UEZ75 TVD5:TVD75 TLH5:TLH75 TBL5:TBL75 SRP5:SRP75 SHT5:SHT75 RXX5:RXX75 ROB5:ROB75 REF5:REF75 QUJ5:QUJ75 QKN5:QKN75 QAR5:QAR75 PQV5:PQV75 PGZ5:PGZ75 OXD5:OXD75 ONH5:ONH75 ODL5:ODL75 NTP5:NTP75 NJT5:NJT75 MZX5:MZX75 MQB5:MQB75 MGF5:MGF75 LWJ5:LWJ75 LMN5:LMN75 LCR5:LCR75 KSV5:KSV75 KIZ5:KIZ75 JZD5:JZD75 JPH5:JPH75 JFL5:JFL75 IVP5:IVP75 ILT5:ILT75 IBX5:IBX75 HSB5:HSB75 HIF5:HIF75 GYJ5:GYJ75 GON5:GON75 GER5:GER75 FUV5:FUV75 FKZ5:FKZ75 FBD5:FBD75 ERH5:ERH75 EHL5:EHL75 DXP5:DXP75 DNT5:DNT75 DDX5:DDX75 CUB5:CUB75 CKF5:CKF75 CAJ5:CAJ75 BQN5:BQN75 BGR5:BGR75 AWV5:AWV75 M851944:Q851963" xr:uid="{FC36673A-264B-40B1-92C7-66B9F8387FD2}">
      <formula1>"Higher the better,Lower the better,Within Limits"</formula1>
    </dataValidation>
    <dataValidation type="list" allowBlank="1" showInputMessage="1" showErrorMessage="1" sqref="E1" xr:uid="{2E8BAA56-DF5F-45F7-A7D4-9822C8FC7D94}">
      <formula1>"Customer Managed,Sonata Managed,Jointly Managed"</formula1>
    </dataValidation>
    <dataValidation type="list" allowBlank="1" showInputMessage="1" showErrorMessage="1" sqref="B3" xr:uid="{E170524F-91E2-4330-AC47-40AD1C3F4C1C}">
      <formula1>Project_Type</formula1>
    </dataValidation>
    <dataValidation type="list" allowBlank="1" showInputMessage="1" showErrorMessage="1" sqref="D3" xr:uid="{1C839E04-7979-4DEA-BC01-6ABDA0293DDA}">
      <formula1>Project_Category</formula1>
    </dataValidation>
    <dataValidation type="list" allowBlank="1" showInputMessage="1" showErrorMessage="1" sqref="E3" xr:uid="{090E2A67-E390-4ABC-8AD5-BFF3AD598F27}">
      <formula1>Size</formula1>
    </dataValidation>
    <dataValidation type="list" allowBlank="1" showInputMessage="1" showErrorMessage="1" sqref="C3" xr:uid="{7AAB5E35-CE6D-4A58-896D-9EE2043169AC}">
      <formula1>Delivery_Process_Model</formula1>
    </dataValidation>
    <dataValidation type="list" allowBlank="1" showInputMessage="1" showErrorMessage="1" sqref="N5:N75" xr:uid="{5714FAE5-19BF-484E-861F-C3F18063B348}">
      <formula1>Frequency</formula1>
    </dataValidation>
    <dataValidation type="list" allowBlank="1" showInputMessage="1" showErrorMessage="1" sqref="E5:E75" xr:uid="{1D6AF46A-8EAD-4622-9111-548195F44803}">
      <formula1>Metric_Category</formula1>
    </dataValidation>
    <dataValidation type="list" sqref="T5:T75" xr:uid="{562628FB-7C26-4F3E-B94E-4DFB50F3536B}">
      <formula1>IF(A5="Process Objective",Business_Objective,IF(A5="Sub-process Objective",Process_Objective,""))</formula1>
    </dataValidation>
    <dataValidation type="list" allowBlank="1" showInputMessage="1" showErrorMessage="1" sqref="B5:B75" xr:uid="{2014D445-C7A7-480C-92B9-6B002EE80E4A}">
      <formula1>Performance_Level</formula1>
    </dataValidation>
  </dataValidations>
  <pageMargins left="0.7" right="0.7" top="0.75" bottom="0.75" header="0.3" footer="0.3"/>
  <pageSetup orientation="portrait" r:id="rId1"/>
  <headerFooter alignWithMargins="0"/>
  <ignoredErrors>
    <ignoredError sqref="T5 H5 T6:T65 H6:H75" unlockedFormula="1"/>
  </ignoredErrors>
  <drawing r:id="rId2"/>
  <legacyDrawing r:id="rId3"/>
  <controls>
    <mc:AlternateContent xmlns:mc="http://schemas.openxmlformats.org/markup-compatibility/2006">
      <mc:Choice Requires="x14">
        <control shapeId="574494" r:id="rId4" name="cmdRefreshMetricList">
          <controlPr locked="0" defaultSize="0" autoLine="0" r:id="rId5">
            <anchor moveWithCells="1">
              <from>
                <xdr:col>6</xdr:col>
                <xdr:colOff>254000</xdr:colOff>
                <xdr:row>0</xdr:row>
                <xdr:rowOff>95250</xdr:rowOff>
              </from>
              <to>
                <xdr:col>6</xdr:col>
                <xdr:colOff>1543050</xdr:colOff>
                <xdr:row>1</xdr:row>
                <xdr:rowOff>38100</xdr:rowOff>
              </to>
            </anchor>
          </controlPr>
        </control>
      </mc:Choice>
      <mc:Fallback>
        <control shapeId="574494" r:id="rId4" name="cmdRefreshMetricList"/>
      </mc:Fallback>
    </mc:AlternateContent>
    <mc:AlternateContent xmlns:mc="http://schemas.openxmlformats.org/markup-compatibility/2006">
      <mc:Choice Requires="x14">
        <control shapeId="574493" r:id="rId6" name="cmdDeleteRows">
          <controlPr locked="0" defaultSize="0" autoLine="0" r:id="rId7">
            <anchor moveWithCells="1">
              <from>
                <xdr:col>6</xdr:col>
                <xdr:colOff>1581150</xdr:colOff>
                <xdr:row>0</xdr:row>
                <xdr:rowOff>95250</xdr:rowOff>
              </from>
              <to>
                <xdr:col>7</xdr:col>
                <xdr:colOff>476250</xdr:colOff>
                <xdr:row>1</xdr:row>
                <xdr:rowOff>38100</xdr:rowOff>
              </to>
            </anchor>
          </controlPr>
        </control>
      </mc:Choice>
      <mc:Fallback>
        <control shapeId="574493" r:id="rId6" name="cmdDeleteRows"/>
      </mc:Fallback>
    </mc:AlternateContent>
    <mc:AlternateContent xmlns:mc="http://schemas.openxmlformats.org/markup-compatibility/2006">
      <mc:Choice Requires="x14">
        <control shapeId="574492" r:id="rId8" name="cmdGetAllMandatoryMetrics">
          <controlPr locked="0" defaultSize="0" autoLine="0" r:id="rId9">
            <anchor moveWithCells="1">
              <from>
                <xdr:col>5</xdr:col>
                <xdr:colOff>38100</xdr:colOff>
                <xdr:row>0</xdr:row>
                <xdr:rowOff>95250</xdr:rowOff>
              </from>
              <to>
                <xdr:col>6</xdr:col>
                <xdr:colOff>241300</xdr:colOff>
                <xdr:row>1</xdr:row>
                <xdr:rowOff>38100</xdr:rowOff>
              </to>
            </anchor>
          </controlPr>
        </control>
      </mc:Choice>
      <mc:Fallback>
        <control shapeId="574492" r:id="rId8" name="cmdGetAllMandatoryMetrics"/>
      </mc:Fallback>
    </mc:AlternateContent>
  </controls>
  <extLst>
    <ext xmlns:x14="http://schemas.microsoft.com/office/spreadsheetml/2009/9/main" uri="{CCE6A557-97BC-4b89-ADB6-D9C93CAAB3DF}">
      <x14:dataValidations xmlns:xm="http://schemas.microsoft.com/office/excel/2006/main" count="3">
        <x14:dataValidation type="list" allowBlank="1" xr:uid="{A32EFDE2-94C9-4410-B450-F738C690C94C}">
          <x14:formula1>
            <xm:f>OFFSET(DynamicLists!$B$4,MATCH(E5,DynamicLists!$A$4:$A$200,0)-1,0,COUNTIF(DynamicLists!$A$4:$A$200,E5),1)</xm:f>
          </x14:formula1>
          <xm:sqref>F5:F75</xm:sqref>
        </x14:dataValidation>
        <x14:dataValidation type="list" allowBlank="1" showInputMessage="1" showErrorMessage="1" xr:uid="{7316F45E-9992-40E4-9D8E-13D3191D0550}">
          <x14:formula1>
            <xm:f>OFFSET(DynamicLists!$B8,MATCH(T5,DynamicLists!$E$4:$E200,0)-1,0,COUNTIF(DynamicLists!$E$4:$E$200,T5),1)</xm:f>
          </x14:formula1>
          <xm:sqref>U5</xm:sqref>
        </x14:dataValidation>
        <x14:dataValidation type="list" allowBlank="1" showInputMessage="1" showErrorMessage="1" xr:uid="{29AA9969-620B-462C-9ECE-D53781BB9A1F}">
          <x14:formula1>
            <xm:f>OFFSET(DynamicLists!$B10,MATCH(T6,DynamicLists!$E$4:$E202,0)-1,0,COUNTIF(DynamicLists!$E$4:$E$200,T6),1)</xm:f>
          </x14:formula1>
          <xm:sqref>U6:U75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BCCEE-C19B-42E4-BFFC-D68C1B8D5EC0}">
  <sheetPr codeName="Sheet11"/>
  <dimension ref="A1:W50"/>
  <sheetViews>
    <sheetView topLeftCell="A2" workbookViewId="0">
      <selection activeCell="A11" sqref="A11"/>
    </sheetView>
  </sheetViews>
  <sheetFormatPr defaultRowHeight="14"/>
  <cols>
    <col min="1" max="1" width="23.1796875" style="145" bestFit="1" customWidth="1"/>
    <col min="2" max="2" width="27.1796875" style="145" customWidth="1"/>
    <col min="3" max="3" width="10.81640625" style="145" bestFit="1" customWidth="1"/>
    <col min="4" max="4" width="22.7265625" style="145" customWidth="1"/>
    <col min="5" max="5" width="16.54296875" style="145" bestFit="1" customWidth="1"/>
    <col min="6" max="6" width="20.54296875" style="145" bestFit="1" customWidth="1"/>
    <col min="7" max="7" width="2.1796875" style="145" hidden="1" customWidth="1"/>
    <col min="8" max="9" width="2" style="145" hidden="1" customWidth="1"/>
    <col min="10" max="10" width="35.7265625" style="145" hidden="1" customWidth="1"/>
    <col min="11" max="11" width="17.453125" style="145" customWidth="1"/>
    <col min="12" max="12" width="14.54296875" style="145" hidden="1" customWidth="1"/>
    <col min="13" max="13" width="18.81640625" style="145" customWidth="1"/>
    <col min="14" max="14" width="19" style="145" customWidth="1"/>
    <col min="15" max="15" width="19.54296875" style="145" customWidth="1"/>
    <col min="16" max="16" width="3.26953125" style="145" customWidth="1"/>
    <col min="17" max="17" width="37.453125" style="145" customWidth="1"/>
    <col min="18" max="18" width="16.453125" style="145" bestFit="1" customWidth="1"/>
    <col min="19" max="19" width="28.54296875" style="145" customWidth="1"/>
    <col min="20" max="20" width="6.1796875" style="145" bestFit="1" customWidth="1"/>
    <col min="21" max="21" width="4.1796875" style="145" bestFit="1" customWidth="1"/>
    <col min="22" max="22" width="8.26953125" style="145" bestFit="1" customWidth="1"/>
    <col min="23" max="256" width="9.1796875" style="145"/>
    <col min="257" max="257" width="23.1796875" style="145" bestFit="1" customWidth="1"/>
    <col min="258" max="258" width="20.54296875" style="145" customWidth="1"/>
    <col min="259" max="259" width="10.81640625" style="145" bestFit="1" customWidth="1"/>
    <col min="260" max="260" width="22.7265625" style="145" customWidth="1"/>
    <col min="261" max="261" width="16.54296875" style="145" bestFit="1" customWidth="1"/>
    <col min="262" max="262" width="20.54296875" style="145" bestFit="1" customWidth="1"/>
    <col min="263" max="266" width="0" style="145" hidden="1" customWidth="1"/>
    <col min="267" max="267" width="14.54296875" style="145" customWidth="1"/>
    <col min="268" max="268" width="0" style="145" hidden="1" customWidth="1"/>
    <col min="269" max="269" width="14" style="145" bestFit="1" customWidth="1"/>
    <col min="270" max="270" width="19" style="145" customWidth="1"/>
    <col min="271" max="271" width="19.54296875" style="145" customWidth="1"/>
    <col min="272" max="272" width="3.26953125" style="145" customWidth="1"/>
    <col min="273" max="273" width="37.453125" style="145" customWidth="1"/>
    <col min="274" max="274" width="16.453125" style="145" bestFit="1" customWidth="1"/>
    <col min="275" max="275" width="4" style="145" bestFit="1" customWidth="1"/>
    <col min="276" max="276" width="6.1796875" style="145" bestFit="1" customWidth="1"/>
    <col min="277" max="277" width="4.1796875" style="145" bestFit="1" customWidth="1"/>
    <col min="278" max="278" width="8.26953125" style="145" bestFit="1" customWidth="1"/>
    <col min="279" max="512" width="9.1796875" style="145"/>
    <col min="513" max="513" width="23.1796875" style="145" bestFit="1" customWidth="1"/>
    <col min="514" max="514" width="20.54296875" style="145" customWidth="1"/>
    <col min="515" max="515" width="10.81640625" style="145" bestFit="1" customWidth="1"/>
    <col min="516" max="516" width="22.7265625" style="145" customWidth="1"/>
    <col min="517" max="517" width="16.54296875" style="145" bestFit="1" customWidth="1"/>
    <col min="518" max="518" width="20.54296875" style="145" bestFit="1" customWidth="1"/>
    <col min="519" max="522" width="0" style="145" hidden="1" customWidth="1"/>
    <col min="523" max="523" width="14.54296875" style="145" customWidth="1"/>
    <col min="524" max="524" width="0" style="145" hidden="1" customWidth="1"/>
    <col min="525" max="525" width="14" style="145" bestFit="1" customWidth="1"/>
    <col min="526" max="526" width="19" style="145" customWidth="1"/>
    <col min="527" max="527" width="19.54296875" style="145" customWidth="1"/>
    <col min="528" max="528" width="3.26953125" style="145" customWidth="1"/>
    <col min="529" max="529" width="37.453125" style="145" customWidth="1"/>
    <col min="530" max="530" width="16.453125" style="145" bestFit="1" customWidth="1"/>
    <col min="531" max="531" width="4" style="145" bestFit="1" customWidth="1"/>
    <col min="532" max="532" width="6.1796875" style="145" bestFit="1" customWidth="1"/>
    <col min="533" max="533" width="4.1796875" style="145" bestFit="1" customWidth="1"/>
    <col min="534" max="534" width="8.26953125" style="145" bestFit="1" customWidth="1"/>
    <col min="535" max="768" width="9.1796875" style="145"/>
    <col min="769" max="769" width="23.1796875" style="145" bestFit="1" customWidth="1"/>
    <col min="770" max="770" width="20.54296875" style="145" customWidth="1"/>
    <col min="771" max="771" width="10.81640625" style="145" bestFit="1" customWidth="1"/>
    <col min="772" max="772" width="22.7265625" style="145" customWidth="1"/>
    <col min="773" max="773" width="16.54296875" style="145" bestFit="1" customWidth="1"/>
    <col min="774" max="774" width="20.54296875" style="145" bestFit="1" customWidth="1"/>
    <col min="775" max="778" width="0" style="145" hidden="1" customWidth="1"/>
    <col min="779" max="779" width="14.54296875" style="145" customWidth="1"/>
    <col min="780" max="780" width="0" style="145" hidden="1" customWidth="1"/>
    <col min="781" max="781" width="14" style="145" bestFit="1" customWidth="1"/>
    <col min="782" max="782" width="19" style="145" customWidth="1"/>
    <col min="783" max="783" width="19.54296875" style="145" customWidth="1"/>
    <col min="784" max="784" width="3.26953125" style="145" customWidth="1"/>
    <col min="785" max="785" width="37.453125" style="145" customWidth="1"/>
    <col min="786" max="786" width="16.453125" style="145" bestFit="1" customWidth="1"/>
    <col min="787" max="787" width="4" style="145" bestFit="1" customWidth="1"/>
    <col min="788" max="788" width="6.1796875" style="145" bestFit="1" customWidth="1"/>
    <col min="789" max="789" width="4.1796875" style="145" bestFit="1" customWidth="1"/>
    <col min="790" max="790" width="8.26953125" style="145" bestFit="1" customWidth="1"/>
    <col min="791" max="1024" width="9.1796875" style="145"/>
    <col min="1025" max="1025" width="23.1796875" style="145" bestFit="1" customWidth="1"/>
    <col min="1026" max="1026" width="20.54296875" style="145" customWidth="1"/>
    <col min="1027" max="1027" width="10.81640625" style="145" bestFit="1" customWidth="1"/>
    <col min="1028" max="1028" width="22.7265625" style="145" customWidth="1"/>
    <col min="1029" max="1029" width="16.54296875" style="145" bestFit="1" customWidth="1"/>
    <col min="1030" max="1030" width="20.54296875" style="145" bestFit="1" customWidth="1"/>
    <col min="1031" max="1034" width="0" style="145" hidden="1" customWidth="1"/>
    <col min="1035" max="1035" width="14.54296875" style="145" customWidth="1"/>
    <col min="1036" max="1036" width="0" style="145" hidden="1" customWidth="1"/>
    <col min="1037" max="1037" width="14" style="145" bestFit="1" customWidth="1"/>
    <col min="1038" max="1038" width="19" style="145" customWidth="1"/>
    <col min="1039" max="1039" width="19.54296875" style="145" customWidth="1"/>
    <col min="1040" max="1040" width="3.26953125" style="145" customWidth="1"/>
    <col min="1041" max="1041" width="37.453125" style="145" customWidth="1"/>
    <col min="1042" max="1042" width="16.453125" style="145" bestFit="1" customWidth="1"/>
    <col min="1043" max="1043" width="4" style="145" bestFit="1" customWidth="1"/>
    <col min="1044" max="1044" width="6.1796875" style="145" bestFit="1" customWidth="1"/>
    <col min="1045" max="1045" width="4.1796875" style="145" bestFit="1" customWidth="1"/>
    <col min="1046" max="1046" width="8.26953125" style="145" bestFit="1" customWidth="1"/>
    <col min="1047" max="1280" width="9.1796875" style="145"/>
    <col min="1281" max="1281" width="23.1796875" style="145" bestFit="1" customWidth="1"/>
    <col min="1282" max="1282" width="20.54296875" style="145" customWidth="1"/>
    <col min="1283" max="1283" width="10.81640625" style="145" bestFit="1" customWidth="1"/>
    <col min="1284" max="1284" width="22.7265625" style="145" customWidth="1"/>
    <col min="1285" max="1285" width="16.54296875" style="145" bestFit="1" customWidth="1"/>
    <col min="1286" max="1286" width="20.54296875" style="145" bestFit="1" customWidth="1"/>
    <col min="1287" max="1290" width="0" style="145" hidden="1" customWidth="1"/>
    <col min="1291" max="1291" width="14.54296875" style="145" customWidth="1"/>
    <col min="1292" max="1292" width="0" style="145" hidden="1" customWidth="1"/>
    <col min="1293" max="1293" width="14" style="145" bestFit="1" customWidth="1"/>
    <col min="1294" max="1294" width="19" style="145" customWidth="1"/>
    <col min="1295" max="1295" width="19.54296875" style="145" customWidth="1"/>
    <col min="1296" max="1296" width="3.26953125" style="145" customWidth="1"/>
    <col min="1297" max="1297" width="37.453125" style="145" customWidth="1"/>
    <col min="1298" max="1298" width="16.453125" style="145" bestFit="1" customWidth="1"/>
    <col min="1299" max="1299" width="4" style="145" bestFit="1" customWidth="1"/>
    <col min="1300" max="1300" width="6.1796875" style="145" bestFit="1" customWidth="1"/>
    <col min="1301" max="1301" width="4.1796875" style="145" bestFit="1" customWidth="1"/>
    <col min="1302" max="1302" width="8.26953125" style="145" bestFit="1" customWidth="1"/>
    <col min="1303" max="1536" width="9.1796875" style="145"/>
    <col min="1537" max="1537" width="23.1796875" style="145" bestFit="1" customWidth="1"/>
    <col min="1538" max="1538" width="20.54296875" style="145" customWidth="1"/>
    <col min="1539" max="1539" width="10.81640625" style="145" bestFit="1" customWidth="1"/>
    <col min="1540" max="1540" width="22.7265625" style="145" customWidth="1"/>
    <col min="1541" max="1541" width="16.54296875" style="145" bestFit="1" customWidth="1"/>
    <col min="1542" max="1542" width="20.54296875" style="145" bestFit="1" customWidth="1"/>
    <col min="1543" max="1546" width="0" style="145" hidden="1" customWidth="1"/>
    <col min="1547" max="1547" width="14.54296875" style="145" customWidth="1"/>
    <col min="1548" max="1548" width="0" style="145" hidden="1" customWidth="1"/>
    <col min="1549" max="1549" width="14" style="145" bestFit="1" customWidth="1"/>
    <col min="1550" max="1550" width="19" style="145" customWidth="1"/>
    <col min="1551" max="1551" width="19.54296875" style="145" customWidth="1"/>
    <col min="1552" max="1552" width="3.26953125" style="145" customWidth="1"/>
    <col min="1553" max="1553" width="37.453125" style="145" customWidth="1"/>
    <col min="1554" max="1554" width="16.453125" style="145" bestFit="1" customWidth="1"/>
    <col min="1555" max="1555" width="4" style="145" bestFit="1" customWidth="1"/>
    <col min="1556" max="1556" width="6.1796875" style="145" bestFit="1" customWidth="1"/>
    <col min="1557" max="1557" width="4.1796875" style="145" bestFit="1" customWidth="1"/>
    <col min="1558" max="1558" width="8.26953125" style="145" bestFit="1" customWidth="1"/>
    <col min="1559" max="1792" width="9.1796875" style="145"/>
    <col min="1793" max="1793" width="23.1796875" style="145" bestFit="1" customWidth="1"/>
    <col min="1794" max="1794" width="20.54296875" style="145" customWidth="1"/>
    <col min="1795" max="1795" width="10.81640625" style="145" bestFit="1" customWidth="1"/>
    <col min="1796" max="1796" width="22.7265625" style="145" customWidth="1"/>
    <col min="1797" max="1797" width="16.54296875" style="145" bestFit="1" customWidth="1"/>
    <col min="1798" max="1798" width="20.54296875" style="145" bestFit="1" customWidth="1"/>
    <col min="1799" max="1802" width="0" style="145" hidden="1" customWidth="1"/>
    <col min="1803" max="1803" width="14.54296875" style="145" customWidth="1"/>
    <col min="1804" max="1804" width="0" style="145" hidden="1" customWidth="1"/>
    <col min="1805" max="1805" width="14" style="145" bestFit="1" customWidth="1"/>
    <col min="1806" max="1806" width="19" style="145" customWidth="1"/>
    <col min="1807" max="1807" width="19.54296875" style="145" customWidth="1"/>
    <col min="1808" max="1808" width="3.26953125" style="145" customWidth="1"/>
    <col min="1809" max="1809" width="37.453125" style="145" customWidth="1"/>
    <col min="1810" max="1810" width="16.453125" style="145" bestFit="1" customWidth="1"/>
    <col min="1811" max="1811" width="4" style="145" bestFit="1" customWidth="1"/>
    <col min="1812" max="1812" width="6.1796875" style="145" bestFit="1" customWidth="1"/>
    <col min="1813" max="1813" width="4.1796875" style="145" bestFit="1" customWidth="1"/>
    <col min="1814" max="1814" width="8.26953125" style="145" bestFit="1" customWidth="1"/>
    <col min="1815" max="2048" width="9.1796875" style="145"/>
    <col min="2049" max="2049" width="23.1796875" style="145" bestFit="1" customWidth="1"/>
    <col min="2050" max="2050" width="20.54296875" style="145" customWidth="1"/>
    <col min="2051" max="2051" width="10.81640625" style="145" bestFit="1" customWidth="1"/>
    <col min="2052" max="2052" width="22.7265625" style="145" customWidth="1"/>
    <col min="2053" max="2053" width="16.54296875" style="145" bestFit="1" customWidth="1"/>
    <col min="2054" max="2054" width="20.54296875" style="145" bestFit="1" customWidth="1"/>
    <col min="2055" max="2058" width="0" style="145" hidden="1" customWidth="1"/>
    <col min="2059" max="2059" width="14.54296875" style="145" customWidth="1"/>
    <col min="2060" max="2060" width="0" style="145" hidden="1" customWidth="1"/>
    <col min="2061" max="2061" width="14" style="145" bestFit="1" customWidth="1"/>
    <col min="2062" max="2062" width="19" style="145" customWidth="1"/>
    <col min="2063" max="2063" width="19.54296875" style="145" customWidth="1"/>
    <col min="2064" max="2064" width="3.26953125" style="145" customWidth="1"/>
    <col min="2065" max="2065" width="37.453125" style="145" customWidth="1"/>
    <col min="2066" max="2066" width="16.453125" style="145" bestFit="1" customWidth="1"/>
    <col min="2067" max="2067" width="4" style="145" bestFit="1" customWidth="1"/>
    <col min="2068" max="2068" width="6.1796875" style="145" bestFit="1" customWidth="1"/>
    <col min="2069" max="2069" width="4.1796875" style="145" bestFit="1" customWidth="1"/>
    <col min="2070" max="2070" width="8.26953125" style="145" bestFit="1" customWidth="1"/>
    <col min="2071" max="2304" width="9.1796875" style="145"/>
    <col min="2305" max="2305" width="23.1796875" style="145" bestFit="1" customWidth="1"/>
    <col min="2306" max="2306" width="20.54296875" style="145" customWidth="1"/>
    <col min="2307" max="2307" width="10.81640625" style="145" bestFit="1" customWidth="1"/>
    <col min="2308" max="2308" width="22.7265625" style="145" customWidth="1"/>
    <col min="2309" max="2309" width="16.54296875" style="145" bestFit="1" customWidth="1"/>
    <col min="2310" max="2310" width="20.54296875" style="145" bestFit="1" customWidth="1"/>
    <col min="2311" max="2314" width="0" style="145" hidden="1" customWidth="1"/>
    <col min="2315" max="2315" width="14.54296875" style="145" customWidth="1"/>
    <col min="2316" max="2316" width="0" style="145" hidden="1" customWidth="1"/>
    <col min="2317" max="2317" width="14" style="145" bestFit="1" customWidth="1"/>
    <col min="2318" max="2318" width="19" style="145" customWidth="1"/>
    <col min="2319" max="2319" width="19.54296875" style="145" customWidth="1"/>
    <col min="2320" max="2320" width="3.26953125" style="145" customWidth="1"/>
    <col min="2321" max="2321" width="37.453125" style="145" customWidth="1"/>
    <col min="2322" max="2322" width="16.453125" style="145" bestFit="1" customWidth="1"/>
    <col min="2323" max="2323" width="4" style="145" bestFit="1" customWidth="1"/>
    <col min="2324" max="2324" width="6.1796875" style="145" bestFit="1" customWidth="1"/>
    <col min="2325" max="2325" width="4.1796875" style="145" bestFit="1" customWidth="1"/>
    <col min="2326" max="2326" width="8.26953125" style="145" bestFit="1" customWidth="1"/>
    <col min="2327" max="2560" width="9.1796875" style="145"/>
    <col min="2561" max="2561" width="23.1796875" style="145" bestFit="1" customWidth="1"/>
    <col min="2562" max="2562" width="20.54296875" style="145" customWidth="1"/>
    <col min="2563" max="2563" width="10.81640625" style="145" bestFit="1" customWidth="1"/>
    <col min="2564" max="2564" width="22.7265625" style="145" customWidth="1"/>
    <col min="2565" max="2565" width="16.54296875" style="145" bestFit="1" customWidth="1"/>
    <col min="2566" max="2566" width="20.54296875" style="145" bestFit="1" customWidth="1"/>
    <col min="2567" max="2570" width="0" style="145" hidden="1" customWidth="1"/>
    <col min="2571" max="2571" width="14.54296875" style="145" customWidth="1"/>
    <col min="2572" max="2572" width="0" style="145" hidden="1" customWidth="1"/>
    <col min="2573" max="2573" width="14" style="145" bestFit="1" customWidth="1"/>
    <col min="2574" max="2574" width="19" style="145" customWidth="1"/>
    <col min="2575" max="2575" width="19.54296875" style="145" customWidth="1"/>
    <col min="2576" max="2576" width="3.26953125" style="145" customWidth="1"/>
    <col min="2577" max="2577" width="37.453125" style="145" customWidth="1"/>
    <col min="2578" max="2578" width="16.453125" style="145" bestFit="1" customWidth="1"/>
    <col min="2579" max="2579" width="4" style="145" bestFit="1" customWidth="1"/>
    <col min="2580" max="2580" width="6.1796875" style="145" bestFit="1" customWidth="1"/>
    <col min="2581" max="2581" width="4.1796875" style="145" bestFit="1" customWidth="1"/>
    <col min="2582" max="2582" width="8.26953125" style="145" bestFit="1" customWidth="1"/>
    <col min="2583" max="2816" width="9.1796875" style="145"/>
    <col min="2817" max="2817" width="23.1796875" style="145" bestFit="1" customWidth="1"/>
    <col min="2818" max="2818" width="20.54296875" style="145" customWidth="1"/>
    <col min="2819" max="2819" width="10.81640625" style="145" bestFit="1" customWidth="1"/>
    <col min="2820" max="2820" width="22.7265625" style="145" customWidth="1"/>
    <col min="2821" max="2821" width="16.54296875" style="145" bestFit="1" customWidth="1"/>
    <col min="2822" max="2822" width="20.54296875" style="145" bestFit="1" customWidth="1"/>
    <col min="2823" max="2826" width="0" style="145" hidden="1" customWidth="1"/>
    <col min="2827" max="2827" width="14.54296875" style="145" customWidth="1"/>
    <col min="2828" max="2828" width="0" style="145" hidden="1" customWidth="1"/>
    <col min="2829" max="2829" width="14" style="145" bestFit="1" customWidth="1"/>
    <col min="2830" max="2830" width="19" style="145" customWidth="1"/>
    <col min="2831" max="2831" width="19.54296875" style="145" customWidth="1"/>
    <col min="2832" max="2832" width="3.26953125" style="145" customWidth="1"/>
    <col min="2833" max="2833" width="37.453125" style="145" customWidth="1"/>
    <col min="2834" max="2834" width="16.453125" style="145" bestFit="1" customWidth="1"/>
    <col min="2835" max="2835" width="4" style="145" bestFit="1" customWidth="1"/>
    <col min="2836" max="2836" width="6.1796875" style="145" bestFit="1" customWidth="1"/>
    <col min="2837" max="2837" width="4.1796875" style="145" bestFit="1" customWidth="1"/>
    <col min="2838" max="2838" width="8.26953125" style="145" bestFit="1" customWidth="1"/>
    <col min="2839" max="3072" width="9.1796875" style="145"/>
    <col min="3073" max="3073" width="23.1796875" style="145" bestFit="1" customWidth="1"/>
    <col min="3074" max="3074" width="20.54296875" style="145" customWidth="1"/>
    <col min="3075" max="3075" width="10.81640625" style="145" bestFit="1" customWidth="1"/>
    <col min="3076" max="3076" width="22.7265625" style="145" customWidth="1"/>
    <col min="3077" max="3077" width="16.54296875" style="145" bestFit="1" customWidth="1"/>
    <col min="3078" max="3078" width="20.54296875" style="145" bestFit="1" customWidth="1"/>
    <col min="3079" max="3082" width="0" style="145" hidden="1" customWidth="1"/>
    <col min="3083" max="3083" width="14.54296875" style="145" customWidth="1"/>
    <col min="3084" max="3084" width="0" style="145" hidden="1" customWidth="1"/>
    <col min="3085" max="3085" width="14" style="145" bestFit="1" customWidth="1"/>
    <col min="3086" max="3086" width="19" style="145" customWidth="1"/>
    <col min="3087" max="3087" width="19.54296875" style="145" customWidth="1"/>
    <col min="3088" max="3088" width="3.26953125" style="145" customWidth="1"/>
    <col min="3089" max="3089" width="37.453125" style="145" customWidth="1"/>
    <col min="3090" max="3090" width="16.453125" style="145" bestFit="1" customWidth="1"/>
    <col min="3091" max="3091" width="4" style="145" bestFit="1" customWidth="1"/>
    <col min="3092" max="3092" width="6.1796875" style="145" bestFit="1" customWidth="1"/>
    <col min="3093" max="3093" width="4.1796875" style="145" bestFit="1" customWidth="1"/>
    <col min="3094" max="3094" width="8.26953125" style="145" bestFit="1" customWidth="1"/>
    <col min="3095" max="3328" width="9.1796875" style="145"/>
    <col min="3329" max="3329" width="23.1796875" style="145" bestFit="1" customWidth="1"/>
    <col min="3330" max="3330" width="20.54296875" style="145" customWidth="1"/>
    <col min="3331" max="3331" width="10.81640625" style="145" bestFit="1" customWidth="1"/>
    <col min="3332" max="3332" width="22.7265625" style="145" customWidth="1"/>
    <col min="3333" max="3333" width="16.54296875" style="145" bestFit="1" customWidth="1"/>
    <col min="3334" max="3334" width="20.54296875" style="145" bestFit="1" customWidth="1"/>
    <col min="3335" max="3338" width="0" style="145" hidden="1" customWidth="1"/>
    <col min="3339" max="3339" width="14.54296875" style="145" customWidth="1"/>
    <col min="3340" max="3340" width="0" style="145" hidden="1" customWidth="1"/>
    <col min="3341" max="3341" width="14" style="145" bestFit="1" customWidth="1"/>
    <col min="3342" max="3342" width="19" style="145" customWidth="1"/>
    <col min="3343" max="3343" width="19.54296875" style="145" customWidth="1"/>
    <col min="3344" max="3344" width="3.26953125" style="145" customWidth="1"/>
    <col min="3345" max="3345" width="37.453125" style="145" customWidth="1"/>
    <col min="3346" max="3346" width="16.453125" style="145" bestFit="1" customWidth="1"/>
    <col min="3347" max="3347" width="4" style="145" bestFit="1" customWidth="1"/>
    <col min="3348" max="3348" width="6.1796875" style="145" bestFit="1" customWidth="1"/>
    <col min="3349" max="3349" width="4.1796875" style="145" bestFit="1" customWidth="1"/>
    <col min="3350" max="3350" width="8.26953125" style="145" bestFit="1" customWidth="1"/>
    <col min="3351" max="3584" width="9.1796875" style="145"/>
    <col min="3585" max="3585" width="23.1796875" style="145" bestFit="1" customWidth="1"/>
    <col min="3586" max="3586" width="20.54296875" style="145" customWidth="1"/>
    <col min="3587" max="3587" width="10.81640625" style="145" bestFit="1" customWidth="1"/>
    <col min="3588" max="3588" width="22.7265625" style="145" customWidth="1"/>
    <col min="3589" max="3589" width="16.54296875" style="145" bestFit="1" customWidth="1"/>
    <col min="3590" max="3590" width="20.54296875" style="145" bestFit="1" customWidth="1"/>
    <col min="3591" max="3594" width="0" style="145" hidden="1" customWidth="1"/>
    <col min="3595" max="3595" width="14.54296875" style="145" customWidth="1"/>
    <col min="3596" max="3596" width="0" style="145" hidden="1" customWidth="1"/>
    <col min="3597" max="3597" width="14" style="145" bestFit="1" customWidth="1"/>
    <col min="3598" max="3598" width="19" style="145" customWidth="1"/>
    <col min="3599" max="3599" width="19.54296875" style="145" customWidth="1"/>
    <col min="3600" max="3600" width="3.26953125" style="145" customWidth="1"/>
    <col min="3601" max="3601" width="37.453125" style="145" customWidth="1"/>
    <col min="3602" max="3602" width="16.453125" style="145" bestFit="1" customWidth="1"/>
    <col min="3603" max="3603" width="4" style="145" bestFit="1" customWidth="1"/>
    <col min="3604" max="3604" width="6.1796875" style="145" bestFit="1" customWidth="1"/>
    <col min="3605" max="3605" width="4.1796875" style="145" bestFit="1" customWidth="1"/>
    <col min="3606" max="3606" width="8.26953125" style="145" bestFit="1" customWidth="1"/>
    <col min="3607" max="3840" width="9.1796875" style="145"/>
    <col min="3841" max="3841" width="23.1796875" style="145" bestFit="1" customWidth="1"/>
    <col min="3842" max="3842" width="20.54296875" style="145" customWidth="1"/>
    <col min="3843" max="3843" width="10.81640625" style="145" bestFit="1" customWidth="1"/>
    <col min="3844" max="3844" width="22.7265625" style="145" customWidth="1"/>
    <col min="3845" max="3845" width="16.54296875" style="145" bestFit="1" customWidth="1"/>
    <col min="3846" max="3846" width="20.54296875" style="145" bestFit="1" customWidth="1"/>
    <col min="3847" max="3850" width="0" style="145" hidden="1" customWidth="1"/>
    <col min="3851" max="3851" width="14.54296875" style="145" customWidth="1"/>
    <col min="3852" max="3852" width="0" style="145" hidden="1" customWidth="1"/>
    <col min="3853" max="3853" width="14" style="145" bestFit="1" customWidth="1"/>
    <col min="3854" max="3854" width="19" style="145" customWidth="1"/>
    <col min="3855" max="3855" width="19.54296875" style="145" customWidth="1"/>
    <col min="3856" max="3856" width="3.26953125" style="145" customWidth="1"/>
    <col min="3857" max="3857" width="37.453125" style="145" customWidth="1"/>
    <col min="3858" max="3858" width="16.453125" style="145" bestFit="1" customWidth="1"/>
    <col min="3859" max="3859" width="4" style="145" bestFit="1" customWidth="1"/>
    <col min="3860" max="3860" width="6.1796875" style="145" bestFit="1" customWidth="1"/>
    <col min="3861" max="3861" width="4.1796875" style="145" bestFit="1" customWidth="1"/>
    <col min="3862" max="3862" width="8.26953125" style="145" bestFit="1" customWidth="1"/>
    <col min="3863" max="4096" width="9.1796875" style="145"/>
    <col min="4097" max="4097" width="23.1796875" style="145" bestFit="1" customWidth="1"/>
    <col min="4098" max="4098" width="20.54296875" style="145" customWidth="1"/>
    <col min="4099" max="4099" width="10.81640625" style="145" bestFit="1" customWidth="1"/>
    <col min="4100" max="4100" width="22.7265625" style="145" customWidth="1"/>
    <col min="4101" max="4101" width="16.54296875" style="145" bestFit="1" customWidth="1"/>
    <col min="4102" max="4102" width="20.54296875" style="145" bestFit="1" customWidth="1"/>
    <col min="4103" max="4106" width="0" style="145" hidden="1" customWidth="1"/>
    <col min="4107" max="4107" width="14.54296875" style="145" customWidth="1"/>
    <col min="4108" max="4108" width="0" style="145" hidden="1" customWidth="1"/>
    <col min="4109" max="4109" width="14" style="145" bestFit="1" customWidth="1"/>
    <col min="4110" max="4110" width="19" style="145" customWidth="1"/>
    <col min="4111" max="4111" width="19.54296875" style="145" customWidth="1"/>
    <col min="4112" max="4112" width="3.26953125" style="145" customWidth="1"/>
    <col min="4113" max="4113" width="37.453125" style="145" customWidth="1"/>
    <col min="4114" max="4114" width="16.453125" style="145" bestFit="1" customWidth="1"/>
    <col min="4115" max="4115" width="4" style="145" bestFit="1" customWidth="1"/>
    <col min="4116" max="4116" width="6.1796875" style="145" bestFit="1" customWidth="1"/>
    <col min="4117" max="4117" width="4.1796875" style="145" bestFit="1" customWidth="1"/>
    <col min="4118" max="4118" width="8.26953125" style="145" bestFit="1" customWidth="1"/>
    <col min="4119" max="4352" width="9.1796875" style="145"/>
    <col min="4353" max="4353" width="23.1796875" style="145" bestFit="1" customWidth="1"/>
    <col min="4354" max="4354" width="20.54296875" style="145" customWidth="1"/>
    <col min="4355" max="4355" width="10.81640625" style="145" bestFit="1" customWidth="1"/>
    <col min="4356" max="4356" width="22.7265625" style="145" customWidth="1"/>
    <col min="4357" max="4357" width="16.54296875" style="145" bestFit="1" customWidth="1"/>
    <col min="4358" max="4358" width="20.54296875" style="145" bestFit="1" customWidth="1"/>
    <col min="4359" max="4362" width="0" style="145" hidden="1" customWidth="1"/>
    <col min="4363" max="4363" width="14.54296875" style="145" customWidth="1"/>
    <col min="4364" max="4364" width="0" style="145" hidden="1" customWidth="1"/>
    <col min="4365" max="4365" width="14" style="145" bestFit="1" customWidth="1"/>
    <col min="4366" max="4366" width="19" style="145" customWidth="1"/>
    <col min="4367" max="4367" width="19.54296875" style="145" customWidth="1"/>
    <col min="4368" max="4368" width="3.26953125" style="145" customWidth="1"/>
    <col min="4369" max="4369" width="37.453125" style="145" customWidth="1"/>
    <col min="4370" max="4370" width="16.453125" style="145" bestFit="1" customWidth="1"/>
    <col min="4371" max="4371" width="4" style="145" bestFit="1" customWidth="1"/>
    <col min="4372" max="4372" width="6.1796875" style="145" bestFit="1" customWidth="1"/>
    <col min="4373" max="4373" width="4.1796875" style="145" bestFit="1" customWidth="1"/>
    <col min="4374" max="4374" width="8.26953125" style="145" bestFit="1" customWidth="1"/>
    <col min="4375" max="4608" width="9.1796875" style="145"/>
    <col min="4609" max="4609" width="23.1796875" style="145" bestFit="1" customWidth="1"/>
    <col min="4610" max="4610" width="20.54296875" style="145" customWidth="1"/>
    <col min="4611" max="4611" width="10.81640625" style="145" bestFit="1" customWidth="1"/>
    <col min="4612" max="4612" width="22.7265625" style="145" customWidth="1"/>
    <col min="4613" max="4613" width="16.54296875" style="145" bestFit="1" customWidth="1"/>
    <col min="4614" max="4614" width="20.54296875" style="145" bestFit="1" customWidth="1"/>
    <col min="4615" max="4618" width="0" style="145" hidden="1" customWidth="1"/>
    <col min="4619" max="4619" width="14.54296875" style="145" customWidth="1"/>
    <col min="4620" max="4620" width="0" style="145" hidden="1" customWidth="1"/>
    <col min="4621" max="4621" width="14" style="145" bestFit="1" customWidth="1"/>
    <col min="4622" max="4622" width="19" style="145" customWidth="1"/>
    <col min="4623" max="4623" width="19.54296875" style="145" customWidth="1"/>
    <col min="4624" max="4624" width="3.26953125" style="145" customWidth="1"/>
    <col min="4625" max="4625" width="37.453125" style="145" customWidth="1"/>
    <col min="4626" max="4626" width="16.453125" style="145" bestFit="1" customWidth="1"/>
    <col min="4627" max="4627" width="4" style="145" bestFit="1" customWidth="1"/>
    <col min="4628" max="4628" width="6.1796875" style="145" bestFit="1" customWidth="1"/>
    <col min="4629" max="4629" width="4.1796875" style="145" bestFit="1" customWidth="1"/>
    <col min="4630" max="4630" width="8.26953125" style="145" bestFit="1" customWidth="1"/>
    <col min="4631" max="4864" width="9.1796875" style="145"/>
    <col min="4865" max="4865" width="23.1796875" style="145" bestFit="1" customWidth="1"/>
    <col min="4866" max="4866" width="20.54296875" style="145" customWidth="1"/>
    <col min="4867" max="4867" width="10.81640625" style="145" bestFit="1" customWidth="1"/>
    <col min="4868" max="4868" width="22.7265625" style="145" customWidth="1"/>
    <col min="4869" max="4869" width="16.54296875" style="145" bestFit="1" customWidth="1"/>
    <col min="4870" max="4870" width="20.54296875" style="145" bestFit="1" customWidth="1"/>
    <col min="4871" max="4874" width="0" style="145" hidden="1" customWidth="1"/>
    <col min="4875" max="4875" width="14.54296875" style="145" customWidth="1"/>
    <col min="4876" max="4876" width="0" style="145" hidden="1" customWidth="1"/>
    <col min="4877" max="4877" width="14" style="145" bestFit="1" customWidth="1"/>
    <col min="4878" max="4878" width="19" style="145" customWidth="1"/>
    <col min="4879" max="4879" width="19.54296875" style="145" customWidth="1"/>
    <col min="4880" max="4880" width="3.26953125" style="145" customWidth="1"/>
    <col min="4881" max="4881" width="37.453125" style="145" customWidth="1"/>
    <col min="4882" max="4882" width="16.453125" style="145" bestFit="1" customWidth="1"/>
    <col min="4883" max="4883" width="4" style="145" bestFit="1" customWidth="1"/>
    <col min="4884" max="4884" width="6.1796875" style="145" bestFit="1" customWidth="1"/>
    <col min="4885" max="4885" width="4.1796875" style="145" bestFit="1" customWidth="1"/>
    <col min="4886" max="4886" width="8.26953125" style="145" bestFit="1" customWidth="1"/>
    <col min="4887" max="5120" width="9.1796875" style="145"/>
    <col min="5121" max="5121" width="23.1796875" style="145" bestFit="1" customWidth="1"/>
    <col min="5122" max="5122" width="20.54296875" style="145" customWidth="1"/>
    <col min="5123" max="5123" width="10.81640625" style="145" bestFit="1" customWidth="1"/>
    <col min="5124" max="5124" width="22.7265625" style="145" customWidth="1"/>
    <col min="5125" max="5125" width="16.54296875" style="145" bestFit="1" customWidth="1"/>
    <col min="5126" max="5126" width="20.54296875" style="145" bestFit="1" customWidth="1"/>
    <col min="5127" max="5130" width="0" style="145" hidden="1" customWidth="1"/>
    <col min="5131" max="5131" width="14.54296875" style="145" customWidth="1"/>
    <col min="5132" max="5132" width="0" style="145" hidden="1" customWidth="1"/>
    <col min="5133" max="5133" width="14" style="145" bestFit="1" customWidth="1"/>
    <col min="5134" max="5134" width="19" style="145" customWidth="1"/>
    <col min="5135" max="5135" width="19.54296875" style="145" customWidth="1"/>
    <col min="5136" max="5136" width="3.26953125" style="145" customWidth="1"/>
    <col min="5137" max="5137" width="37.453125" style="145" customWidth="1"/>
    <col min="5138" max="5138" width="16.453125" style="145" bestFit="1" customWidth="1"/>
    <col min="5139" max="5139" width="4" style="145" bestFit="1" customWidth="1"/>
    <col min="5140" max="5140" width="6.1796875" style="145" bestFit="1" customWidth="1"/>
    <col min="5141" max="5141" width="4.1796875" style="145" bestFit="1" customWidth="1"/>
    <col min="5142" max="5142" width="8.26953125" style="145" bestFit="1" customWidth="1"/>
    <col min="5143" max="5376" width="9.1796875" style="145"/>
    <col min="5377" max="5377" width="23.1796875" style="145" bestFit="1" customWidth="1"/>
    <col min="5378" max="5378" width="20.54296875" style="145" customWidth="1"/>
    <col min="5379" max="5379" width="10.81640625" style="145" bestFit="1" customWidth="1"/>
    <col min="5380" max="5380" width="22.7265625" style="145" customWidth="1"/>
    <col min="5381" max="5381" width="16.54296875" style="145" bestFit="1" customWidth="1"/>
    <col min="5382" max="5382" width="20.54296875" style="145" bestFit="1" customWidth="1"/>
    <col min="5383" max="5386" width="0" style="145" hidden="1" customWidth="1"/>
    <col min="5387" max="5387" width="14.54296875" style="145" customWidth="1"/>
    <col min="5388" max="5388" width="0" style="145" hidden="1" customWidth="1"/>
    <col min="5389" max="5389" width="14" style="145" bestFit="1" customWidth="1"/>
    <col min="5390" max="5390" width="19" style="145" customWidth="1"/>
    <col min="5391" max="5391" width="19.54296875" style="145" customWidth="1"/>
    <col min="5392" max="5392" width="3.26953125" style="145" customWidth="1"/>
    <col min="5393" max="5393" width="37.453125" style="145" customWidth="1"/>
    <col min="5394" max="5394" width="16.453125" style="145" bestFit="1" customWidth="1"/>
    <col min="5395" max="5395" width="4" style="145" bestFit="1" customWidth="1"/>
    <col min="5396" max="5396" width="6.1796875" style="145" bestFit="1" customWidth="1"/>
    <col min="5397" max="5397" width="4.1796875" style="145" bestFit="1" customWidth="1"/>
    <col min="5398" max="5398" width="8.26953125" style="145" bestFit="1" customWidth="1"/>
    <col min="5399" max="5632" width="9.1796875" style="145"/>
    <col min="5633" max="5633" width="23.1796875" style="145" bestFit="1" customWidth="1"/>
    <col min="5634" max="5634" width="20.54296875" style="145" customWidth="1"/>
    <col min="5635" max="5635" width="10.81640625" style="145" bestFit="1" customWidth="1"/>
    <col min="5636" max="5636" width="22.7265625" style="145" customWidth="1"/>
    <col min="5637" max="5637" width="16.54296875" style="145" bestFit="1" customWidth="1"/>
    <col min="5638" max="5638" width="20.54296875" style="145" bestFit="1" customWidth="1"/>
    <col min="5639" max="5642" width="0" style="145" hidden="1" customWidth="1"/>
    <col min="5643" max="5643" width="14.54296875" style="145" customWidth="1"/>
    <col min="5644" max="5644" width="0" style="145" hidden="1" customWidth="1"/>
    <col min="5645" max="5645" width="14" style="145" bestFit="1" customWidth="1"/>
    <col min="5646" max="5646" width="19" style="145" customWidth="1"/>
    <col min="5647" max="5647" width="19.54296875" style="145" customWidth="1"/>
    <col min="5648" max="5648" width="3.26953125" style="145" customWidth="1"/>
    <col min="5649" max="5649" width="37.453125" style="145" customWidth="1"/>
    <col min="5650" max="5650" width="16.453125" style="145" bestFit="1" customWidth="1"/>
    <col min="5651" max="5651" width="4" style="145" bestFit="1" customWidth="1"/>
    <col min="5652" max="5652" width="6.1796875" style="145" bestFit="1" customWidth="1"/>
    <col min="5653" max="5653" width="4.1796875" style="145" bestFit="1" customWidth="1"/>
    <col min="5654" max="5654" width="8.26953125" style="145" bestFit="1" customWidth="1"/>
    <col min="5655" max="5888" width="9.1796875" style="145"/>
    <col min="5889" max="5889" width="23.1796875" style="145" bestFit="1" customWidth="1"/>
    <col min="5890" max="5890" width="20.54296875" style="145" customWidth="1"/>
    <col min="5891" max="5891" width="10.81640625" style="145" bestFit="1" customWidth="1"/>
    <col min="5892" max="5892" width="22.7265625" style="145" customWidth="1"/>
    <col min="5893" max="5893" width="16.54296875" style="145" bestFit="1" customWidth="1"/>
    <col min="5894" max="5894" width="20.54296875" style="145" bestFit="1" customWidth="1"/>
    <col min="5895" max="5898" width="0" style="145" hidden="1" customWidth="1"/>
    <col min="5899" max="5899" width="14.54296875" style="145" customWidth="1"/>
    <col min="5900" max="5900" width="0" style="145" hidden="1" customWidth="1"/>
    <col min="5901" max="5901" width="14" style="145" bestFit="1" customWidth="1"/>
    <col min="5902" max="5902" width="19" style="145" customWidth="1"/>
    <col min="5903" max="5903" width="19.54296875" style="145" customWidth="1"/>
    <col min="5904" max="5904" width="3.26953125" style="145" customWidth="1"/>
    <col min="5905" max="5905" width="37.453125" style="145" customWidth="1"/>
    <col min="5906" max="5906" width="16.453125" style="145" bestFit="1" customWidth="1"/>
    <col min="5907" max="5907" width="4" style="145" bestFit="1" customWidth="1"/>
    <col min="5908" max="5908" width="6.1796875" style="145" bestFit="1" customWidth="1"/>
    <col min="5909" max="5909" width="4.1796875" style="145" bestFit="1" customWidth="1"/>
    <col min="5910" max="5910" width="8.26953125" style="145" bestFit="1" customWidth="1"/>
    <col min="5911" max="6144" width="9.1796875" style="145"/>
    <col min="6145" max="6145" width="23.1796875" style="145" bestFit="1" customWidth="1"/>
    <col min="6146" max="6146" width="20.54296875" style="145" customWidth="1"/>
    <col min="6147" max="6147" width="10.81640625" style="145" bestFit="1" customWidth="1"/>
    <col min="6148" max="6148" width="22.7265625" style="145" customWidth="1"/>
    <col min="6149" max="6149" width="16.54296875" style="145" bestFit="1" customWidth="1"/>
    <col min="6150" max="6150" width="20.54296875" style="145" bestFit="1" customWidth="1"/>
    <col min="6151" max="6154" width="0" style="145" hidden="1" customWidth="1"/>
    <col min="6155" max="6155" width="14.54296875" style="145" customWidth="1"/>
    <col min="6156" max="6156" width="0" style="145" hidden="1" customWidth="1"/>
    <col min="6157" max="6157" width="14" style="145" bestFit="1" customWidth="1"/>
    <col min="6158" max="6158" width="19" style="145" customWidth="1"/>
    <col min="6159" max="6159" width="19.54296875" style="145" customWidth="1"/>
    <col min="6160" max="6160" width="3.26953125" style="145" customWidth="1"/>
    <col min="6161" max="6161" width="37.453125" style="145" customWidth="1"/>
    <col min="6162" max="6162" width="16.453125" style="145" bestFit="1" customWidth="1"/>
    <col min="6163" max="6163" width="4" style="145" bestFit="1" customWidth="1"/>
    <col min="6164" max="6164" width="6.1796875" style="145" bestFit="1" customWidth="1"/>
    <col min="6165" max="6165" width="4.1796875" style="145" bestFit="1" customWidth="1"/>
    <col min="6166" max="6166" width="8.26953125" style="145" bestFit="1" customWidth="1"/>
    <col min="6167" max="6400" width="9.1796875" style="145"/>
    <col min="6401" max="6401" width="23.1796875" style="145" bestFit="1" customWidth="1"/>
    <col min="6402" max="6402" width="20.54296875" style="145" customWidth="1"/>
    <col min="6403" max="6403" width="10.81640625" style="145" bestFit="1" customWidth="1"/>
    <col min="6404" max="6404" width="22.7265625" style="145" customWidth="1"/>
    <col min="6405" max="6405" width="16.54296875" style="145" bestFit="1" customWidth="1"/>
    <col min="6406" max="6406" width="20.54296875" style="145" bestFit="1" customWidth="1"/>
    <col min="6407" max="6410" width="0" style="145" hidden="1" customWidth="1"/>
    <col min="6411" max="6411" width="14.54296875" style="145" customWidth="1"/>
    <col min="6412" max="6412" width="0" style="145" hidden="1" customWidth="1"/>
    <col min="6413" max="6413" width="14" style="145" bestFit="1" customWidth="1"/>
    <col min="6414" max="6414" width="19" style="145" customWidth="1"/>
    <col min="6415" max="6415" width="19.54296875" style="145" customWidth="1"/>
    <col min="6416" max="6416" width="3.26953125" style="145" customWidth="1"/>
    <col min="6417" max="6417" width="37.453125" style="145" customWidth="1"/>
    <col min="6418" max="6418" width="16.453125" style="145" bestFit="1" customWidth="1"/>
    <col min="6419" max="6419" width="4" style="145" bestFit="1" customWidth="1"/>
    <col min="6420" max="6420" width="6.1796875" style="145" bestFit="1" customWidth="1"/>
    <col min="6421" max="6421" width="4.1796875" style="145" bestFit="1" customWidth="1"/>
    <col min="6422" max="6422" width="8.26953125" style="145" bestFit="1" customWidth="1"/>
    <col min="6423" max="6656" width="9.1796875" style="145"/>
    <col min="6657" max="6657" width="23.1796875" style="145" bestFit="1" customWidth="1"/>
    <col min="6658" max="6658" width="20.54296875" style="145" customWidth="1"/>
    <col min="6659" max="6659" width="10.81640625" style="145" bestFit="1" customWidth="1"/>
    <col min="6660" max="6660" width="22.7265625" style="145" customWidth="1"/>
    <col min="6661" max="6661" width="16.54296875" style="145" bestFit="1" customWidth="1"/>
    <col min="6662" max="6662" width="20.54296875" style="145" bestFit="1" customWidth="1"/>
    <col min="6663" max="6666" width="0" style="145" hidden="1" customWidth="1"/>
    <col min="6667" max="6667" width="14.54296875" style="145" customWidth="1"/>
    <col min="6668" max="6668" width="0" style="145" hidden="1" customWidth="1"/>
    <col min="6669" max="6669" width="14" style="145" bestFit="1" customWidth="1"/>
    <col min="6670" max="6670" width="19" style="145" customWidth="1"/>
    <col min="6671" max="6671" width="19.54296875" style="145" customWidth="1"/>
    <col min="6672" max="6672" width="3.26953125" style="145" customWidth="1"/>
    <col min="6673" max="6673" width="37.453125" style="145" customWidth="1"/>
    <col min="6674" max="6674" width="16.453125" style="145" bestFit="1" customWidth="1"/>
    <col min="6675" max="6675" width="4" style="145" bestFit="1" customWidth="1"/>
    <col min="6676" max="6676" width="6.1796875" style="145" bestFit="1" customWidth="1"/>
    <col min="6677" max="6677" width="4.1796875" style="145" bestFit="1" customWidth="1"/>
    <col min="6678" max="6678" width="8.26953125" style="145" bestFit="1" customWidth="1"/>
    <col min="6679" max="6912" width="9.1796875" style="145"/>
    <col min="6913" max="6913" width="23.1796875" style="145" bestFit="1" customWidth="1"/>
    <col min="6914" max="6914" width="20.54296875" style="145" customWidth="1"/>
    <col min="6915" max="6915" width="10.81640625" style="145" bestFit="1" customWidth="1"/>
    <col min="6916" max="6916" width="22.7265625" style="145" customWidth="1"/>
    <col min="6917" max="6917" width="16.54296875" style="145" bestFit="1" customWidth="1"/>
    <col min="6918" max="6918" width="20.54296875" style="145" bestFit="1" customWidth="1"/>
    <col min="6919" max="6922" width="0" style="145" hidden="1" customWidth="1"/>
    <col min="6923" max="6923" width="14.54296875" style="145" customWidth="1"/>
    <col min="6924" max="6924" width="0" style="145" hidden="1" customWidth="1"/>
    <col min="6925" max="6925" width="14" style="145" bestFit="1" customWidth="1"/>
    <col min="6926" max="6926" width="19" style="145" customWidth="1"/>
    <col min="6927" max="6927" width="19.54296875" style="145" customWidth="1"/>
    <col min="6928" max="6928" width="3.26953125" style="145" customWidth="1"/>
    <col min="6929" max="6929" width="37.453125" style="145" customWidth="1"/>
    <col min="6930" max="6930" width="16.453125" style="145" bestFit="1" customWidth="1"/>
    <col min="6931" max="6931" width="4" style="145" bestFit="1" customWidth="1"/>
    <col min="6932" max="6932" width="6.1796875" style="145" bestFit="1" customWidth="1"/>
    <col min="6933" max="6933" width="4.1796875" style="145" bestFit="1" customWidth="1"/>
    <col min="6934" max="6934" width="8.26953125" style="145" bestFit="1" customWidth="1"/>
    <col min="6935" max="7168" width="9.1796875" style="145"/>
    <col min="7169" max="7169" width="23.1796875" style="145" bestFit="1" customWidth="1"/>
    <col min="7170" max="7170" width="20.54296875" style="145" customWidth="1"/>
    <col min="7171" max="7171" width="10.81640625" style="145" bestFit="1" customWidth="1"/>
    <col min="7172" max="7172" width="22.7265625" style="145" customWidth="1"/>
    <col min="7173" max="7173" width="16.54296875" style="145" bestFit="1" customWidth="1"/>
    <col min="7174" max="7174" width="20.54296875" style="145" bestFit="1" customWidth="1"/>
    <col min="7175" max="7178" width="0" style="145" hidden="1" customWidth="1"/>
    <col min="7179" max="7179" width="14.54296875" style="145" customWidth="1"/>
    <col min="7180" max="7180" width="0" style="145" hidden="1" customWidth="1"/>
    <col min="7181" max="7181" width="14" style="145" bestFit="1" customWidth="1"/>
    <col min="7182" max="7182" width="19" style="145" customWidth="1"/>
    <col min="7183" max="7183" width="19.54296875" style="145" customWidth="1"/>
    <col min="7184" max="7184" width="3.26953125" style="145" customWidth="1"/>
    <col min="7185" max="7185" width="37.453125" style="145" customWidth="1"/>
    <col min="7186" max="7186" width="16.453125" style="145" bestFit="1" customWidth="1"/>
    <col min="7187" max="7187" width="4" style="145" bestFit="1" customWidth="1"/>
    <col min="7188" max="7188" width="6.1796875" style="145" bestFit="1" customWidth="1"/>
    <col min="7189" max="7189" width="4.1796875" style="145" bestFit="1" customWidth="1"/>
    <col min="7190" max="7190" width="8.26953125" style="145" bestFit="1" customWidth="1"/>
    <col min="7191" max="7424" width="9.1796875" style="145"/>
    <col min="7425" max="7425" width="23.1796875" style="145" bestFit="1" customWidth="1"/>
    <col min="7426" max="7426" width="20.54296875" style="145" customWidth="1"/>
    <col min="7427" max="7427" width="10.81640625" style="145" bestFit="1" customWidth="1"/>
    <col min="7428" max="7428" width="22.7265625" style="145" customWidth="1"/>
    <col min="7429" max="7429" width="16.54296875" style="145" bestFit="1" customWidth="1"/>
    <col min="7430" max="7430" width="20.54296875" style="145" bestFit="1" customWidth="1"/>
    <col min="7431" max="7434" width="0" style="145" hidden="1" customWidth="1"/>
    <col min="7435" max="7435" width="14.54296875" style="145" customWidth="1"/>
    <col min="7436" max="7436" width="0" style="145" hidden="1" customWidth="1"/>
    <col min="7437" max="7437" width="14" style="145" bestFit="1" customWidth="1"/>
    <col min="7438" max="7438" width="19" style="145" customWidth="1"/>
    <col min="7439" max="7439" width="19.54296875" style="145" customWidth="1"/>
    <col min="7440" max="7440" width="3.26953125" style="145" customWidth="1"/>
    <col min="7441" max="7441" width="37.453125" style="145" customWidth="1"/>
    <col min="7442" max="7442" width="16.453125" style="145" bestFit="1" customWidth="1"/>
    <col min="7443" max="7443" width="4" style="145" bestFit="1" customWidth="1"/>
    <col min="7444" max="7444" width="6.1796875" style="145" bestFit="1" customWidth="1"/>
    <col min="7445" max="7445" width="4.1796875" style="145" bestFit="1" customWidth="1"/>
    <col min="7446" max="7446" width="8.26953125" style="145" bestFit="1" customWidth="1"/>
    <col min="7447" max="7680" width="9.1796875" style="145"/>
    <col min="7681" max="7681" width="23.1796875" style="145" bestFit="1" customWidth="1"/>
    <col min="7682" max="7682" width="20.54296875" style="145" customWidth="1"/>
    <col min="7683" max="7683" width="10.81640625" style="145" bestFit="1" customWidth="1"/>
    <col min="7684" max="7684" width="22.7265625" style="145" customWidth="1"/>
    <col min="7685" max="7685" width="16.54296875" style="145" bestFit="1" customWidth="1"/>
    <col min="7686" max="7686" width="20.54296875" style="145" bestFit="1" customWidth="1"/>
    <col min="7687" max="7690" width="0" style="145" hidden="1" customWidth="1"/>
    <col min="7691" max="7691" width="14.54296875" style="145" customWidth="1"/>
    <col min="7692" max="7692" width="0" style="145" hidden="1" customWidth="1"/>
    <col min="7693" max="7693" width="14" style="145" bestFit="1" customWidth="1"/>
    <col min="7694" max="7694" width="19" style="145" customWidth="1"/>
    <col min="7695" max="7695" width="19.54296875" style="145" customWidth="1"/>
    <col min="7696" max="7696" width="3.26953125" style="145" customWidth="1"/>
    <col min="7697" max="7697" width="37.453125" style="145" customWidth="1"/>
    <col min="7698" max="7698" width="16.453125" style="145" bestFit="1" customWidth="1"/>
    <col min="7699" max="7699" width="4" style="145" bestFit="1" customWidth="1"/>
    <col min="7700" max="7700" width="6.1796875" style="145" bestFit="1" customWidth="1"/>
    <col min="7701" max="7701" width="4.1796875" style="145" bestFit="1" customWidth="1"/>
    <col min="7702" max="7702" width="8.26953125" style="145" bestFit="1" customWidth="1"/>
    <col min="7703" max="7936" width="9.1796875" style="145"/>
    <col min="7937" max="7937" width="23.1796875" style="145" bestFit="1" customWidth="1"/>
    <col min="7938" max="7938" width="20.54296875" style="145" customWidth="1"/>
    <col min="7939" max="7939" width="10.81640625" style="145" bestFit="1" customWidth="1"/>
    <col min="7940" max="7940" width="22.7265625" style="145" customWidth="1"/>
    <col min="7941" max="7941" width="16.54296875" style="145" bestFit="1" customWidth="1"/>
    <col min="7942" max="7942" width="20.54296875" style="145" bestFit="1" customWidth="1"/>
    <col min="7943" max="7946" width="0" style="145" hidden="1" customWidth="1"/>
    <col min="7947" max="7947" width="14.54296875" style="145" customWidth="1"/>
    <col min="7948" max="7948" width="0" style="145" hidden="1" customWidth="1"/>
    <col min="7949" max="7949" width="14" style="145" bestFit="1" customWidth="1"/>
    <col min="7950" max="7950" width="19" style="145" customWidth="1"/>
    <col min="7951" max="7951" width="19.54296875" style="145" customWidth="1"/>
    <col min="7952" max="7952" width="3.26953125" style="145" customWidth="1"/>
    <col min="7953" max="7953" width="37.453125" style="145" customWidth="1"/>
    <col min="7954" max="7954" width="16.453125" style="145" bestFit="1" customWidth="1"/>
    <col min="7955" max="7955" width="4" style="145" bestFit="1" customWidth="1"/>
    <col min="7956" max="7956" width="6.1796875" style="145" bestFit="1" customWidth="1"/>
    <col min="7957" max="7957" width="4.1796875" style="145" bestFit="1" customWidth="1"/>
    <col min="7958" max="7958" width="8.26953125" style="145" bestFit="1" customWidth="1"/>
    <col min="7959" max="8192" width="9.1796875" style="145"/>
    <col min="8193" max="8193" width="23.1796875" style="145" bestFit="1" customWidth="1"/>
    <col min="8194" max="8194" width="20.54296875" style="145" customWidth="1"/>
    <col min="8195" max="8195" width="10.81640625" style="145" bestFit="1" customWidth="1"/>
    <col min="8196" max="8196" width="22.7265625" style="145" customWidth="1"/>
    <col min="8197" max="8197" width="16.54296875" style="145" bestFit="1" customWidth="1"/>
    <col min="8198" max="8198" width="20.54296875" style="145" bestFit="1" customWidth="1"/>
    <col min="8199" max="8202" width="0" style="145" hidden="1" customWidth="1"/>
    <col min="8203" max="8203" width="14.54296875" style="145" customWidth="1"/>
    <col min="8204" max="8204" width="0" style="145" hidden="1" customWidth="1"/>
    <col min="8205" max="8205" width="14" style="145" bestFit="1" customWidth="1"/>
    <col min="8206" max="8206" width="19" style="145" customWidth="1"/>
    <col min="8207" max="8207" width="19.54296875" style="145" customWidth="1"/>
    <col min="8208" max="8208" width="3.26953125" style="145" customWidth="1"/>
    <col min="8209" max="8209" width="37.453125" style="145" customWidth="1"/>
    <col min="8210" max="8210" width="16.453125" style="145" bestFit="1" customWidth="1"/>
    <col min="8211" max="8211" width="4" style="145" bestFit="1" customWidth="1"/>
    <col min="8212" max="8212" width="6.1796875" style="145" bestFit="1" customWidth="1"/>
    <col min="8213" max="8213" width="4.1796875" style="145" bestFit="1" customWidth="1"/>
    <col min="8214" max="8214" width="8.26953125" style="145" bestFit="1" customWidth="1"/>
    <col min="8215" max="8448" width="9.1796875" style="145"/>
    <col min="8449" max="8449" width="23.1796875" style="145" bestFit="1" customWidth="1"/>
    <col min="8450" max="8450" width="20.54296875" style="145" customWidth="1"/>
    <col min="8451" max="8451" width="10.81640625" style="145" bestFit="1" customWidth="1"/>
    <col min="8452" max="8452" width="22.7265625" style="145" customWidth="1"/>
    <col min="8453" max="8453" width="16.54296875" style="145" bestFit="1" customWidth="1"/>
    <col min="8454" max="8454" width="20.54296875" style="145" bestFit="1" customWidth="1"/>
    <col min="8455" max="8458" width="0" style="145" hidden="1" customWidth="1"/>
    <col min="8459" max="8459" width="14.54296875" style="145" customWidth="1"/>
    <col min="8460" max="8460" width="0" style="145" hidden="1" customWidth="1"/>
    <col min="8461" max="8461" width="14" style="145" bestFit="1" customWidth="1"/>
    <col min="8462" max="8462" width="19" style="145" customWidth="1"/>
    <col min="8463" max="8463" width="19.54296875" style="145" customWidth="1"/>
    <col min="8464" max="8464" width="3.26953125" style="145" customWidth="1"/>
    <col min="8465" max="8465" width="37.453125" style="145" customWidth="1"/>
    <col min="8466" max="8466" width="16.453125" style="145" bestFit="1" customWidth="1"/>
    <col min="8467" max="8467" width="4" style="145" bestFit="1" customWidth="1"/>
    <col min="8468" max="8468" width="6.1796875" style="145" bestFit="1" customWidth="1"/>
    <col min="8469" max="8469" width="4.1796875" style="145" bestFit="1" customWidth="1"/>
    <col min="8470" max="8470" width="8.26953125" style="145" bestFit="1" customWidth="1"/>
    <col min="8471" max="8704" width="9.1796875" style="145"/>
    <col min="8705" max="8705" width="23.1796875" style="145" bestFit="1" customWidth="1"/>
    <col min="8706" max="8706" width="20.54296875" style="145" customWidth="1"/>
    <col min="8707" max="8707" width="10.81640625" style="145" bestFit="1" customWidth="1"/>
    <col min="8708" max="8708" width="22.7265625" style="145" customWidth="1"/>
    <col min="8709" max="8709" width="16.54296875" style="145" bestFit="1" customWidth="1"/>
    <col min="8710" max="8710" width="20.54296875" style="145" bestFit="1" customWidth="1"/>
    <col min="8711" max="8714" width="0" style="145" hidden="1" customWidth="1"/>
    <col min="8715" max="8715" width="14.54296875" style="145" customWidth="1"/>
    <col min="8716" max="8716" width="0" style="145" hidden="1" customWidth="1"/>
    <col min="8717" max="8717" width="14" style="145" bestFit="1" customWidth="1"/>
    <col min="8718" max="8718" width="19" style="145" customWidth="1"/>
    <col min="8719" max="8719" width="19.54296875" style="145" customWidth="1"/>
    <col min="8720" max="8720" width="3.26953125" style="145" customWidth="1"/>
    <col min="8721" max="8721" width="37.453125" style="145" customWidth="1"/>
    <col min="8722" max="8722" width="16.453125" style="145" bestFit="1" customWidth="1"/>
    <col min="8723" max="8723" width="4" style="145" bestFit="1" customWidth="1"/>
    <col min="8724" max="8724" width="6.1796875" style="145" bestFit="1" customWidth="1"/>
    <col min="8725" max="8725" width="4.1796875" style="145" bestFit="1" customWidth="1"/>
    <col min="8726" max="8726" width="8.26953125" style="145" bestFit="1" customWidth="1"/>
    <col min="8727" max="8960" width="9.1796875" style="145"/>
    <col min="8961" max="8961" width="23.1796875" style="145" bestFit="1" customWidth="1"/>
    <col min="8962" max="8962" width="20.54296875" style="145" customWidth="1"/>
    <col min="8963" max="8963" width="10.81640625" style="145" bestFit="1" customWidth="1"/>
    <col min="8964" max="8964" width="22.7265625" style="145" customWidth="1"/>
    <col min="8965" max="8965" width="16.54296875" style="145" bestFit="1" customWidth="1"/>
    <col min="8966" max="8966" width="20.54296875" style="145" bestFit="1" customWidth="1"/>
    <col min="8967" max="8970" width="0" style="145" hidden="1" customWidth="1"/>
    <col min="8971" max="8971" width="14.54296875" style="145" customWidth="1"/>
    <col min="8972" max="8972" width="0" style="145" hidden="1" customWidth="1"/>
    <col min="8973" max="8973" width="14" style="145" bestFit="1" customWidth="1"/>
    <col min="8974" max="8974" width="19" style="145" customWidth="1"/>
    <col min="8975" max="8975" width="19.54296875" style="145" customWidth="1"/>
    <col min="8976" max="8976" width="3.26953125" style="145" customWidth="1"/>
    <col min="8977" max="8977" width="37.453125" style="145" customWidth="1"/>
    <col min="8978" max="8978" width="16.453125" style="145" bestFit="1" customWidth="1"/>
    <col min="8979" max="8979" width="4" style="145" bestFit="1" customWidth="1"/>
    <col min="8980" max="8980" width="6.1796875" style="145" bestFit="1" customWidth="1"/>
    <col min="8981" max="8981" width="4.1796875" style="145" bestFit="1" customWidth="1"/>
    <col min="8982" max="8982" width="8.26953125" style="145" bestFit="1" customWidth="1"/>
    <col min="8983" max="9216" width="9.1796875" style="145"/>
    <col min="9217" max="9217" width="23.1796875" style="145" bestFit="1" customWidth="1"/>
    <col min="9218" max="9218" width="20.54296875" style="145" customWidth="1"/>
    <col min="9219" max="9219" width="10.81640625" style="145" bestFit="1" customWidth="1"/>
    <col min="9220" max="9220" width="22.7265625" style="145" customWidth="1"/>
    <col min="9221" max="9221" width="16.54296875" style="145" bestFit="1" customWidth="1"/>
    <col min="9222" max="9222" width="20.54296875" style="145" bestFit="1" customWidth="1"/>
    <col min="9223" max="9226" width="0" style="145" hidden="1" customWidth="1"/>
    <col min="9227" max="9227" width="14.54296875" style="145" customWidth="1"/>
    <col min="9228" max="9228" width="0" style="145" hidden="1" customWidth="1"/>
    <col min="9229" max="9229" width="14" style="145" bestFit="1" customWidth="1"/>
    <col min="9230" max="9230" width="19" style="145" customWidth="1"/>
    <col min="9231" max="9231" width="19.54296875" style="145" customWidth="1"/>
    <col min="9232" max="9232" width="3.26953125" style="145" customWidth="1"/>
    <col min="9233" max="9233" width="37.453125" style="145" customWidth="1"/>
    <col min="9234" max="9234" width="16.453125" style="145" bestFit="1" customWidth="1"/>
    <col min="9235" max="9235" width="4" style="145" bestFit="1" customWidth="1"/>
    <col min="9236" max="9236" width="6.1796875" style="145" bestFit="1" customWidth="1"/>
    <col min="9237" max="9237" width="4.1796875" style="145" bestFit="1" customWidth="1"/>
    <col min="9238" max="9238" width="8.26953125" style="145" bestFit="1" customWidth="1"/>
    <col min="9239" max="9472" width="9.1796875" style="145"/>
    <col min="9473" max="9473" width="23.1796875" style="145" bestFit="1" customWidth="1"/>
    <col min="9474" max="9474" width="20.54296875" style="145" customWidth="1"/>
    <col min="9475" max="9475" width="10.81640625" style="145" bestFit="1" customWidth="1"/>
    <col min="9476" max="9476" width="22.7265625" style="145" customWidth="1"/>
    <col min="9477" max="9477" width="16.54296875" style="145" bestFit="1" customWidth="1"/>
    <col min="9478" max="9478" width="20.54296875" style="145" bestFit="1" customWidth="1"/>
    <col min="9479" max="9482" width="0" style="145" hidden="1" customWidth="1"/>
    <col min="9483" max="9483" width="14.54296875" style="145" customWidth="1"/>
    <col min="9484" max="9484" width="0" style="145" hidden="1" customWidth="1"/>
    <col min="9485" max="9485" width="14" style="145" bestFit="1" customWidth="1"/>
    <col min="9486" max="9486" width="19" style="145" customWidth="1"/>
    <col min="9487" max="9487" width="19.54296875" style="145" customWidth="1"/>
    <col min="9488" max="9488" width="3.26953125" style="145" customWidth="1"/>
    <col min="9489" max="9489" width="37.453125" style="145" customWidth="1"/>
    <col min="9490" max="9490" width="16.453125" style="145" bestFit="1" customWidth="1"/>
    <col min="9491" max="9491" width="4" style="145" bestFit="1" customWidth="1"/>
    <col min="9492" max="9492" width="6.1796875" style="145" bestFit="1" customWidth="1"/>
    <col min="9493" max="9493" width="4.1796875" style="145" bestFit="1" customWidth="1"/>
    <col min="9494" max="9494" width="8.26953125" style="145" bestFit="1" customWidth="1"/>
    <col min="9495" max="9728" width="9.1796875" style="145"/>
    <col min="9729" max="9729" width="23.1796875" style="145" bestFit="1" customWidth="1"/>
    <col min="9730" max="9730" width="20.54296875" style="145" customWidth="1"/>
    <col min="9731" max="9731" width="10.81640625" style="145" bestFit="1" customWidth="1"/>
    <col min="9732" max="9732" width="22.7265625" style="145" customWidth="1"/>
    <col min="9733" max="9733" width="16.54296875" style="145" bestFit="1" customWidth="1"/>
    <col min="9734" max="9734" width="20.54296875" style="145" bestFit="1" customWidth="1"/>
    <col min="9735" max="9738" width="0" style="145" hidden="1" customWidth="1"/>
    <col min="9739" max="9739" width="14.54296875" style="145" customWidth="1"/>
    <col min="9740" max="9740" width="0" style="145" hidden="1" customWidth="1"/>
    <col min="9741" max="9741" width="14" style="145" bestFit="1" customWidth="1"/>
    <col min="9742" max="9742" width="19" style="145" customWidth="1"/>
    <col min="9743" max="9743" width="19.54296875" style="145" customWidth="1"/>
    <col min="9744" max="9744" width="3.26953125" style="145" customWidth="1"/>
    <col min="9745" max="9745" width="37.453125" style="145" customWidth="1"/>
    <col min="9746" max="9746" width="16.453125" style="145" bestFit="1" customWidth="1"/>
    <col min="9747" max="9747" width="4" style="145" bestFit="1" customWidth="1"/>
    <col min="9748" max="9748" width="6.1796875" style="145" bestFit="1" customWidth="1"/>
    <col min="9749" max="9749" width="4.1796875" style="145" bestFit="1" customWidth="1"/>
    <col min="9750" max="9750" width="8.26953125" style="145" bestFit="1" customWidth="1"/>
    <col min="9751" max="9984" width="9.1796875" style="145"/>
    <col min="9985" max="9985" width="23.1796875" style="145" bestFit="1" customWidth="1"/>
    <col min="9986" max="9986" width="20.54296875" style="145" customWidth="1"/>
    <col min="9987" max="9987" width="10.81640625" style="145" bestFit="1" customWidth="1"/>
    <col min="9988" max="9988" width="22.7265625" style="145" customWidth="1"/>
    <col min="9989" max="9989" width="16.54296875" style="145" bestFit="1" customWidth="1"/>
    <col min="9990" max="9990" width="20.54296875" style="145" bestFit="1" customWidth="1"/>
    <col min="9991" max="9994" width="0" style="145" hidden="1" customWidth="1"/>
    <col min="9995" max="9995" width="14.54296875" style="145" customWidth="1"/>
    <col min="9996" max="9996" width="0" style="145" hidden="1" customWidth="1"/>
    <col min="9997" max="9997" width="14" style="145" bestFit="1" customWidth="1"/>
    <col min="9998" max="9998" width="19" style="145" customWidth="1"/>
    <col min="9999" max="9999" width="19.54296875" style="145" customWidth="1"/>
    <col min="10000" max="10000" width="3.26953125" style="145" customWidth="1"/>
    <col min="10001" max="10001" width="37.453125" style="145" customWidth="1"/>
    <col min="10002" max="10002" width="16.453125" style="145" bestFit="1" customWidth="1"/>
    <col min="10003" max="10003" width="4" style="145" bestFit="1" customWidth="1"/>
    <col min="10004" max="10004" width="6.1796875" style="145" bestFit="1" customWidth="1"/>
    <col min="10005" max="10005" width="4.1796875" style="145" bestFit="1" customWidth="1"/>
    <col min="10006" max="10006" width="8.26953125" style="145" bestFit="1" customWidth="1"/>
    <col min="10007" max="10240" width="9.1796875" style="145"/>
    <col min="10241" max="10241" width="23.1796875" style="145" bestFit="1" customWidth="1"/>
    <col min="10242" max="10242" width="20.54296875" style="145" customWidth="1"/>
    <col min="10243" max="10243" width="10.81640625" style="145" bestFit="1" customWidth="1"/>
    <col min="10244" max="10244" width="22.7265625" style="145" customWidth="1"/>
    <col min="10245" max="10245" width="16.54296875" style="145" bestFit="1" customWidth="1"/>
    <col min="10246" max="10246" width="20.54296875" style="145" bestFit="1" customWidth="1"/>
    <col min="10247" max="10250" width="0" style="145" hidden="1" customWidth="1"/>
    <col min="10251" max="10251" width="14.54296875" style="145" customWidth="1"/>
    <col min="10252" max="10252" width="0" style="145" hidden="1" customWidth="1"/>
    <col min="10253" max="10253" width="14" style="145" bestFit="1" customWidth="1"/>
    <col min="10254" max="10254" width="19" style="145" customWidth="1"/>
    <col min="10255" max="10255" width="19.54296875" style="145" customWidth="1"/>
    <col min="10256" max="10256" width="3.26953125" style="145" customWidth="1"/>
    <col min="10257" max="10257" width="37.453125" style="145" customWidth="1"/>
    <col min="10258" max="10258" width="16.453125" style="145" bestFit="1" customWidth="1"/>
    <col min="10259" max="10259" width="4" style="145" bestFit="1" customWidth="1"/>
    <col min="10260" max="10260" width="6.1796875" style="145" bestFit="1" customWidth="1"/>
    <col min="10261" max="10261" width="4.1796875" style="145" bestFit="1" customWidth="1"/>
    <col min="10262" max="10262" width="8.26953125" style="145" bestFit="1" customWidth="1"/>
    <col min="10263" max="10496" width="9.1796875" style="145"/>
    <col min="10497" max="10497" width="23.1796875" style="145" bestFit="1" customWidth="1"/>
    <col min="10498" max="10498" width="20.54296875" style="145" customWidth="1"/>
    <col min="10499" max="10499" width="10.81640625" style="145" bestFit="1" customWidth="1"/>
    <col min="10500" max="10500" width="22.7265625" style="145" customWidth="1"/>
    <col min="10501" max="10501" width="16.54296875" style="145" bestFit="1" customWidth="1"/>
    <col min="10502" max="10502" width="20.54296875" style="145" bestFit="1" customWidth="1"/>
    <col min="10503" max="10506" width="0" style="145" hidden="1" customWidth="1"/>
    <col min="10507" max="10507" width="14.54296875" style="145" customWidth="1"/>
    <col min="10508" max="10508" width="0" style="145" hidden="1" customWidth="1"/>
    <col min="10509" max="10509" width="14" style="145" bestFit="1" customWidth="1"/>
    <col min="10510" max="10510" width="19" style="145" customWidth="1"/>
    <col min="10511" max="10511" width="19.54296875" style="145" customWidth="1"/>
    <col min="10512" max="10512" width="3.26953125" style="145" customWidth="1"/>
    <col min="10513" max="10513" width="37.453125" style="145" customWidth="1"/>
    <col min="10514" max="10514" width="16.453125" style="145" bestFit="1" customWidth="1"/>
    <col min="10515" max="10515" width="4" style="145" bestFit="1" customWidth="1"/>
    <col min="10516" max="10516" width="6.1796875" style="145" bestFit="1" customWidth="1"/>
    <col min="10517" max="10517" width="4.1796875" style="145" bestFit="1" customWidth="1"/>
    <col min="10518" max="10518" width="8.26953125" style="145" bestFit="1" customWidth="1"/>
    <col min="10519" max="10752" width="9.1796875" style="145"/>
    <col min="10753" max="10753" width="23.1796875" style="145" bestFit="1" customWidth="1"/>
    <col min="10754" max="10754" width="20.54296875" style="145" customWidth="1"/>
    <col min="10755" max="10755" width="10.81640625" style="145" bestFit="1" customWidth="1"/>
    <col min="10756" max="10756" width="22.7265625" style="145" customWidth="1"/>
    <col min="10757" max="10757" width="16.54296875" style="145" bestFit="1" customWidth="1"/>
    <col min="10758" max="10758" width="20.54296875" style="145" bestFit="1" customWidth="1"/>
    <col min="10759" max="10762" width="0" style="145" hidden="1" customWidth="1"/>
    <col min="10763" max="10763" width="14.54296875" style="145" customWidth="1"/>
    <col min="10764" max="10764" width="0" style="145" hidden="1" customWidth="1"/>
    <col min="10765" max="10765" width="14" style="145" bestFit="1" customWidth="1"/>
    <col min="10766" max="10766" width="19" style="145" customWidth="1"/>
    <col min="10767" max="10767" width="19.54296875" style="145" customWidth="1"/>
    <col min="10768" max="10768" width="3.26953125" style="145" customWidth="1"/>
    <col min="10769" max="10769" width="37.453125" style="145" customWidth="1"/>
    <col min="10770" max="10770" width="16.453125" style="145" bestFit="1" customWidth="1"/>
    <col min="10771" max="10771" width="4" style="145" bestFit="1" customWidth="1"/>
    <col min="10772" max="10772" width="6.1796875" style="145" bestFit="1" customWidth="1"/>
    <col min="10773" max="10773" width="4.1796875" style="145" bestFit="1" customWidth="1"/>
    <col min="10774" max="10774" width="8.26953125" style="145" bestFit="1" customWidth="1"/>
    <col min="10775" max="11008" width="9.1796875" style="145"/>
    <col min="11009" max="11009" width="23.1796875" style="145" bestFit="1" customWidth="1"/>
    <col min="11010" max="11010" width="20.54296875" style="145" customWidth="1"/>
    <col min="11011" max="11011" width="10.81640625" style="145" bestFit="1" customWidth="1"/>
    <col min="11012" max="11012" width="22.7265625" style="145" customWidth="1"/>
    <col min="11013" max="11013" width="16.54296875" style="145" bestFit="1" customWidth="1"/>
    <col min="11014" max="11014" width="20.54296875" style="145" bestFit="1" customWidth="1"/>
    <col min="11015" max="11018" width="0" style="145" hidden="1" customWidth="1"/>
    <col min="11019" max="11019" width="14.54296875" style="145" customWidth="1"/>
    <col min="11020" max="11020" width="0" style="145" hidden="1" customWidth="1"/>
    <col min="11021" max="11021" width="14" style="145" bestFit="1" customWidth="1"/>
    <col min="11022" max="11022" width="19" style="145" customWidth="1"/>
    <col min="11023" max="11023" width="19.54296875" style="145" customWidth="1"/>
    <col min="11024" max="11024" width="3.26953125" style="145" customWidth="1"/>
    <col min="11025" max="11025" width="37.453125" style="145" customWidth="1"/>
    <col min="11026" max="11026" width="16.453125" style="145" bestFit="1" customWidth="1"/>
    <col min="11027" max="11027" width="4" style="145" bestFit="1" customWidth="1"/>
    <col min="11028" max="11028" width="6.1796875" style="145" bestFit="1" customWidth="1"/>
    <col min="11029" max="11029" width="4.1796875" style="145" bestFit="1" customWidth="1"/>
    <col min="11030" max="11030" width="8.26953125" style="145" bestFit="1" customWidth="1"/>
    <col min="11031" max="11264" width="9.1796875" style="145"/>
    <col min="11265" max="11265" width="23.1796875" style="145" bestFit="1" customWidth="1"/>
    <col min="11266" max="11266" width="20.54296875" style="145" customWidth="1"/>
    <col min="11267" max="11267" width="10.81640625" style="145" bestFit="1" customWidth="1"/>
    <col min="11268" max="11268" width="22.7265625" style="145" customWidth="1"/>
    <col min="11269" max="11269" width="16.54296875" style="145" bestFit="1" customWidth="1"/>
    <col min="11270" max="11270" width="20.54296875" style="145" bestFit="1" customWidth="1"/>
    <col min="11271" max="11274" width="0" style="145" hidden="1" customWidth="1"/>
    <col min="11275" max="11275" width="14.54296875" style="145" customWidth="1"/>
    <col min="11276" max="11276" width="0" style="145" hidden="1" customWidth="1"/>
    <col min="11277" max="11277" width="14" style="145" bestFit="1" customWidth="1"/>
    <col min="11278" max="11278" width="19" style="145" customWidth="1"/>
    <col min="11279" max="11279" width="19.54296875" style="145" customWidth="1"/>
    <col min="11280" max="11280" width="3.26953125" style="145" customWidth="1"/>
    <col min="11281" max="11281" width="37.453125" style="145" customWidth="1"/>
    <col min="11282" max="11282" width="16.453125" style="145" bestFit="1" customWidth="1"/>
    <col min="11283" max="11283" width="4" style="145" bestFit="1" customWidth="1"/>
    <col min="11284" max="11284" width="6.1796875" style="145" bestFit="1" customWidth="1"/>
    <col min="11285" max="11285" width="4.1796875" style="145" bestFit="1" customWidth="1"/>
    <col min="11286" max="11286" width="8.26953125" style="145" bestFit="1" customWidth="1"/>
    <col min="11287" max="11520" width="9.1796875" style="145"/>
    <col min="11521" max="11521" width="23.1796875" style="145" bestFit="1" customWidth="1"/>
    <col min="11522" max="11522" width="20.54296875" style="145" customWidth="1"/>
    <col min="11523" max="11523" width="10.81640625" style="145" bestFit="1" customWidth="1"/>
    <col min="11524" max="11524" width="22.7265625" style="145" customWidth="1"/>
    <col min="11525" max="11525" width="16.54296875" style="145" bestFit="1" customWidth="1"/>
    <col min="11526" max="11526" width="20.54296875" style="145" bestFit="1" customWidth="1"/>
    <col min="11527" max="11530" width="0" style="145" hidden="1" customWidth="1"/>
    <col min="11531" max="11531" width="14.54296875" style="145" customWidth="1"/>
    <col min="11532" max="11532" width="0" style="145" hidden="1" customWidth="1"/>
    <col min="11533" max="11533" width="14" style="145" bestFit="1" customWidth="1"/>
    <col min="11534" max="11534" width="19" style="145" customWidth="1"/>
    <col min="11535" max="11535" width="19.54296875" style="145" customWidth="1"/>
    <col min="11536" max="11536" width="3.26953125" style="145" customWidth="1"/>
    <col min="11537" max="11537" width="37.453125" style="145" customWidth="1"/>
    <col min="11538" max="11538" width="16.453125" style="145" bestFit="1" customWidth="1"/>
    <col min="11539" max="11539" width="4" style="145" bestFit="1" customWidth="1"/>
    <col min="11540" max="11540" width="6.1796875" style="145" bestFit="1" customWidth="1"/>
    <col min="11541" max="11541" width="4.1796875" style="145" bestFit="1" customWidth="1"/>
    <col min="11542" max="11542" width="8.26953125" style="145" bestFit="1" customWidth="1"/>
    <col min="11543" max="11776" width="9.1796875" style="145"/>
    <col min="11777" max="11777" width="23.1796875" style="145" bestFit="1" customWidth="1"/>
    <col min="11778" max="11778" width="20.54296875" style="145" customWidth="1"/>
    <col min="11779" max="11779" width="10.81640625" style="145" bestFit="1" customWidth="1"/>
    <col min="11780" max="11780" width="22.7265625" style="145" customWidth="1"/>
    <col min="11781" max="11781" width="16.54296875" style="145" bestFit="1" customWidth="1"/>
    <col min="11782" max="11782" width="20.54296875" style="145" bestFit="1" customWidth="1"/>
    <col min="11783" max="11786" width="0" style="145" hidden="1" customWidth="1"/>
    <col min="11787" max="11787" width="14.54296875" style="145" customWidth="1"/>
    <col min="11788" max="11788" width="0" style="145" hidden="1" customWidth="1"/>
    <col min="11789" max="11789" width="14" style="145" bestFit="1" customWidth="1"/>
    <col min="11790" max="11790" width="19" style="145" customWidth="1"/>
    <col min="11791" max="11791" width="19.54296875" style="145" customWidth="1"/>
    <col min="11792" max="11792" width="3.26953125" style="145" customWidth="1"/>
    <col min="11793" max="11793" width="37.453125" style="145" customWidth="1"/>
    <col min="11794" max="11794" width="16.453125" style="145" bestFit="1" customWidth="1"/>
    <col min="11795" max="11795" width="4" style="145" bestFit="1" customWidth="1"/>
    <col min="11796" max="11796" width="6.1796875" style="145" bestFit="1" customWidth="1"/>
    <col min="11797" max="11797" width="4.1796875" style="145" bestFit="1" customWidth="1"/>
    <col min="11798" max="11798" width="8.26953125" style="145" bestFit="1" customWidth="1"/>
    <col min="11799" max="12032" width="9.1796875" style="145"/>
    <col min="12033" max="12033" width="23.1796875" style="145" bestFit="1" customWidth="1"/>
    <col min="12034" max="12034" width="20.54296875" style="145" customWidth="1"/>
    <col min="12035" max="12035" width="10.81640625" style="145" bestFit="1" customWidth="1"/>
    <col min="12036" max="12036" width="22.7265625" style="145" customWidth="1"/>
    <col min="12037" max="12037" width="16.54296875" style="145" bestFit="1" customWidth="1"/>
    <col min="12038" max="12038" width="20.54296875" style="145" bestFit="1" customWidth="1"/>
    <col min="12039" max="12042" width="0" style="145" hidden="1" customWidth="1"/>
    <col min="12043" max="12043" width="14.54296875" style="145" customWidth="1"/>
    <col min="12044" max="12044" width="0" style="145" hidden="1" customWidth="1"/>
    <col min="12045" max="12045" width="14" style="145" bestFit="1" customWidth="1"/>
    <col min="12046" max="12046" width="19" style="145" customWidth="1"/>
    <col min="12047" max="12047" width="19.54296875" style="145" customWidth="1"/>
    <col min="12048" max="12048" width="3.26953125" style="145" customWidth="1"/>
    <col min="12049" max="12049" width="37.453125" style="145" customWidth="1"/>
    <col min="12050" max="12050" width="16.453125" style="145" bestFit="1" customWidth="1"/>
    <col min="12051" max="12051" width="4" style="145" bestFit="1" customWidth="1"/>
    <col min="12052" max="12052" width="6.1796875" style="145" bestFit="1" customWidth="1"/>
    <col min="12053" max="12053" width="4.1796875" style="145" bestFit="1" customWidth="1"/>
    <col min="12054" max="12054" width="8.26953125" style="145" bestFit="1" customWidth="1"/>
    <col min="12055" max="12288" width="9.1796875" style="145"/>
    <col min="12289" max="12289" width="23.1796875" style="145" bestFit="1" customWidth="1"/>
    <col min="12290" max="12290" width="20.54296875" style="145" customWidth="1"/>
    <col min="12291" max="12291" width="10.81640625" style="145" bestFit="1" customWidth="1"/>
    <col min="12292" max="12292" width="22.7265625" style="145" customWidth="1"/>
    <col min="12293" max="12293" width="16.54296875" style="145" bestFit="1" customWidth="1"/>
    <col min="12294" max="12294" width="20.54296875" style="145" bestFit="1" customWidth="1"/>
    <col min="12295" max="12298" width="0" style="145" hidden="1" customWidth="1"/>
    <col min="12299" max="12299" width="14.54296875" style="145" customWidth="1"/>
    <col min="12300" max="12300" width="0" style="145" hidden="1" customWidth="1"/>
    <col min="12301" max="12301" width="14" style="145" bestFit="1" customWidth="1"/>
    <col min="12302" max="12302" width="19" style="145" customWidth="1"/>
    <col min="12303" max="12303" width="19.54296875" style="145" customWidth="1"/>
    <col min="12304" max="12304" width="3.26953125" style="145" customWidth="1"/>
    <col min="12305" max="12305" width="37.453125" style="145" customWidth="1"/>
    <col min="12306" max="12306" width="16.453125" style="145" bestFit="1" customWidth="1"/>
    <col min="12307" max="12307" width="4" style="145" bestFit="1" customWidth="1"/>
    <col min="12308" max="12308" width="6.1796875" style="145" bestFit="1" customWidth="1"/>
    <col min="12309" max="12309" width="4.1796875" style="145" bestFit="1" customWidth="1"/>
    <col min="12310" max="12310" width="8.26953125" style="145" bestFit="1" customWidth="1"/>
    <col min="12311" max="12544" width="9.1796875" style="145"/>
    <col min="12545" max="12545" width="23.1796875" style="145" bestFit="1" customWidth="1"/>
    <col min="12546" max="12546" width="20.54296875" style="145" customWidth="1"/>
    <col min="12547" max="12547" width="10.81640625" style="145" bestFit="1" customWidth="1"/>
    <col min="12548" max="12548" width="22.7265625" style="145" customWidth="1"/>
    <col min="12549" max="12549" width="16.54296875" style="145" bestFit="1" customWidth="1"/>
    <col min="12550" max="12550" width="20.54296875" style="145" bestFit="1" customWidth="1"/>
    <col min="12551" max="12554" width="0" style="145" hidden="1" customWidth="1"/>
    <col min="12555" max="12555" width="14.54296875" style="145" customWidth="1"/>
    <col min="12556" max="12556" width="0" style="145" hidden="1" customWidth="1"/>
    <col min="12557" max="12557" width="14" style="145" bestFit="1" customWidth="1"/>
    <col min="12558" max="12558" width="19" style="145" customWidth="1"/>
    <col min="12559" max="12559" width="19.54296875" style="145" customWidth="1"/>
    <col min="12560" max="12560" width="3.26953125" style="145" customWidth="1"/>
    <col min="12561" max="12561" width="37.453125" style="145" customWidth="1"/>
    <col min="12562" max="12562" width="16.453125" style="145" bestFit="1" customWidth="1"/>
    <col min="12563" max="12563" width="4" style="145" bestFit="1" customWidth="1"/>
    <col min="12564" max="12564" width="6.1796875" style="145" bestFit="1" customWidth="1"/>
    <col min="12565" max="12565" width="4.1796875" style="145" bestFit="1" customWidth="1"/>
    <col min="12566" max="12566" width="8.26953125" style="145" bestFit="1" customWidth="1"/>
    <col min="12567" max="12800" width="9.1796875" style="145"/>
    <col min="12801" max="12801" width="23.1796875" style="145" bestFit="1" customWidth="1"/>
    <col min="12802" max="12802" width="20.54296875" style="145" customWidth="1"/>
    <col min="12803" max="12803" width="10.81640625" style="145" bestFit="1" customWidth="1"/>
    <col min="12804" max="12804" width="22.7265625" style="145" customWidth="1"/>
    <col min="12805" max="12805" width="16.54296875" style="145" bestFit="1" customWidth="1"/>
    <col min="12806" max="12806" width="20.54296875" style="145" bestFit="1" customWidth="1"/>
    <col min="12807" max="12810" width="0" style="145" hidden="1" customWidth="1"/>
    <col min="12811" max="12811" width="14.54296875" style="145" customWidth="1"/>
    <col min="12812" max="12812" width="0" style="145" hidden="1" customWidth="1"/>
    <col min="12813" max="12813" width="14" style="145" bestFit="1" customWidth="1"/>
    <col min="12814" max="12814" width="19" style="145" customWidth="1"/>
    <col min="12815" max="12815" width="19.54296875" style="145" customWidth="1"/>
    <col min="12816" max="12816" width="3.26953125" style="145" customWidth="1"/>
    <col min="12817" max="12817" width="37.453125" style="145" customWidth="1"/>
    <col min="12818" max="12818" width="16.453125" style="145" bestFit="1" customWidth="1"/>
    <col min="12819" max="12819" width="4" style="145" bestFit="1" customWidth="1"/>
    <col min="12820" max="12820" width="6.1796875" style="145" bestFit="1" customWidth="1"/>
    <col min="12821" max="12821" width="4.1796875" style="145" bestFit="1" customWidth="1"/>
    <col min="12822" max="12822" width="8.26953125" style="145" bestFit="1" customWidth="1"/>
    <col min="12823" max="13056" width="9.1796875" style="145"/>
    <col min="13057" max="13057" width="23.1796875" style="145" bestFit="1" customWidth="1"/>
    <col min="13058" max="13058" width="20.54296875" style="145" customWidth="1"/>
    <col min="13059" max="13059" width="10.81640625" style="145" bestFit="1" customWidth="1"/>
    <col min="13060" max="13060" width="22.7265625" style="145" customWidth="1"/>
    <col min="13061" max="13061" width="16.54296875" style="145" bestFit="1" customWidth="1"/>
    <col min="13062" max="13062" width="20.54296875" style="145" bestFit="1" customWidth="1"/>
    <col min="13063" max="13066" width="0" style="145" hidden="1" customWidth="1"/>
    <col min="13067" max="13067" width="14.54296875" style="145" customWidth="1"/>
    <col min="13068" max="13068" width="0" style="145" hidden="1" customWidth="1"/>
    <col min="13069" max="13069" width="14" style="145" bestFit="1" customWidth="1"/>
    <col min="13070" max="13070" width="19" style="145" customWidth="1"/>
    <col min="13071" max="13071" width="19.54296875" style="145" customWidth="1"/>
    <col min="13072" max="13072" width="3.26953125" style="145" customWidth="1"/>
    <col min="13073" max="13073" width="37.453125" style="145" customWidth="1"/>
    <col min="13074" max="13074" width="16.453125" style="145" bestFit="1" customWidth="1"/>
    <col min="13075" max="13075" width="4" style="145" bestFit="1" customWidth="1"/>
    <col min="13076" max="13076" width="6.1796875" style="145" bestFit="1" customWidth="1"/>
    <col min="13077" max="13077" width="4.1796875" style="145" bestFit="1" customWidth="1"/>
    <col min="13078" max="13078" width="8.26953125" style="145" bestFit="1" customWidth="1"/>
    <col min="13079" max="13312" width="9.1796875" style="145"/>
    <col min="13313" max="13313" width="23.1796875" style="145" bestFit="1" customWidth="1"/>
    <col min="13314" max="13314" width="20.54296875" style="145" customWidth="1"/>
    <col min="13315" max="13315" width="10.81640625" style="145" bestFit="1" customWidth="1"/>
    <col min="13316" max="13316" width="22.7265625" style="145" customWidth="1"/>
    <col min="13317" max="13317" width="16.54296875" style="145" bestFit="1" customWidth="1"/>
    <col min="13318" max="13318" width="20.54296875" style="145" bestFit="1" customWidth="1"/>
    <col min="13319" max="13322" width="0" style="145" hidden="1" customWidth="1"/>
    <col min="13323" max="13323" width="14.54296875" style="145" customWidth="1"/>
    <col min="13324" max="13324" width="0" style="145" hidden="1" customWidth="1"/>
    <col min="13325" max="13325" width="14" style="145" bestFit="1" customWidth="1"/>
    <col min="13326" max="13326" width="19" style="145" customWidth="1"/>
    <col min="13327" max="13327" width="19.54296875" style="145" customWidth="1"/>
    <col min="13328" max="13328" width="3.26953125" style="145" customWidth="1"/>
    <col min="13329" max="13329" width="37.453125" style="145" customWidth="1"/>
    <col min="13330" max="13330" width="16.453125" style="145" bestFit="1" customWidth="1"/>
    <col min="13331" max="13331" width="4" style="145" bestFit="1" customWidth="1"/>
    <col min="13332" max="13332" width="6.1796875" style="145" bestFit="1" customWidth="1"/>
    <col min="13333" max="13333" width="4.1796875" style="145" bestFit="1" customWidth="1"/>
    <col min="13334" max="13334" width="8.26953125" style="145" bestFit="1" customWidth="1"/>
    <col min="13335" max="13568" width="9.1796875" style="145"/>
    <col min="13569" max="13569" width="23.1796875" style="145" bestFit="1" customWidth="1"/>
    <col min="13570" max="13570" width="20.54296875" style="145" customWidth="1"/>
    <col min="13571" max="13571" width="10.81640625" style="145" bestFit="1" customWidth="1"/>
    <col min="13572" max="13572" width="22.7265625" style="145" customWidth="1"/>
    <col min="13573" max="13573" width="16.54296875" style="145" bestFit="1" customWidth="1"/>
    <col min="13574" max="13574" width="20.54296875" style="145" bestFit="1" customWidth="1"/>
    <col min="13575" max="13578" width="0" style="145" hidden="1" customWidth="1"/>
    <col min="13579" max="13579" width="14.54296875" style="145" customWidth="1"/>
    <col min="13580" max="13580" width="0" style="145" hidden="1" customWidth="1"/>
    <col min="13581" max="13581" width="14" style="145" bestFit="1" customWidth="1"/>
    <col min="13582" max="13582" width="19" style="145" customWidth="1"/>
    <col min="13583" max="13583" width="19.54296875" style="145" customWidth="1"/>
    <col min="13584" max="13584" width="3.26953125" style="145" customWidth="1"/>
    <col min="13585" max="13585" width="37.453125" style="145" customWidth="1"/>
    <col min="13586" max="13586" width="16.453125" style="145" bestFit="1" customWidth="1"/>
    <col min="13587" max="13587" width="4" style="145" bestFit="1" customWidth="1"/>
    <col min="13588" max="13588" width="6.1796875" style="145" bestFit="1" customWidth="1"/>
    <col min="13589" max="13589" width="4.1796875" style="145" bestFit="1" customWidth="1"/>
    <col min="13590" max="13590" width="8.26953125" style="145" bestFit="1" customWidth="1"/>
    <col min="13591" max="13824" width="9.1796875" style="145"/>
    <col min="13825" max="13825" width="23.1796875" style="145" bestFit="1" customWidth="1"/>
    <col min="13826" max="13826" width="20.54296875" style="145" customWidth="1"/>
    <col min="13827" max="13827" width="10.81640625" style="145" bestFit="1" customWidth="1"/>
    <col min="13828" max="13828" width="22.7265625" style="145" customWidth="1"/>
    <col min="13829" max="13829" width="16.54296875" style="145" bestFit="1" customWidth="1"/>
    <col min="13830" max="13830" width="20.54296875" style="145" bestFit="1" customWidth="1"/>
    <col min="13831" max="13834" width="0" style="145" hidden="1" customWidth="1"/>
    <col min="13835" max="13835" width="14.54296875" style="145" customWidth="1"/>
    <col min="13836" max="13836" width="0" style="145" hidden="1" customWidth="1"/>
    <col min="13837" max="13837" width="14" style="145" bestFit="1" customWidth="1"/>
    <col min="13838" max="13838" width="19" style="145" customWidth="1"/>
    <col min="13839" max="13839" width="19.54296875" style="145" customWidth="1"/>
    <col min="13840" max="13840" width="3.26953125" style="145" customWidth="1"/>
    <col min="13841" max="13841" width="37.453125" style="145" customWidth="1"/>
    <col min="13842" max="13842" width="16.453125" style="145" bestFit="1" customWidth="1"/>
    <col min="13843" max="13843" width="4" style="145" bestFit="1" customWidth="1"/>
    <col min="13844" max="13844" width="6.1796875" style="145" bestFit="1" customWidth="1"/>
    <col min="13845" max="13845" width="4.1796875" style="145" bestFit="1" customWidth="1"/>
    <col min="13846" max="13846" width="8.26953125" style="145" bestFit="1" customWidth="1"/>
    <col min="13847" max="14080" width="9.1796875" style="145"/>
    <col min="14081" max="14081" width="23.1796875" style="145" bestFit="1" customWidth="1"/>
    <col min="14082" max="14082" width="20.54296875" style="145" customWidth="1"/>
    <col min="14083" max="14083" width="10.81640625" style="145" bestFit="1" customWidth="1"/>
    <col min="14084" max="14084" width="22.7265625" style="145" customWidth="1"/>
    <col min="14085" max="14085" width="16.54296875" style="145" bestFit="1" customWidth="1"/>
    <col min="14086" max="14086" width="20.54296875" style="145" bestFit="1" customWidth="1"/>
    <col min="14087" max="14090" width="0" style="145" hidden="1" customWidth="1"/>
    <col min="14091" max="14091" width="14.54296875" style="145" customWidth="1"/>
    <col min="14092" max="14092" width="0" style="145" hidden="1" customWidth="1"/>
    <col min="14093" max="14093" width="14" style="145" bestFit="1" customWidth="1"/>
    <col min="14094" max="14094" width="19" style="145" customWidth="1"/>
    <col min="14095" max="14095" width="19.54296875" style="145" customWidth="1"/>
    <col min="14096" max="14096" width="3.26953125" style="145" customWidth="1"/>
    <col min="14097" max="14097" width="37.453125" style="145" customWidth="1"/>
    <col min="14098" max="14098" width="16.453125" style="145" bestFit="1" customWidth="1"/>
    <col min="14099" max="14099" width="4" style="145" bestFit="1" customWidth="1"/>
    <col min="14100" max="14100" width="6.1796875" style="145" bestFit="1" customWidth="1"/>
    <col min="14101" max="14101" width="4.1796875" style="145" bestFit="1" customWidth="1"/>
    <col min="14102" max="14102" width="8.26953125" style="145" bestFit="1" customWidth="1"/>
    <col min="14103" max="14336" width="9.1796875" style="145"/>
    <col min="14337" max="14337" width="23.1796875" style="145" bestFit="1" customWidth="1"/>
    <col min="14338" max="14338" width="20.54296875" style="145" customWidth="1"/>
    <col min="14339" max="14339" width="10.81640625" style="145" bestFit="1" customWidth="1"/>
    <col min="14340" max="14340" width="22.7265625" style="145" customWidth="1"/>
    <col min="14341" max="14341" width="16.54296875" style="145" bestFit="1" customWidth="1"/>
    <col min="14342" max="14342" width="20.54296875" style="145" bestFit="1" customWidth="1"/>
    <col min="14343" max="14346" width="0" style="145" hidden="1" customWidth="1"/>
    <col min="14347" max="14347" width="14.54296875" style="145" customWidth="1"/>
    <col min="14348" max="14348" width="0" style="145" hidden="1" customWidth="1"/>
    <col min="14349" max="14349" width="14" style="145" bestFit="1" customWidth="1"/>
    <col min="14350" max="14350" width="19" style="145" customWidth="1"/>
    <col min="14351" max="14351" width="19.54296875" style="145" customWidth="1"/>
    <col min="14352" max="14352" width="3.26953125" style="145" customWidth="1"/>
    <col min="14353" max="14353" width="37.453125" style="145" customWidth="1"/>
    <col min="14354" max="14354" width="16.453125" style="145" bestFit="1" customWidth="1"/>
    <col min="14355" max="14355" width="4" style="145" bestFit="1" customWidth="1"/>
    <col min="14356" max="14356" width="6.1796875" style="145" bestFit="1" customWidth="1"/>
    <col min="14357" max="14357" width="4.1796875" style="145" bestFit="1" customWidth="1"/>
    <col min="14358" max="14358" width="8.26953125" style="145" bestFit="1" customWidth="1"/>
    <col min="14359" max="14592" width="9.1796875" style="145"/>
    <col min="14593" max="14593" width="23.1796875" style="145" bestFit="1" customWidth="1"/>
    <col min="14594" max="14594" width="20.54296875" style="145" customWidth="1"/>
    <col min="14595" max="14595" width="10.81640625" style="145" bestFit="1" customWidth="1"/>
    <col min="14596" max="14596" width="22.7265625" style="145" customWidth="1"/>
    <col min="14597" max="14597" width="16.54296875" style="145" bestFit="1" customWidth="1"/>
    <col min="14598" max="14598" width="20.54296875" style="145" bestFit="1" customWidth="1"/>
    <col min="14599" max="14602" width="0" style="145" hidden="1" customWidth="1"/>
    <col min="14603" max="14603" width="14.54296875" style="145" customWidth="1"/>
    <col min="14604" max="14604" width="0" style="145" hidden="1" customWidth="1"/>
    <col min="14605" max="14605" width="14" style="145" bestFit="1" customWidth="1"/>
    <col min="14606" max="14606" width="19" style="145" customWidth="1"/>
    <col min="14607" max="14607" width="19.54296875" style="145" customWidth="1"/>
    <col min="14608" max="14608" width="3.26953125" style="145" customWidth="1"/>
    <col min="14609" max="14609" width="37.453125" style="145" customWidth="1"/>
    <col min="14610" max="14610" width="16.453125" style="145" bestFit="1" customWidth="1"/>
    <col min="14611" max="14611" width="4" style="145" bestFit="1" customWidth="1"/>
    <col min="14612" max="14612" width="6.1796875" style="145" bestFit="1" customWidth="1"/>
    <col min="14613" max="14613" width="4.1796875" style="145" bestFit="1" customWidth="1"/>
    <col min="14614" max="14614" width="8.26953125" style="145" bestFit="1" customWidth="1"/>
    <col min="14615" max="14848" width="9.1796875" style="145"/>
    <col min="14849" max="14849" width="23.1796875" style="145" bestFit="1" customWidth="1"/>
    <col min="14850" max="14850" width="20.54296875" style="145" customWidth="1"/>
    <col min="14851" max="14851" width="10.81640625" style="145" bestFit="1" customWidth="1"/>
    <col min="14852" max="14852" width="22.7265625" style="145" customWidth="1"/>
    <col min="14853" max="14853" width="16.54296875" style="145" bestFit="1" customWidth="1"/>
    <col min="14854" max="14854" width="20.54296875" style="145" bestFit="1" customWidth="1"/>
    <col min="14855" max="14858" width="0" style="145" hidden="1" customWidth="1"/>
    <col min="14859" max="14859" width="14.54296875" style="145" customWidth="1"/>
    <col min="14860" max="14860" width="0" style="145" hidden="1" customWidth="1"/>
    <col min="14861" max="14861" width="14" style="145" bestFit="1" customWidth="1"/>
    <col min="14862" max="14862" width="19" style="145" customWidth="1"/>
    <col min="14863" max="14863" width="19.54296875" style="145" customWidth="1"/>
    <col min="14864" max="14864" width="3.26953125" style="145" customWidth="1"/>
    <col min="14865" max="14865" width="37.453125" style="145" customWidth="1"/>
    <col min="14866" max="14866" width="16.453125" style="145" bestFit="1" customWidth="1"/>
    <col min="14867" max="14867" width="4" style="145" bestFit="1" customWidth="1"/>
    <col min="14868" max="14868" width="6.1796875" style="145" bestFit="1" customWidth="1"/>
    <col min="14869" max="14869" width="4.1796875" style="145" bestFit="1" customWidth="1"/>
    <col min="14870" max="14870" width="8.26953125" style="145" bestFit="1" customWidth="1"/>
    <col min="14871" max="15104" width="9.1796875" style="145"/>
    <col min="15105" max="15105" width="23.1796875" style="145" bestFit="1" customWidth="1"/>
    <col min="15106" max="15106" width="20.54296875" style="145" customWidth="1"/>
    <col min="15107" max="15107" width="10.81640625" style="145" bestFit="1" customWidth="1"/>
    <col min="15108" max="15108" width="22.7265625" style="145" customWidth="1"/>
    <col min="15109" max="15109" width="16.54296875" style="145" bestFit="1" customWidth="1"/>
    <col min="15110" max="15110" width="20.54296875" style="145" bestFit="1" customWidth="1"/>
    <col min="15111" max="15114" width="0" style="145" hidden="1" customWidth="1"/>
    <col min="15115" max="15115" width="14.54296875" style="145" customWidth="1"/>
    <col min="15116" max="15116" width="0" style="145" hidden="1" customWidth="1"/>
    <col min="15117" max="15117" width="14" style="145" bestFit="1" customWidth="1"/>
    <col min="15118" max="15118" width="19" style="145" customWidth="1"/>
    <col min="15119" max="15119" width="19.54296875" style="145" customWidth="1"/>
    <col min="15120" max="15120" width="3.26953125" style="145" customWidth="1"/>
    <col min="15121" max="15121" width="37.453125" style="145" customWidth="1"/>
    <col min="15122" max="15122" width="16.453125" style="145" bestFit="1" customWidth="1"/>
    <col min="15123" max="15123" width="4" style="145" bestFit="1" customWidth="1"/>
    <col min="15124" max="15124" width="6.1796875" style="145" bestFit="1" customWidth="1"/>
    <col min="15125" max="15125" width="4.1796875" style="145" bestFit="1" customWidth="1"/>
    <col min="15126" max="15126" width="8.26953125" style="145" bestFit="1" customWidth="1"/>
    <col min="15127" max="15360" width="9.1796875" style="145"/>
    <col min="15361" max="15361" width="23.1796875" style="145" bestFit="1" customWidth="1"/>
    <col min="15362" max="15362" width="20.54296875" style="145" customWidth="1"/>
    <col min="15363" max="15363" width="10.81640625" style="145" bestFit="1" customWidth="1"/>
    <col min="15364" max="15364" width="22.7265625" style="145" customWidth="1"/>
    <col min="15365" max="15365" width="16.54296875" style="145" bestFit="1" customWidth="1"/>
    <col min="15366" max="15366" width="20.54296875" style="145" bestFit="1" customWidth="1"/>
    <col min="15367" max="15370" width="0" style="145" hidden="1" customWidth="1"/>
    <col min="15371" max="15371" width="14.54296875" style="145" customWidth="1"/>
    <col min="15372" max="15372" width="0" style="145" hidden="1" customWidth="1"/>
    <col min="15373" max="15373" width="14" style="145" bestFit="1" customWidth="1"/>
    <col min="15374" max="15374" width="19" style="145" customWidth="1"/>
    <col min="15375" max="15375" width="19.54296875" style="145" customWidth="1"/>
    <col min="15376" max="15376" width="3.26953125" style="145" customWidth="1"/>
    <col min="15377" max="15377" width="37.453125" style="145" customWidth="1"/>
    <col min="15378" max="15378" width="16.453125" style="145" bestFit="1" customWidth="1"/>
    <col min="15379" max="15379" width="4" style="145" bestFit="1" customWidth="1"/>
    <col min="15380" max="15380" width="6.1796875" style="145" bestFit="1" customWidth="1"/>
    <col min="15381" max="15381" width="4.1796875" style="145" bestFit="1" customWidth="1"/>
    <col min="15382" max="15382" width="8.26953125" style="145" bestFit="1" customWidth="1"/>
    <col min="15383" max="15616" width="9.1796875" style="145"/>
    <col min="15617" max="15617" width="23.1796875" style="145" bestFit="1" customWidth="1"/>
    <col min="15618" max="15618" width="20.54296875" style="145" customWidth="1"/>
    <col min="15619" max="15619" width="10.81640625" style="145" bestFit="1" customWidth="1"/>
    <col min="15620" max="15620" width="22.7265625" style="145" customWidth="1"/>
    <col min="15621" max="15621" width="16.54296875" style="145" bestFit="1" customWidth="1"/>
    <col min="15622" max="15622" width="20.54296875" style="145" bestFit="1" customWidth="1"/>
    <col min="15623" max="15626" width="0" style="145" hidden="1" customWidth="1"/>
    <col min="15627" max="15627" width="14.54296875" style="145" customWidth="1"/>
    <col min="15628" max="15628" width="0" style="145" hidden="1" customWidth="1"/>
    <col min="15629" max="15629" width="14" style="145" bestFit="1" customWidth="1"/>
    <col min="15630" max="15630" width="19" style="145" customWidth="1"/>
    <col min="15631" max="15631" width="19.54296875" style="145" customWidth="1"/>
    <col min="15632" max="15632" width="3.26953125" style="145" customWidth="1"/>
    <col min="15633" max="15633" width="37.453125" style="145" customWidth="1"/>
    <col min="15634" max="15634" width="16.453125" style="145" bestFit="1" customWidth="1"/>
    <col min="15635" max="15635" width="4" style="145" bestFit="1" customWidth="1"/>
    <col min="15636" max="15636" width="6.1796875" style="145" bestFit="1" customWidth="1"/>
    <col min="15637" max="15637" width="4.1796875" style="145" bestFit="1" customWidth="1"/>
    <col min="15638" max="15638" width="8.26953125" style="145" bestFit="1" customWidth="1"/>
    <col min="15639" max="15872" width="9.1796875" style="145"/>
    <col min="15873" max="15873" width="23.1796875" style="145" bestFit="1" customWidth="1"/>
    <col min="15874" max="15874" width="20.54296875" style="145" customWidth="1"/>
    <col min="15875" max="15875" width="10.81640625" style="145" bestFit="1" customWidth="1"/>
    <col min="15876" max="15876" width="22.7265625" style="145" customWidth="1"/>
    <col min="15877" max="15877" width="16.54296875" style="145" bestFit="1" customWidth="1"/>
    <col min="15878" max="15878" width="20.54296875" style="145" bestFit="1" customWidth="1"/>
    <col min="15879" max="15882" width="0" style="145" hidden="1" customWidth="1"/>
    <col min="15883" max="15883" width="14.54296875" style="145" customWidth="1"/>
    <col min="15884" max="15884" width="0" style="145" hidden="1" customWidth="1"/>
    <col min="15885" max="15885" width="14" style="145" bestFit="1" customWidth="1"/>
    <col min="15886" max="15886" width="19" style="145" customWidth="1"/>
    <col min="15887" max="15887" width="19.54296875" style="145" customWidth="1"/>
    <col min="15888" max="15888" width="3.26953125" style="145" customWidth="1"/>
    <col min="15889" max="15889" width="37.453125" style="145" customWidth="1"/>
    <col min="15890" max="15890" width="16.453125" style="145" bestFit="1" customWidth="1"/>
    <col min="15891" max="15891" width="4" style="145" bestFit="1" customWidth="1"/>
    <col min="15892" max="15892" width="6.1796875" style="145" bestFit="1" customWidth="1"/>
    <col min="15893" max="15893" width="4.1796875" style="145" bestFit="1" customWidth="1"/>
    <col min="15894" max="15894" width="8.26953125" style="145" bestFit="1" customWidth="1"/>
    <col min="15895" max="16128" width="9.1796875" style="145"/>
    <col min="16129" max="16129" width="23.1796875" style="145" bestFit="1" customWidth="1"/>
    <col min="16130" max="16130" width="20.54296875" style="145" customWidth="1"/>
    <col min="16131" max="16131" width="10.81640625" style="145" bestFit="1" customWidth="1"/>
    <col min="16132" max="16132" width="22.7265625" style="145" customWidth="1"/>
    <col min="16133" max="16133" width="16.54296875" style="145" bestFit="1" customWidth="1"/>
    <col min="16134" max="16134" width="20.54296875" style="145" bestFit="1" customWidth="1"/>
    <col min="16135" max="16138" width="0" style="145" hidden="1" customWidth="1"/>
    <col min="16139" max="16139" width="14.54296875" style="145" customWidth="1"/>
    <col min="16140" max="16140" width="0" style="145" hidden="1" customWidth="1"/>
    <col min="16141" max="16141" width="14" style="145" bestFit="1" customWidth="1"/>
    <col min="16142" max="16142" width="19" style="145" customWidth="1"/>
    <col min="16143" max="16143" width="19.54296875" style="145" customWidth="1"/>
    <col min="16144" max="16144" width="3.26953125" style="145" customWidth="1"/>
    <col min="16145" max="16145" width="37.453125" style="145" customWidth="1"/>
    <col min="16146" max="16146" width="16.453125" style="145" bestFit="1" customWidth="1"/>
    <col min="16147" max="16147" width="4" style="145" bestFit="1" customWidth="1"/>
    <col min="16148" max="16148" width="6.1796875" style="145" bestFit="1" customWidth="1"/>
    <col min="16149" max="16149" width="4.1796875" style="145" bestFit="1" customWidth="1"/>
    <col min="16150" max="16150" width="8.26953125" style="145" bestFit="1" customWidth="1"/>
    <col min="16151" max="16384" width="9.1796875" style="145"/>
  </cols>
  <sheetData>
    <row r="1" spans="1:23" ht="14.5" thickBot="1">
      <c r="A1" s="439" t="s">
        <v>583</v>
      </c>
      <c r="B1" s="440"/>
      <c r="C1" s="440"/>
      <c r="D1" s="440"/>
      <c r="E1" s="440"/>
      <c r="F1" s="440"/>
      <c r="G1" s="440"/>
      <c r="H1" s="440"/>
      <c r="I1" s="440"/>
      <c r="J1" s="440"/>
      <c r="K1" s="440"/>
      <c r="L1" s="440"/>
      <c r="M1" s="440"/>
      <c r="N1" s="440"/>
      <c r="O1" s="441"/>
    </row>
    <row r="2" spans="1:23" ht="43.5" customHeight="1" thickBot="1">
      <c r="A2" s="442" t="s">
        <v>584</v>
      </c>
      <c r="B2" s="443"/>
      <c r="C2" s="443"/>
      <c r="D2" s="443"/>
      <c r="E2" s="443"/>
      <c r="F2" s="443"/>
      <c r="G2" s="443"/>
      <c r="H2" s="443"/>
      <c r="I2" s="443"/>
      <c r="J2" s="443"/>
      <c r="K2" s="443"/>
      <c r="L2" s="443"/>
      <c r="M2" s="443"/>
      <c r="N2" s="443"/>
      <c r="O2" s="444"/>
    </row>
    <row r="3" spans="1:23" ht="3.75" customHeight="1" thickBot="1"/>
    <row r="4" spans="1:23" ht="33.75" customHeight="1" thickBot="1">
      <c r="A4" s="445" t="s">
        <v>585</v>
      </c>
      <c r="B4" s="446"/>
      <c r="C4" s="446"/>
      <c r="D4" s="446"/>
      <c r="E4" s="446"/>
      <c r="F4" s="446"/>
      <c r="G4" s="446"/>
      <c r="H4" s="446"/>
      <c r="I4" s="446"/>
      <c r="J4" s="446"/>
      <c r="K4" s="446"/>
      <c r="L4" s="446"/>
      <c r="M4" s="446"/>
      <c r="N4" s="446"/>
      <c r="O4" s="447"/>
    </row>
    <row r="5" spans="1:23" ht="14.5" hidden="1" thickBot="1"/>
    <row r="6" spans="1:23" ht="15.75" customHeight="1" thickBot="1">
      <c r="A6" s="116" t="s">
        <v>586</v>
      </c>
      <c r="B6" s="146"/>
      <c r="C6" s="433"/>
      <c r="D6" s="433"/>
      <c r="E6" s="433"/>
      <c r="F6" s="433"/>
      <c r="G6" s="433"/>
      <c r="H6" s="433"/>
      <c r="I6" s="433"/>
      <c r="J6" s="433"/>
      <c r="K6" s="433"/>
      <c r="L6" s="433"/>
      <c r="M6" s="433"/>
      <c r="N6" s="433"/>
      <c r="O6" s="434"/>
    </row>
    <row r="7" spans="1:23" s="7" customFormat="1" ht="14.5" thickBot="1">
      <c r="A7" s="435" t="s">
        <v>587</v>
      </c>
      <c r="B7" s="436"/>
      <c r="C7" s="436"/>
      <c r="D7" s="436"/>
      <c r="E7" s="436"/>
      <c r="F7" s="436"/>
      <c r="G7" s="32"/>
      <c r="H7" s="32"/>
      <c r="I7" s="32"/>
      <c r="J7" s="32"/>
      <c r="K7" s="23" t="s">
        <v>588</v>
      </c>
      <c r="L7" s="24"/>
      <c r="M7" s="25" t="s">
        <v>589</v>
      </c>
      <c r="N7" s="21"/>
      <c r="O7" s="22"/>
    </row>
    <row r="8" spans="1:23" s="7" customFormat="1" ht="19.5" customHeight="1" thickBot="1">
      <c r="A8" s="437"/>
      <c r="B8" s="438"/>
      <c r="C8" s="438"/>
      <c r="D8" s="438"/>
      <c r="E8" s="438"/>
      <c r="F8" s="438"/>
      <c r="G8" s="32"/>
      <c r="H8" s="32"/>
      <c r="I8" s="32"/>
      <c r="J8" s="32"/>
      <c r="K8" s="26" t="s">
        <v>590</v>
      </c>
      <c r="L8" s="27"/>
      <c r="M8" s="28" t="s">
        <v>591</v>
      </c>
      <c r="N8" s="20"/>
      <c r="O8" s="29"/>
      <c r="R8" s="428" t="s">
        <v>1202</v>
      </c>
      <c r="S8" s="429"/>
      <c r="T8" s="429"/>
      <c r="U8" s="429"/>
      <c r="V8" s="429"/>
      <c r="W8" s="430"/>
    </row>
    <row r="9" spans="1:23" ht="21.5" thickBot="1">
      <c r="A9" s="147" t="s">
        <v>592</v>
      </c>
      <c r="B9" s="8" t="s">
        <v>593</v>
      </c>
      <c r="C9" s="12" t="s">
        <v>594</v>
      </c>
      <c r="D9" s="8" t="s">
        <v>595</v>
      </c>
      <c r="E9" s="8" t="s">
        <v>596</v>
      </c>
      <c r="F9" s="148" t="s">
        <v>597</v>
      </c>
      <c r="G9" s="8" t="s">
        <v>110</v>
      </c>
      <c r="H9" s="8" t="s">
        <v>598</v>
      </c>
      <c r="I9" s="8" t="s">
        <v>599</v>
      </c>
      <c r="J9" s="8" t="s">
        <v>147</v>
      </c>
      <c r="K9" s="9" t="s">
        <v>600</v>
      </c>
      <c r="L9" s="10"/>
      <c r="M9" s="10" t="s">
        <v>601</v>
      </c>
      <c r="N9" s="11" t="s">
        <v>602</v>
      </c>
      <c r="O9" s="11" t="s">
        <v>603</v>
      </c>
      <c r="R9" s="218"/>
      <c r="S9" s="219" t="s">
        <v>85</v>
      </c>
      <c r="T9" s="219" t="s">
        <v>1221</v>
      </c>
      <c r="U9" s="220"/>
      <c r="V9" s="220"/>
      <c r="W9" s="221" t="s">
        <v>1222</v>
      </c>
    </row>
    <row r="10" spans="1:23" ht="32" thickBot="1">
      <c r="A10" s="159"/>
      <c r="B10" s="160"/>
      <c r="C10" s="182"/>
      <c r="D10" s="182"/>
      <c r="E10" s="122"/>
      <c r="F10" s="183"/>
      <c r="G10" s="149" t="str">
        <f>IF(C10=ListMaster!$AH$5,0,IF(C10=ListMaster!$AI$5,ListMaster!$AI$6,IF(C10=ListMaster!$AJ$5,ListMaster!$AJ$6,IF(C10=ListMaster!$AK$5,ListMaster!$AK$6,""))))</f>
        <v/>
      </c>
      <c r="H10" s="149" t="str">
        <f>IF(D10=ListMaster!$AH$2,ListMaster!$AH$3,IF(D10=ListMaster!$AI$2,ListMaster!$AI$3,""))</f>
        <v/>
      </c>
      <c r="I10" s="149" t="str">
        <f>IF(L10=ListMaster!$AH$2,ListMaster!$AH$4,IF(L10=ListMaster!$AI$2,ListMaster!$AI$4,""))</f>
        <v/>
      </c>
      <c r="J10" s="149" t="str">
        <f>IF(F10=ListMaster!$AH$5,ListMaster!$AH$7,IF(F10=ListMaster!$AI$5,ListMaster!$AI$7,IF(F10=ListMaster!$AJ$5,ListMaster!$AJ$7,IF(F10=ListMaster!$AK$5,ListMaster!$AK$7,""))))</f>
        <v/>
      </c>
      <c r="K10" s="150" t="str">
        <f>IF(ISTEXT(B10),IF(ISNUMBER((G10*ListMaster!$AL$6+H10*ListMaster!$AL$3+I10*ListMaster!$AL$4+J10*ListMaster!$AL$7)/(ListMaster!$AH$3*ListMaster!$AL$3+ListMaster!$AH$4*ListMaster!$AL$4+ListMaster!$AI$6*ListMaster!$AL$6+ListMaster!$AI$7*ListMaster!$AL$7)),(G10*ListMaster!$AL$6+H10*ListMaster!$AL$3+I10*ListMaster!$AL$4+J10*ListMaster!$AL$7)/(ListMaster!$AH$3*ListMaster!$AL$3+ListMaster!$AH$4*ListMaster!$AL$4+ListMaster!$AI$6*ListMaster!$AL$6+ListMaster!$AI$7*ListMaster!$AL$7),IF(ISERROR((G10*ListMaster!$AL$6+H10*ListMaster!$AL$3+I10*ListMaster!$AL$4+J10*ListMaster!$AL$7)/(ListMaster!$AH$3*ListMaster!$AL$3+ListMaster!$AH$4*ListMaster!$AL$4+ListMaster!$AI$6*ListMaster!$AL$6+ListMaster!$AI$7*ListMaster!$AL$7)),"Data incomplete")),"")</f>
        <v/>
      </c>
      <c r="L10" s="151" t="str">
        <f t="shared" ref="L10:L20" si="0">IF(E10&lt;&gt;"",IF(E10="None","No","Yes"),"")</f>
        <v/>
      </c>
      <c r="M10" s="184" t="str">
        <f>IF(ISNUMBER(K10),IF(K10&gt;ListMaster!$AI$11,"Managed Statistically",IF(AND(K10&lt;ListMaster!$AI$11,K10&gt;ListMaster!$AI$12),"Managed Quantitatively","")),"")</f>
        <v/>
      </c>
      <c r="N10" s="125"/>
      <c r="O10" s="126"/>
      <c r="R10" s="223" t="s">
        <v>595</v>
      </c>
      <c r="S10" s="224">
        <v>1</v>
      </c>
      <c r="T10" s="224">
        <v>0</v>
      </c>
      <c r="U10" s="224"/>
      <c r="V10" s="224"/>
      <c r="W10" s="225">
        <v>0.15</v>
      </c>
    </row>
    <row r="11" spans="1:23" ht="32" thickBot="1">
      <c r="A11" s="127"/>
      <c r="B11" s="128"/>
      <c r="C11" s="129"/>
      <c r="D11" s="130"/>
      <c r="E11" s="122"/>
      <c r="F11" s="131"/>
      <c r="G11" s="154" t="str">
        <f>IF(C11=ListMaster!$AH$5,0,IF(C11=ListMaster!$AI$5,ListMaster!$AI$6,IF(C11=ListMaster!$AJ$5,ListMaster!$AJ$6,IF(C11=ListMaster!$AK$5,ListMaster!$AK$6,""))))</f>
        <v/>
      </c>
      <c r="H11" s="154" t="str">
        <f>IF(D11=ListMaster!$AH$2,ListMaster!$AH$3,IF(D11=ListMaster!$AI$2,ListMaster!$AI$3,""))</f>
        <v/>
      </c>
      <c r="I11" s="149" t="str">
        <f>IF(L11=ListMaster!$AH$2,ListMaster!$AH$4,IF(L11=ListMaster!$AI$2,ListMaster!$AI$4,""))</f>
        <v/>
      </c>
      <c r="J11" s="154" t="str">
        <f>IF(F11=ListMaster!$AH$5,ListMaster!$AH$7,IF(F11=ListMaster!$AI$5,ListMaster!$AI$7,IF(F11=ListMaster!$AJ$5,ListMaster!$AJ$7,IF(F11=ListMaster!$AK$5,ListMaster!$AK$7,""))))</f>
        <v/>
      </c>
      <c r="K11" s="185" t="str">
        <f>IF(ISTEXT(B11),IF(ISNUMBER((G11*ListMaster!$AL$6+H11*ListMaster!$AL$3+I11*ListMaster!$AL$4+J11*ListMaster!$AL$7)/(ListMaster!$AH$3*ListMaster!$AL$3+ListMaster!$AH$4*ListMaster!$AL$4+ListMaster!$AI$6*ListMaster!$AL$6+ListMaster!$AI$7*ListMaster!$AL$7)),(G11*ListMaster!$AL$6+H11*ListMaster!$AL$3+I11*ListMaster!$AL$4+J11*ListMaster!$AL$7)/(ListMaster!$AH$3*ListMaster!$AL$3+ListMaster!$AH$4*ListMaster!$AL$4+ListMaster!$AI$6*ListMaster!$AL$6+ListMaster!$AI$7*ListMaster!$AL$7),IF(ISERROR((G11*ListMaster!$AL$6+H11*ListMaster!$AL$3+I11*ListMaster!$AL$4+J11*ListMaster!$AL$7)/(ListMaster!$AH$3*ListMaster!$AL$3+ListMaster!$AH$4*ListMaster!$AL$4+ListMaster!$AI$6*ListMaster!$AL$6+ListMaster!$AI$7*ListMaster!$AL$7)),"Data incomplete")),"")</f>
        <v/>
      </c>
      <c r="L11" s="151" t="str">
        <f t="shared" si="0"/>
        <v/>
      </c>
      <c r="M11" s="186" t="str">
        <f>IF(ISNUMBER(K11),IF(K11&gt;ListMaster!$AI$11,"Managed Statistically",IF(AND(K11&lt;ListMaster!$AI$11,K11&gt;ListMaster!$AI$12),"Managed Quantitatively","")),"")</f>
        <v/>
      </c>
      <c r="N11" s="155"/>
      <c r="O11" s="156"/>
      <c r="R11" s="223" t="s">
        <v>1252</v>
      </c>
      <c r="S11" s="224">
        <v>1</v>
      </c>
      <c r="T11" s="224">
        <v>0</v>
      </c>
      <c r="U11" s="228"/>
      <c r="V11" s="228"/>
      <c r="W11" s="225">
        <v>0.3</v>
      </c>
    </row>
    <row r="12" spans="1:23" ht="20.5" thickBot="1">
      <c r="A12" s="127"/>
      <c r="B12" s="128"/>
      <c r="C12" s="129"/>
      <c r="D12" s="130"/>
      <c r="E12" s="122"/>
      <c r="F12" s="131"/>
      <c r="G12" s="149" t="str">
        <f>IF(C12=ListMaster!$AH$5,0,IF(C12=ListMaster!$AI$5,ListMaster!$AI$6,IF(C12=ListMaster!$AJ$5,ListMaster!$AJ$6,IF(C12=ListMaster!$AK$5,ListMaster!$AK$6,""))))</f>
        <v/>
      </c>
      <c r="H12" s="149" t="str">
        <f>IF(D12=ListMaster!$AH$2,ListMaster!$AH$3,IF(D12=ListMaster!$AI$2,ListMaster!$AI$3,""))</f>
        <v/>
      </c>
      <c r="I12" s="149" t="str">
        <f>IF(L12=ListMaster!$AH$2,ListMaster!$AH$4,IF(L12=ListMaster!$AI$2,ListMaster!$AI$4,""))</f>
        <v/>
      </c>
      <c r="J12" s="149" t="str">
        <f>IF(F12=ListMaster!$AH$5,ListMaster!$AH$7,IF(F12=ListMaster!$AI$5,ListMaster!$AI$7,IF(F12=ListMaster!$AJ$5,ListMaster!$AJ$7,IF(F12=ListMaster!$AK$5,ListMaster!$AK$7,""))))</f>
        <v/>
      </c>
      <c r="K12" s="157" t="str">
        <f>IF(ISTEXT(B12),IF(ISNUMBER((G12*ListMaster!$AL$6+H12*ListMaster!$AL$3+I12*ListMaster!$AL$4+J12*ListMaster!$AL$7)/(ListMaster!$AH$3*ListMaster!$AL$3+ListMaster!$AH$4*ListMaster!$AL$4+ListMaster!$AI$6*ListMaster!$AL$6+ListMaster!$AI$7*ListMaster!$AL$7)),(G12*ListMaster!$AL$6+H12*ListMaster!$AL$3+I12*ListMaster!$AL$4+J12*ListMaster!$AL$7)/(ListMaster!$AH$3*ListMaster!$AL$3+ListMaster!$AH$4*ListMaster!$AL$4+ListMaster!$AI$6*ListMaster!$AL$6+ListMaster!$AI$7*ListMaster!$AL$7),IF(ISERROR((G12*ListMaster!$AL$6+H12*ListMaster!$AL$3+I12*ListMaster!$AL$4+J12*ListMaster!$AL$7)/(ListMaster!$AH$3*ListMaster!$AL$3+ListMaster!$AH$4*ListMaster!$AL$4+ListMaster!$AI$6*ListMaster!$AL$6+ListMaster!$AI$7*ListMaster!$AL$7)),"Data incomplete")),"")</f>
        <v/>
      </c>
      <c r="L12" s="151" t="str">
        <f t="shared" si="0"/>
        <v/>
      </c>
      <c r="M12" s="186" t="str">
        <f>IF(ISNUMBER(K12),IF(K12&gt;ListMaster!$AI$11,"Managed Statistically",IF(AND(K12&lt;ListMaster!$AI$11,K12&gt;ListMaster!$AI$12),"Managed Quantitatively","")),"")</f>
        <v/>
      </c>
      <c r="N12" s="158"/>
      <c r="O12" s="156"/>
      <c r="R12" s="229"/>
      <c r="S12" s="230" t="s">
        <v>288</v>
      </c>
      <c r="T12" s="230" t="s">
        <v>1267</v>
      </c>
      <c r="U12" s="230" t="s">
        <v>1268</v>
      </c>
      <c r="V12" s="230" t="s">
        <v>1269</v>
      </c>
      <c r="W12" s="225"/>
    </row>
    <row r="13" spans="1:23" ht="21.5" thickBot="1">
      <c r="A13" s="159"/>
      <c r="B13" s="160"/>
      <c r="C13" s="122"/>
      <c r="D13" s="122"/>
      <c r="E13" s="122"/>
      <c r="F13" s="122"/>
      <c r="G13" s="149" t="str">
        <f>IF(C13=ListMaster!$AH$5,0,IF(C13=ListMaster!$AI$5,ListMaster!$AI$6,IF(C13=ListMaster!$AJ$5,ListMaster!$AJ$6,IF(C13=ListMaster!$AK$5,ListMaster!$AK$6,""))))</f>
        <v/>
      </c>
      <c r="H13" s="149" t="str">
        <f>IF(D13=ListMaster!$AH$2,ListMaster!$AH$3,IF(D13=ListMaster!$AI$2,ListMaster!$AI$3,""))</f>
        <v/>
      </c>
      <c r="I13" s="149" t="str">
        <f>IF(L13=ListMaster!$AH$2,ListMaster!$AH$4,IF(L13=ListMaster!$AI$2,ListMaster!$AI$4,""))</f>
        <v/>
      </c>
      <c r="J13" s="149" t="str">
        <f>IF(F13=ListMaster!$AH$5,ListMaster!$AH$7,IF(F13=ListMaster!$AI$5,ListMaster!$AI$7,IF(F13=ListMaster!$AJ$5,ListMaster!$AJ$7,IF(F13=ListMaster!$AK$5,ListMaster!$AK$7,""))))</f>
        <v/>
      </c>
      <c r="K13" s="157" t="str">
        <f>IF(ISTEXT(B13),IF(ISNUMBER((G13*ListMaster!$AL$6+H13*ListMaster!$AL$3+I13*ListMaster!$AL$4+J13*ListMaster!$AL$7)/(ListMaster!$AH$3*ListMaster!$AL$3+ListMaster!$AH$4*ListMaster!$AL$4+ListMaster!$AI$6*ListMaster!$AL$6+ListMaster!$AI$7*ListMaster!$AL$7)),(G13*ListMaster!$AL$6+H13*ListMaster!$AL$3+I13*ListMaster!$AL$4+J13*ListMaster!$AL$7)/(ListMaster!$AH$3*ListMaster!$AL$3+ListMaster!$AH$4*ListMaster!$AL$4+ListMaster!$AI$6*ListMaster!$AL$6+ListMaster!$AI$7*ListMaster!$AL$7),IF(ISERROR((G13*ListMaster!$AL$6+H13*ListMaster!$AL$3+I13*ListMaster!$AL$4+J13*ListMaster!$AL$7)/(ListMaster!$AH$3*ListMaster!$AL$3+ListMaster!$AH$4*ListMaster!$AL$4+ListMaster!$AI$6*ListMaster!$AL$6+ListMaster!$AI$7*ListMaster!$AL$7)),"Data incomplete")),"")</f>
        <v/>
      </c>
      <c r="L13" s="151" t="str">
        <f t="shared" si="0"/>
        <v/>
      </c>
      <c r="M13" s="186" t="str">
        <f>IF(ISNUMBER(K13),IF(K13&gt;ListMaster!$AI$11,"Managed Statistically",IF(AND(K13&lt;ListMaster!$AI$11,K13&gt;ListMaster!$AI$12),"Managed Quantitatively","")),"")</f>
        <v/>
      </c>
      <c r="N13" s="158"/>
      <c r="O13" s="156"/>
      <c r="R13" s="12" t="s">
        <v>594</v>
      </c>
      <c r="S13" s="224">
        <v>0</v>
      </c>
      <c r="T13" s="224">
        <v>3</v>
      </c>
      <c r="U13" s="224">
        <v>2</v>
      </c>
      <c r="V13" s="224">
        <v>1</v>
      </c>
      <c r="W13" s="225">
        <v>0.25</v>
      </c>
    </row>
    <row r="14" spans="1:23" ht="32" thickBot="1">
      <c r="A14" s="159"/>
      <c r="B14" s="160"/>
      <c r="C14" s="122"/>
      <c r="D14" s="122"/>
      <c r="E14" s="122"/>
      <c r="F14" s="122"/>
      <c r="G14" s="149" t="str">
        <f>IF(C14=ListMaster!$AH$5,0,IF(C14=ListMaster!$AI$5,ListMaster!$AI$6,IF(C14=ListMaster!$AJ$5,ListMaster!$AJ$6,IF(C14=ListMaster!$AK$5,ListMaster!$AK$6,""))))</f>
        <v/>
      </c>
      <c r="H14" s="149" t="str">
        <f>IF(D14=ListMaster!$AH$2,ListMaster!$AH$3,IF(D14=ListMaster!$AI$2,ListMaster!$AI$3,""))</f>
        <v/>
      </c>
      <c r="I14" s="149" t="str">
        <f>IF(L14=ListMaster!$AH$2,ListMaster!$AH$4,IF(L14=ListMaster!$AI$2,ListMaster!$AI$4,""))</f>
        <v/>
      </c>
      <c r="J14" s="149" t="str">
        <f>IF(F14=ListMaster!$AH$5,ListMaster!$AH$7,IF(F14=ListMaster!$AI$5,ListMaster!$AI$7,IF(F14=ListMaster!$AJ$5,ListMaster!$AJ$7,IF(F14=ListMaster!$AK$5,ListMaster!$AK$7,""))))</f>
        <v/>
      </c>
      <c r="K14" s="157" t="str">
        <f>IF(ISTEXT(B14),IF(ISNUMBER((G14*ListMaster!$AL$6+H14*ListMaster!$AL$3+I14*ListMaster!$AL$4+J14*ListMaster!$AL$7)/(ListMaster!$AH$3*ListMaster!$AL$3+ListMaster!$AH$4*ListMaster!$AL$4+ListMaster!$AI$6*ListMaster!$AL$6+ListMaster!$AI$7*ListMaster!$AL$7)),(G14*ListMaster!$AL$6+H14*ListMaster!$AL$3+I14*ListMaster!$AL$4+J14*ListMaster!$AL$7)/(ListMaster!$AH$3*ListMaster!$AL$3+ListMaster!$AH$4*ListMaster!$AL$4+ListMaster!$AI$6*ListMaster!$AL$6+ListMaster!$AI$7*ListMaster!$AL$7),IF(ISERROR((G14*ListMaster!$AL$6+H14*ListMaster!$AL$3+I14*ListMaster!$AL$4+J14*ListMaster!$AL$7)/(ListMaster!$AH$3*ListMaster!$AL$3+ListMaster!$AH$4*ListMaster!$AL$4+ListMaster!$AI$6*ListMaster!$AL$6+ListMaster!$AI$7*ListMaster!$AL$7)),"Data incomplete")),"")</f>
        <v/>
      </c>
      <c r="L14" s="151" t="str">
        <f t="shared" si="0"/>
        <v/>
      </c>
      <c r="M14" s="186" t="str">
        <f>IF(ISNUMBER(K14),IF(K14&gt;ListMaster!$AI$11,"Managed Statistically",IF(AND(K14&lt;ListMaster!$AI$11,K14&gt;ListMaster!$AI$12),"Managed Quantitatively","")),"")</f>
        <v/>
      </c>
      <c r="N14" s="158"/>
      <c r="O14" s="156"/>
      <c r="R14" s="232" t="s">
        <v>1292</v>
      </c>
      <c r="S14" s="233">
        <v>0</v>
      </c>
      <c r="T14" s="233">
        <v>3</v>
      </c>
      <c r="U14" s="233">
        <v>2</v>
      </c>
      <c r="V14" s="233">
        <v>1</v>
      </c>
      <c r="W14" s="234">
        <v>0.3</v>
      </c>
    </row>
    <row r="15" spans="1:23" ht="14.5" thickBot="1">
      <c r="A15" s="159"/>
      <c r="B15" s="160"/>
      <c r="C15" s="122"/>
      <c r="D15" s="122"/>
      <c r="E15" s="122"/>
      <c r="F15" s="122"/>
      <c r="G15" s="149" t="str">
        <f>IF(C15=ListMaster!$AH$5,0,IF(C15=ListMaster!$AI$5,ListMaster!$AI$6,IF(C15=ListMaster!$AJ$5,ListMaster!$AJ$6,IF(C15=ListMaster!$AK$5,ListMaster!$AK$6,""))))</f>
        <v/>
      </c>
      <c r="H15" s="149" t="str">
        <f>IF(D15=ListMaster!$AH$2,ListMaster!$AH$3,IF(D15=ListMaster!$AI$2,ListMaster!$AI$3,""))</f>
        <v/>
      </c>
      <c r="I15" s="149" t="str">
        <f>IF(L15=ListMaster!$AH$2,ListMaster!$AH$4,IF(L15=ListMaster!$AI$2,ListMaster!$AI$4,""))</f>
        <v/>
      </c>
      <c r="J15" s="149" t="str">
        <f>IF(F15=ListMaster!$AH$5,ListMaster!$AH$7,IF(F15=ListMaster!$AI$5,ListMaster!$AI$7,IF(F15=ListMaster!$AJ$5,ListMaster!$AJ$7,IF(F15=ListMaster!$AK$5,ListMaster!$AK$7,""))))</f>
        <v/>
      </c>
      <c r="K15" s="157" t="str">
        <f>IF(ISTEXT(B15),IF(ISNUMBER((G15*ListMaster!$AL$6+H15*ListMaster!$AL$3+I15*ListMaster!$AL$4+J15*ListMaster!$AL$7)/(ListMaster!$AH$3*ListMaster!$AL$3+ListMaster!$AH$4*ListMaster!$AL$4+ListMaster!$AI$6*ListMaster!$AL$6+ListMaster!$AI$7*ListMaster!$AL$7)),(G15*ListMaster!$AL$6+H15*ListMaster!$AL$3+I15*ListMaster!$AL$4+J15*ListMaster!$AL$7)/(ListMaster!$AH$3*ListMaster!$AL$3+ListMaster!$AH$4*ListMaster!$AL$4+ListMaster!$AI$6*ListMaster!$AL$6+ListMaster!$AI$7*ListMaster!$AL$7),IF(ISERROR((G15*ListMaster!$AL$6+H15*ListMaster!$AL$3+I15*ListMaster!$AL$4+J15*ListMaster!$AL$7)/(ListMaster!$AH$3*ListMaster!$AL$3+ListMaster!$AH$4*ListMaster!$AL$4+ListMaster!$AI$6*ListMaster!$AL$6+ListMaster!$AI$7*ListMaster!$AL$7)),"Data incomplete")),"")</f>
        <v/>
      </c>
      <c r="L15" s="151" t="str">
        <f t="shared" si="0"/>
        <v/>
      </c>
      <c r="M15" s="186" t="str">
        <f>IF(ISNUMBER(K15),IF(K15&gt;ListMaster!$AI$11,"Managed Statistically",IF(AND(K15&lt;ListMaster!$AI$11,K15&gt;ListMaster!$AI$12),"Managed Quantitatively","")),"")</f>
        <v/>
      </c>
      <c r="N15" s="158"/>
      <c r="O15" s="156"/>
    </row>
    <row r="16" spans="1:23" ht="14.5" thickBot="1">
      <c r="A16" s="159"/>
      <c r="B16" s="160"/>
      <c r="C16" s="122"/>
      <c r="D16" s="122"/>
      <c r="E16" s="122"/>
      <c r="F16" s="122"/>
      <c r="G16" s="149" t="str">
        <f>IF(C16=ListMaster!$AH$5,0,IF(C16=ListMaster!$AI$5,ListMaster!$AI$6,IF(C16=ListMaster!$AJ$5,ListMaster!$AJ$6,IF(C16=ListMaster!$AK$5,ListMaster!$AK$6,""))))</f>
        <v/>
      </c>
      <c r="H16" s="149" t="str">
        <f>IF(D16=ListMaster!$AH$2,ListMaster!$AH$3,IF(D16=ListMaster!$AI$2,ListMaster!$AI$3,""))</f>
        <v/>
      </c>
      <c r="I16" s="149" t="str">
        <f>IF(L16=ListMaster!$AH$2,ListMaster!$AH$4,IF(L16=ListMaster!$AI$2,ListMaster!$AI$4,""))</f>
        <v/>
      </c>
      <c r="J16" s="149" t="str">
        <f>IF(F16=ListMaster!$AH$5,ListMaster!$AH$7,IF(F16=ListMaster!$AI$5,ListMaster!$AI$7,IF(F16=ListMaster!$AJ$5,ListMaster!$AJ$7,IF(F16=ListMaster!$AK$5,ListMaster!$AK$7,""))))</f>
        <v/>
      </c>
      <c r="K16" s="157" t="str">
        <f>IF(ISTEXT(B16),IF(ISNUMBER((G16*ListMaster!$AL$6+H16*ListMaster!$AL$3+I16*ListMaster!$AL$4+J16*ListMaster!$AL$7)/(ListMaster!$AH$3*ListMaster!$AL$3+ListMaster!$AH$4*ListMaster!$AL$4+ListMaster!$AI$6*ListMaster!$AL$6+ListMaster!$AI$7*ListMaster!$AL$7)),(G16*ListMaster!$AL$6+H16*ListMaster!$AL$3+I16*ListMaster!$AL$4+J16*ListMaster!$AL$7)/(ListMaster!$AH$3*ListMaster!$AL$3+ListMaster!$AH$4*ListMaster!$AL$4+ListMaster!$AI$6*ListMaster!$AL$6+ListMaster!$AI$7*ListMaster!$AL$7),IF(ISERROR((G16*ListMaster!$AL$6+H16*ListMaster!$AL$3+I16*ListMaster!$AL$4+J16*ListMaster!$AL$7)/(ListMaster!$AH$3*ListMaster!$AL$3+ListMaster!$AH$4*ListMaster!$AL$4+ListMaster!$AI$6*ListMaster!$AL$6+ListMaster!$AI$7*ListMaster!$AL$7)),"Data incomplete")),"")</f>
        <v/>
      </c>
      <c r="L16" s="151" t="str">
        <f t="shared" si="0"/>
        <v/>
      </c>
      <c r="M16" s="186" t="str">
        <f>IF(ISNUMBER(K16),IF(K16&gt;ListMaster!$AI$11,"Managed Statistically",IF(AND(K16&lt;ListMaster!$AI$11,K16&gt;ListMaster!$AI$12),"Managed Quantitatively","")),"")</f>
        <v/>
      </c>
      <c r="N16" s="158"/>
      <c r="O16" s="156"/>
      <c r="R16" s="431" t="s">
        <v>1312</v>
      </c>
      <c r="S16" s="432"/>
      <c r="T16" s="432"/>
      <c r="U16" s="432"/>
      <c r="V16" s="432"/>
      <c r="W16" s="432"/>
    </row>
    <row r="17" spans="1:20" ht="21.5" thickBot="1">
      <c r="A17" s="159"/>
      <c r="B17" s="160"/>
      <c r="C17" s="122"/>
      <c r="D17" s="122"/>
      <c r="E17" s="122"/>
      <c r="F17" s="122"/>
      <c r="G17" s="149" t="str">
        <f>IF(C17=ListMaster!$AH$5,0,IF(C17=ListMaster!$AI$5,ListMaster!$AI$6,IF(C17=ListMaster!$AJ$5,ListMaster!$AJ$6,IF(C17=ListMaster!$AK$5,ListMaster!$AK$6,""))))</f>
        <v/>
      </c>
      <c r="H17" s="149" t="str">
        <f>IF(D17=ListMaster!$AH$2,ListMaster!$AH$3,IF(D17=ListMaster!$AI$2,ListMaster!$AI$3,""))</f>
        <v/>
      </c>
      <c r="I17" s="149" t="str">
        <f>IF(L17=ListMaster!$AH$2,ListMaster!$AH$4,IF(L17=ListMaster!$AI$2,ListMaster!$AI$4,""))</f>
        <v/>
      </c>
      <c r="J17" s="149" t="str">
        <f>IF(F17=ListMaster!$AH$5,ListMaster!$AH$7,IF(F17=ListMaster!$AI$5,ListMaster!$AI$7,IF(F17=ListMaster!$AJ$5,ListMaster!$AJ$7,IF(F17=ListMaster!$AK$5,ListMaster!$AK$7,""))))</f>
        <v/>
      </c>
      <c r="K17" s="157" t="str">
        <f>IF(ISTEXT(B17),IF(ISNUMBER((G17*ListMaster!$AL$6+H17*ListMaster!$AL$3+I17*ListMaster!$AL$4+J17*ListMaster!$AL$7)/(ListMaster!$AH$3*ListMaster!$AL$3+ListMaster!$AH$4*ListMaster!$AL$4+ListMaster!$AI$6*ListMaster!$AL$6+ListMaster!$AI$7*ListMaster!$AL$7)),(G17*ListMaster!$AL$6+H17*ListMaster!$AL$3+I17*ListMaster!$AL$4+J17*ListMaster!$AL$7)/(ListMaster!$AH$3*ListMaster!$AL$3+ListMaster!$AH$4*ListMaster!$AL$4+ListMaster!$AI$6*ListMaster!$AL$6+ListMaster!$AI$7*ListMaster!$AL$7),IF(ISERROR((G17*ListMaster!$AL$6+H17*ListMaster!$AL$3+I17*ListMaster!$AL$4+J17*ListMaster!$AL$7)/(ListMaster!$AH$3*ListMaster!$AL$3+ListMaster!$AH$4*ListMaster!$AL$4+ListMaster!$AI$6*ListMaster!$AL$6+ListMaster!$AI$7*ListMaster!$AL$7)),"Data incomplete")),"")</f>
        <v/>
      </c>
      <c r="L17" s="151" t="str">
        <f t="shared" si="0"/>
        <v/>
      </c>
      <c r="M17" s="186" t="str">
        <f>IF(ISNUMBER(K17),IF(K17&gt;ListMaster!$AI$11,"Managed Statistically",IF(AND(K17&lt;ListMaster!$AI$11,K17&gt;ListMaster!$AI$12),"Managed Quantitatively","")),"")</f>
        <v/>
      </c>
      <c r="N17" s="158"/>
      <c r="O17" s="156"/>
      <c r="R17" s="235" t="s">
        <v>601</v>
      </c>
      <c r="S17" s="236" t="s">
        <v>600</v>
      </c>
    </row>
    <row r="18" spans="1:20" ht="14.5" thickBot="1">
      <c r="A18" s="159"/>
      <c r="B18" s="160"/>
      <c r="C18" s="122"/>
      <c r="D18" s="122"/>
      <c r="E18" s="122"/>
      <c r="F18" s="122"/>
      <c r="G18" s="149" t="str">
        <f>IF(C18=ListMaster!$AH$5,0,IF(C18=ListMaster!$AI$5,ListMaster!$AI$6,IF(C18=ListMaster!$AJ$5,ListMaster!$AJ$6,IF(C18=ListMaster!$AK$5,ListMaster!$AK$6,""))))</f>
        <v/>
      </c>
      <c r="H18" s="149" t="str">
        <f>IF(D18=ListMaster!$AH$2,ListMaster!$AH$3,IF(D18=ListMaster!$AI$2,ListMaster!$AI$3,""))</f>
        <v/>
      </c>
      <c r="I18" s="149" t="str">
        <f>IF(L18=ListMaster!$AH$2,ListMaster!$AH$4,IF(L18=ListMaster!$AI$2,ListMaster!$AI$4,""))</f>
        <v/>
      </c>
      <c r="J18" s="149" t="str">
        <f>IF(F18=ListMaster!$AH$5,ListMaster!$AH$7,IF(F18=ListMaster!$AI$5,ListMaster!$AI$7,IF(F18=ListMaster!$AJ$5,ListMaster!$AJ$7,IF(F18=ListMaster!$AK$5,ListMaster!$AK$7,""))))</f>
        <v/>
      </c>
      <c r="K18" s="157" t="str">
        <f>IF(ISTEXT(B18),IF(ISNUMBER((G18*ListMaster!$AL$6+H18*ListMaster!$AL$3+I18*ListMaster!$AL$4+J18*ListMaster!$AL$7)/(ListMaster!$AH$3*ListMaster!$AL$3+ListMaster!$AH$4*ListMaster!$AL$4+ListMaster!$AI$6*ListMaster!$AL$6+ListMaster!$AI$7*ListMaster!$AL$7)),(G18*ListMaster!$AL$6+H18*ListMaster!$AL$3+I18*ListMaster!$AL$4+J18*ListMaster!$AL$7)/(ListMaster!$AH$3*ListMaster!$AL$3+ListMaster!$AH$4*ListMaster!$AL$4+ListMaster!$AI$6*ListMaster!$AL$6+ListMaster!$AI$7*ListMaster!$AL$7),IF(ISERROR((G18*ListMaster!$AL$6+H18*ListMaster!$AL$3+I18*ListMaster!$AL$4+J18*ListMaster!$AL$7)/(ListMaster!$AH$3*ListMaster!$AL$3+ListMaster!$AH$4*ListMaster!$AL$4+ListMaster!$AI$6*ListMaster!$AL$6+ListMaster!$AI$7*ListMaster!$AL$7)),"Data incomplete")),"")</f>
        <v/>
      </c>
      <c r="L18" s="151" t="str">
        <f t="shared" si="0"/>
        <v/>
      </c>
      <c r="M18" s="186" t="str">
        <f>IF(ISNUMBER(K18),IF(K18&gt;ListMaster!$AI$11,"Managed Statistically",IF(AND(K18&lt;ListMaster!$AI$11,K18&gt;ListMaster!$AI$12),"Managed Quantitatively","")),"")</f>
        <v/>
      </c>
      <c r="N18" s="158"/>
      <c r="O18" s="156"/>
      <c r="R18" s="237" t="s">
        <v>589</v>
      </c>
      <c r="S18" s="238" t="s">
        <v>588</v>
      </c>
      <c r="T18" s="239">
        <v>0.75</v>
      </c>
    </row>
    <row r="19" spans="1:20" ht="14.5" thickBot="1">
      <c r="A19" s="159"/>
      <c r="B19" s="160"/>
      <c r="C19" s="122"/>
      <c r="D19" s="122"/>
      <c r="E19" s="122"/>
      <c r="F19" s="122"/>
      <c r="G19" s="149" t="str">
        <f>IF(C19=ListMaster!$AH$5,0,IF(C19=ListMaster!$AI$5,ListMaster!$AI$6,IF(C19=ListMaster!$AJ$5,ListMaster!$AJ$6,IF(C19=ListMaster!$AK$5,ListMaster!$AK$6,""))))</f>
        <v/>
      </c>
      <c r="H19" s="149" t="str">
        <f>IF(D19=ListMaster!$AH$2,ListMaster!$AH$3,IF(D19=ListMaster!$AI$2,ListMaster!$AI$3,""))</f>
        <v/>
      </c>
      <c r="I19" s="149" t="str">
        <f>IF(L19=ListMaster!$AH$2,ListMaster!$AH$4,IF(L19=ListMaster!$AI$2,ListMaster!$AI$4,""))</f>
        <v/>
      </c>
      <c r="J19" s="149" t="str">
        <f>IF(F19=ListMaster!$AH$5,ListMaster!$AH$7,IF(F19=ListMaster!$AI$5,ListMaster!$AI$7,IF(F19=ListMaster!$AJ$5,ListMaster!$AJ$7,IF(F19=ListMaster!$AK$5,ListMaster!$AK$7,""))))</f>
        <v/>
      </c>
      <c r="K19" s="157" t="str">
        <f>IF(ISTEXT(B19),IF(ISNUMBER((G19*ListMaster!$AL$6+H19*ListMaster!$AL$3+I19*ListMaster!$AL$4+J19*ListMaster!$AL$7)/(ListMaster!$AH$3*ListMaster!$AL$3+ListMaster!$AH$4*ListMaster!$AL$4+ListMaster!$AI$6*ListMaster!$AL$6+ListMaster!$AI$7*ListMaster!$AL$7)),(G19*ListMaster!$AL$6+H19*ListMaster!$AL$3+I19*ListMaster!$AL$4+J19*ListMaster!$AL$7)/(ListMaster!$AH$3*ListMaster!$AL$3+ListMaster!$AH$4*ListMaster!$AL$4+ListMaster!$AI$6*ListMaster!$AL$6+ListMaster!$AI$7*ListMaster!$AL$7),IF(ISERROR((G19*ListMaster!$AL$6+H19*ListMaster!$AL$3+I19*ListMaster!$AL$4+J19*ListMaster!$AL$7)/(ListMaster!$AH$3*ListMaster!$AL$3+ListMaster!$AH$4*ListMaster!$AL$4+ListMaster!$AI$6*ListMaster!$AL$6+ListMaster!$AI$7*ListMaster!$AL$7)),"Data incomplete")),"")</f>
        <v/>
      </c>
      <c r="L19" s="151" t="str">
        <f t="shared" si="0"/>
        <v/>
      </c>
      <c r="M19" s="186" t="str">
        <f>IF(ISNUMBER(K19),IF(K19&gt;ListMaster!$AI$11,"Managed Statistically",IF(AND(K19&lt;ListMaster!$AI$11,K19&gt;ListMaster!$AI$12),"Managed Quantitatively","")),"")</f>
        <v/>
      </c>
      <c r="N19" s="158"/>
      <c r="O19" s="156"/>
      <c r="R19" s="240" t="s">
        <v>591</v>
      </c>
      <c r="S19" s="241" t="s">
        <v>590</v>
      </c>
      <c r="T19" s="239">
        <v>0.7</v>
      </c>
    </row>
    <row r="20" spans="1:20" ht="14.5" thickBot="1">
      <c r="A20" s="161"/>
      <c r="B20" s="162"/>
      <c r="C20" s="163"/>
      <c r="D20" s="163"/>
      <c r="E20" s="163"/>
      <c r="F20" s="163"/>
      <c r="G20" s="164" t="str">
        <f>IF(C20=ListMaster!$AH$5,0,IF(C20=ListMaster!$AI$5,ListMaster!$AI$6,IF(C20=ListMaster!$AJ$5,ListMaster!$AJ$6,IF(C20=ListMaster!$AK$5,ListMaster!$AK$6,""))))</f>
        <v/>
      </c>
      <c r="H20" s="164" t="str">
        <f>IF(D20=ListMaster!$AH$2,ListMaster!$AH$3,IF(D20=ListMaster!$AI$2,ListMaster!$AI$3,""))</f>
        <v/>
      </c>
      <c r="I20" s="164" t="str">
        <f>IF(L20=ListMaster!$AH$2,ListMaster!$AH$4,IF(L20=ListMaster!$AI$2,ListMaster!$AI$4,""))</f>
        <v/>
      </c>
      <c r="J20" s="164" t="str">
        <f>IF(F20=ListMaster!$AH$5,ListMaster!$AH$7,IF(F20=ListMaster!$AI$5,ListMaster!$AI$7,IF(F20=ListMaster!$AJ$5,ListMaster!$AJ$7,IF(F20=ListMaster!$AK$5,ListMaster!$AK$7,""))))</f>
        <v/>
      </c>
      <c r="K20" s="165" t="str">
        <f>IF(ISTEXT(B20),IF(ISNUMBER((G20*ListMaster!$AL$6+H20*ListMaster!$AL$3+I20*ListMaster!$AL$4+J20*ListMaster!$AL$7)/(ListMaster!$AH$3*ListMaster!$AL$3+ListMaster!$AH$4*ListMaster!$AL$4+ListMaster!$AI$6*ListMaster!$AL$6+ListMaster!$AI$7*ListMaster!$AL$7)),(G20*ListMaster!$AL$6+H20*ListMaster!$AL$3+I20*ListMaster!$AL$4+J20*ListMaster!$AL$7)/(ListMaster!$AH$3*ListMaster!$AL$3+ListMaster!$AH$4*ListMaster!$AL$4+ListMaster!$AI$6*ListMaster!$AL$6+ListMaster!$AI$7*ListMaster!$AL$7),IF(ISERROR((G20*ListMaster!$AL$6+H20*ListMaster!$AL$3+I20*ListMaster!$AL$4+J20*ListMaster!$AL$7)/(ListMaster!$AH$3*ListMaster!$AL$3+ListMaster!$AH$4*ListMaster!$AL$4+ListMaster!$AI$6*ListMaster!$AL$6+ListMaster!$AI$7*ListMaster!$AL$7)),"Data incomplete")),"")</f>
        <v/>
      </c>
      <c r="L20" s="166" t="str">
        <f t="shared" si="0"/>
        <v/>
      </c>
      <c r="M20" s="165" t="str">
        <f>IF(ISNUMBER(K20),IF(K20&gt;ListMaster!$AI$11,"Managed Statistically",IF(AND(K20&lt;ListMaster!$AI$11,K20&gt;ListMaster!$AI$12),"Managed Quantitatively","")),"")</f>
        <v/>
      </c>
      <c r="N20" s="167"/>
      <c r="O20" s="168"/>
    </row>
    <row r="21" spans="1:20" ht="14.5" thickBot="1"/>
    <row r="22" spans="1:20" ht="14.5" thickBot="1">
      <c r="A22" s="116" t="s">
        <v>586</v>
      </c>
      <c r="B22" s="146"/>
      <c r="C22" s="433"/>
      <c r="D22" s="433"/>
      <c r="E22" s="433"/>
      <c r="F22" s="433"/>
      <c r="G22" s="433"/>
      <c r="H22" s="433"/>
      <c r="I22" s="433"/>
      <c r="J22" s="433"/>
      <c r="K22" s="433"/>
      <c r="L22" s="433"/>
      <c r="M22" s="433"/>
      <c r="N22" s="433"/>
      <c r="O22" s="434"/>
    </row>
    <row r="23" spans="1:20" s="7" customFormat="1" ht="14.5" thickBot="1">
      <c r="A23" s="435" t="s">
        <v>587</v>
      </c>
      <c r="B23" s="436"/>
      <c r="C23" s="436"/>
      <c r="D23" s="436"/>
      <c r="E23" s="436"/>
      <c r="F23" s="436"/>
      <c r="G23" s="32"/>
      <c r="H23" s="32"/>
      <c r="I23" s="32"/>
      <c r="J23" s="32"/>
      <c r="K23" s="23" t="s">
        <v>588</v>
      </c>
      <c r="L23" s="24"/>
      <c r="M23" s="25" t="s">
        <v>589</v>
      </c>
      <c r="N23" s="21"/>
      <c r="O23" s="22"/>
    </row>
    <row r="24" spans="1:20" s="7" customFormat="1" ht="19.5" customHeight="1" thickBot="1">
      <c r="A24" s="437"/>
      <c r="B24" s="438"/>
      <c r="C24" s="438"/>
      <c r="D24" s="438"/>
      <c r="E24" s="438"/>
      <c r="F24" s="438"/>
      <c r="G24" s="32"/>
      <c r="H24" s="32"/>
      <c r="I24" s="32"/>
      <c r="J24" s="32"/>
      <c r="K24" s="26" t="s">
        <v>590</v>
      </c>
      <c r="L24" s="27"/>
      <c r="M24" s="28" t="s">
        <v>591</v>
      </c>
      <c r="N24" s="20"/>
      <c r="O24" s="29"/>
    </row>
    <row r="25" spans="1:20" ht="21.5" thickBot="1">
      <c r="A25" s="13" t="s">
        <v>592</v>
      </c>
      <c r="B25" s="9" t="s">
        <v>593</v>
      </c>
      <c r="C25" s="12" t="s">
        <v>594</v>
      </c>
      <c r="D25" s="9" t="s">
        <v>595</v>
      </c>
      <c r="E25" s="8" t="s">
        <v>596</v>
      </c>
      <c r="F25" s="10" t="s">
        <v>597</v>
      </c>
      <c r="G25" s="8" t="s">
        <v>110</v>
      </c>
      <c r="H25" s="8" t="s">
        <v>598</v>
      </c>
      <c r="I25" s="8" t="s">
        <v>599</v>
      </c>
      <c r="J25" s="8" t="s">
        <v>147</v>
      </c>
      <c r="K25" s="9" t="s">
        <v>600</v>
      </c>
      <c r="L25" s="10"/>
      <c r="M25" s="10" t="s">
        <v>601</v>
      </c>
      <c r="N25" s="11" t="s">
        <v>602</v>
      </c>
      <c r="O25" s="11" t="s">
        <v>603</v>
      </c>
    </row>
    <row r="26" spans="1:20" ht="14.5" thickBot="1">
      <c r="A26" s="159"/>
      <c r="B26" s="160"/>
      <c r="C26" s="122"/>
      <c r="D26" s="122"/>
      <c r="E26" s="122"/>
      <c r="F26" s="122"/>
      <c r="G26" s="149" t="str">
        <f>IF(C26=ListMaster!$AH$5,0,IF(C26=ListMaster!$AI$5,ListMaster!$AI$6,IF(C26=ListMaster!$AJ$5,ListMaster!$AJ$6,IF(C26=ListMaster!$AK$5,ListMaster!$AK$6,""))))</f>
        <v/>
      </c>
      <c r="H26" s="149" t="str">
        <f>IF(D26=ListMaster!$AH$2,ListMaster!$AH$3,IF(D26=ListMaster!$AI$2,ListMaster!$AI$3,""))</f>
        <v/>
      </c>
      <c r="I26" s="149" t="str">
        <f>IF(L26=ListMaster!$AH$2,ListMaster!$AH$4,IF(L26=ListMaster!$AI$2,ListMaster!$AI$4,""))</f>
        <v/>
      </c>
      <c r="J26" s="149" t="str">
        <f>IF(F26=ListMaster!$AH$5,ListMaster!$AH$7,IF(F26=ListMaster!$AI$5,ListMaster!$AI$7,IF(F26=ListMaster!$AJ$5,ListMaster!$AJ$7,IF(F26=ListMaster!$AK$5,ListMaster!$AK$7,""))))</f>
        <v/>
      </c>
      <c r="K26" s="150" t="str">
        <f>IF(ISTEXT(B26),IF(ISNUMBER((G26*ListMaster!$AL$6+H26*ListMaster!$AL$3+I26*ListMaster!$AL$4+J26*ListMaster!$AL$7)/(ListMaster!$AH$3*ListMaster!$AL$3+ListMaster!$AH$4*ListMaster!$AL$4+ListMaster!$AI$6*ListMaster!$AL$6+ListMaster!$AI$7*ListMaster!$AL$7)),(G26*ListMaster!$AL$6+H26*ListMaster!$AL$3+I26*ListMaster!$AL$4+J26*ListMaster!$AL$7)/(ListMaster!$AH$3*ListMaster!$AL$3+ListMaster!$AH$4*ListMaster!$AL$4+ListMaster!$AI$6*ListMaster!$AL$6+ListMaster!$AI$7*ListMaster!$AL$7),IF(ISERROR((G26*ListMaster!$AL$6+H26*ListMaster!$AL$3+I26*ListMaster!$AL$4+J26*ListMaster!$AL$7)/(ListMaster!$AH$3*ListMaster!$AL$3+ListMaster!$AH$4*ListMaster!$AL$4+ListMaster!$AI$6*ListMaster!$AL$6+ListMaster!$AI$7*ListMaster!$AL$7)),"Data incomplete")),"")</f>
        <v/>
      </c>
      <c r="L26" s="151" t="str">
        <f t="shared" ref="L26:L35" si="1">IF(E26&lt;&gt;"",IF(E26="None","No","Yes"),"")</f>
        <v/>
      </c>
      <c r="M26" s="169" t="str">
        <f>IF(ISNUMBER(K26),IF(K26&gt;ListMaster!$AI$11,"Managed Statistically",IF(AND(K26&lt;ListMaster!$AI$11,K26&gt;ListMaster!$AI$12),"Managed Quantitatively","")),"")</f>
        <v/>
      </c>
      <c r="N26" s="152"/>
      <c r="O26" s="153"/>
    </row>
    <row r="27" spans="1:20" ht="14.5" thickBot="1">
      <c r="A27" s="159"/>
      <c r="B27" s="160"/>
      <c r="C27" s="122"/>
      <c r="D27" s="122"/>
      <c r="E27" s="122"/>
      <c r="F27" s="122"/>
      <c r="G27" s="149" t="str">
        <f>IF(C27=ListMaster!$AH$5,0,IF(C27=ListMaster!$AI$5,ListMaster!$AI$6,IF(C27=ListMaster!$AJ$5,ListMaster!$AJ$6,IF(C27=ListMaster!$AK$5,ListMaster!$AK$6,""))))</f>
        <v/>
      </c>
      <c r="H27" s="149" t="str">
        <f>IF(D27=ListMaster!$AH$2,ListMaster!$AH$3,IF(D27=ListMaster!$AI$2,ListMaster!$AI$3,""))</f>
        <v/>
      </c>
      <c r="I27" s="149" t="str">
        <f>IF(L27=ListMaster!$AH$2,ListMaster!$AH$4,IF(L27=ListMaster!$AI$2,ListMaster!$AI$4,""))</f>
        <v/>
      </c>
      <c r="J27" s="149" t="str">
        <f>IF(F27=ListMaster!$AH$5,ListMaster!$AH$7,IF(F27=ListMaster!$AI$5,ListMaster!$AI$7,IF(F27=ListMaster!$AJ$5,ListMaster!$AJ$7,IF(F27=ListMaster!$AK$5,ListMaster!$AK$7,""))))</f>
        <v/>
      </c>
      <c r="K27" s="157" t="str">
        <f>IF(ISTEXT(B27),IF(ISNUMBER((G27*ListMaster!$AL$6+H27*ListMaster!$AL$3+I27*ListMaster!$AL$4+J27*ListMaster!$AL$7)/(ListMaster!$AH$3*ListMaster!$AL$3+ListMaster!$AH$4*ListMaster!$AL$4+ListMaster!$AI$6*ListMaster!$AL$6+ListMaster!$AI$7*ListMaster!$AL$7)),(G27*ListMaster!$AL$6+H27*ListMaster!$AL$3+I27*ListMaster!$AL$4+J27*ListMaster!$AL$7)/(ListMaster!$AH$3*ListMaster!$AL$3+ListMaster!$AH$4*ListMaster!$AL$4+ListMaster!$AI$6*ListMaster!$AL$6+ListMaster!$AI$7*ListMaster!$AL$7),IF(ISERROR((G27*ListMaster!$AL$6+H27*ListMaster!$AL$3+I27*ListMaster!$AL$4+J27*ListMaster!$AL$7)/(ListMaster!$AH$3*ListMaster!$AL$3+ListMaster!$AH$4*ListMaster!$AL$4+ListMaster!$AI$6*ListMaster!$AL$6+ListMaster!$AI$7*ListMaster!$AL$7)),"Data incomplete")),"")</f>
        <v/>
      </c>
      <c r="L27" s="151" t="str">
        <f t="shared" si="1"/>
        <v/>
      </c>
      <c r="M27" s="169" t="str">
        <f>IF(ISNUMBER(K27),IF(K27&gt;ListMaster!$AI$11,"Managed Statistically",IF(AND(K27&lt;ListMaster!$AI$11,K27&gt;ListMaster!$AI$12),"Managed Quantitatively","")),"")</f>
        <v/>
      </c>
      <c r="N27" s="158"/>
      <c r="O27" s="156"/>
    </row>
    <row r="28" spans="1:20" ht="14.5" thickBot="1">
      <c r="A28" s="159"/>
      <c r="B28" s="160"/>
      <c r="C28" s="122"/>
      <c r="D28" s="122"/>
      <c r="E28" s="122"/>
      <c r="F28" s="122"/>
      <c r="G28" s="149" t="str">
        <f>IF(C28=ListMaster!$AH$5,0,IF(C28=ListMaster!$AI$5,ListMaster!$AI$6,IF(C28=ListMaster!$AJ$5,ListMaster!$AJ$6,IF(C28=ListMaster!$AK$5,ListMaster!$AK$6,""))))</f>
        <v/>
      </c>
      <c r="H28" s="149" t="str">
        <f>IF(D28=ListMaster!$AH$2,ListMaster!$AH$3,IF(D28=ListMaster!$AI$2,ListMaster!$AI$3,""))</f>
        <v/>
      </c>
      <c r="I28" s="149" t="str">
        <f>IF(L28=ListMaster!$AH$2,ListMaster!$AH$4,IF(L28=ListMaster!$AI$2,ListMaster!$AI$4,""))</f>
        <v/>
      </c>
      <c r="J28" s="149" t="str">
        <f>IF(F28=ListMaster!$AH$5,ListMaster!$AH$7,IF(F28=ListMaster!$AI$5,ListMaster!$AI$7,IF(F28=ListMaster!$AJ$5,ListMaster!$AJ$7,IF(F28=ListMaster!$AK$5,ListMaster!$AK$7,""))))</f>
        <v/>
      </c>
      <c r="K28" s="157" t="str">
        <f>IF(ISTEXT(B28),IF(ISNUMBER((G28*ListMaster!$AL$6+H28*ListMaster!$AL$3+I28*ListMaster!$AL$4+J28*ListMaster!$AL$7)/(ListMaster!$AH$3*ListMaster!$AL$3+ListMaster!$AH$4*ListMaster!$AL$4+ListMaster!$AI$6*ListMaster!$AL$6+ListMaster!$AI$7*ListMaster!$AL$7)),(G28*ListMaster!$AL$6+H28*ListMaster!$AL$3+I28*ListMaster!$AL$4+J28*ListMaster!$AL$7)/(ListMaster!$AH$3*ListMaster!$AL$3+ListMaster!$AH$4*ListMaster!$AL$4+ListMaster!$AI$6*ListMaster!$AL$6+ListMaster!$AI$7*ListMaster!$AL$7),IF(ISERROR((G28*ListMaster!$AL$6+H28*ListMaster!$AL$3+I28*ListMaster!$AL$4+J28*ListMaster!$AL$7)/(ListMaster!$AH$3*ListMaster!$AL$3+ListMaster!$AH$4*ListMaster!$AL$4+ListMaster!$AI$6*ListMaster!$AL$6+ListMaster!$AI$7*ListMaster!$AL$7)),"Data incomplete")),"")</f>
        <v/>
      </c>
      <c r="L28" s="151" t="str">
        <f t="shared" si="1"/>
        <v/>
      </c>
      <c r="M28" s="169" t="str">
        <f>IF(ISNUMBER(K28),IF(K28&gt;ListMaster!$AI$11,"Managed Statistically",IF(AND(K28&lt;ListMaster!$AI$11,K28&gt;ListMaster!$AI$12),"Managed Quantitatively","")),"")</f>
        <v/>
      </c>
      <c r="N28" s="158"/>
      <c r="O28" s="156"/>
    </row>
    <row r="29" spans="1:20" ht="14.5" thickBot="1">
      <c r="A29" s="159"/>
      <c r="B29" s="160"/>
      <c r="C29" s="122"/>
      <c r="D29" s="122"/>
      <c r="E29" s="122"/>
      <c r="F29" s="122"/>
      <c r="G29" s="149" t="str">
        <f>IF(C29=ListMaster!$AH$5,0,IF(C29=ListMaster!$AI$5,ListMaster!$AI$6,IF(C29=ListMaster!$AJ$5,ListMaster!$AJ$6,IF(C29=ListMaster!$AK$5,ListMaster!$AK$6,""))))</f>
        <v/>
      </c>
      <c r="H29" s="149" t="str">
        <f>IF(D29=ListMaster!$AH$2,ListMaster!$AH$3,IF(D29=ListMaster!$AI$2,ListMaster!$AI$3,""))</f>
        <v/>
      </c>
      <c r="I29" s="149" t="str">
        <f>IF(L29=ListMaster!$AH$2,ListMaster!$AH$4,IF(L29=ListMaster!$AI$2,ListMaster!$AI$4,""))</f>
        <v/>
      </c>
      <c r="J29" s="149" t="str">
        <f>IF(F29=ListMaster!$AH$5,ListMaster!$AH$7,IF(F29=ListMaster!$AI$5,ListMaster!$AI$7,IF(F29=ListMaster!$AJ$5,ListMaster!$AJ$7,IF(F29=ListMaster!$AK$5,ListMaster!$AK$7,""))))</f>
        <v/>
      </c>
      <c r="K29" s="157" t="str">
        <f>IF(ISTEXT(B29),IF(ISNUMBER((G29*ListMaster!$AL$6+H29*ListMaster!$AL$3+I29*ListMaster!$AL$4+J29*ListMaster!$AL$7)/(ListMaster!$AH$3*ListMaster!$AL$3+ListMaster!$AH$4*ListMaster!$AL$4+ListMaster!$AI$6*ListMaster!$AL$6+ListMaster!$AI$7*ListMaster!$AL$7)),(G29*ListMaster!$AL$6+H29*ListMaster!$AL$3+I29*ListMaster!$AL$4+J29*ListMaster!$AL$7)/(ListMaster!$AH$3*ListMaster!$AL$3+ListMaster!$AH$4*ListMaster!$AL$4+ListMaster!$AI$6*ListMaster!$AL$6+ListMaster!$AI$7*ListMaster!$AL$7),IF(ISERROR((G29*ListMaster!$AL$6+H29*ListMaster!$AL$3+I29*ListMaster!$AL$4+J29*ListMaster!$AL$7)/(ListMaster!$AH$3*ListMaster!$AL$3+ListMaster!$AH$4*ListMaster!$AL$4+ListMaster!$AI$6*ListMaster!$AL$6+ListMaster!$AI$7*ListMaster!$AL$7)),"Data incomplete")),"")</f>
        <v/>
      </c>
      <c r="L29" s="151" t="str">
        <f t="shared" si="1"/>
        <v/>
      </c>
      <c r="M29" s="169" t="str">
        <f>IF(ISNUMBER(K29),IF(K29&gt;ListMaster!$AI$11,"Managed Statistically",IF(AND(K29&lt;ListMaster!$AI$11,K29&gt;ListMaster!$AI$12),"Managed Quantitatively","")),"")</f>
        <v/>
      </c>
      <c r="N29" s="158"/>
      <c r="O29" s="156"/>
    </row>
    <row r="30" spans="1:20" ht="14.5" thickBot="1">
      <c r="A30" s="159"/>
      <c r="B30" s="160"/>
      <c r="C30" s="122"/>
      <c r="D30" s="122"/>
      <c r="E30" s="122"/>
      <c r="F30" s="122"/>
      <c r="G30" s="149" t="str">
        <f>IF(C30=ListMaster!$AH$5,0,IF(C30=ListMaster!$AI$5,ListMaster!$AI$6,IF(C30=ListMaster!$AJ$5,ListMaster!$AJ$6,IF(C30=ListMaster!$AK$5,ListMaster!$AK$6,""))))</f>
        <v/>
      </c>
      <c r="H30" s="149" t="str">
        <f>IF(D30=ListMaster!$AH$2,ListMaster!$AH$3,IF(D30=ListMaster!$AI$2,ListMaster!$AI$3,""))</f>
        <v/>
      </c>
      <c r="I30" s="149" t="str">
        <f>IF(L30=ListMaster!$AH$2,ListMaster!$AH$4,IF(L30=ListMaster!$AI$2,ListMaster!$AI$4,""))</f>
        <v/>
      </c>
      <c r="J30" s="149" t="str">
        <f>IF(F30=ListMaster!$AH$5,ListMaster!$AH$7,IF(F30=ListMaster!$AI$5,ListMaster!$AI$7,IF(F30=ListMaster!$AJ$5,ListMaster!$AJ$7,IF(F30=ListMaster!$AK$5,ListMaster!$AK$7,""))))</f>
        <v/>
      </c>
      <c r="K30" s="157" t="str">
        <f>IF(ISTEXT(B30),IF(ISNUMBER((G30*ListMaster!$AL$6+H30*ListMaster!$AL$3+I30*ListMaster!$AL$4+J30*ListMaster!$AL$7)/(ListMaster!$AH$3*ListMaster!$AL$3+ListMaster!$AH$4*ListMaster!$AL$4+ListMaster!$AI$6*ListMaster!$AL$6+ListMaster!$AI$7*ListMaster!$AL$7)),(G30*ListMaster!$AL$6+H30*ListMaster!$AL$3+I30*ListMaster!$AL$4+J30*ListMaster!$AL$7)/(ListMaster!$AH$3*ListMaster!$AL$3+ListMaster!$AH$4*ListMaster!$AL$4+ListMaster!$AI$6*ListMaster!$AL$6+ListMaster!$AI$7*ListMaster!$AL$7),IF(ISERROR((G30*ListMaster!$AL$6+H30*ListMaster!$AL$3+I30*ListMaster!$AL$4+J30*ListMaster!$AL$7)/(ListMaster!$AH$3*ListMaster!$AL$3+ListMaster!$AH$4*ListMaster!$AL$4+ListMaster!$AI$6*ListMaster!$AL$6+ListMaster!$AI$7*ListMaster!$AL$7)),"Data incomplete")),"")</f>
        <v/>
      </c>
      <c r="L30" s="151" t="str">
        <f t="shared" si="1"/>
        <v/>
      </c>
      <c r="M30" s="169" t="str">
        <f>IF(ISNUMBER(K30),IF(K30&gt;ListMaster!$AI$11,"Managed Statistically",IF(AND(K30&lt;ListMaster!$AI$11,K30&gt;ListMaster!$AI$12),"Managed Quantitatively","")),"")</f>
        <v/>
      </c>
      <c r="N30" s="158"/>
      <c r="O30" s="156"/>
    </row>
    <row r="31" spans="1:20" ht="14.5" thickBot="1">
      <c r="A31" s="159"/>
      <c r="B31" s="160"/>
      <c r="C31" s="122"/>
      <c r="D31" s="122"/>
      <c r="E31" s="122"/>
      <c r="F31" s="122"/>
      <c r="G31" s="149" t="str">
        <f>IF(C31=ListMaster!$AH$5,0,IF(C31=ListMaster!$AI$5,ListMaster!$AI$6,IF(C31=ListMaster!$AJ$5,ListMaster!$AJ$6,IF(C31=ListMaster!$AK$5,ListMaster!$AK$6,""))))</f>
        <v/>
      </c>
      <c r="H31" s="149" t="str">
        <f>IF(D31=ListMaster!$AH$2,ListMaster!$AH$3,IF(D31=ListMaster!$AI$2,ListMaster!$AI$3,""))</f>
        <v/>
      </c>
      <c r="I31" s="149" t="str">
        <f>IF(L31=ListMaster!$AH$2,ListMaster!$AH$4,IF(L31=ListMaster!$AI$2,ListMaster!$AI$4,""))</f>
        <v/>
      </c>
      <c r="J31" s="149" t="str">
        <f>IF(F31=ListMaster!$AH$5,ListMaster!$AH$7,IF(F31=ListMaster!$AI$5,ListMaster!$AI$7,IF(F31=ListMaster!$AJ$5,ListMaster!$AJ$7,IF(F31=ListMaster!$AK$5,ListMaster!$AK$7,""))))</f>
        <v/>
      </c>
      <c r="K31" s="157" t="str">
        <f>IF(ISTEXT(B31),IF(ISNUMBER((G31*ListMaster!$AL$6+H31*ListMaster!$AL$3+I31*ListMaster!$AL$4+J31*ListMaster!$AL$7)/(ListMaster!$AH$3*ListMaster!$AL$3+ListMaster!$AH$4*ListMaster!$AL$4+ListMaster!$AI$6*ListMaster!$AL$6+ListMaster!$AI$7*ListMaster!$AL$7)),(G31*ListMaster!$AL$6+H31*ListMaster!$AL$3+I31*ListMaster!$AL$4+J31*ListMaster!$AL$7)/(ListMaster!$AH$3*ListMaster!$AL$3+ListMaster!$AH$4*ListMaster!$AL$4+ListMaster!$AI$6*ListMaster!$AL$6+ListMaster!$AI$7*ListMaster!$AL$7),IF(ISERROR((G31*ListMaster!$AL$6+H31*ListMaster!$AL$3+I31*ListMaster!$AL$4+J31*ListMaster!$AL$7)/(ListMaster!$AH$3*ListMaster!$AL$3+ListMaster!$AH$4*ListMaster!$AL$4+ListMaster!$AI$6*ListMaster!$AL$6+ListMaster!$AI$7*ListMaster!$AL$7)),"Data incomplete")),"")</f>
        <v/>
      </c>
      <c r="L31" s="151" t="str">
        <f t="shared" si="1"/>
        <v/>
      </c>
      <c r="M31" s="169" t="str">
        <f>IF(ISNUMBER(K31),IF(K31&gt;ListMaster!$AI$11,"Managed Statistically",IF(AND(K31&lt;ListMaster!$AI$11,K31&gt;ListMaster!$AI$12),"Managed Quantitatively","")),"")</f>
        <v/>
      </c>
      <c r="N31" s="158"/>
      <c r="O31" s="156"/>
    </row>
    <row r="32" spans="1:20" ht="14.5" thickBot="1">
      <c r="A32" s="159"/>
      <c r="B32" s="160"/>
      <c r="C32" s="122"/>
      <c r="D32" s="122"/>
      <c r="E32" s="122"/>
      <c r="F32" s="122"/>
      <c r="G32" s="149" t="str">
        <f>IF(C32=ListMaster!$AH$5,0,IF(C32=ListMaster!$AI$5,ListMaster!$AI$6,IF(C32=ListMaster!$AJ$5,ListMaster!$AJ$6,IF(C32=ListMaster!$AK$5,ListMaster!$AK$6,""))))</f>
        <v/>
      </c>
      <c r="H32" s="149" t="str">
        <f>IF(D32=ListMaster!$AH$2,ListMaster!$AH$3,IF(D32=ListMaster!$AI$2,ListMaster!$AI$3,""))</f>
        <v/>
      </c>
      <c r="I32" s="149" t="str">
        <f>IF(L32=ListMaster!$AH$2,ListMaster!$AH$4,IF(L32=ListMaster!$AI$2,ListMaster!$AI$4,""))</f>
        <v/>
      </c>
      <c r="J32" s="149" t="str">
        <f>IF(F32=ListMaster!$AH$5,ListMaster!$AH$7,IF(F32=ListMaster!$AI$5,ListMaster!$AI$7,IF(F32=ListMaster!$AJ$5,ListMaster!$AJ$7,IF(F32=ListMaster!$AK$5,ListMaster!$AK$7,""))))</f>
        <v/>
      </c>
      <c r="K32" s="157" t="str">
        <f>IF(ISTEXT(B32),IF(ISNUMBER((G32*ListMaster!$AL$6+H32*ListMaster!$AL$3+I32*ListMaster!$AL$4+J32*ListMaster!$AL$7)/(ListMaster!$AH$3*ListMaster!$AL$3+ListMaster!$AH$4*ListMaster!$AL$4+ListMaster!$AI$6*ListMaster!$AL$6+ListMaster!$AI$7*ListMaster!$AL$7)),(G32*ListMaster!$AL$6+H32*ListMaster!$AL$3+I32*ListMaster!$AL$4+J32*ListMaster!$AL$7)/(ListMaster!$AH$3*ListMaster!$AL$3+ListMaster!$AH$4*ListMaster!$AL$4+ListMaster!$AI$6*ListMaster!$AL$6+ListMaster!$AI$7*ListMaster!$AL$7),IF(ISERROR((G32*ListMaster!$AL$6+H32*ListMaster!$AL$3+I32*ListMaster!$AL$4+J32*ListMaster!$AL$7)/(ListMaster!$AH$3*ListMaster!$AL$3+ListMaster!$AH$4*ListMaster!$AL$4+ListMaster!$AI$6*ListMaster!$AL$6+ListMaster!$AI$7*ListMaster!$AL$7)),"Data incomplete")),"")</f>
        <v/>
      </c>
      <c r="L32" s="151" t="str">
        <f t="shared" si="1"/>
        <v/>
      </c>
      <c r="M32" s="169" t="str">
        <f>IF(ISNUMBER(K32),IF(K32&gt;ListMaster!$AI$11,"Managed Statistically",IF(AND(K32&lt;ListMaster!$AI$11,K32&gt;ListMaster!$AI$12),"Managed Quantitatively","")),"")</f>
        <v/>
      </c>
      <c r="N32" s="158"/>
      <c r="O32" s="156"/>
    </row>
    <row r="33" spans="1:15" ht="14.5" thickBot="1">
      <c r="A33" s="159"/>
      <c r="B33" s="160"/>
      <c r="C33" s="122"/>
      <c r="D33" s="122"/>
      <c r="E33" s="122"/>
      <c r="F33" s="122"/>
      <c r="G33" s="149" t="str">
        <f>IF(C33=ListMaster!$AH$5,0,IF(C33=ListMaster!$AI$5,ListMaster!$AI$6,IF(C33=ListMaster!$AJ$5,ListMaster!$AJ$6,IF(C33=ListMaster!$AK$5,ListMaster!$AK$6,""))))</f>
        <v/>
      </c>
      <c r="H33" s="149" t="str">
        <f>IF(D33=ListMaster!$AH$2,ListMaster!$AH$3,IF(D33=ListMaster!$AI$2,ListMaster!$AI$3,""))</f>
        <v/>
      </c>
      <c r="I33" s="149" t="str">
        <f>IF(L33=ListMaster!$AH$2,ListMaster!$AH$4,IF(L33=ListMaster!$AI$2,ListMaster!$AI$4,""))</f>
        <v/>
      </c>
      <c r="J33" s="149" t="str">
        <f>IF(F33=ListMaster!$AH$5,ListMaster!$AH$7,IF(F33=ListMaster!$AI$5,ListMaster!$AI$7,IF(F33=ListMaster!$AJ$5,ListMaster!$AJ$7,IF(F33=ListMaster!$AK$5,ListMaster!$AK$7,""))))</f>
        <v/>
      </c>
      <c r="K33" s="157" t="str">
        <f>IF(ISTEXT(B33),IF(ISNUMBER((G33*ListMaster!$AL$6+H33*ListMaster!$AL$3+I33*ListMaster!$AL$4+J33*ListMaster!$AL$7)/(ListMaster!$AH$3*ListMaster!$AL$3+ListMaster!$AH$4*ListMaster!$AL$4+ListMaster!$AI$6*ListMaster!$AL$6+ListMaster!$AI$7*ListMaster!$AL$7)),(G33*ListMaster!$AL$6+H33*ListMaster!$AL$3+I33*ListMaster!$AL$4+J33*ListMaster!$AL$7)/(ListMaster!$AH$3*ListMaster!$AL$3+ListMaster!$AH$4*ListMaster!$AL$4+ListMaster!$AI$6*ListMaster!$AL$6+ListMaster!$AI$7*ListMaster!$AL$7),IF(ISERROR((G33*ListMaster!$AL$6+H33*ListMaster!$AL$3+I33*ListMaster!$AL$4+J33*ListMaster!$AL$7)/(ListMaster!$AH$3*ListMaster!$AL$3+ListMaster!$AH$4*ListMaster!$AL$4+ListMaster!$AI$6*ListMaster!$AL$6+ListMaster!$AI$7*ListMaster!$AL$7)),"Data incomplete")),"")</f>
        <v/>
      </c>
      <c r="L33" s="151" t="str">
        <f t="shared" si="1"/>
        <v/>
      </c>
      <c r="M33" s="169" t="str">
        <f>IF(ISNUMBER(K33),IF(K33&gt;ListMaster!$AI$11,"Managed Statistically",IF(AND(K33&lt;ListMaster!$AI$11,K33&gt;ListMaster!$AI$12),"Managed Quantitatively","")),"")</f>
        <v/>
      </c>
      <c r="N33" s="158"/>
      <c r="O33" s="156"/>
    </row>
    <row r="34" spans="1:15" ht="14.5" thickBot="1">
      <c r="A34" s="159"/>
      <c r="B34" s="160"/>
      <c r="C34" s="122"/>
      <c r="D34" s="122"/>
      <c r="E34" s="122"/>
      <c r="F34" s="122"/>
      <c r="G34" s="149" t="str">
        <f>IF(C34=ListMaster!$AH$5,0,IF(C34=ListMaster!$AI$5,ListMaster!$AI$6,IF(C34=ListMaster!$AJ$5,ListMaster!$AJ$6,IF(C34=ListMaster!$AK$5,ListMaster!$AK$6,""))))</f>
        <v/>
      </c>
      <c r="H34" s="149" t="str">
        <f>IF(D34=ListMaster!$AH$2,ListMaster!$AH$3,IF(D34=ListMaster!$AI$2,ListMaster!$AI$3,""))</f>
        <v/>
      </c>
      <c r="I34" s="149" t="str">
        <f>IF(L34=ListMaster!$AH$2,ListMaster!$AH$4,IF(L34=ListMaster!$AI$2,ListMaster!$AI$4,""))</f>
        <v/>
      </c>
      <c r="J34" s="149" t="str">
        <f>IF(F34=ListMaster!$AH$5,ListMaster!$AH$7,IF(F34=ListMaster!$AI$5,ListMaster!$AI$7,IF(F34=ListMaster!$AJ$5,ListMaster!$AJ$7,IF(F34=ListMaster!$AK$5,ListMaster!$AK$7,""))))</f>
        <v/>
      </c>
      <c r="K34" s="157" t="str">
        <f>IF(ISTEXT(B34),IF(ISNUMBER((G34*ListMaster!$AL$6+H34*ListMaster!$AL$3+I34*ListMaster!$AL$4+J34*ListMaster!$AL$7)/(ListMaster!$AH$3*ListMaster!$AL$3+ListMaster!$AH$4*ListMaster!$AL$4+ListMaster!$AI$6*ListMaster!$AL$6+ListMaster!$AI$7*ListMaster!$AL$7)),(G34*ListMaster!$AL$6+H34*ListMaster!$AL$3+I34*ListMaster!$AL$4+J34*ListMaster!$AL$7)/(ListMaster!$AH$3*ListMaster!$AL$3+ListMaster!$AH$4*ListMaster!$AL$4+ListMaster!$AI$6*ListMaster!$AL$6+ListMaster!$AI$7*ListMaster!$AL$7),IF(ISERROR((G34*ListMaster!$AL$6+H34*ListMaster!$AL$3+I34*ListMaster!$AL$4+J34*ListMaster!$AL$7)/(ListMaster!$AH$3*ListMaster!$AL$3+ListMaster!$AH$4*ListMaster!$AL$4+ListMaster!$AI$6*ListMaster!$AL$6+ListMaster!$AI$7*ListMaster!$AL$7)),"Data incomplete")),"")</f>
        <v/>
      </c>
      <c r="L34" s="151" t="str">
        <f t="shared" si="1"/>
        <v/>
      </c>
      <c r="M34" s="169" t="str">
        <f>IF(ISNUMBER(K34),IF(K34&gt;ListMaster!$AI$11,"Managed Statistically",IF(AND(K34&lt;ListMaster!$AI$11,K34&gt;ListMaster!$AI$12),"Managed Quantitatively","")),"")</f>
        <v/>
      </c>
      <c r="N34" s="158"/>
      <c r="O34" s="156"/>
    </row>
    <row r="35" spans="1:15" ht="14.5" thickBot="1">
      <c r="A35" s="161"/>
      <c r="B35" s="162"/>
      <c r="C35" s="163"/>
      <c r="D35" s="163"/>
      <c r="E35" s="163"/>
      <c r="F35" s="163"/>
      <c r="G35" s="164" t="str">
        <f>IF(C35=ListMaster!$AH$5,0,IF(C35=ListMaster!$AI$5,ListMaster!$AI$6,IF(C35=ListMaster!$AJ$5,ListMaster!$AJ$6,IF(C35=ListMaster!$AK$5,ListMaster!$AK$6,""))))</f>
        <v/>
      </c>
      <c r="H35" s="164" t="str">
        <f>IF(D35=ListMaster!$AH$2,ListMaster!$AH$3,IF(D35=ListMaster!$AI$2,ListMaster!$AI$3,""))</f>
        <v/>
      </c>
      <c r="I35" s="164" t="str">
        <f>IF(L35=ListMaster!$AH$2,ListMaster!$AH$4,IF(L35=ListMaster!$AI$2,ListMaster!$AI$4,""))</f>
        <v/>
      </c>
      <c r="J35" s="164" t="str">
        <f>IF(F35=ListMaster!$AH$5,ListMaster!$AH$7,IF(F35=ListMaster!$AI$5,ListMaster!$AI$7,IF(F35=ListMaster!$AJ$5,ListMaster!$AJ$7,IF(F35=ListMaster!$AK$5,ListMaster!$AK$7,""))))</f>
        <v/>
      </c>
      <c r="K35" s="165" t="str">
        <f>IF(ISTEXT(B35),IF(ISNUMBER((G35*ListMaster!$AL$6+H35*ListMaster!$AL$3+I35*ListMaster!$AL$4+J35*ListMaster!$AL$7)/(ListMaster!$AH$3*ListMaster!$AL$3+ListMaster!$AH$4*ListMaster!$AL$4+ListMaster!$AI$6*ListMaster!$AL$6+ListMaster!$AI$7*ListMaster!$AL$7)),(G35*ListMaster!$AL$6+H35*ListMaster!$AL$3+I35*ListMaster!$AL$4+J35*ListMaster!$AL$7)/(ListMaster!$AH$3*ListMaster!$AL$3+ListMaster!$AH$4*ListMaster!$AL$4+ListMaster!$AI$6*ListMaster!$AL$6+ListMaster!$AI$7*ListMaster!$AL$7),IF(ISERROR((G35*ListMaster!$AL$6+H35*ListMaster!$AL$3+I35*ListMaster!$AL$4+J35*ListMaster!$AL$7)/(ListMaster!$AH$3*ListMaster!$AL$3+ListMaster!$AH$4*ListMaster!$AL$4+ListMaster!$AI$6*ListMaster!$AL$6+ListMaster!$AI$7*ListMaster!$AL$7)),"Data incomplete")),"")</f>
        <v/>
      </c>
      <c r="L35" s="166" t="str">
        <f t="shared" si="1"/>
        <v/>
      </c>
      <c r="M35" s="170" t="str">
        <f>IF(ISNUMBER(K35),IF(K35&gt;ListMaster!$AI$11,"Managed Statistically",IF(AND(K35&lt;ListMaster!$AI$11,K35&gt;ListMaster!$AI$12),"Managed Quantitatively","")),"")</f>
        <v/>
      </c>
      <c r="N35" s="167"/>
      <c r="O35" s="168"/>
    </row>
    <row r="36" spans="1:15" ht="14.5" thickBot="1">
      <c r="A36" s="171"/>
      <c r="B36" s="171"/>
      <c r="C36" s="171"/>
      <c r="D36" s="171"/>
      <c r="E36" s="171"/>
      <c r="F36" s="171"/>
    </row>
    <row r="37" spans="1:15" ht="14.5" thickBot="1">
      <c r="A37" s="116" t="s">
        <v>586</v>
      </c>
      <c r="B37" s="146"/>
      <c r="C37" s="433"/>
      <c r="D37" s="433"/>
      <c r="E37" s="433"/>
      <c r="F37" s="433"/>
      <c r="G37" s="433"/>
      <c r="H37" s="433"/>
      <c r="I37" s="433"/>
      <c r="J37" s="433"/>
      <c r="K37" s="433"/>
      <c r="L37" s="433"/>
      <c r="M37" s="433"/>
      <c r="N37" s="433"/>
      <c r="O37" s="434"/>
    </row>
    <row r="38" spans="1:15" s="7" customFormat="1" ht="14.5" thickBot="1">
      <c r="A38" s="435" t="s">
        <v>587</v>
      </c>
      <c r="B38" s="436"/>
      <c r="C38" s="436"/>
      <c r="D38" s="436"/>
      <c r="E38" s="436"/>
      <c r="F38" s="436"/>
      <c r="G38" s="32"/>
      <c r="H38" s="32"/>
      <c r="I38" s="32"/>
      <c r="J38" s="32"/>
      <c r="K38" s="23" t="s">
        <v>588</v>
      </c>
      <c r="L38" s="24"/>
      <c r="M38" s="25" t="s">
        <v>589</v>
      </c>
      <c r="N38" s="21"/>
      <c r="O38" s="22"/>
    </row>
    <row r="39" spans="1:15" s="7" customFormat="1" ht="19.5" customHeight="1" thickBot="1">
      <c r="A39" s="437"/>
      <c r="B39" s="438"/>
      <c r="C39" s="438"/>
      <c r="D39" s="438"/>
      <c r="E39" s="438"/>
      <c r="F39" s="438"/>
      <c r="G39" s="32"/>
      <c r="H39" s="32"/>
      <c r="I39" s="32"/>
      <c r="J39" s="32"/>
      <c r="K39" s="26" t="s">
        <v>590</v>
      </c>
      <c r="L39" s="27"/>
      <c r="M39" s="28" t="s">
        <v>591</v>
      </c>
      <c r="N39" s="20"/>
      <c r="O39" s="29"/>
    </row>
    <row r="40" spans="1:15" ht="21.5" thickBot="1">
      <c r="A40" s="13" t="s">
        <v>592</v>
      </c>
      <c r="B40" s="9" t="s">
        <v>593</v>
      </c>
      <c r="C40" s="12" t="s">
        <v>594</v>
      </c>
      <c r="D40" s="9" t="s">
        <v>595</v>
      </c>
      <c r="E40" s="8" t="s">
        <v>596</v>
      </c>
      <c r="F40" s="10" t="s">
        <v>597</v>
      </c>
      <c r="G40" s="8" t="s">
        <v>110</v>
      </c>
      <c r="H40" s="8" t="s">
        <v>598</v>
      </c>
      <c r="I40" s="8" t="s">
        <v>599</v>
      </c>
      <c r="J40" s="8" t="s">
        <v>147</v>
      </c>
      <c r="K40" s="9" t="s">
        <v>600</v>
      </c>
      <c r="L40" s="10"/>
      <c r="M40" s="10" t="s">
        <v>601</v>
      </c>
      <c r="N40" s="11" t="s">
        <v>602</v>
      </c>
      <c r="O40" s="11" t="s">
        <v>603</v>
      </c>
    </row>
    <row r="41" spans="1:15" ht="14.5" thickBot="1">
      <c r="A41" s="159"/>
      <c r="B41" s="160"/>
      <c r="C41" s="122"/>
      <c r="D41" s="122"/>
      <c r="E41" s="122"/>
      <c r="F41" s="122"/>
      <c r="G41" s="149" t="str">
        <f>IF(C41=ListMaster!$AH$5,0,IF(C41=ListMaster!$AI$5,ListMaster!$AI$6,IF(C41=ListMaster!$AJ$5,ListMaster!$AJ$6,IF(C41=ListMaster!$AK$5,ListMaster!$AK$6,""))))</f>
        <v/>
      </c>
      <c r="H41" s="149" t="str">
        <f>IF(D41=ListMaster!$AH$2,ListMaster!$AH$3,IF(D41=ListMaster!$AI$2,ListMaster!$AI$3,""))</f>
        <v/>
      </c>
      <c r="I41" s="149" t="str">
        <f>IF(L41=ListMaster!$AH$2,ListMaster!$AH$4,IF(L41=ListMaster!$AI$2,ListMaster!$AI$4,""))</f>
        <v/>
      </c>
      <c r="J41" s="149" t="str">
        <f>IF(F41=ListMaster!$AH$5,ListMaster!$AH$7,IF(F41=ListMaster!$AI$5,ListMaster!$AI$7,IF(F41=ListMaster!$AJ$5,ListMaster!$AJ$7,IF(F41=ListMaster!$AK$5,ListMaster!$AK$7,""))))</f>
        <v/>
      </c>
      <c r="K41" s="150" t="str">
        <f>IF(ISTEXT(B41),IF(ISNUMBER((G41*ListMaster!$AL$6+H41*ListMaster!$AL$3+I41*ListMaster!$AL$4+J41*ListMaster!$AL$7)/(ListMaster!$AH$3*ListMaster!$AL$3+ListMaster!$AH$4*ListMaster!$AL$4+ListMaster!$AI$6*ListMaster!$AL$6+ListMaster!$AI$7*ListMaster!$AL$7)),(G41*ListMaster!$AL$6+H41*ListMaster!$AL$3+I41*ListMaster!$AL$4+J41*ListMaster!$AL$7)/(ListMaster!$AH$3*ListMaster!$AL$3+ListMaster!$AH$4*ListMaster!$AL$4+ListMaster!$AI$6*ListMaster!$AL$6+ListMaster!$AI$7*ListMaster!$AL$7),IF(ISERROR((G41*ListMaster!$AL$6+H41*ListMaster!$AL$3+I41*ListMaster!$AL$4+J41*ListMaster!$AL$7)/(ListMaster!$AH$3*ListMaster!$AL$3+ListMaster!$AH$4*ListMaster!$AL$4+ListMaster!$AI$6*ListMaster!$AL$6+ListMaster!$AI$7*ListMaster!$AL$7)),"Data incomplete")),"")</f>
        <v/>
      </c>
      <c r="L41" s="151" t="str">
        <f t="shared" ref="L41:L50" si="2">IF(E41&lt;&gt;"",IF(E41="None","No","Yes"),"")</f>
        <v/>
      </c>
      <c r="M41" s="169" t="str">
        <f>IF(ISNUMBER(K41),IF(K41&gt;ListMaster!$AI$11,"Managed Statistically",IF(AND(K41&lt;ListMaster!$AI$11,K41&gt;ListMaster!$AI$12),"Managed Quantitatively","")),"")</f>
        <v/>
      </c>
      <c r="N41" s="152"/>
      <c r="O41" s="153"/>
    </row>
    <row r="42" spans="1:15" ht="14.5" thickBot="1">
      <c r="A42" s="159"/>
      <c r="B42" s="160"/>
      <c r="C42" s="122"/>
      <c r="D42" s="122"/>
      <c r="E42" s="122"/>
      <c r="F42" s="122"/>
      <c r="G42" s="149" t="str">
        <f>IF(C42=ListMaster!$AH$5,0,IF(C42=ListMaster!$AI$5,ListMaster!$AI$6,IF(C42=ListMaster!$AJ$5,ListMaster!$AJ$6,IF(C42=ListMaster!$AK$5,ListMaster!$AK$6,""))))</f>
        <v/>
      </c>
      <c r="H42" s="149" t="str">
        <f>IF(D42=ListMaster!$AH$2,ListMaster!$AH$3,IF(D42=ListMaster!$AI$2,ListMaster!$AI$3,""))</f>
        <v/>
      </c>
      <c r="I42" s="149" t="str">
        <f>IF(L42=ListMaster!$AH$2,ListMaster!$AH$4,IF(L42=ListMaster!$AI$2,ListMaster!$AI$4,""))</f>
        <v/>
      </c>
      <c r="J42" s="149" t="str">
        <f>IF(F42=ListMaster!$AH$5,ListMaster!$AH$7,IF(F42=ListMaster!$AI$5,ListMaster!$AI$7,IF(F42=ListMaster!$AJ$5,ListMaster!$AJ$7,IF(F42=ListMaster!$AK$5,ListMaster!$AK$7,""))))</f>
        <v/>
      </c>
      <c r="K42" s="157" t="str">
        <f>IF(ISTEXT(B42),IF(ISNUMBER((G42*ListMaster!$AL$6+H42*ListMaster!$AL$3+I42*ListMaster!$AL$4+J42*ListMaster!$AL$7)/(ListMaster!$AH$3*ListMaster!$AL$3+ListMaster!$AH$4*ListMaster!$AL$4+ListMaster!$AI$6*ListMaster!$AL$6+ListMaster!$AI$7*ListMaster!$AL$7)),(G42*ListMaster!$AL$6+H42*ListMaster!$AL$3+I42*ListMaster!$AL$4+J42*ListMaster!$AL$7)/(ListMaster!$AH$3*ListMaster!$AL$3+ListMaster!$AH$4*ListMaster!$AL$4+ListMaster!$AI$6*ListMaster!$AL$6+ListMaster!$AI$7*ListMaster!$AL$7),IF(ISERROR((G42*ListMaster!$AL$6+H42*ListMaster!$AL$3+I42*ListMaster!$AL$4+J42*ListMaster!$AL$7)/(ListMaster!$AH$3*ListMaster!$AL$3+ListMaster!$AH$4*ListMaster!$AL$4+ListMaster!$AI$6*ListMaster!$AL$6+ListMaster!$AI$7*ListMaster!$AL$7)),"Data incomplete")),"")</f>
        <v/>
      </c>
      <c r="L42" s="151" t="str">
        <f t="shared" si="2"/>
        <v/>
      </c>
      <c r="M42" s="169" t="str">
        <f>IF(ISNUMBER(K42),IF(K42&gt;ListMaster!$AI$11,"Managed Statistically",IF(AND(K42&lt;ListMaster!$AI$11,K42&gt;ListMaster!$AI$12),"Managed Quantitatively","")),"")</f>
        <v/>
      </c>
      <c r="N42" s="158"/>
      <c r="O42" s="156"/>
    </row>
    <row r="43" spans="1:15" ht="22.5" customHeight="1" thickBot="1">
      <c r="A43" s="159"/>
      <c r="B43" s="160"/>
      <c r="C43" s="122"/>
      <c r="D43" s="122"/>
      <c r="E43" s="122"/>
      <c r="F43" s="122"/>
      <c r="G43" s="149" t="str">
        <f>IF(C43=ListMaster!$AH$5,0,IF(C43=ListMaster!$AI$5,ListMaster!$AI$6,IF(C43=ListMaster!$AJ$5,ListMaster!$AJ$6,IF(C43=ListMaster!$AK$5,ListMaster!$AK$6,""))))</f>
        <v/>
      </c>
      <c r="H43" s="149" t="str">
        <f>IF(D43=ListMaster!$AH$2,ListMaster!$AH$3,IF(D43=ListMaster!$AI$2,ListMaster!$AI$3,""))</f>
        <v/>
      </c>
      <c r="I43" s="149" t="str">
        <f>IF(L43=ListMaster!$AH$2,ListMaster!$AH$4,IF(L43=ListMaster!$AI$2,ListMaster!$AI$4,""))</f>
        <v/>
      </c>
      <c r="J43" s="149" t="str">
        <f>IF(F43=ListMaster!$AH$5,ListMaster!$AH$7,IF(F43=ListMaster!$AI$5,ListMaster!$AI$7,IF(F43=ListMaster!$AJ$5,ListMaster!$AJ$7,IF(F43=ListMaster!$AK$5,ListMaster!$AK$7,""))))</f>
        <v/>
      </c>
      <c r="K43" s="157" t="str">
        <f>IF(ISTEXT(B43),IF(ISNUMBER((G43*ListMaster!$AL$6+H43*ListMaster!$AL$3+I43*ListMaster!$AL$4+J43*ListMaster!$AL$7)/(ListMaster!$AH$3*ListMaster!$AL$3+ListMaster!$AH$4*ListMaster!$AL$4+ListMaster!$AI$6*ListMaster!$AL$6+ListMaster!$AI$7*ListMaster!$AL$7)),(G43*ListMaster!$AL$6+H43*ListMaster!$AL$3+I43*ListMaster!$AL$4+J43*ListMaster!$AL$7)/(ListMaster!$AH$3*ListMaster!$AL$3+ListMaster!$AH$4*ListMaster!$AL$4+ListMaster!$AI$6*ListMaster!$AL$6+ListMaster!$AI$7*ListMaster!$AL$7),IF(ISERROR((G43*ListMaster!$AL$6+H43*ListMaster!$AL$3+I43*ListMaster!$AL$4+J43*ListMaster!$AL$7)/(ListMaster!$AH$3*ListMaster!$AL$3+ListMaster!$AH$4*ListMaster!$AL$4+ListMaster!$AI$6*ListMaster!$AL$6+ListMaster!$AI$7*ListMaster!$AL$7)),"Data incomplete")),"")</f>
        <v/>
      </c>
      <c r="L43" s="151" t="str">
        <f t="shared" si="2"/>
        <v/>
      </c>
      <c r="M43" s="169" t="str">
        <f>IF(ISNUMBER(K43),IF(K43&gt;ListMaster!$AI$11,"Managed Statistically",IF(AND(K43&lt;ListMaster!$AI$11,K43&gt;ListMaster!$AI$12),"Managed Quantitatively","")),"")</f>
        <v/>
      </c>
      <c r="N43" s="158"/>
      <c r="O43" s="156"/>
    </row>
    <row r="44" spans="1:15" ht="14.5" thickBot="1">
      <c r="A44" s="159"/>
      <c r="B44" s="160"/>
      <c r="C44" s="122"/>
      <c r="D44" s="122"/>
      <c r="E44" s="122"/>
      <c r="F44" s="122"/>
      <c r="G44" s="149" t="str">
        <f>IF(C44=ListMaster!$AH$5,0,IF(C44=ListMaster!$AI$5,ListMaster!$AI$6,IF(C44=ListMaster!$AJ$5,ListMaster!$AJ$6,IF(C44=ListMaster!$AK$5,ListMaster!$AK$6,""))))</f>
        <v/>
      </c>
      <c r="H44" s="149" t="str">
        <f>IF(D44=ListMaster!$AH$2,ListMaster!$AH$3,IF(D44=ListMaster!$AI$2,ListMaster!$AI$3,""))</f>
        <v/>
      </c>
      <c r="I44" s="149" t="str">
        <f>IF(L44=ListMaster!$AH$2,ListMaster!$AH$4,IF(L44=ListMaster!$AI$2,ListMaster!$AI$4,""))</f>
        <v/>
      </c>
      <c r="J44" s="149" t="str">
        <f>IF(F44=ListMaster!$AH$5,ListMaster!$AH$7,IF(F44=ListMaster!$AI$5,ListMaster!$AI$7,IF(F44=ListMaster!$AJ$5,ListMaster!$AJ$7,IF(F44=ListMaster!$AK$5,ListMaster!$AK$7,""))))</f>
        <v/>
      </c>
      <c r="K44" s="157" t="str">
        <f>IF(ISTEXT(B44),IF(ISNUMBER((G44*ListMaster!$AL$6+H44*ListMaster!$AL$3+I44*ListMaster!$AL$4+J44*ListMaster!$AL$7)/(ListMaster!$AH$3*ListMaster!$AL$3+ListMaster!$AH$4*ListMaster!$AL$4+ListMaster!$AI$6*ListMaster!$AL$6+ListMaster!$AI$7*ListMaster!$AL$7)),(G44*ListMaster!$AL$6+H44*ListMaster!$AL$3+I44*ListMaster!$AL$4+J44*ListMaster!$AL$7)/(ListMaster!$AH$3*ListMaster!$AL$3+ListMaster!$AH$4*ListMaster!$AL$4+ListMaster!$AI$6*ListMaster!$AL$6+ListMaster!$AI$7*ListMaster!$AL$7),IF(ISERROR((G44*ListMaster!$AL$6+H44*ListMaster!$AL$3+I44*ListMaster!$AL$4+J44*ListMaster!$AL$7)/(ListMaster!$AH$3*ListMaster!$AL$3+ListMaster!$AH$4*ListMaster!$AL$4+ListMaster!$AI$6*ListMaster!$AL$6+ListMaster!$AI$7*ListMaster!$AL$7)),"Data incomplete")),"")</f>
        <v/>
      </c>
      <c r="L44" s="151" t="str">
        <f t="shared" si="2"/>
        <v/>
      </c>
      <c r="M44" s="169" t="str">
        <f>IF(ISNUMBER(K44),IF(K44&gt;ListMaster!$AI$11,"Managed Statistically",IF(AND(K44&lt;ListMaster!$AI$11,K44&gt;ListMaster!$AI$12),"Managed Quantitatively","")),"")</f>
        <v/>
      </c>
      <c r="N44" s="158"/>
      <c r="O44" s="156"/>
    </row>
    <row r="45" spans="1:15" ht="14.5" thickBot="1">
      <c r="A45" s="159"/>
      <c r="B45" s="160"/>
      <c r="C45" s="122"/>
      <c r="D45" s="122"/>
      <c r="E45" s="122"/>
      <c r="F45" s="122"/>
      <c r="G45" s="149" t="str">
        <f>IF(C45=ListMaster!$AH$5,0,IF(C45=ListMaster!$AI$5,ListMaster!$AI$6,IF(C45=ListMaster!$AJ$5,ListMaster!$AJ$6,IF(C45=ListMaster!$AK$5,ListMaster!$AK$6,""))))</f>
        <v/>
      </c>
      <c r="H45" s="149" t="str">
        <f>IF(D45=ListMaster!$AH$2,ListMaster!$AH$3,IF(D45=ListMaster!$AI$2,ListMaster!$AI$3,""))</f>
        <v/>
      </c>
      <c r="I45" s="149" t="str">
        <f>IF(L45=ListMaster!$AH$2,ListMaster!$AH$4,IF(L45=ListMaster!$AI$2,ListMaster!$AI$4,""))</f>
        <v/>
      </c>
      <c r="J45" s="149" t="str">
        <f>IF(F45=ListMaster!$AH$5,ListMaster!$AH$7,IF(F45=ListMaster!$AI$5,ListMaster!$AI$7,IF(F45=ListMaster!$AJ$5,ListMaster!$AJ$7,IF(F45=ListMaster!$AK$5,ListMaster!$AK$7,""))))</f>
        <v/>
      </c>
      <c r="K45" s="157" t="str">
        <f>IF(ISTEXT(B45),IF(ISNUMBER((G45*ListMaster!$AL$6+H45*ListMaster!$AL$3+I45*ListMaster!$AL$4+J45*ListMaster!$AL$7)/(ListMaster!$AH$3*ListMaster!$AL$3+ListMaster!$AH$4*ListMaster!$AL$4+ListMaster!$AI$6*ListMaster!$AL$6+ListMaster!$AI$7*ListMaster!$AL$7)),(G45*ListMaster!$AL$6+H45*ListMaster!$AL$3+I45*ListMaster!$AL$4+J45*ListMaster!$AL$7)/(ListMaster!$AH$3*ListMaster!$AL$3+ListMaster!$AH$4*ListMaster!$AL$4+ListMaster!$AI$6*ListMaster!$AL$6+ListMaster!$AI$7*ListMaster!$AL$7),IF(ISERROR((G45*ListMaster!$AL$6+H45*ListMaster!$AL$3+I45*ListMaster!$AL$4+J45*ListMaster!$AL$7)/(ListMaster!$AH$3*ListMaster!$AL$3+ListMaster!$AH$4*ListMaster!$AL$4+ListMaster!$AI$6*ListMaster!$AL$6+ListMaster!$AI$7*ListMaster!$AL$7)),"Data incomplete")),"")</f>
        <v/>
      </c>
      <c r="L45" s="151" t="str">
        <f t="shared" si="2"/>
        <v/>
      </c>
      <c r="M45" s="169" t="str">
        <f>IF(ISNUMBER(K45),IF(K45&gt;ListMaster!$AI$11,"Managed Statistically",IF(AND(K45&lt;ListMaster!$AI$11,K45&gt;ListMaster!$AI$12),"Managed Quantitatively","")),"")</f>
        <v/>
      </c>
      <c r="N45" s="158"/>
      <c r="O45" s="156"/>
    </row>
    <row r="46" spans="1:15" ht="14.5" thickBot="1">
      <c r="A46" s="159"/>
      <c r="B46" s="160"/>
      <c r="C46" s="122"/>
      <c r="D46" s="122"/>
      <c r="E46" s="122"/>
      <c r="F46" s="122"/>
      <c r="G46" s="149" t="str">
        <f>IF(C46=ListMaster!$AH$5,0,IF(C46=ListMaster!$AI$5,ListMaster!$AI$6,IF(C46=ListMaster!$AJ$5,ListMaster!$AJ$6,IF(C46=ListMaster!$AK$5,ListMaster!$AK$6,""))))</f>
        <v/>
      </c>
      <c r="H46" s="149" t="str">
        <f>IF(D46=ListMaster!$AH$2,ListMaster!$AH$3,IF(D46=ListMaster!$AI$2,ListMaster!$AI$3,""))</f>
        <v/>
      </c>
      <c r="I46" s="149" t="str">
        <f>IF(L46=ListMaster!$AH$2,ListMaster!$AH$4,IF(L46=ListMaster!$AI$2,ListMaster!$AI$4,""))</f>
        <v/>
      </c>
      <c r="J46" s="149" t="str">
        <f>IF(F46=ListMaster!$AH$5,ListMaster!$AH$7,IF(F46=ListMaster!$AI$5,ListMaster!$AI$7,IF(F46=ListMaster!$AJ$5,ListMaster!$AJ$7,IF(F46=ListMaster!$AK$5,ListMaster!$AK$7,""))))</f>
        <v/>
      </c>
      <c r="K46" s="157" t="str">
        <f>IF(ISTEXT(B46),IF(ISNUMBER((G46*ListMaster!$AL$6+H46*ListMaster!$AL$3+I46*ListMaster!$AL$4+J46*ListMaster!$AL$7)/(ListMaster!$AH$3*ListMaster!$AL$3+ListMaster!$AH$4*ListMaster!$AL$4+ListMaster!$AI$6*ListMaster!$AL$6+ListMaster!$AI$7*ListMaster!$AL$7)),(G46*ListMaster!$AL$6+H46*ListMaster!$AL$3+I46*ListMaster!$AL$4+J46*ListMaster!$AL$7)/(ListMaster!$AH$3*ListMaster!$AL$3+ListMaster!$AH$4*ListMaster!$AL$4+ListMaster!$AI$6*ListMaster!$AL$6+ListMaster!$AI$7*ListMaster!$AL$7),IF(ISERROR((G46*ListMaster!$AL$6+H46*ListMaster!$AL$3+I46*ListMaster!$AL$4+J46*ListMaster!$AL$7)/(ListMaster!$AH$3*ListMaster!$AL$3+ListMaster!$AH$4*ListMaster!$AL$4+ListMaster!$AI$6*ListMaster!$AL$6+ListMaster!$AI$7*ListMaster!$AL$7)),"Data incomplete")),"")</f>
        <v/>
      </c>
      <c r="L46" s="151" t="str">
        <f t="shared" si="2"/>
        <v/>
      </c>
      <c r="M46" s="169" t="str">
        <f>IF(ISNUMBER(K46),IF(K46&gt;ListMaster!$AI$11,"Managed Statistically",IF(AND(K46&lt;ListMaster!$AI$11,K46&gt;ListMaster!$AI$12),"Managed Quantitatively","")),"")</f>
        <v/>
      </c>
      <c r="N46" s="158"/>
      <c r="O46" s="156"/>
    </row>
    <row r="47" spans="1:15" ht="14.5" thickBot="1">
      <c r="A47" s="159"/>
      <c r="B47" s="160"/>
      <c r="C47" s="122"/>
      <c r="D47" s="122"/>
      <c r="E47" s="122"/>
      <c r="F47" s="122"/>
      <c r="G47" s="149" t="str">
        <f>IF(C47=ListMaster!$AH$5,0,IF(C47=ListMaster!$AI$5,ListMaster!$AI$6,IF(C47=ListMaster!$AJ$5,ListMaster!$AJ$6,IF(C47=ListMaster!$AK$5,ListMaster!$AK$6,""))))</f>
        <v/>
      </c>
      <c r="H47" s="149" t="str">
        <f>IF(D47=ListMaster!$AH$2,ListMaster!$AH$3,IF(D47=ListMaster!$AI$2,ListMaster!$AI$3,""))</f>
        <v/>
      </c>
      <c r="I47" s="149" t="str">
        <f>IF(L47=ListMaster!$AH$2,ListMaster!$AH$4,IF(L47=ListMaster!$AI$2,ListMaster!$AI$4,""))</f>
        <v/>
      </c>
      <c r="J47" s="149" t="str">
        <f>IF(F47=ListMaster!$AH$5,ListMaster!$AH$7,IF(F47=ListMaster!$AI$5,ListMaster!$AI$7,IF(F47=ListMaster!$AJ$5,ListMaster!$AJ$7,IF(F47=ListMaster!$AK$5,ListMaster!$AK$7,""))))</f>
        <v/>
      </c>
      <c r="K47" s="157" t="str">
        <f>IF(ISTEXT(B47),IF(ISNUMBER((G47*ListMaster!$AL$6+H47*ListMaster!$AL$3+I47*ListMaster!$AL$4+J47*ListMaster!$AL$7)/(ListMaster!$AH$3*ListMaster!$AL$3+ListMaster!$AH$4*ListMaster!$AL$4+ListMaster!$AI$6*ListMaster!$AL$6+ListMaster!$AI$7*ListMaster!$AL$7)),(G47*ListMaster!$AL$6+H47*ListMaster!$AL$3+I47*ListMaster!$AL$4+J47*ListMaster!$AL$7)/(ListMaster!$AH$3*ListMaster!$AL$3+ListMaster!$AH$4*ListMaster!$AL$4+ListMaster!$AI$6*ListMaster!$AL$6+ListMaster!$AI$7*ListMaster!$AL$7),IF(ISERROR((G47*ListMaster!$AL$6+H47*ListMaster!$AL$3+I47*ListMaster!$AL$4+J47*ListMaster!$AL$7)/(ListMaster!$AH$3*ListMaster!$AL$3+ListMaster!$AH$4*ListMaster!$AL$4+ListMaster!$AI$6*ListMaster!$AL$6+ListMaster!$AI$7*ListMaster!$AL$7)),"Data incomplete")),"")</f>
        <v/>
      </c>
      <c r="L47" s="151" t="str">
        <f t="shared" si="2"/>
        <v/>
      </c>
      <c r="M47" s="169" t="str">
        <f>IF(ISNUMBER(K47),IF(K47&gt;ListMaster!$AI$11,"Managed Statistically",IF(AND(K47&lt;ListMaster!$AI$11,K47&gt;ListMaster!$AI$12),"Managed Quantitatively","")),"")</f>
        <v/>
      </c>
      <c r="N47" s="158"/>
      <c r="O47" s="156"/>
    </row>
    <row r="48" spans="1:15" ht="14.5" thickBot="1">
      <c r="A48" s="159"/>
      <c r="B48" s="160"/>
      <c r="C48" s="122"/>
      <c r="D48" s="122"/>
      <c r="E48" s="122"/>
      <c r="F48" s="122"/>
      <c r="G48" s="149" t="str">
        <f>IF(C48=ListMaster!$AH$5,0,IF(C48=ListMaster!$AI$5,ListMaster!$AI$6,IF(C48=ListMaster!$AJ$5,ListMaster!$AJ$6,IF(C48=ListMaster!$AK$5,ListMaster!$AK$6,""))))</f>
        <v/>
      </c>
      <c r="H48" s="149" t="str">
        <f>IF(D48=ListMaster!$AH$2,ListMaster!$AH$3,IF(D48=ListMaster!$AI$2,ListMaster!$AI$3,""))</f>
        <v/>
      </c>
      <c r="I48" s="149" t="str">
        <f>IF(L48=ListMaster!$AH$2,ListMaster!$AH$4,IF(L48=ListMaster!$AI$2,ListMaster!$AI$4,""))</f>
        <v/>
      </c>
      <c r="J48" s="149" t="str">
        <f>IF(F48=ListMaster!$AH$5,ListMaster!$AH$7,IF(F48=ListMaster!$AI$5,ListMaster!$AI$7,IF(F48=ListMaster!$AJ$5,ListMaster!$AJ$7,IF(F48=ListMaster!$AK$5,ListMaster!$AK$7,""))))</f>
        <v/>
      </c>
      <c r="K48" s="157" t="str">
        <f>IF(ISTEXT(B48),IF(ISNUMBER((G48*ListMaster!$AL$6+H48*ListMaster!$AL$3+I48*ListMaster!$AL$4+J48*ListMaster!$AL$7)/(ListMaster!$AH$3*ListMaster!$AL$3+ListMaster!$AH$4*ListMaster!$AL$4+ListMaster!$AI$6*ListMaster!$AL$6+ListMaster!$AI$7*ListMaster!$AL$7)),(G48*ListMaster!$AL$6+H48*ListMaster!$AL$3+I48*ListMaster!$AL$4+J48*ListMaster!$AL$7)/(ListMaster!$AH$3*ListMaster!$AL$3+ListMaster!$AH$4*ListMaster!$AL$4+ListMaster!$AI$6*ListMaster!$AL$6+ListMaster!$AI$7*ListMaster!$AL$7),IF(ISERROR((G48*ListMaster!$AL$6+H48*ListMaster!$AL$3+I48*ListMaster!$AL$4+J48*ListMaster!$AL$7)/(ListMaster!$AH$3*ListMaster!$AL$3+ListMaster!$AH$4*ListMaster!$AL$4+ListMaster!$AI$6*ListMaster!$AL$6+ListMaster!$AI$7*ListMaster!$AL$7)),"Data incomplete")),"")</f>
        <v/>
      </c>
      <c r="L48" s="151" t="str">
        <f t="shared" si="2"/>
        <v/>
      </c>
      <c r="M48" s="169" t="str">
        <f>IF(ISNUMBER(K48),IF(K48&gt;ListMaster!$AI$11,"Managed Statistically",IF(AND(K48&lt;ListMaster!$AI$11,K48&gt;ListMaster!$AI$12),"Managed Quantitatively","")),"")</f>
        <v/>
      </c>
      <c r="N48" s="158"/>
      <c r="O48" s="156"/>
    </row>
    <row r="49" spans="1:15" ht="14.5" thickBot="1">
      <c r="A49" s="159"/>
      <c r="B49" s="160"/>
      <c r="C49" s="122"/>
      <c r="D49" s="122"/>
      <c r="E49" s="122"/>
      <c r="F49" s="122"/>
      <c r="G49" s="149" t="str">
        <f>IF(C49=ListMaster!$AH$5,0,IF(C49=ListMaster!$AI$5,ListMaster!$AI$6,IF(C49=ListMaster!$AJ$5,ListMaster!$AJ$6,IF(C49=ListMaster!$AK$5,ListMaster!$AK$6,""))))</f>
        <v/>
      </c>
      <c r="H49" s="149" t="str">
        <f>IF(D49=ListMaster!$AH$2,ListMaster!$AH$3,IF(D49=ListMaster!$AI$2,ListMaster!$AI$3,""))</f>
        <v/>
      </c>
      <c r="I49" s="149" t="str">
        <f>IF(L49=ListMaster!$AH$2,ListMaster!$AH$4,IF(L49=ListMaster!$AI$2,ListMaster!$AI$4,""))</f>
        <v/>
      </c>
      <c r="J49" s="149" t="str">
        <f>IF(F49=ListMaster!$AH$5,ListMaster!$AH$7,IF(F49=ListMaster!$AI$5,ListMaster!$AI$7,IF(F49=ListMaster!$AJ$5,ListMaster!$AJ$7,IF(F49=ListMaster!$AK$5,ListMaster!$AK$7,""))))</f>
        <v/>
      </c>
      <c r="K49" s="157" t="str">
        <f>IF(ISTEXT(B49),IF(ISNUMBER((G49*ListMaster!$AL$6+H49*ListMaster!$AL$3+I49*ListMaster!$AL$4+J49*ListMaster!$AL$7)/(ListMaster!$AH$3*ListMaster!$AL$3+ListMaster!$AH$4*ListMaster!$AL$4+ListMaster!$AI$6*ListMaster!$AL$6+ListMaster!$AI$7*ListMaster!$AL$7)),(G49*ListMaster!$AL$6+H49*ListMaster!$AL$3+I49*ListMaster!$AL$4+J49*ListMaster!$AL$7)/(ListMaster!$AH$3*ListMaster!$AL$3+ListMaster!$AH$4*ListMaster!$AL$4+ListMaster!$AI$6*ListMaster!$AL$6+ListMaster!$AI$7*ListMaster!$AL$7),IF(ISERROR((G49*ListMaster!$AL$6+H49*ListMaster!$AL$3+I49*ListMaster!$AL$4+J49*ListMaster!$AL$7)/(ListMaster!$AH$3*ListMaster!$AL$3+ListMaster!$AH$4*ListMaster!$AL$4+ListMaster!$AI$6*ListMaster!$AL$6+ListMaster!$AI$7*ListMaster!$AL$7)),"Data incomplete")),"")</f>
        <v/>
      </c>
      <c r="L49" s="151" t="str">
        <f t="shared" si="2"/>
        <v/>
      </c>
      <c r="M49" s="169" t="str">
        <f>IF(ISNUMBER(K49),IF(K49&gt;ListMaster!$AI$11,"Managed Statistically",IF(AND(K49&lt;ListMaster!$AI$11,K49&gt;ListMaster!$AI$12),"Managed Quantitatively","")),"")</f>
        <v/>
      </c>
      <c r="N49" s="158"/>
      <c r="O49" s="156"/>
    </row>
    <row r="50" spans="1:15" ht="14.5" thickBot="1">
      <c r="A50" s="161"/>
      <c r="B50" s="162"/>
      <c r="C50" s="163"/>
      <c r="D50" s="163"/>
      <c r="E50" s="163"/>
      <c r="F50" s="163"/>
      <c r="G50" s="164" t="str">
        <f>IF(C50=ListMaster!$AH$5,0,IF(C50=ListMaster!$AI$5,ListMaster!$AI$6,IF(C50=ListMaster!$AJ$5,ListMaster!$AJ$6,IF(C50=ListMaster!$AK$5,ListMaster!$AK$6,""))))</f>
        <v/>
      </c>
      <c r="H50" s="164" t="str">
        <f>IF(D50=ListMaster!$AH$2,ListMaster!$AH$3,IF(D50=ListMaster!$AI$2,ListMaster!$AI$3,""))</f>
        <v/>
      </c>
      <c r="I50" s="164" t="str">
        <f>IF(L50=ListMaster!$AH$2,ListMaster!$AH$4,IF(L50=ListMaster!$AI$2,ListMaster!$AI$4,""))</f>
        <v/>
      </c>
      <c r="J50" s="164" t="str">
        <f>IF(F50=ListMaster!$AH$5,ListMaster!$AH$7,IF(F50=ListMaster!$AI$5,ListMaster!$AI$7,IF(F50=ListMaster!$AJ$5,ListMaster!$AJ$7,IF(F50=ListMaster!$AK$5,ListMaster!$AK$7,""))))</f>
        <v/>
      </c>
      <c r="K50" s="165" t="str">
        <f>IF(ISTEXT(B50),IF(ISNUMBER((G50*ListMaster!$AL$6+H50*ListMaster!$AL$3+I50*ListMaster!$AL$4+J50*ListMaster!$AL$7)/(ListMaster!$AH$3*ListMaster!$AL$3+ListMaster!$AH$4*ListMaster!$AL$4+ListMaster!$AI$6*ListMaster!$AL$6+ListMaster!$AI$7*ListMaster!$AL$7)),(G50*ListMaster!$AL$6+H50*ListMaster!$AL$3+I50*ListMaster!$AL$4+J50*ListMaster!$AL$7)/(ListMaster!$AH$3*ListMaster!$AL$3+ListMaster!$AH$4*ListMaster!$AL$4+ListMaster!$AI$6*ListMaster!$AL$6+ListMaster!$AI$7*ListMaster!$AL$7),IF(ISERROR((G50*ListMaster!$AL$6+H50*ListMaster!$AL$3+I50*ListMaster!$AL$4+J50*ListMaster!$AL$7)/(ListMaster!$AH$3*ListMaster!$AL$3+ListMaster!$AH$4*ListMaster!$AL$4+ListMaster!$AI$6*ListMaster!$AL$6+ListMaster!$AI$7*ListMaster!$AL$7)),"Data incomplete")),"")</f>
        <v/>
      </c>
      <c r="L50" s="166" t="str">
        <f t="shared" si="2"/>
        <v/>
      </c>
      <c r="M50" s="165" t="str">
        <f>IF(ISNUMBER(K50),IF(K50&gt;ListMaster!$AI$11,"Managed Statistically",IF(AND(K50&lt;ListMaster!$AI$11,K50&gt;ListMaster!$AI$12),"Managed Quantitatively","")),"")</f>
        <v/>
      </c>
      <c r="N50" s="167"/>
      <c r="O50" s="168"/>
    </row>
  </sheetData>
  <sheetProtection insertRows="0"/>
  <mergeCells count="11">
    <mergeCell ref="A38:F39"/>
    <mergeCell ref="A1:O1"/>
    <mergeCell ref="A2:O2"/>
    <mergeCell ref="A4:O4"/>
    <mergeCell ref="C6:O6"/>
    <mergeCell ref="C22:O22"/>
    <mergeCell ref="R8:W8"/>
    <mergeCell ref="R16:W16"/>
    <mergeCell ref="C37:O37"/>
    <mergeCell ref="A7:F8"/>
    <mergeCell ref="A23:F24"/>
  </mergeCells>
  <dataValidations count="4">
    <dataValidation type="list" allowBlank="1" showInputMessage="1" showErrorMessage="1" sqref="E41:E50 JA41:JA50 SW41:SW50 ACS41:ACS50 AMO41:AMO50 AWK41:AWK50 BGG41:BGG50 BQC41:BQC50 BZY41:BZY50 CJU41:CJU50 CTQ41:CTQ50 DDM41:DDM50 DNI41:DNI50 DXE41:DXE50 EHA41:EHA50 EQW41:EQW50 FAS41:FAS50 FKO41:FKO50 FUK41:FUK50 GEG41:GEG50 GOC41:GOC50 GXY41:GXY50 HHU41:HHU50 HRQ41:HRQ50 IBM41:IBM50 ILI41:ILI50 IVE41:IVE50 JFA41:JFA50 JOW41:JOW50 JYS41:JYS50 KIO41:KIO50 KSK41:KSK50 LCG41:LCG50 LMC41:LMC50 LVY41:LVY50 MFU41:MFU50 MPQ41:MPQ50 MZM41:MZM50 NJI41:NJI50 NTE41:NTE50 ODA41:ODA50 OMW41:OMW50 OWS41:OWS50 PGO41:PGO50 PQK41:PQK50 QAG41:QAG50 QKC41:QKC50 QTY41:QTY50 RDU41:RDU50 RNQ41:RNQ50 RXM41:RXM50 SHI41:SHI50 SRE41:SRE50 TBA41:TBA50 TKW41:TKW50 TUS41:TUS50 UEO41:UEO50 UOK41:UOK50 UYG41:UYG50 VIC41:VIC50 VRY41:VRY50 WBU41:WBU50 WLQ41:WLQ50 WVM41:WVM50 E65577:E65586 JA65577:JA65586 SW65577:SW65586 ACS65577:ACS65586 AMO65577:AMO65586 AWK65577:AWK65586 BGG65577:BGG65586 BQC65577:BQC65586 BZY65577:BZY65586 CJU65577:CJU65586 CTQ65577:CTQ65586 DDM65577:DDM65586 DNI65577:DNI65586 DXE65577:DXE65586 EHA65577:EHA65586 EQW65577:EQW65586 FAS65577:FAS65586 FKO65577:FKO65586 FUK65577:FUK65586 GEG65577:GEG65586 GOC65577:GOC65586 GXY65577:GXY65586 HHU65577:HHU65586 HRQ65577:HRQ65586 IBM65577:IBM65586 ILI65577:ILI65586 IVE65577:IVE65586 JFA65577:JFA65586 JOW65577:JOW65586 JYS65577:JYS65586 KIO65577:KIO65586 KSK65577:KSK65586 LCG65577:LCG65586 LMC65577:LMC65586 LVY65577:LVY65586 MFU65577:MFU65586 MPQ65577:MPQ65586 MZM65577:MZM65586 NJI65577:NJI65586 NTE65577:NTE65586 ODA65577:ODA65586 OMW65577:OMW65586 OWS65577:OWS65586 PGO65577:PGO65586 PQK65577:PQK65586 QAG65577:QAG65586 QKC65577:QKC65586 QTY65577:QTY65586 RDU65577:RDU65586 RNQ65577:RNQ65586 RXM65577:RXM65586 SHI65577:SHI65586 SRE65577:SRE65586 TBA65577:TBA65586 TKW65577:TKW65586 TUS65577:TUS65586 UEO65577:UEO65586 UOK65577:UOK65586 UYG65577:UYG65586 VIC65577:VIC65586 VRY65577:VRY65586 WBU65577:WBU65586 WLQ65577:WLQ65586 WVM65577:WVM65586 E131113:E131122 JA131113:JA131122 SW131113:SW131122 ACS131113:ACS131122 AMO131113:AMO131122 AWK131113:AWK131122 BGG131113:BGG131122 BQC131113:BQC131122 BZY131113:BZY131122 CJU131113:CJU131122 CTQ131113:CTQ131122 DDM131113:DDM131122 DNI131113:DNI131122 DXE131113:DXE131122 EHA131113:EHA131122 EQW131113:EQW131122 FAS131113:FAS131122 FKO131113:FKO131122 FUK131113:FUK131122 GEG131113:GEG131122 GOC131113:GOC131122 GXY131113:GXY131122 HHU131113:HHU131122 HRQ131113:HRQ131122 IBM131113:IBM131122 ILI131113:ILI131122 IVE131113:IVE131122 JFA131113:JFA131122 JOW131113:JOW131122 JYS131113:JYS131122 KIO131113:KIO131122 KSK131113:KSK131122 LCG131113:LCG131122 LMC131113:LMC131122 LVY131113:LVY131122 MFU131113:MFU131122 MPQ131113:MPQ131122 MZM131113:MZM131122 NJI131113:NJI131122 NTE131113:NTE131122 ODA131113:ODA131122 OMW131113:OMW131122 OWS131113:OWS131122 PGO131113:PGO131122 PQK131113:PQK131122 QAG131113:QAG131122 QKC131113:QKC131122 QTY131113:QTY131122 RDU131113:RDU131122 RNQ131113:RNQ131122 RXM131113:RXM131122 SHI131113:SHI131122 SRE131113:SRE131122 TBA131113:TBA131122 TKW131113:TKW131122 TUS131113:TUS131122 UEO131113:UEO131122 UOK131113:UOK131122 UYG131113:UYG131122 VIC131113:VIC131122 VRY131113:VRY131122 WBU131113:WBU131122 WLQ131113:WLQ131122 WVM131113:WVM131122 E196649:E196658 JA196649:JA196658 SW196649:SW196658 ACS196649:ACS196658 AMO196649:AMO196658 AWK196649:AWK196658 BGG196649:BGG196658 BQC196649:BQC196658 BZY196649:BZY196658 CJU196649:CJU196658 CTQ196649:CTQ196658 DDM196649:DDM196658 DNI196649:DNI196658 DXE196649:DXE196658 EHA196649:EHA196658 EQW196649:EQW196658 FAS196649:FAS196658 FKO196649:FKO196658 FUK196649:FUK196658 GEG196649:GEG196658 GOC196649:GOC196658 GXY196649:GXY196658 HHU196649:HHU196658 HRQ196649:HRQ196658 IBM196649:IBM196658 ILI196649:ILI196658 IVE196649:IVE196658 JFA196649:JFA196658 JOW196649:JOW196658 JYS196649:JYS196658 KIO196649:KIO196658 KSK196649:KSK196658 LCG196649:LCG196658 LMC196649:LMC196658 LVY196649:LVY196658 MFU196649:MFU196658 MPQ196649:MPQ196658 MZM196649:MZM196658 NJI196649:NJI196658 NTE196649:NTE196658 ODA196649:ODA196658 OMW196649:OMW196658 OWS196649:OWS196658 PGO196649:PGO196658 PQK196649:PQK196658 QAG196649:QAG196658 QKC196649:QKC196658 QTY196649:QTY196658 RDU196649:RDU196658 RNQ196649:RNQ196658 RXM196649:RXM196658 SHI196649:SHI196658 SRE196649:SRE196658 TBA196649:TBA196658 TKW196649:TKW196658 TUS196649:TUS196658 UEO196649:UEO196658 UOK196649:UOK196658 UYG196649:UYG196658 VIC196649:VIC196658 VRY196649:VRY196658 WBU196649:WBU196658 WLQ196649:WLQ196658 WVM196649:WVM196658 E262185:E262194 JA262185:JA262194 SW262185:SW262194 ACS262185:ACS262194 AMO262185:AMO262194 AWK262185:AWK262194 BGG262185:BGG262194 BQC262185:BQC262194 BZY262185:BZY262194 CJU262185:CJU262194 CTQ262185:CTQ262194 DDM262185:DDM262194 DNI262185:DNI262194 DXE262185:DXE262194 EHA262185:EHA262194 EQW262185:EQW262194 FAS262185:FAS262194 FKO262185:FKO262194 FUK262185:FUK262194 GEG262185:GEG262194 GOC262185:GOC262194 GXY262185:GXY262194 HHU262185:HHU262194 HRQ262185:HRQ262194 IBM262185:IBM262194 ILI262185:ILI262194 IVE262185:IVE262194 JFA262185:JFA262194 JOW262185:JOW262194 JYS262185:JYS262194 KIO262185:KIO262194 KSK262185:KSK262194 LCG262185:LCG262194 LMC262185:LMC262194 LVY262185:LVY262194 MFU262185:MFU262194 MPQ262185:MPQ262194 MZM262185:MZM262194 NJI262185:NJI262194 NTE262185:NTE262194 ODA262185:ODA262194 OMW262185:OMW262194 OWS262185:OWS262194 PGO262185:PGO262194 PQK262185:PQK262194 QAG262185:QAG262194 QKC262185:QKC262194 QTY262185:QTY262194 RDU262185:RDU262194 RNQ262185:RNQ262194 RXM262185:RXM262194 SHI262185:SHI262194 SRE262185:SRE262194 TBA262185:TBA262194 TKW262185:TKW262194 TUS262185:TUS262194 UEO262185:UEO262194 UOK262185:UOK262194 UYG262185:UYG262194 VIC262185:VIC262194 VRY262185:VRY262194 WBU262185:WBU262194 WLQ262185:WLQ262194 WVM262185:WVM262194 E327721:E327730 JA327721:JA327730 SW327721:SW327730 ACS327721:ACS327730 AMO327721:AMO327730 AWK327721:AWK327730 BGG327721:BGG327730 BQC327721:BQC327730 BZY327721:BZY327730 CJU327721:CJU327730 CTQ327721:CTQ327730 DDM327721:DDM327730 DNI327721:DNI327730 DXE327721:DXE327730 EHA327721:EHA327730 EQW327721:EQW327730 FAS327721:FAS327730 FKO327721:FKO327730 FUK327721:FUK327730 GEG327721:GEG327730 GOC327721:GOC327730 GXY327721:GXY327730 HHU327721:HHU327730 HRQ327721:HRQ327730 IBM327721:IBM327730 ILI327721:ILI327730 IVE327721:IVE327730 JFA327721:JFA327730 JOW327721:JOW327730 JYS327721:JYS327730 KIO327721:KIO327730 KSK327721:KSK327730 LCG327721:LCG327730 LMC327721:LMC327730 LVY327721:LVY327730 MFU327721:MFU327730 MPQ327721:MPQ327730 MZM327721:MZM327730 NJI327721:NJI327730 NTE327721:NTE327730 ODA327721:ODA327730 OMW327721:OMW327730 OWS327721:OWS327730 PGO327721:PGO327730 PQK327721:PQK327730 QAG327721:QAG327730 QKC327721:QKC327730 QTY327721:QTY327730 RDU327721:RDU327730 RNQ327721:RNQ327730 RXM327721:RXM327730 SHI327721:SHI327730 SRE327721:SRE327730 TBA327721:TBA327730 TKW327721:TKW327730 TUS327721:TUS327730 UEO327721:UEO327730 UOK327721:UOK327730 UYG327721:UYG327730 VIC327721:VIC327730 VRY327721:VRY327730 WBU327721:WBU327730 WLQ327721:WLQ327730 WVM327721:WVM327730 E393257:E393266 JA393257:JA393266 SW393257:SW393266 ACS393257:ACS393266 AMO393257:AMO393266 AWK393257:AWK393266 BGG393257:BGG393266 BQC393257:BQC393266 BZY393257:BZY393266 CJU393257:CJU393266 CTQ393257:CTQ393266 DDM393257:DDM393266 DNI393257:DNI393266 DXE393257:DXE393266 EHA393257:EHA393266 EQW393257:EQW393266 FAS393257:FAS393266 FKO393257:FKO393266 FUK393257:FUK393266 GEG393257:GEG393266 GOC393257:GOC393266 GXY393257:GXY393266 HHU393257:HHU393266 HRQ393257:HRQ393266 IBM393257:IBM393266 ILI393257:ILI393266 IVE393257:IVE393266 JFA393257:JFA393266 JOW393257:JOW393266 JYS393257:JYS393266 KIO393257:KIO393266 KSK393257:KSK393266 LCG393257:LCG393266 LMC393257:LMC393266 LVY393257:LVY393266 MFU393257:MFU393266 MPQ393257:MPQ393266 MZM393257:MZM393266 NJI393257:NJI393266 NTE393257:NTE393266 ODA393257:ODA393266 OMW393257:OMW393266 OWS393257:OWS393266 PGO393257:PGO393266 PQK393257:PQK393266 QAG393257:QAG393266 QKC393257:QKC393266 QTY393257:QTY393266 RDU393257:RDU393266 RNQ393257:RNQ393266 RXM393257:RXM393266 SHI393257:SHI393266 SRE393257:SRE393266 TBA393257:TBA393266 TKW393257:TKW393266 TUS393257:TUS393266 UEO393257:UEO393266 UOK393257:UOK393266 UYG393257:UYG393266 VIC393257:VIC393266 VRY393257:VRY393266 WBU393257:WBU393266 WLQ393257:WLQ393266 WVM393257:WVM393266 E458793:E458802 JA458793:JA458802 SW458793:SW458802 ACS458793:ACS458802 AMO458793:AMO458802 AWK458793:AWK458802 BGG458793:BGG458802 BQC458793:BQC458802 BZY458793:BZY458802 CJU458793:CJU458802 CTQ458793:CTQ458802 DDM458793:DDM458802 DNI458793:DNI458802 DXE458793:DXE458802 EHA458793:EHA458802 EQW458793:EQW458802 FAS458793:FAS458802 FKO458793:FKO458802 FUK458793:FUK458802 GEG458793:GEG458802 GOC458793:GOC458802 GXY458793:GXY458802 HHU458793:HHU458802 HRQ458793:HRQ458802 IBM458793:IBM458802 ILI458793:ILI458802 IVE458793:IVE458802 JFA458793:JFA458802 JOW458793:JOW458802 JYS458793:JYS458802 KIO458793:KIO458802 KSK458793:KSK458802 LCG458793:LCG458802 LMC458793:LMC458802 LVY458793:LVY458802 MFU458793:MFU458802 MPQ458793:MPQ458802 MZM458793:MZM458802 NJI458793:NJI458802 NTE458793:NTE458802 ODA458793:ODA458802 OMW458793:OMW458802 OWS458793:OWS458802 PGO458793:PGO458802 PQK458793:PQK458802 QAG458793:QAG458802 QKC458793:QKC458802 QTY458793:QTY458802 RDU458793:RDU458802 RNQ458793:RNQ458802 RXM458793:RXM458802 SHI458793:SHI458802 SRE458793:SRE458802 TBA458793:TBA458802 TKW458793:TKW458802 TUS458793:TUS458802 UEO458793:UEO458802 UOK458793:UOK458802 UYG458793:UYG458802 VIC458793:VIC458802 VRY458793:VRY458802 WBU458793:WBU458802 WLQ458793:WLQ458802 WVM458793:WVM458802 E524329:E524338 JA524329:JA524338 SW524329:SW524338 ACS524329:ACS524338 AMO524329:AMO524338 AWK524329:AWK524338 BGG524329:BGG524338 BQC524329:BQC524338 BZY524329:BZY524338 CJU524329:CJU524338 CTQ524329:CTQ524338 DDM524329:DDM524338 DNI524329:DNI524338 DXE524329:DXE524338 EHA524329:EHA524338 EQW524329:EQW524338 FAS524329:FAS524338 FKO524329:FKO524338 FUK524329:FUK524338 GEG524329:GEG524338 GOC524329:GOC524338 GXY524329:GXY524338 HHU524329:HHU524338 HRQ524329:HRQ524338 IBM524329:IBM524338 ILI524329:ILI524338 IVE524329:IVE524338 JFA524329:JFA524338 JOW524329:JOW524338 JYS524329:JYS524338 KIO524329:KIO524338 KSK524329:KSK524338 LCG524329:LCG524338 LMC524329:LMC524338 LVY524329:LVY524338 MFU524329:MFU524338 MPQ524329:MPQ524338 MZM524329:MZM524338 NJI524329:NJI524338 NTE524329:NTE524338 ODA524329:ODA524338 OMW524329:OMW524338 OWS524329:OWS524338 PGO524329:PGO524338 PQK524329:PQK524338 QAG524329:QAG524338 QKC524329:QKC524338 QTY524329:QTY524338 RDU524329:RDU524338 RNQ524329:RNQ524338 RXM524329:RXM524338 SHI524329:SHI524338 SRE524329:SRE524338 TBA524329:TBA524338 TKW524329:TKW524338 TUS524329:TUS524338 UEO524329:UEO524338 UOK524329:UOK524338 UYG524329:UYG524338 VIC524329:VIC524338 VRY524329:VRY524338 WBU524329:WBU524338 WLQ524329:WLQ524338 WVM524329:WVM524338 E589865:E589874 JA589865:JA589874 SW589865:SW589874 ACS589865:ACS589874 AMO589865:AMO589874 AWK589865:AWK589874 BGG589865:BGG589874 BQC589865:BQC589874 BZY589865:BZY589874 CJU589865:CJU589874 CTQ589865:CTQ589874 DDM589865:DDM589874 DNI589865:DNI589874 DXE589865:DXE589874 EHA589865:EHA589874 EQW589865:EQW589874 FAS589865:FAS589874 FKO589865:FKO589874 FUK589865:FUK589874 GEG589865:GEG589874 GOC589865:GOC589874 GXY589865:GXY589874 HHU589865:HHU589874 HRQ589865:HRQ589874 IBM589865:IBM589874 ILI589865:ILI589874 IVE589865:IVE589874 JFA589865:JFA589874 JOW589865:JOW589874 JYS589865:JYS589874 KIO589865:KIO589874 KSK589865:KSK589874 LCG589865:LCG589874 LMC589865:LMC589874 LVY589865:LVY589874 MFU589865:MFU589874 MPQ589865:MPQ589874 MZM589865:MZM589874 NJI589865:NJI589874 NTE589865:NTE589874 ODA589865:ODA589874 OMW589865:OMW589874 OWS589865:OWS589874 PGO589865:PGO589874 PQK589865:PQK589874 QAG589865:QAG589874 QKC589865:QKC589874 QTY589865:QTY589874 RDU589865:RDU589874 RNQ589865:RNQ589874 RXM589865:RXM589874 SHI589865:SHI589874 SRE589865:SRE589874 TBA589865:TBA589874 TKW589865:TKW589874 TUS589865:TUS589874 UEO589865:UEO589874 UOK589865:UOK589874 UYG589865:UYG589874 VIC589865:VIC589874 VRY589865:VRY589874 WBU589865:WBU589874 WLQ589865:WLQ589874 WVM589865:WVM589874 E655401:E655410 JA655401:JA655410 SW655401:SW655410 ACS655401:ACS655410 AMO655401:AMO655410 AWK655401:AWK655410 BGG655401:BGG655410 BQC655401:BQC655410 BZY655401:BZY655410 CJU655401:CJU655410 CTQ655401:CTQ655410 DDM655401:DDM655410 DNI655401:DNI655410 DXE655401:DXE655410 EHA655401:EHA655410 EQW655401:EQW655410 FAS655401:FAS655410 FKO655401:FKO655410 FUK655401:FUK655410 GEG655401:GEG655410 GOC655401:GOC655410 GXY655401:GXY655410 HHU655401:HHU655410 HRQ655401:HRQ655410 IBM655401:IBM655410 ILI655401:ILI655410 IVE655401:IVE655410 JFA655401:JFA655410 JOW655401:JOW655410 JYS655401:JYS655410 KIO655401:KIO655410 KSK655401:KSK655410 LCG655401:LCG655410 LMC655401:LMC655410 LVY655401:LVY655410 MFU655401:MFU655410 MPQ655401:MPQ655410 MZM655401:MZM655410 NJI655401:NJI655410 NTE655401:NTE655410 ODA655401:ODA655410 OMW655401:OMW655410 OWS655401:OWS655410 PGO655401:PGO655410 PQK655401:PQK655410 QAG655401:QAG655410 QKC655401:QKC655410 QTY655401:QTY655410 RDU655401:RDU655410 RNQ655401:RNQ655410 RXM655401:RXM655410 SHI655401:SHI655410 SRE655401:SRE655410 TBA655401:TBA655410 TKW655401:TKW655410 TUS655401:TUS655410 UEO655401:UEO655410 UOK655401:UOK655410 UYG655401:UYG655410 VIC655401:VIC655410 VRY655401:VRY655410 WBU655401:WBU655410 WLQ655401:WLQ655410 WVM655401:WVM655410 E720937:E720946 JA720937:JA720946 SW720937:SW720946 ACS720937:ACS720946 AMO720937:AMO720946 AWK720937:AWK720946 BGG720937:BGG720946 BQC720937:BQC720946 BZY720937:BZY720946 CJU720937:CJU720946 CTQ720937:CTQ720946 DDM720937:DDM720946 DNI720937:DNI720946 DXE720937:DXE720946 EHA720937:EHA720946 EQW720937:EQW720946 FAS720937:FAS720946 FKO720937:FKO720946 FUK720937:FUK720946 GEG720937:GEG720946 GOC720937:GOC720946 GXY720937:GXY720946 HHU720937:HHU720946 HRQ720937:HRQ720946 IBM720937:IBM720946 ILI720937:ILI720946 IVE720937:IVE720946 JFA720937:JFA720946 JOW720937:JOW720946 JYS720937:JYS720946 KIO720937:KIO720946 KSK720937:KSK720946 LCG720937:LCG720946 LMC720937:LMC720946 LVY720937:LVY720946 MFU720937:MFU720946 MPQ720937:MPQ720946 MZM720937:MZM720946 NJI720937:NJI720946 NTE720937:NTE720946 ODA720937:ODA720946 OMW720937:OMW720946 OWS720937:OWS720946 PGO720937:PGO720946 PQK720937:PQK720946 QAG720937:QAG720946 QKC720937:QKC720946 QTY720937:QTY720946 RDU720937:RDU720946 RNQ720937:RNQ720946 RXM720937:RXM720946 SHI720937:SHI720946 SRE720937:SRE720946 TBA720937:TBA720946 TKW720937:TKW720946 TUS720937:TUS720946 UEO720937:UEO720946 UOK720937:UOK720946 UYG720937:UYG720946 VIC720937:VIC720946 VRY720937:VRY720946 WBU720937:WBU720946 WLQ720937:WLQ720946 WVM720937:WVM720946 E786473:E786482 JA786473:JA786482 SW786473:SW786482 ACS786473:ACS786482 AMO786473:AMO786482 AWK786473:AWK786482 BGG786473:BGG786482 BQC786473:BQC786482 BZY786473:BZY786482 CJU786473:CJU786482 CTQ786473:CTQ786482 DDM786473:DDM786482 DNI786473:DNI786482 DXE786473:DXE786482 EHA786473:EHA786482 EQW786473:EQW786482 FAS786473:FAS786482 FKO786473:FKO786482 FUK786473:FUK786482 GEG786473:GEG786482 GOC786473:GOC786482 GXY786473:GXY786482 HHU786473:HHU786482 HRQ786473:HRQ786482 IBM786473:IBM786482 ILI786473:ILI786482 IVE786473:IVE786482 JFA786473:JFA786482 JOW786473:JOW786482 JYS786473:JYS786482 KIO786473:KIO786482 KSK786473:KSK786482 LCG786473:LCG786482 LMC786473:LMC786482 LVY786473:LVY786482 MFU786473:MFU786482 MPQ786473:MPQ786482 MZM786473:MZM786482 NJI786473:NJI786482 NTE786473:NTE786482 ODA786473:ODA786482 OMW786473:OMW786482 OWS786473:OWS786482 PGO786473:PGO786482 PQK786473:PQK786482 QAG786473:QAG786482 QKC786473:QKC786482 QTY786473:QTY786482 RDU786473:RDU786482 RNQ786473:RNQ786482 RXM786473:RXM786482 SHI786473:SHI786482 SRE786473:SRE786482 TBA786473:TBA786482 TKW786473:TKW786482 TUS786473:TUS786482 UEO786473:UEO786482 UOK786473:UOK786482 UYG786473:UYG786482 VIC786473:VIC786482 VRY786473:VRY786482 WBU786473:WBU786482 WLQ786473:WLQ786482 WVM786473:WVM786482 E852009:E852018 JA852009:JA852018 SW852009:SW852018 ACS852009:ACS852018 AMO852009:AMO852018 AWK852009:AWK852018 BGG852009:BGG852018 BQC852009:BQC852018 BZY852009:BZY852018 CJU852009:CJU852018 CTQ852009:CTQ852018 DDM852009:DDM852018 DNI852009:DNI852018 DXE852009:DXE852018 EHA852009:EHA852018 EQW852009:EQW852018 FAS852009:FAS852018 FKO852009:FKO852018 FUK852009:FUK852018 GEG852009:GEG852018 GOC852009:GOC852018 GXY852009:GXY852018 HHU852009:HHU852018 HRQ852009:HRQ852018 IBM852009:IBM852018 ILI852009:ILI852018 IVE852009:IVE852018 JFA852009:JFA852018 JOW852009:JOW852018 JYS852009:JYS852018 KIO852009:KIO852018 KSK852009:KSK852018 LCG852009:LCG852018 LMC852009:LMC852018 LVY852009:LVY852018 MFU852009:MFU852018 MPQ852009:MPQ852018 MZM852009:MZM852018 NJI852009:NJI852018 NTE852009:NTE852018 ODA852009:ODA852018 OMW852009:OMW852018 OWS852009:OWS852018 PGO852009:PGO852018 PQK852009:PQK852018 QAG852009:QAG852018 QKC852009:QKC852018 QTY852009:QTY852018 RDU852009:RDU852018 RNQ852009:RNQ852018 RXM852009:RXM852018 SHI852009:SHI852018 SRE852009:SRE852018 TBA852009:TBA852018 TKW852009:TKW852018 TUS852009:TUS852018 UEO852009:UEO852018 UOK852009:UOK852018 UYG852009:UYG852018 VIC852009:VIC852018 VRY852009:VRY852018 WBU852009:WBU852018 WLQ852009:WLQ852018 WVM852009:WVM852018 E917545:E917554 JA917545:JA917554 SW917545:SW917554 ACS917545:ACS917554 AMO917545:AMO917554 AWK917545:AWK917554 BGG917545:BGG917554 BQC917545:BQC917554 BZY917545:BZY917554 CJU917545:CJU917554 CTQ917545:CTQ917554 DDM917545:DDM917554 DNI917545:DNI917554 DXE917545:DXE917554 EHA917545:EHA917554 EQW917545:EQW917554 FAS917545:FAS917554 FKO917545:FKO917554 FUK917545:FUK917554 GEG917545:GEG917554 GOC917545:GOC917554 GXY917545:GXY917554 HHU917545:HHU917554 HRQ917545:HRQ917554 IBM917545:IBM917554 ILI917545:ILI917554 IVE917545:IVE917554 JFA917545:JFA917554 JOW917545:JOW917554 JYS917545:JYS917554 KIO917545:KIO917554 KSK917545:KSK917554 LCG917545:LCG917554 LMC917545:LMC917554 LVY917545:LVY917554 MFU917545:MFU917554 MPQ917545:MPQ917554 MZM917545:MZM917554 NJI917545:NJI917554 NTE917545:NTE917554 ODA917545:ODA917554 OMW917545:OMW917554 OWS917545:OWS917554 PGO917545:PGO917554 PQK917545:PQK917554 QAG917545:QAG917554 QKC917545:QKC917554 QTY917545:QTY917554 RDU917545:RDU917554 RNQ917545:RNQ917554 RXM917545:RXM917554 SHI917545:SHI917554 SRE917545:SRE917554 TBA917545:TBA917554 TKW917545:TKW917554 TUS917545:TUS917554 UEO917545:UEO917554 UOK917545:UOK917554 UYG917545:UYG917554 VIC917545:VIC917554 VRY917545:VRY917554 WBU917545:WBU917554 WLQ917545:WLQ917554 WVM917545:WVM917554 E983081:E983090 JA983081:JA983090 SW983081:SW983090 ACS983081:ACS983090 AMO983081:AMO983090 AWK983081:AWK983090 BGG983081:BGG983090 BQC983081:BQC983090 BZY983081:BZY983090 CJU983081:CJU983090 CTQ983081:CTQ983090 DDM983081:DDM983090 DNI983081:DNI983090 DXE983081:DXE983090 EHA983081:EHA983090 EQW983081:EQW983090 FAS983081:FAS983090 FKO983081:FKO983090 FUK983081:FUK983090 GEG983081:GEG983090 GOC983081:GOC983090 GXY983081:GXY983090 HHU983081:HHU983090 HRQ983081:HRQ983090 IBM983081:IBM983090 ILI983081:ILI983090 IVE983081:IVE983090 JFA983081:JFA983090 JOW983081:JOW983090 JYS983081:JYS983090 KIO983081:KIO983090 KSK983081:KSK983090 LCG983081:LCG983090 LMC983081:LMC983090 LVY983081:LVY983090 MFU983081:MFU983090 MPQ983081:MPQ983090 MZM983081:MZM983090 NJI983081:NJI983090 NTE983081:NTE983090 ODA983081:ODA983090 OMW983081:OMW983090 OWS983081:OWS983090 PGO983081:PGO983090 PQK983081:PQK983090 QAG983081:QAG983090 QKC983081:QKC983090 QTY983081:QTY983090 RDU983081:RDU983090 RNQ983081:RNQ983090 RXM983081:RXM983090 SHI983081:SHI983090 SRE983081:SRE983090 TBA983081:TBA983090 TKW983081:TKW983090 TUS983081:TUS983090 UEO983081:UEO983090 UOK983081:UOK983090 UYG983081:UYG983090 VIC983081:VIC983090 VRY983081:VRY983090 WBU983081:WBU983090 WLQ983081:WLQ983090 WVM983081:WVM983090 E26:E35 JA26:JA35 SW26:SW35 ACS26:ACS35 AMO26:AMO35 AWK26:AWK35 BGG26:BGG35 BQC26:BQC35 BZY26:BZY35 CJU26:CJU35 CTQ26:CTQ35 DDM26:DDM35 DNI26:DNI35 DXE26:DXE35 EHA26:EHA35 EQW26:EQW35 FAS26:FAS35 FKO26:FKO35 FUK26:FUK35 GEG26:GEG35 GOC26:GOC35 GXY26:GXY35 HHU26:HHU35 HRQ26:HRQ35 IBM26:IBM35 ILI26:ILI35 IVE26:IVE35 JFA26:JFA35 JOW26:JOW35 JYS26:JYS35 KIO26:KIO35 KSK26:KSK35 LCG26:LCG35 LMC26:LMC35 LVY26:LVY35 MFU26:MFU35 MPQ26:MPQ35 MZM26:MZM35 NJI26:NJI35 NTE26:NTE35 ODA26:ODA35 OMW26:OMW35 OWS26:OWS35 PGO26:PGO35 PQK26:PQK35 QAG26:QAG35 QKC26:QKC35 QTY26:QTY35 RDU26:RDU35 RNQ26:RNQ35 RXM26:RXM35 SHI26:SHI35 SRE26:SRE35 TBA26:TBA35 TKW26:TKW35 TUS26:TUS35 UEO26:UEO35 UOK26:UOK35 UYG26:UYG35 VIC26:VIC35 VRY26:VRY35 WBU26:WBU35 WLQ26:WLQ35 WVM26:WVM35 E65564:E65573 JA65564:JA65573 SW65564:SW65573 ACS65564:ACS65573 AMO65564:AMO65573 AWK65564:AWK65573 BGG65564:BGG65573 BQC65564:BQC65573 BZY65564:BZY65573 CJU65564:CJU65573 CTQ65564:CTQ65573 DDM65564:DDM65573 DNI65564:DNI65573 DXE65564:DXE65573 EHA65564:EHA65573 EQW65564:EQW65573 FAS65564:FAS65573 FKO65564:FKO65573 FUK65564:FUK65573 GEG65564:GEG65573 GOC65564:GOC65573 GXY65564:GXY65573 HHU65564:HHU65573 HRQ65564:HRQ65573 IBM65564:IBM65573 ILI65564:ILI65573 IVE65564:IVE65573 JFA65564:JFA65573 JOW65564:JOW65573 JYS65564:JYS65573 KIO65564:KIO65573 KSK65564:KSK65573 LCG65564:LCG65573 LMC65564:LMC65573 LVY65564:LVY65573 MFU65564:MFU65573 MPQ65564:MPQ65573 MZM65564:MZM65573 NJI65564:NJI65573 NTE65564:NTE65573 ODA65564:ODA65573 OMW65564:OMW65573 OWS65564:OWS65573 PGO65564:PGO65573 PQK65564:PQK65573 QAG65564:QAG65573 QKC65564:QKC65573 QTY65564:QTY65573 RDU65564:RDU65573 RNQ65564:RNQ65573 RXM65564:RXM65573 SHI65564:SHI65573 SRE65564:SRE65573 TBA65564:TBA65573 TKW65564:TKW65573 TUS65564:TUS65573 UEO65564:UEO65573 UOK65564:UOK65573 UYG65564:UYG65573 VIC65564:VIC65573 VRY65564:VRY65573 WBU65564:WBU65573 WLQ65564:WLQ65573 WVM65564:WVM65573 E131100:E131109 JA131100:JA131109 SW131100:SW131109 ACS131100:ACS131109 AMO131100:AMO131109 AWK131100:AWK131109 BGG131100:BGG131109 BQC131100:BQC131109 BZY131100:BZY131109 CJU131100:CJU131109 CTQ131100:CTQ131109 DDM131100:DDM131109 DNI131100:DNI131109 DXE131100:DXE131109 EHA131100:EHA131109 EQW131100:EQW131109 FAS131100:FAS131109 FKO131100:FKO131109 FUK131100:FUK131109 GEG131100:GEG131109 GOC131100:GOC131109 GXY131100:GXY131109 HHU131100:HHU131109 HRQ131100:HRQ131109 IBM131100:IBM131109 ILI131100:ILI131109 IVE131100:IVE131109 JFA131100:JFA131109 JOW131100:JOW131109 JYS131100:JYS131109 KIO131100:KIO131109 KSK131100:KSK131109 LCG131100:LCG131109 LMC131100:LMC131109 LVY131100:LVY131109 MFU131100:MFU131109 MPQ131100:MPQ131109 MZM131100:MZM131109 NJI131100:NJI131109 NTE131100:NTE131109 ODA131100:ODA131109 OMW131100:OMW131109 OWS131100:OWS131109 PGO131100:PGO131109 PQK131100:PQK131109 QAG131100:QAG131109 QKC131100:QKC131109 QTY131100:QTY131109 RDU131100:RDU131109 RNQ131100:RNQ131109 RXM131100:RXM131109 SHI131100:SHI131109 SRE131100:SRE131109 TBA131100:TBA131109 TKW131100:TKW131109 TUS131100:TUS131109 UEO131100:UEO131109 UOK131100:UOK131109 UYG131100:UYG131109 VIC131100:VIC131109 VRY131100:VRY131109 WBU131100:WBU131109 WLQ131100:WLQ131109 WVM131100:WVM131109 E196636:E196645 JA196636:JA196645 SW196636:SW196645 ACS196636:ACS196645 AMO196636:AMO196645 AWK196636:AWK196645 BGG196636:BGG196645 BQC196636:BQC196645 BZY196636:BZY196645 CJU196636:CJU196645 CTQ196636:CTQ196645 DDM196636:DDM196645 DNI196636:DNI196645 DXE196636:DXE196645 EHA196636:EHA196645 EQW196636:EQW196645 FAS196636:FAS196645 FKO196636:FKO196645 FUK196636:FUK196645 GEG196636:GEG196645 GOC196636:GOC196645 GXY196636:GXY196645 HHU196636:HHU196645 HRQ196636:HRQ196645 IBM196636:IBM196645 ILI196636:ILI196645 IVE196636:IVE196645 JFA196636:JFA196645 JOW196636:JOW196645 JYS196636:JYS196645 KIO196636:KIO196645 KSK196636:KSK196645 LCG196636:LCG196645 LMC196636:LMC196645 LVY196636:LVY196645 MFU196636:MFU196645 MPQ196636:MPQ196645 MZM196636:MZM196645 NJI196636:NJI196645 NTE196636:NTE196645 ODA196636:ODA196645 OMW196636:OMW196645 OWS196636:OWS196645 PGO196636:PGO196645 PQK196636:PQK196645 QAG196636:QAG196645 QKC196636:QKC196645 QTY196636:QTY196645 RDU196636:RDU196645 RNQ196636:RNQ196645 RXM196636:RXM196645 SHI196636:SHI196645 SRE196636:SRE196645 TBA196636:TBA196645 TKW196636:TKW196645 TUS196636:TUS196645 UEO196636:UEO196645 UOK196636:UOK196645 UYG196636:UYG196645 VIC196636:VIC196645 VRY196636:VRY196645 WBU196636:WBU196645 WLQ196636:WLQ196645 WVM196636:WVM196645 E262172:E262181 JA262172:JA262181 SW262172:SW262181 ACS262172:ACS262181 AMO262172:AMO262181 AWK262172:AWK262181 BGG262172:BGG262181 BQC262172:BQC262181 BZY262172:BZY262181 CJU262172:CJU262181 CTQ262172:CTQ262181 DDM262172:DDM262181 DNI262172:DNI262181 DXE262172:DXE262181 EHA262172:EHA262181 EQW262172:EQW262181 FAS262172:FAS262181 FKO262172:FKO262181 FUK262172:FUK262181 GEG262172:GEG262181 GOC262172:GOC262181 GXY262172:GXY262181 HHU262172:HHU262181 HRQ262172:HRQ262181 IBM262172:IBM262181 ILI262172:ILI262181 IVE262172:IVE262181 JFA262172:JFA262181 JOW262172:JOW262181 JYS262172:JYS262181 KIO262172:KIO262181 KSK262172:KSK262181 LCG262172:LCG262181 LMC262172:LMC262181 LVY262172:LVY262181 MFU262172:MFU262181 MPQ262172:MPQ262181 MZM262172:MZM262181 NJI262172:NJI262181 NTE262172:NTE262181 ODA262172:ODA262181 OMW262172:OMW262181 OWS262172:OWS262181 PGO262172:PGO262181 PQK262172:PQK262181 QAG262172:QAG262181 QKC262172:QKC262181 QTY262172:QTY262181 RDU262172:RDU262181 RNQ262172:RNQ262181 RXM262172:RXM262181 SHI262172:SHI262181 SRE262172:SRE262181 TBA262172:TBA262181 TKW262172:TKW262181 TUS262172:TUS262181 UEO262172:UEO262181 UOK262172:UOK262181 UYG262172:UYG262181 VIC262172:VIC262181 VRY262172:VRY262181 WBU262172:WBU262181 WLQ262172:WLQ262181 WVM262172:WVM262181 E327708:E327717 JA327708:JA327717 SW327708:SW327717 ACS327708:ACS327717 AMO327708:AMO327717 AWK327708:AWK327717 BGG327708:BGG327717 BQC327708:BQC327717 BZY327708:BZY327717 CJU327708:CJU327717 CTQ327708:CTQ327717 DDM327708:DDM327717 DNI327708:DNI327717 DXE327708:DXE327717 EHA327708:EHA327717 EQW327708:EQW327717 FAS327708:FAS327717 FKO327708:FKO327717 FUK327708:FUK327717 GEG327708:GEG327717 GOC327708:GOC327717 GXY327708:GXY327717 HHU327708:HHU327717 HRQ327708:HRQ327717 IBM327708:IBM327717 ILI327708:ILI327717 IVE327708:IVE327717 JFA327708:JFA327717 JOW327708:JOW327717 JYS327708:JYS327717 KIO327708:KIO327717 KSK327708:KSK327717 LCG327708:LCG327717 LMC327708:LMC327717 LVY327708:LVY327717 MFU327708:MFU327717 MPQ327708:MPQ327717 MZM327708:MZM327717 NJI327708:NJI327717 NTE327708:NTE327717 ODA327708:ODA327717 OMW327708:OMW327717 OWS327708:OWS327717 PGO327708:PGO327717 PQK327708:PQK327717 QAG327708:QAG327717 QKC327708:QKC327717 QTY327708:QTY327717 RDU327708:RDU327717 RNQ327708:RNQ327717 RXM327708:RXM327717 SHI327708:SHI327717 SRE327708:SRE327717 TBA327708:TBA327717 TKW327708:TKW327717 TUS327708:TUS327717 UEO327708:UEO327717 UOK327708:UOK327717 UYG327708:UYG327717 VIC327708:VIC327717 VRY327708:VRY327717 WBU327708:WBU327717 WLQ327708:WLQ327717 WVM327708:WVM327717 E393244:E393253 JA393244:JA393253 SW393244:SW393253 ACS393244:ACS393253 AMO393244:AMO393253 AWK393244:AWK393253 BGG393244:BGG393253 BQC393244:BQC393253 BZY393244:BZY393253 CJU393244:CJU393253 CTQ393244:CTQ393253 DDM393244:DDM393253 DNI393244:DNI393253 DXE393244:DXE393253 EHA393244:EHA393253 EQW393244:EQW393253 FAS393244:FAS393253 FKO393244:FKO393253 FUK393244:FUK393253 GEG393244:GEG393253 GOC393244:GOC393253 GXY393244:GXY393253 HHU393244:HHU393253 HRQ393244:HRQ393253 IBM393244:IBM393253 ILI393244:ILI393253 IVE393244:IVE393253 JFA393244:JFA393253 JOW393244:JOW393253 JYS393244:JYS393253 KIO393244:KIO393253 KSK393244:KSK393253 LCG393244:LCG393253 LMC393244:LMC393253 LVY393244:LVY393253 MFU393244:MFU393253 MPQ393244:MPQ393253 MZM393244:MZM393253 NJI393244:NJI393253 NTE393244:NTE393253 ODA393244:ODA393253 OMW393244:OMW393253 OWS393244:OWS393253 PGO393244:PGO393253 PQK393244:PQK393253 QAG393244:QAG393253 QKC393244:QKC393253 QTY393244:QTY393253 RDU393244:RDU393253 RNQ393244:RNQ393253 RXM393244:RXM393253 SHI393244:SHI393253 SRE393244:SRE393253 TBA393244:TBA393253 TKW393244:TKW393253 TUS393244:TUS393253 UEO393244:UEO393253 UOK393244:UOK393253 UYG393244:UYG393253 VIC393244:VIC393253 VRY393244:VRY393253 WBU393244:WBU393253 WLQ393244:WLQ393253 WVM393244:WVM393253 E458780:E458789 JA458780:JA458789 SW458780:SW458789 ACS458780:ACS458789 AMO458780:AMO458789 AWK458780:AWK458789 BGG458780:BGG458789 BQC458780:BQC458789 BZY458780:BZY458789 CJU458780:CJU458789 CTQ458780:CTQ458789 DDM458780:DDM458789 DNI458780:DNI458789 DXE458780:DXE458789 EHA458780:EHA458789 EQW458780:EQW458789 FAS458780:FAS458789 FKO458780:FKO458789 FUK458780:FUK458789 GEG458780:GEG458789 GOC458780:GOC458789 GXY458780:GXY458789 HHU458780:HHU458789 HRQ458780:HRQ458789 IBM458780:IBM458789 ILI458780:ILI458789 IVE458780:IVE458789 JFA458780:JFA458789 JOW458780:JOW458789 JYS458780:JYS458789 KIO458780:KIO458789 KSK458780:KSK458789 LCG458780:LCG458789 LMC458780:LMC458789 LVY458780:LVY458789 MFU458780:MFU458789 MPQ458780:MPQ458789 MZM458780:MZM458789 NJI458780:NJI458789 NTE458780:NTE458789 ODA458780:ODA458789 OMW458780:OMW458789 OWS458780:OWS458789 PGO458780:PGO458789 PQK458780:PQK458789 QAG458780:QAG458789 QKC458780:QKC458789 QTY458780:QTY458789 RDU458780:RDU458789 RNQ458780:RNQ458789 RXM458780:RXM458789 SHI458780:SHI458789 SRE458780:SRE458789 TBA458780:TBA458789 TKW458780:TKW458789 TUS458780:TUS458789 UEO458780:UEO458789 UOK458780:UOK458789 UYG458780:UYG458789 VIC458780:VIC458789 VRY458780:VRY458789 WBU458780:WBU458789 WLQ458780:WLQ458789 WVM458780:WVM458789 E524316:E524325 JA524316:JA524325 SW524316:SW524325 ACS524316:ACS524325 AMO524316:AMO524325 AWK524316:AWK524325 BGG524316:BGG524325 BQC524316:BQC524325 BZY524316:BZY524325 CJU524316:CJU524325 CTQ524316:CTQ524325 DDM524316:DDM524325 DNI524316:DNI524325 DXE524316:DXE524325 EHA524316:EHA524325 EQW524316:EQW524325 FAS524316:FAS524325 FKO524316:FKO524325 FUK524316:FUK524325 GEG524316:GEG524325 GOC524316:GOC524325 GXY524316:GXY524325 HHU524316:HHU524325 HRQ524316:HRQ524325 IBM524316:IBM524325 ILI524316:ILI524325 IVE524316:IVE524325 JFA524316:JFA524325 JOW524316:JOW524325 JYS524316:JYS524325 KIO524316:KIO524325 KSK524316:KSK524325 LCG524316:LCG524325 LMC524316:LMC524325 LVY524316:LVY524325 MFU524316:MFU524325 MPQ524316:MPQ524325 MZM524316:MZM524325 NJI524316:NJI524325 NTE524316:NTE524325 ODA524316:ODA524325 OMW524316:OMW524325 OWS524316:OWS524325 PGO524316:PGO524325 PQK524316:PQK524325 QAG524316:QAG524325 QKC524316:QKC524325 QTY524316:QTY524325 RDU524316:RDU524325 RNQ524316:RNQ524325 RXM524316:RXM524325 SHI524316:SHI524325 SRE524316:SRE524325 TBA524316:TBA524325 TKW524316:TKW524325 TUS524316:TUS524325 UEO524316:UEO524325 UOK524316:UOK524325 UYG524316:UYG524325 VIC524316:VIC524325 VRY524316:VRY524325 WBU524316:WBU524325 WLQ524316:WLQ524325 WVM524316:WVM524325 E589852:E589861 JA589852:JA589861 SW589852:SW589861 ACS589852:ACS589861 AMO589852:AMO589861 AWK589852:AWK589861 BGG589852:BGG589861 BQC589852:BQC589861 BZY589852:BZY589861 CJU589852:CJU589861 CTQ589852:CTQ589861 DDM589852:DDM589861 DNI589852:DNI589861 DXE589852:DXE589861 EHA589852:EHA589861 EQW589852:EQW589861 FAS589852:FAS589861 FKO589852:FKO589861 FUK589852:FUK589861 GEG589852:GEG589861 GOC589852:GOC589861 GXY589852:GXY589861 HHU589852:HHU589861 HRQ589852:HRQ589861 IBM589852:IBM589861 ILI589852:ILI589861 IVE589852:IVE589861 JFA589852:JFA589861 JOW589852:JOW589861 JYS589852:JYS589861 KIO589852:KIO589861 KSK589852:KSK589861 LCG589852:LCG589861 LMC589852:LMC589861 LVY589852:LVY589861 MFU589852:MFU589861 MPQ589852:MPQ589861 MZM589852:MZM589861 NJI589852:NJI589861 NTE589852:NTE589861 ODA589852:ODA589861 OMW589852:OMW589861 OWS589852:OWS589861 PGO589852:PGO589861 PQK589852:PQK589861 QAG589852:QAG589861 QKC589852:QKC589861 QTY589852:QTY589861 RDU589852:RDU589861 RNQ589852:RNQ589861 RXM589852:RXM589861 SHI589852:SHI589861 SRE589852:SRE589861 TBA589852:TBA589861 TKW589852:TKW589861 TUS589852:TUS589861 UEO589852:UEO589861 UOK589852:UOK589861 UYG589852:UYG589861 VIC589852:VIC589861 VRY589852:VRY589861 WBU589852:WBU589861 WLQ589852:WLQ589861 WVM589852:WVM589861 E655388:E655397 JA655388:JA655397 SW655388:SW655397 ACS655388:ACS655397 AMO655388:AMO655397 AWK655388:AWK655397 BGG655388:BGG655397 BQC655388:BQC655397 BZY655388:BZY655397 CJU655388:CJU655397 CTQ655388:CTQ655397 DDM655388:DDM655397 DNI655388:DNI655397 DXE655388:DXE655397 EHA655388:EHA655397 EQW655388:EQW655397 FAS655388:FAS655397 FKO655388:FKO655397 FUK655388:FUK655397 GEG655388:GEG655397 GOC655388:GOC655397 GXY655388:GXY655397 HHU655388:HHU655397 HRQ655388:HRQ655397 IBM655388:IBM655397 ILI655388:ILI655397 IVE655388:IVE655397 JFA655388:JFA655397 JOW655388:JOW655397 JYS655388:JYS655397 KIO655388:KIO655397 KSK655388:KSK655397 LCG655388:LCG655397 LMC655388:LMC655397 LVY655388:LVY655397 MFU655388:MFU655397 MPQ655388:MPQ655397 MZM655388:MZM655397 NJI655388:NJI655397 NTE655388:NTE655397 ODA655388:ODA655397 OMW655388:OMW655397 OWS655388:OWS655397 PGO655388:PGO655397 PQK655388:PQK655397 QAG655388:QAG655397 QKC655388:QKC655397 QTY655388:QTY655397 RDU655388:RDU655397 RNQ655388:RNQ655397 RXM655388:RXM655397 SHI655388:SHI655397 SRE655388:SRE655397 TBA655388:TBA655397 TKW655388:TKW655397 TUS655388:TUS655397 UEO655388:UEO655397 UOK655388:UOK655397 UYG655388:UYG655397 VIC655388:VIC655397 VRY655388:VRY655397 WBU655388:WBU655397 WLQ655388:WLQ655397 WVM655388:WVM655397 E720924:E720933 JA720924:JA720933 SW720924:SW720933 ACS720924:ACS720933 AMO720924:AMO720933 AWK720924:AWK720933 BGG720924:BGG720933 BQC720924:BQC720933 BZY720924:BZY720933 CJU720924:CJU720933 CTQ720924:CTQ720933 DDM720924:DDM720933 DNI720924:DNI720933 DXE720924:DXE720933 EHA720924:EHA720933 EQW720924:EQW720933 FAS720924:FAS720933 FKO720924:FKO720933 FUK720924:FUK720933 GEG720924:GEG720933 GOC720924:GOC720933 GXY720924:GXY720933 HHU720924:HHU720933 HRQ720924:HRQ720933 IBM720924:IBM720933 ILI720924:ILI720933 IVE720924:IVE720933 JFA720924:JFA720933 JOW720924:JOW720933 JYS720924:JYS720933 KIO720924:KIO720933 KSK720924:KSK720933 LCG720924:LCG720933 LMC720924:LMC720933 LVY720924:LVY720933 MFU720924:MFU720933 MPQ720924:MPQ720933 MZM720924:MZM720933 NJI720924:NJI720933 NTE720924:NTE720933 ODA720924:ODA720933 OMW720924:OMW720933 OWS720924:OWS720933 PGO720924:PGO720933 PQK720924:PQK720933 QAG720924:QAG720933 QKC720924:QKC720933 QTY720924:QTY720933 RDU720924:RDU720933 RNQ720924:RNQ720933 RXM720924:RXM720933 SHI720924:SHI720933 SRE720924:SRE720933 TBA720924:TBA720933 TKW720924:TKW720933 TUS720924:TUS720933 UEO720924:UEO720933 UOK720924:UOK720933 UYG720924:UYG720933 VIC720924:VIC720933 VRY720924:VRY720933 WBU720924:WBU720933 WLQ720924:WLQ720933 WVM720924:WVM720933 E786460:E786469 JA786460:JA786469 SW786460:SW786469 ACS786460:ACS786469 AMO786460:AMO786469 AWK786460:AWK786469 BGG786460:BGG786469 BQC786460:BQC786469 BZY786460:BZY786469 CJU786460:CJU786469 CTQ786460:CTQ786469 DDM786460:DDM786469 DNI786460:DNI786469 DXE786460:DXE786469 EHA786460:EHA786469 EQW786460:EQW786469 FAS786460:FAS786469 FKO786460:FKO786469 FUK786460:FUK786469 GEG786460:GEG786469 GOC786460:GOC786469 GXY786460:GXY786469 HHU786460:HHU786469 HRQ786460:HRQ786469 IBM786460:IBM786469 ILI786460:ILI786469 IVE786460:IVE786469 JFA786460:JFA786469 JOW786460:JOW786469 JYS786460:JYS786469 KIO786460:KIO786469 KSK786460:KSK786469 LCG786460:LCG786469 LMC786460:LMC786469 LVY786460:LVY786469 MFU786460:MFU786469 MPQ786460:MPQ786469 MZM786460:MZM786469 NJI786460:NJI786469 NTE786460:NTE786469 ODA786460:ODA786469 OMW786460:OMW786469 OWS786460:OWS786469 PGO786460:PGO786469 PQK786460:PQK786469 QAG786460:QAG786469 QKC786460:QKC786469 QTY786460:QTY786469 RDU786460:RDU786469 RNQ786460:RNQ786469 RXM786460:RXM786469 SHI786460:SHI786469 SRE786460:SRE786469 TBA786460:TBA786469 TKW786460:TKW786469 TUS786460:TUS786469 UEO786460:UEO786469 UOK786460:UOK786469 UYG786460:UYG786469 VIC786460:VIC786469 VRY786460:VRY786469 WBU786460:WBU786469 WLQ786460:WLQ786469 WVM786460:WVM786469 E851996:E852005 JA851996:JA852005 SW851996:SW852005 ACS851996:ACS852005 AMO851996:AMO852005 AWK851996:AWK852005 BGG851996:BGG852005 BQC851996:BQC852005 BZY851996:BZY852005 CJU851996:CJU852005 CTQ851996:CTQ852005 DDM851996:DDM852005 DNI851996:DNI852005 DXE851996:DXE852005 EHA851996:EHA852005 EQW851996:EQW852005 FAS851996:FAS852005 FKO851996:FKO852005 FUK851996:FUK852005 GEG851996:GEG852005 GOC851996:GOC852005 GXY851996:GXY852005 HHU851996:HHU852005 HRQ851996:HRQ852005 IBM851996:IBM852005 ILI851996:ILI852005 IVE851996:IVE852005 JFA851996:JFA852005 JOW851996:JOW852005 JYS851996:JYS852005 KIO851996:KIO852005 KSK851996:KSK852005 LCG851996:LCG852005 LMC851996:LMC852005 LVY851996:LVY852005 MFU851996:MFU852005 MPQ851996:MPQ852005 MZM851996:MZM852005 NJI851996:NJI852005 NTE851996:NTE852005 ODA851996:ODA852005 OMW851996:OMW852005 OWS851996:OWS852005 PGO851996:PGO852005 PQK851996:PQK852005 QAG851996:QAG852005 QKC851996:QKC852005 QTY851996:QTY852005 RDU851996:RDU852005 RNQ851996:RNQ852005 RXM851996:RXM852005 SHI851996:SHI852005 SRE851996:SRE852005 TBA851996:TBA852005 TKW851996:TKW852005 TUS851996:TUS852005 UEO851996:UEO852005 UOK851996:UOK852005 UYG851996:UYG852005 VIC851996:VIC852005 VRY851996:VRY852005 WBU851996:WBU852005 WLQ851996:WLQ852005 WVM851996:WVM852005 E917532:E917541 JA917532:JA917541 SW917532:SW917541 ACS917532:ACS917541 AMO917532:AMO917541 AWK917532:AWK917541 BGG917532:BGG917541 BQC917532:BQC917541 BZY917532:BZY917541 CJU917532:CJU917541 CTQ917532:CTQ917541 DDM917532:DDM917541 DNI917532:DNI917541 DXE917532:DXE917541 EHA917532:EHA917541 EQW917532:EQW917541 FAS917532:FAS917541 FKO917532:FKO917541 FUK917532:FUK917541 GEG917532:GEG917541 GOC917532:GOC917541 GXY917532:GXY917541 HHU917532:HHU917541 HRQ917532:HRQ917541 IBM917532:IBM917541 ILI917532:ILI917541 IVE917532:IVE917541 JFA917532:JFA917541 JOW917532:JOW917541 JYS917532:JYS917541 KIO917532:KIO917541 KSK917532:KSK917541 LCG917532:LCG917541 LMC917532:LMC917541 LVY917532:LVY917541 MFU917532:MFU917541 MPQ917532:MPQ917541 MZM917532:MZM917541 NJI917532:NJI917541 NTE917532:NTE917541 ODA917532:ODA917541 OMW917532:OMW917541 OWS917532:OWS917541 PGO917532:PGO917541 PQK917532:PQK917541 QAG917532:QAG917541 QKC917532:QKC917541 QTY917532:QTY917541 RDU917532:RDU917541 RNQ917532:RNQ917541 RXM917532:RXM917541 SHI917532:SHI917541 SRE917532:SRE917541 TBA917532:TBA917541 TKW917532:TKW917541 TUS917532:TUS917541 UEO917532:UEO917541 UOK917532:UOK917541 UYG917532:UYG917541 VIC917532:VIC917541 VRY917532:VRY917541 WBU917532:WBU917541 WLQ917532:WLQ917541 WVM917532:WVM917541 E983068:E983077 JA983068:JA983077 SW983068:SW983077 ACS983068:ACS983077 AMO983068:AMO983077 AWK983068:AWK983077 BGG983068:BGG983077 BQC983068:BQC983077 BZY983068:BZY983077 CJU983068:CJU983077 CTQ983068:CTQ983077 DDM983068:DDM983077 DNI983068:DNI983077 DXE983068:DXE983077 EHA983068:EHA983077 EQW983068:EQW983077 FAS983068:FAS983077 FKO983068:FKO983077 FUK983068:FUK983077 GEG983068:GEG983077 GOC983068:GOC983077 GXY983068:GXY983077 HHU983068:HHU983077 HRQ983068:HRQ983077 IBM983068:IBM983077 ILI983068:ILI983077 IVE983068:IVE983077 JFA983068:JFA983077 JOW983068:JOW983077 JYS983068:JYS983077 KIO983068:KIO983077 KSK983068:KSK983077 LCG983068:LCG983077 LMC983068:LMC983077 LVY983068:LVY983077 MFU983068:MFU983077 MPQ983068:MPQ983077 MZM983068:MZM983077 NJI983068:NJI983077 NTE983068:NTE983077 ODA983068:ODA983077 OMW983068:OMW983077 OWS983068:OWS983077 PGO983068:PGO983077 PQK983068:PQK983077 QAG983068:QAG983077 QKC983068:QKC983077 QTY983068:QTY983077 RDU983068:RDU983077 RNQ983068:RNQ983077 RXM983068:RXM983077 SHI983068:SHI983077 SRE983068:SRE983077 TBA983068:TBA983077 TKW983068:TKW983077 TUS983068:TUS983077 UEO983068:UEO983077 UOK983068:UOK983077 UYG983068:UYG983077 VIC983068:VIC983077 VRY983068:VRY983077 WBU983068:WBU983077 WLQ983068:WLQ983077 WVM983068:WVM983077 E10:E20 JA10:JA20 SW10:SW20 ACS10:ACS20 AMO10:AMO20 AWK10:AWK20 BGG10:BGG20 BQC10:BQC20 BZY10:BZY20 CJU10:CJU20 CTQ10:CTQ20 DDM10:DDM20 DNI10:DNI20 DXE10:DXE20 EHA10:EHA20 EQW10:EQW20 FAS10:FAS20 FKO10:FKO20 FUK10:FUK20 GEG10:GEG20 GOC10:GOC20 GXY10:GXY20 HHU10:HHU20 HRQ10:HRQ20 IBM10:IBM20 ILI10:ILI20 IVE10:IVE20 JFA10:JFA20 JOW10:JOW20 JYS10:JYS20 KIO10:KIO20 KSK10:KSK20 LCG10:LCG20 LMC10:LMC20 LVY10:LVY20 MFU10:MFU20 MPQ10:MPQ20 MZM10:MZM20 NJI10:NJI20 NTE10:NTE20 ODA10:ODA20 OMW10:OMW20 OWS10:OWS20 PGO10:PGO20 PQK10:PQK20 QAG10:QAG20 QKC10:QKC20 QTY10:QTY20 RDU10:RDU20 RNQ10:RNQ20 RXM10:RXM20 SHI10:SHI20 SRE10:SRE20 TBA10:TBA20 TKW10:TKW20 TUS10:TUS20 UEO10:UEO20 UOK10:UOK20 UYG10:UYG20 VIC10:VIC20 VRY10:VRY20 WBU10:WBU20 WLQ10:WLQ20 WVM10:WVM20 E65550:E65560 JA65550:JA65560 SW65550:SW65560 ACS65550:ACS65560 AMO65550:AMO65560 AWK65550:AWK65560 BGG65550:BGG65560 BQC65550:BQC65560 BZY65550:BZY65560 CJU65550:CJU65560 CTQ65550:CTQ65560 DDM65550:DDM65560 DNI65550:DNI65560 DXE65550:DXE65560 EHA65550:EHA65560 EQW65550:EQW65560 FAS65550:FAS65560 FKO65550:FKO65560 FUK65550:FUK65560 GEG65550:GEG65560 GOC65550:GOC65560 GXY65550:GXY65560 HHU65550:HHU65560 HRQ65550:HRQ65560 IBM65550:IBM65560 ILI65550:ILI65560 IVE65550:IVE65560 JFA65550:JFA65560 JOW65550:JOW65560 JYS65550:JYS65560 KIO65550:KIO65560 KSK65550:KSK65560 LCG65550:LCG65560 LMC65550:LMC65560 LVY65550:LVY65560 MFU65550:MFU65560 MPQ65550:MPQ65560 MZM65550:MZM65560 NJI65550:NJI65560 NTE65550:NTE65560 ODA65550:ODA65560 OMW65550:OMW65560 OWS65550:OWS65560 PGO65550:PGO65560 PQK65550:PQK65560 QAG65550:QAG65560 QKC65550:QKC65560 QTY65550:QTY65560 RDU65550:RDU65560 RNQ65550:RNQ65560 RXM65550:RXM65560 SHI65550:SHI65560 SRE65550:SRE65560 TBA65550:TBA65560 TKW65550:TKW65560 TUS65550:TUS65560 UEO65550:UEO65560 UOK65550:UOK65560 UYG65550:UYG65560 VIC65550:VIC65560 VRY65550:VRY65560 WBU65550:WBU65560 WLQ65550:WLQ65560 WVM65550:WVM65560 E131086:E131096 JA131086:JA131096 SW131086:SW131096 ACS131086:ACS131096 AMO131086:AMO131096 AWK131086:AWK131096 BGG131086:BGG131096 BQC131086:BQC131096 BZY131086:BZY131096 CJU131086:CJU131096 CTQ131086:CTQ131096 DDM131086:DDM131096 DNI131086:DNI131096 DXE131086:DXE131096 EHA131086:EHA131096 EQW131086:EQW131096 FAS131086:FAS131096 FKO131086:FKO131096 FUK131086:FUK131096 GEG131086:GEG131096 GOC131086:GOC131096 GXY131086:GXY131096 HHU131086:HHU131096 HRQ131086:HRQ131096 IBM131086:IBM131096 ILI131086:ILI131096 IVE131086:IVE131096 JFA131086:JFA131096 JOW131086:JOW131096 JYS131086:JYS131096 KIO131086:KIO131096 KSK131086:KSK131096 LCG131086:LCG131096 LMC131086:LMC131096 LVY131086:LVY131096 MFU131086:MFU131096 MPQ131086:MPQ131096 MZM131086:MZM131096 NJI131086:NJI131096 NTE131086:NTE131096 ODA131086:ODA131096 OMW131086:OMW131096 OWS131086:OWS131096 PGO131086:PGO131096 PQK131086:PQK131096 QAG131086:QAG131096 QKC131086:QKC131096 QTY131086:QTY131096 RDU131086:RDU131096 RNQ131086:RNQ131096 RXM131086:RXM131096 SHI131086:SHI131096 SRE131086:SRE131096 TBA131086:TBA131096 TKW131086:TKW131096 TUS131086:TUS131096 UEO131086:UEO131096 UOK131086:UOK131096 UYG131086:UYG131096 VIC131086:VIC131096 VRY131086:VRY131096 WBU131086:WBU131096 WLQ131086:WLQ131096 WVM131086:WVM131096 E196622:E196632 JA196622:JA196632 SW196622:SW196632 ACS196622:ACS196632 AMO196622:AMO196632 AWK196622:AWK196632 BGG196622:BGG196632 BQC196622:BQC196632 BZY196622:BZY196632 CJU196622:CJU196632 CTQ196622:CTQ196632 DDM196622:DDM196632 DNI196622:DNI196632 DXE196622:DXE196632 EHA196622:EHA196632 EQW196622:EQW196632 FAS196622:FAS196632 FKO196622:FKO196632 FUK196622:FUK196632 GEG196622:GEG196632 GOC196622:GOC196632 GXY196622:GXY196632 HHU196622:HHU196632 HRQ196622:HRQ196632 IBM196622:IBM196632 ILI196622:ILI196632 IVE196622:IVE196632 JFA196622:JFA196632 JOW196622:JOW196632 JYS196622:JYS196632 KIO196622:KIO196632 KSK196622:KSK196632 LCG196622:LCG196632 LMC196622:LMC196632 LVY196622:LVY196632 MFU196622:MFU196632 MPQ196622:MPQ196632 MZM196622:MZM196632 NJI196622:NJI196632 NTE196622:NTE196632 ODA196622:ODA196632 OMW196622:OMW196632 OWS196622:OWS196632 PGO196622:PGO196632 PQK196622:PQK196632 QAG196622:QAG196632 QKC196622:QKC196632 QTY196622:QTY196632 RDU196622:RDU196632 RNQ196622:RNQ196632 RXM196622:RXM196632 SHI196622:SHI196632 SRE196622:SRE196632 TBA196622:TBA196632 TKW196622:TKW196632 TUS196622:TUS196632 UEO196622:UEO196632 UOK196622:UOK196632 UYG196622:UYG196632 VIC196622:VIC196632 VRY196622:VRY196632 WBU196622:WBU196632 WLQ196622:WLQ196632 WVM196622:WVM196632 E262158:E262168 JA262158:JA262168 SW262158:SW262168 ACS262158:ACS262168 AMO262158:AMO262168 AWK262158:AWK262168 BGG262158:BGG262168 BQC262158:BQC262168 BZY262158:BZY262168 CJU262158:CJU262168 CTQ262158:CTQ262168 DDM262158:DDM262168 DNI262158:DNI262168 DXE262158:DXE262168 EHA262158:EHA262168 EQW262158:EQW262168 FAS262158:FAS262168 FKO262158:FKO262168 FUK262158:FUK262168 GEG262158:GEG262168 GOC262158:GOC262168 GXY262158:GXY262168 HHU262158:HHU262168 HRQ262158:HRQ262168 IBM262158:IBM262168 ILI262158:ILI262168 IVE262158:IVE262168 JFA262158:JFA262168 JOW262158:JOW262168 JYS262158:JYS262168 KIO262158:KIO262168 KSK262158:KSK262168 LCG262158:LCG262168 LMC262158:LMC262168 LVY262158:LVY262168 MFU262158:MFU262168 MPQ262158:MPQ262168 MZM262158:MZM262168 NJI262158:NJI262168 NTE262158:NTE262168 ODA262158:ODA262168 OMW262158:OMW262168 OWS262158:OWS262168 PGO262158:PGO262168 PQK262158:PQK262168 QAG262158:QAG262168 QKC262158:QKC262168 QTY262158:QTY262168 RDU262158:RDU262168 RNQ262158:RNQ262168 RXM262158:RXM262168 SHI262158:SHI262168 SRE262158:SRE262168 TBA262158:TBA262168 TKW262158:TKW262168 TUS262158:TUS262168 UEO262158:UEO262168 UOK262158:UOK262168 UYG262158:UYG262168 VIC262158:VIC262168 VRY262158:VRY262168 WBU262158:WBU262168 WLQ262158:WLQ262168 WVM262158:WVM262168 E327694:E327704 JA327694:JA327704 SW327694:SW327704 ACS327694:ACS327704 AMO327694:AMO327704 AWK327694:AWK327704 BGG327694:BGG327704 BQC327694:BQC327704 BZY327694:BZY327704 CJU327694:CJU327704 CTQ327694:CTQ327704 DDM327694:DDM327704 DNI327694:DNI327704 DXE327694:DXE327704 EHA327694:EHA327704 EQW327694:EQW327704 FAS327694:FAS327704 FKO327694:FKO327704 FUK327694:FUK327704 GEG327694:GEG327704 GOC327694:GOC327704 GXY327694:GXY327704 HHU327694:HHU327704 HRQ327694:HRQ327704 IBM327694:IBM327704 ILI327694:ILI327704 IVE327694:IVE327704 JFA327694:JFA327704 JOW327694:JOW327704 JYS327694:JYS327704 KIO327694:KIO327704 KSK327694:KSK327704 LCG327694:LCG327704 LMC327694:LMC327704 LVY327694:LVY327704 MFU327694:MFU327704 MPQ327694:MPQ327704 MZM327694:MZM327704 NJI327694:NJI327704 NTE327694:NTE327704 ODA327694:ODA327704 OMW327694:OMW327704 OWS327694:OWS327704 PGO327694:PGO327704 PQK327694:PQK327704 QAG327694:QAG327704 QKC327694:QKC327704 QTY327694:QTY327704 RDU327694:RDU327704 RNQ327694:RNQ327704 RXM327694:RXM327704 SHI327694:SHI327704 SRE327694:SRE327704 TBA327694:TBA327704 TKW327694:TKW327704 TUS327694:TUS327704 UEO327694:UEO327704 UOK327694:UOK327704 UYG327694:UYG327704 VIC327694:VIC327704 VRY327694:VRY327704 WBU327694:WBU327704 WLQ327694:WLQ327704 WVM327694:WVM327704 E393230:E393240 JA393230:JA393240 SW393230:SW393240 ACS393230:ACS393240 AMO393230:AMO393240 AWK393230:AWK393240 BGG393230:BGG393240 BQC393230:BQC393240 BZY393230:BZY393240 CJU393230:CJU393240 CTQ393230:CTQ393240 DDM393230:DDM393240 DNI393230:DNI393240 DXE393230:DXE393240 EHA393230:EHA393240 EQW393230:EQW393240 FAS393230:FAS393240 FKO393230:FKO393240 FUK393230:FUK393240 GEG393230:GEG393240 GOC393230:GOC393240 GXY393230:GXY393240 HHU393230:HHU393240 HRQ393230:HRQ393240 IBM393230:IBM393240 ILI393230:ILI393240 IVE393230:IVE393240 JFA393230:JFA393240 JOW393230:JOW393240 JYS393230:JYS393240 KIO393230:KIO393240 KSK393230:KSK393240 LCG393230:LCG393240 LMC393230:LMC393240 LVY393230:LVY393240 MFU393230:MFU393240 MPQ393230:MPQ393240 MZM393230:MZM393240 NJI393230:NJI393240 NTE393230:NTE393240 ODA393230:ODA393240 OMW393230:OMW393240 OWS393230:OWS393240 PGO393230:PGO393240 PQK393230:PQK393240 QAG393230:QAG393240 QKC393230:QKC393240 QTY393230:QTY393240 RDU393230:RDU393240 RNQ393230:RNQ393240 RXM393230:RXM393240 SHI393230:SHI393240 SRE393230:SRE393240 TBA393230:TBA393240 TKW393230:TKW393240 TUS393230:TUS393240 UEO393230:UEO393240 UOK393230:UOK393240 UYG393230:UYG393240 VIC393230:VIC393240 VRY393230:VRY393240 WBU393230:WBU393240 WLQ393230:WLQ393240 WVM393230:WVM393240 E458766:E458776 JA458766:JA458776 SW458766:SW458776 ACS458766:ACS458776 AMO458766:AMO458776 AWK458766:AWK458776 BGG458766:BGG458776 BQC458766:BQC458776 BZY458766:BZY458776 CJU458766:CJU458776 CTQ458766:CTQ458776 DDM458766:DDM458776 DNI458766:DNI458776 DXE458766:DXE458776 EHA458766:EHA458776 EQW458766:EQW458776 FAS458766:FAS458776 FKO458766:FKO458776 FUK458766:FUK458776 GEG458766:GEG458776 GOC458766:GOC458776 GXY458766:GXY458776 HHU458766:HHU458776 HRQ458766:HRQ458776 IBM458766:IBM458776 ILI458766:ILI458776 IVE458766:IVE458776 JFA458766:JFA458776 JOW458766:JOW458776 JYS458766:JYS458776 KIO458766:KIO458776 KSK458766:KSK458776 LCG458766:LCG458776 LMC458766:LMC458776 LVY458766:LVY458776 MFU458766:MFU458776 MPQ458766:MPQ458776 MZM458766:MZM458776 NJI458766:NJI458776 NTE458766:NTE458776 ODA458766:ODA458776 OMW458766:OMW458776 OWS458766:OWS458776 PGO458766:PGO458776 PQK458766:PQK458776 QAG458766:QAG458776 QKC458766:QKC458776 QTY458766:QTY458776 RDU458766:RDU458776 RNQ458766:RNQ458776 RXM458766:RXM458776 SHI458766:SHI458776 SRE458766:SRE458776 TBA458766:TBA458776 TKW458766:TKW458776 TUS458766:TUS458776 UEO458766:UEO458776 UOK458766:UOK458776 UYG458766:UYG458776 VIC458766:VIC458776 VRY458766:VRY458776 WBU458766:WBU458776 WLQ458766:WLQ458776 WVM458766:WVM458776 E524302:E524312 JA524302:JA524312 SW524302:SW524312 ACS524302:ACS524312 AMO524302:AMO524312 AWK524302:AWK524312 BGG524302:BGG524312 BQC524302:BQC524312 BZY524302:BZY524312 CJU524302:CJU524312 CTQ524302:CTQ524312 DDM524302:DDM524312 DNI524302:DNI524312 DXE524302:DXE524312 EHA524302:EHA524312 EQW524302:EQW524312 FAS524302:FAS524312 FKO524302:FKO524312 FUK524302:FUK524312 GEG524302:GEG524312 GOC524302:GOC524312 GXY524302:GXY524312 HHU524302:HHU524312 HRQ524302:HRQ524312 IBM524302:IBM524312 ILI524302:ILI524312 IVE524302:IVE524312 JFA524302:JFA524312 JOW524302:JOW524312 JYS524302:JYS524312 KIO524302:KIO524312 KSK524302:KSK524312 LCG524302:LCG524312 LMC524302:LMC524312 LVY524302:LVY524312 MFU524302:MFU524312 MPQ524302:MPQ524312 MZM524302:MZM524312 NJI524302:NJI524312 NTE524302:NTE524312 ODA524302:ODA524312 OMW524302:OMW524312 OWS524302:OWS524312 PGO524302:PGO524312 PQK524302:PQK524312 QAG524302:QAG524312 QKC524302:QKC524312 QTY524302:QTY524312 RDU524302:RDU524312 RNQ524302:RNQ524312 RXM524302:RXM524312 SHI524302:SHI524312 SRE524302:SRE524312 TBA524302:TBA524312 TKW524302:TKW524312 TUS524302:TUS524312 UEO524302:UEO524312 UOK524302:UOK524312 UYG524302:UYG524312 VIC524302:VIC524312 VRY524302:VRY524312 WBU524302:WBU524312 WLQ524302:WLQ524312 WVM524302:WVM524312 E589838:E589848 JA589838:JA589848 SW589838:SW589848 ACS589838:ACS589848 AMO589838:AMO589848 AWK589838:AWK589848 BGG589838:BGG589848 BQC589838:BQC589848 BZY589838:BZY589848 CJU589838:CJU589848 CTQ589838:CTQ589848 DDM589838:DDM589848 DNI589838:DNI589848 DXE589838:DXE589848 EHA589838:EHA589848 EQW589838:EQW589848 FAS589838:FAS589848 FKO589838:FKO589848 FUK589838:FUK589848 GEG589838:GEG589848 GOC589838:GOC589848 GXY589838:GXY589848 HHU589838:HHU589848 HRQ589838:HRQ589848 IBM589838:IBM589848 ILI589838:ILI589848 IVE589838:IVE589848 JFA589838:JFA589848 JOW589838:JOW589848 JYS589838:JYS589848 KIO589838:KIO589848 KSK589838:KSK589848 LCG589838:LCG589848 LMC589838:LMC589848 LVY589838:LVY589848 MFU589838:MFU589848 MPQ589838:MPQ589848 MZM589838:MZM589848 NJI589838:NJI589848 NTE589838:NTE589848 ODA589838:ODA589848 OMW589838:OMW589848 OWS589838:OWS589848 PGO589838:PGO589848 PQK589838:PQK589848 QAG589838:QAG589848 QKC589838:QKC589848 QTY589838:QTY589848 RDU589838:RDU589848 RNQ589838:RNQ589848 RXM589838:RXM589848 SHI589838:SHI589848 SRE589838:SRE589848 TBA589838:TBA589848 TKW589838:TKW589848 TUS589838:TUS589848 UEO589838:UEO589848 UOK589838:UOK589848 UYG589838:UYG589848 VIC589838:VIC589848 VRY589838:VRY589848 WBU589838:WBU589848 WLQ589838:WLQ589848 WVM589838:WVM589848 E655374:E655384 JA655374:JA655384 SW655374:SW655384 ACS655374:ACS655384 AMO655374:AMO655384 AWK655374:AWK655384 BGG655374:BGG655384 BQC655374:BQC655384 BZY655374:BZY655384 CJU655374:CJU655384 CTQ655374:CTQ655384 DDM655374:DDM655384 DNI655374:DNI655384 DXE655374:DXE655384 EHA655374:EHA655384 EQW655374:EQW655384 FAS655374:FAS655384 FKO655374:FKO655384 FUK655374:FUK655384 GEG655374:GEG655384 GOC655374:GOC655384 GXY655374:GXY655384 HHU655374:HHU655384 HRQ655374:HRQ655384 IBM655374:IBM655384 ILI655374:ILI655384 IVE655374:IVE655384 JFA655374:JFA655384 JOW655374:JOW655384 JYS655374:JYS655384 KIO655374:KIO655384 KSK655374:KSK655384 LCG655374:LCG655384 LMC655374:LMC655384 LVY655374:LVY655384 MFU655374:MFU655384 MPQ655374:MPQ655384 MZM655374:MZM655384 NJI655374:NJI655384 NTE655374:NTE655384 ODA655374:ODA655384 OMW655374:OMW655384 OWS655374:OWS655384 PGO655374:PGO655384 PQK655374:PQK655384 QAG655374:QAG655384 QKC655374:QKC655384 QTY655374:QTY655384 RDU655374:RDU655384 RNQ655374:RNQ655384 RXM655374:RXM655384 SHI655374:SHI655384 SRE655374:SRE655384 TBA655374:TBA655384 TKW655374:TKW655384 TUS655374:TUS655384 UEO655374:UEO655384 UOK655374:UOK655384 UYG655374:UYG655384 VIC655374:VIC655384 VRY655374:VRY655384 WBU655374:WBU655384 WLQ655374:WLQ655384 WVM655374:WVM655384 E720910:E720920 JA720910:JA720920 SW720910:SW720920 ACS720910:ACS720920 AMO720910:AMO720920 AWK720910:AWK720920 BGG720910:BGG720920 BQC720910:BQC720920 BZY720910:BZY720920 CJU720910:CJU720920 CTQ720910:CTQ720920 DDM720910:DDM720920 DNI720910:DNI720920 DXE720910:DXE720920 EHA720910:EHA720920 EQW720910:EQW720920 FAS720910:FAS720920 FKO720910:FKO720920 FUK720910:FUK720920 GEG720910:GEG720920 GOC720910:GOC720920 GXY720910:GXY720920 HHU720910:HHU720920 HRQ720910:HRQ720920 IBM720910:IBM720920 ILI720910:ILI720920 IVE720910:IVE720920 JFA720910:JFA720920 JOW720910:JOW720920 JYS720910:JYS720920 KIO720910:KIO720920 KSK720910:KSK720920 LCG720910:LCG720920 LMC720910:LMC720920 LVY720910:LVY720920 MFU720910:MFU720920 MPQ720910:MPQ720920 MZM720910:MZM720920 NJI720910:NJI720920 NTE720910:NTE720920 ODA720910:ODA720920 OMW720910:OMW720920 OWS720910:OWS720920 PGO720910:PGO720920 PQK720910:PQK720920 QAG720910:QAG720920 QKC720910:QKC720920 QTY720910:QTY720920 RDU720910:RDU720920 RNQ720910:RNQ720920 RXM720910:RXM720920 SHI720910:SHI720920 SRE720910:SRE720920 TBA720910:TBA720920 TKW720910:TKW720920 TUS720910:TUS720920 UEO720910:UEO720920 UOK720910:UOK720920 UYG720910:UYG720920 VIC720910:VIC720920 VRY720910:VRY720920 WBU720910:WBU720920 WLQ720910:WLQ720920 WVM720910:WVM720920 E786446:E786456 JA786446:JA786456 SW786446:SW786456 ACS786446:ACS786456 AMO786446:AMO786456 AWK786446:AWK786456 BGG786446:BGG786456 BQC786446:BQC786456 BZY786446:BZY786456 CJU786446:CJU786456 CTQ786446:CTQ786456 DDM786446:DDM786456 DNI786446:DNI786456 DXE786446:DXE786456 EHA786446:EHA786456 EQW786446:EQW786456 FAS786446:FAS786456 FKO786446:FKO786456 FUK786446:FUK786456 GEG786446:GEG786456 GOC786446:GOC786456 GXY786446:GXY786456 HHU786446:HHU786456 HRQ786446:HRQ786456 IBM786446:IBM786456 ILI786446:ILI786456 IVE786446:IVE786456 JFA786446:JFA786456 JOW786446:JOW786456 JYS786446:JYS786456 KIO786446:KIO786456 KSK786446:KSK786456 LCG786446:LCG786456 LMC786446:LMC786456 LVY786446:LVY786456 MFU786446:MFU786456 MPQ786446:MPQ786456 MZM786446:MZM786456 NJI786446:NJI786456 NTE786446:NTE786456 ODA786446:ODA786456 OMW786446:OMW786456 OWS786446:OWS786456 PGO786446:PGO786456 PQK786446:PQK786456 QAG786446:QAG786456 QKC786446:QKC786456 QTY786446:QTY786456 RDU786446:RDU786456 RNQ786446:RNQ786456 RXM786446:RXM786456 SHI786446:SHI786456 SRE786446:SRE786456 TBA786446:TBA786456 TKW786446:TKW786456 TUS786446:TUS786456 UEO786446:UEO786456 UOK786446:UOK786456 UYG786446:UYG786456 VIC786446:VIC786456 VRY786446:VRY786456 WBU786446:WBU786456 WLQ786446:WLQ786456 WVM786446:WVM786456 E851982:E851992 JA851982:JA851992 SW851982:SW851992 ACS851982:ACS851992 AMO851982:AMO851992 AWK851982:AWK851992 BGG851982:BGG851992 BQC851982:BQC851992 BZY851982:BZY851992 CJU851982:CJU851992 CTQ851982:CTQ851992 DDM851982:DDM851992 DNI851982:DNI851992 DXE851982:DXE851992 EHA851982:EHA851992 EQW851982:EQW851992 FAS851982:FAS851992 FKO851982:FKO851992 FUK851982:FUK851992 GEG851982:GEG851992 GOC851982:GOC851992 GXY851982:GXY851992 HHU851982:HHU851992 HRQ851982:HRQ851992 IBM851982:IBM851992 ILI851982:ILI851992 IVE851982:IVE851992 JFA851982:JFA851992 JOW851982:JOW851992 JYS851982:JYS851992 KIO851982:KIO851992 KSK851982:KSK851992 LCG851982:LCG851992 LMC851982:LMC851992 LVY851982:LVY851992 MFU851982:MFU851992 MPQ851982:MPQ851992 MZM851982:MZM851992 NJI851982:NJI851992 NTE851982:NTE851992 ODA851982:ODA851992 OMW851982:OMW851992 OWS851982:OWS851992 PGO851982:PGO851992 PQK851982:PQK851992 QAG851982:QAG851992 QKC851982:QKC851992 QTY851982:QTY851992 RDU851982:RDU851992 RNQ851982:RNQ851992 RXM851982:RXM851992 SHI851982:SHI851992 SRE851982:SRE851992 TBA851982:TBA851992 TKW851982:TKW851992 TUS851982:TUS851992 UEO851982:UEO851992 UOK851982:UOK851992 UYG851982:UYG851992 VIC851982:VIC851992 VRY851982:VRY851992 WBU851982:WBU851992 WLQ851982:WLQ851992 WVM851982:WVM851992 E917518:E917528 JA917518:JA917528 SW917518:SW917528 ACS917518:ACS917528 AMO917518:AMO917528 AWK917518:AWK917528 BGG917518:BGG917528 BQC917518:BQC917528 BZY917518:BZY917528 CJU917518:CJU917528 CTQ917518:CTQ917528 DDM917518:DDM917528 DNI917518:DNI917528 DXE917518:DXE917528 EHA917518:EHA917528 EQW917518:EQW917528 FAS917518:FAS917528 FKO917518:FKO917528 FUK917518:FUK917528 GEG917518:GEG917528 GOC917518:GOC917528 GXY917518:GXY917528 HHU917518:HHU917528 HRQ917518:HRQ917528 IBM917518:IBM917528 ILI917518:ILI917528 IVE917518:IVE917528 JFA917518:JFA917528 JOW917518:JOW917528 JYS917518:JYS917528 KIO917518:KIO917528 KSK917518:KSK917528 LCG917518:LCG917528 LMC917518:LMC917528 LVY917518:LVY917528 MFU917518:MFU917528 MPQ917518:MPQ917528 MZM917518:MZM917528 NJI917518:NJI917528 NTE917518:NTE917528 ODA917518:ODA917528 OMW917518:OMW917528 OWS917518:OWS917528 PGO917518:PGO917528 PQK917518:PQK917528 QAG917518:QAG917528 QKC917518:QKC917528 QTY917518:QTY917528 RDU917518:RDU917528 RNQ917518:RNQ917528 RXM917518:RXM917528 SHI917518:SHI917528 SRE917518:SRE917528 TBA917518:TBA917528 TKW917518:TKW917528 TUS917518:TUS917528 UEO917518:UEO917528 UOK917518:UOK917528 UYG917518:UYG917528 VIC917518:VIC917528 VRY917518:VRY917528 WBU917518:WBU917528 WLQ917518:WLQ917528 WVM917518:WVM917528 E983054:E983064 JA983054:JA983064 SW983054:SW983064 ACS983054:ACS983064 AMO983054:AMO983064 AWK983054:AWK983064 BGG983054:BGG983064 BQC983054:BQC983064 BZY983054:BZY983064 CJU983054:CJU983064 CTQ983054:CTQ983064 DDM983054:DDM983064 DNI983054:DNI983064 DXE983054:DXE983064 EHA983054:EHA983064 EQW983054:EQW983064 FAS983054:FAS983064 FKO983054:FKO983064 FUK983054:FUK983064 GEG983054:GEG983064 GOC983054:GOC983064 GXY983054:GXY983064 HHU983054:HHU983064 HRQ983054:HRQ983064 IBM983054:IBM983064 ILI983054:ILI983064 IVE983054:IVE983064 JFA983054:JFA983064 JOW983054:JOW983064 JYS983054:JYS983064 KIO983054:KIO983064 KSK983054:KSK983064 LCG983054:LCG983064 LMC983054:LMC983064 LVY983054:LVY983064 MFU983054:MFU983064 MPQ983054:MPQ983064 MZM983054:MZM983064 NJI983054:NJI983064 NTE983054:NTE983064 ODA983054:ODA983064 OMW983054:OMW983064 OWS983054:OWS983064 PGO983054:PGO983064 PQK983054:PQK983064 QAG983054:QAG983064 QKC983054:QKC983064 QTY983054:QTY983064 RDU983054:RDU983064 RNQ983054:RNQ983064 RXM983054:RXM983064 SHI983054:SHI983064 SRE983054:SRE983064 TBA983054:TBA983064 TKW983054:TKW983064 TUS983054:TUS983064 UEO983054:UEO983064 UOK983054:UOK983064 UYG983054:UYG983064 VIC983054:VIC983064 VRY983054:VRY983064 WBU983054:WBU983064 WLQ983054:WLQ983064 WVM983054:WVM983064" xr:uid="{2A355DBB-FBE1-407D-AC62-EFE2F6601E8E}">
      <formula1>"CAR,Innovation,PPM,None"</formula1>
    </dataValidation>
    <dataValidation type="list" allowBlank="1" showInputMessage="1" showErrorMessage="1" sqref="F26:F35 JB26:JB35 SX26:SX35 ACT26:ACT35 AMP26:AMP35 AWL26:AWL35 BGH26:BGH35 BQD26:BQD35 BZZ26:BZZ35 CJV26:CJV35 CTR26:CTR35 DDN26:DDN35 DNJ26:DNJ35 DXF26:DXF35 EHB26:EHB35 EQX26:EQX35 FAT26:FAT35 FKP26:FKP35 FUL26:FUL35 GEH26:GEH35 GOD26:GOD35 GXZ26:GXZ35 HHV26:HHV35 HRR26:HRR35 IBN26:IBN35 ILJ26:ILJ35 IVF26:IVF35 JFB26:JFB35 JOX26:JOX35 JYT26:JYT35 KIP26:KIP35 KSL26:KSL35 LCH26:LCH35 LMD26:LMD35 LVZ26:LVZ35 MFV26:MFV35 MPR26:MPR35 MZN26:MZN35 NJJ26:NJJ35 NTF26:NTF35 ODB26:ODB35 OMX26:OMX35 OWT26:OWT35 PGP26:PGP35 PQL26:PQL35 QAH26:QAH35 QKD26:QKD35 QTZ26:QTZ35 RDV26:RDV35 RNR26:RNR35 RXN26:RXN35 SHJ26:SHJ35 SRF26:SRF35 TBB26:TBB35 TKX26:TKX35 TUT26:TUT35 UEP26:UEP35 UOL26:UOL35 UYH26:UYH35 VID26:VID35 VRZ26:VRZ35 WBV26:WBV35 WLR26:WLR35 WVN26:WVN35 F65564:F65573 JB65564:JB65573 SX65564:SX65573 ACT65564:ACT65573 AMP65564:AMP65573 AWL65564:AWL65573 BGH65564:BGH65573 BQD65564:BQD65573 BZZ65564:BZZ65573 CJV65564:CJV65573 CTR65564:CTR65573 DDN65564:DDN65573 DNJ65564:DNJ65573 DXF65564:DXF65573 EHB65564:EHB65573 EQX65564:EQX65573 FAT65564:FAT65573 FKP65564:FKP65573 FUL65564:FUL65573 GEH65564:GEH65573 GOD65564:GOD65573 GXZ65564:GXZ65573 HHV65564:HHV65573 HRR65564:HRR65573 IBN65564:IBN65573 ILJ65564:ILJ65573 IVF65564:IVF65573 JFB65564:JFB65573 JOX65564:JOX65573 JYT65564:JYT65573 KIP65564:KIP65573 KSL65564:KSL65573 LCH65564:LCH65573 LMD65564:LMD65573 LVZ65564:LVZ65573 MFV65564:MFV65573 MPR65564:MPR65573 MZN65564:MZN65573 NJJ65564:NJJ65573 NTF65564:NTF65573 ODB65564:ODB65573 OMX65564:OMX65573 OWT65564:OWT65573 PGP65564:PGP65573 PQL65564:PQL65573 QAH65564:QAH65573 QKD65564:QKD65573 QTZ65564:QTZ65573 RDV65564:RDV65573 RNR65564:RNR65573 RXN65564:RXN65573 SHJ65564:SHJ65573 SRF65564:SRF65573 TBB65564:TBB65573 TKX65564:TKX65573 TUT65564:TUT65573 UEP65564:UEP65573 UOL65564:UOL65573 UYH65564:UYH65573 VID65564:VID65573 VRZ65564:VRZ65573 WBV65564:WBV65573 WLR65564:WLR65573 WVN65564:WVN65573 F131100:F131109 JB131100:JB131109 SX131100:SX131109 ACT131100:ACT131109 AMP131100:AMP131109 AWL131100:AWL131109 BGH131100:BGH131109 BQD131100:BQD131109 BZZ131100:BZZ131109 CJV131100:CJV131109 CTR131100:CTR131109 DDN131100:DDN131109 DNJ131100:DNJ131109 DXF131100:DXF131109 EHB131100:EHB131109 EQX131100:EQX131109 FAT131100:FAT131109 FKP131100:FKP131109 FUL131100:FUL131109 GEH131100:GEH131109 GOD131100:GOD131109 GXZ131100:GXZ131109 HHV131100:HHV131109 HRR131100:HRR131109 IBN131100:IBN131109 ILJ131100:ILJ131109 IVF131100:IVF131109 JFB131100:JFB131109 JOX131100:JOX131109 JYT131100:JYT131109 KIP131100:KIP131109 KSL131100:KSL131109 LCH131100:LCH131109 LMD131100:LMD131109 LVZ131100:LVZ131109 MFV131100:MFV131109 MPR131100:MPR131109 MZN131100:MZN131109 NJJ131100:NJJ131109 NTF131100:NTF131109 ODB131100:ODB131109 OMX131100:OMX131109 OWT131100:OWT131109 PGP131100:PGP131109 PQL131100:PQL131109 QAH131100:QAH131109 QKD131100:QKD131109 QTZ131100:QTZ131109 RDV131100:RDV131109 RNR131100:RNR131109 RXN131100:RXN131109 SHJ131100:SHJ131109 SRF131100:SRF131109 TBB131100:TBB131109 TKX131100:TKX131109 TUT131100:TUT131109 UEP131100:UEP131109 UOL131100:UOL131109 UYH131100:UYH131109 VID131100:VID131109 VRZ131100:VRZ131109 WBV131100:WBV131109 WLR131100:WLR131109 WVN131100:WVN131109 F196636:F196645 JB196636:JB196645 SX196636:SX196645 ACT196636:ACT196645 AMP196636:AMP196645 AWL196636:AWL196645 BGH196636:BGH196645 BQD196636:BQD196645 BZZ196636:BZZ196645 CJV196636:CJV196645 CTR196636:CTR196645 DDN196636:DDN196645 DNJ196636:DNJ196645 DXF196636:DXF196645 EHB196636:EHB196645 EQX196636:EQX196645 FAT196636:FAT196645 FKP196636:FKP196645 FUL196636:FUL196645 GEH196636:GEH196645 GOD196636:GOD196645 GXZ196636:GXZ196645 HHV196636:HHV196645 HRR196636:HRR196645 IBN196636:IBN196645 ILJ196636:ILJ196645 IVF196636:IVF196645 JFB196636:JFB196645 JOX196636:JOX196645 JYT196636:JYT196645 KIP196636:KIP196645 KSL196636:KSL196645 LCH196636:LCH196645 LMD196636:LMD196645 LVZ196636:LVZ196645 MFV196636:MFV196645 MPR196636:MPR196645 MZN196636:MZN196645 NJJ196636:NJJ196645 NTF196636:NTF196645 ODB196636:ODB196645 OMX196636:OMX196645 OWT196636:OWT196645 PGP196636:PGP196645 PQL196636:PQL196645 QAH196636:QAH196645 QKD196636:QKD196645 QTZ196636:QTZ196645 RDV196636:RDV196645 RNR196636:RNR196645 RXN196636:RXN196645 SHJ196636:SHJ196645 SRF196636:SRF196645 TBB196636:TBB196645 TKX196636:TKX196645 TUT196636:TUT196645 UEP196636:UEP196645 UOL196636:UOL196645 UYH196636:UYH196645 VID196636:VID196645 VRZ196636:VRZ196645 WBV196636:WBV196645 WLR196636:WLR196645 WVN196636:WVN196645 F262172:F262181 JB262172:JB262181 SX262172:SX262181 ACT262172:ACT262181 AMP262172:AMP262181 AWL262172:AWL262181 BGH262172:BGH262181 BQD262172:BQD262181 BZZ262172:BZZ262181 CJV262172:CJV262181 CTR262172:CTR262181 DDN262172:DDN262181 DNJ262172:DNJ262181 DXF262172:DXF262181 EHB262172:EHB262181 EQX262172:EQX262181 FAT262172:FAT262181 FKP262172:FKP262181 FUL262172:FUL262181 GEH262172:GEH262181 GOD262172:GOD262181 GXZ262172:GXZ262181 HHV262172:HHV262181 HRR262172:HRR262181 IBN262172:IBN262181 ILJ262172:ILJ262181 IVF262172:IVF262181 JFB262172:JFB262181 JOX262172:JOX262181 JYT262172:JYT262181 KIP262172:KIP262181 KSL262172:KSL262181 LCH262172:LCH262181 LMD262172:LMD262181 LVZ262172:LVZ262181 MFV262172:MFV262181 MPR262172:MPR262181 MZN262172:MZN262181 NJJ262172:NJJ262181 NTF262172:NTF262181 ODB262172:ODB262181 OMX262172:OMX262181 OWT262172:OWT262181 PGP262172:PGP262181 PQL262172:PQL262181 QAH262172:QAH262181 QKD262172:QKD262181 QTZ262172:QTZ262181 RDV262172:RDV262181 RNR262172:RNR262181 RXN262172:RXN262181 SHJ262172:SHJ262181 SRF262172:SRF262181 TBB262172:TBB262181 TKX262172:TKX262181 TUT262172:TUT262181 UEP262172:UEP262181 UOL262172:UOL262181 UYH262172:UYH262181 VID262172:VID262181 VRZ262172:VRZ262181 WBV262172:WBV262181 WLR262172:WLR262181 WVN262172:WVN262181 F327708:F327717 JB327708:JB327717 SX327708:SX327717 ACT327708:ACT327717 AMP327708:AMP327717 AWL327708:AWL327717 BGH327708:BGH327717 BQD327708:BQD327717 BZZ327708:BZZ327717 CJV327708:CJV327717 CTR327708:CTR327717 DDN327708:DDN327717 DNJ327708:DNJ327717 DXF327708:DXF327717 EHB327708:EHB327717 EQX327708:EQX327717 FAT327708:FAT327717 FKP327708:FKP327717 FUL327708:FUL327717 GEH327708:GEH327717 GOD327708:GOD327717 GXZ327708:GXZ327717 HHV327708:HHV327717 HRR327708:HRR327717 IBN327708:IBN327717 ILJ327708:ILJ327717 IVF327708:IVF327717 JFB327708:JFB327717 JOX327708:JOX327717 JYT327708:JYT327717 KIP327708:KIP327717 KSL327708:KSL327717 LCH327708:LCH327717 LMD327708:LMD327717 LVZ327708:LVZ327717 MFV327708:MFV327717 MPR327708:MPR327717 MZN327708:MZN327717 NJJ327708:NJJ327717 NTF327708:NTF327717 ODB327708:ODB327717 OMX327708:OMX327717 OWT327708:OWT327717 PGP327708:PGP327717 PQL327708:PQL327717 QAH327708:QAH327717 QKD327708:QKD327717 QTZ327708:QTZ327717 RDV327708:RDV327717 RNR327708:RNR327717 RXN327708:RXN327717 SHJ327708:SHJ327717 SRF327708:SRF327717 TBB327708:TBB327717 TKX327708:TKX327717 TUT327708:TUT327717 UEP327708:UEP327717 UOL327708:UOL327717 UYH327708:UYH327717 VID327708:VID327717 VRZ327708:VRZ327717 WBV327708:WBV327717 WLR327708:WLR327717 WVN327708:WVN327717 F393244:F393253 JB393244:JB393253 SX393244:SX393253 ACT393244:ACT393253 AMP393244:AMP393253 AWL393244:AWL393253 BGH393244:BGH393253 BQD393244:BQD393253 BZZ393244:BZZ393253 CJV393244:CJV393253 CTR393244:CTR393253 DDN393244:DDN393253 DNJ393244:DNJ393253 DXF393244:DXF393253 EHB393244:EHB393253 EQX393244:EQX393253 FAT393244:FAT393253 FKP393244:FKP393253 FUL393244:FUL393253 GEH393244:GEH393253 GOD393244:GOD393253 GXZ393244:GXZ393253 HHV393244:HHV393253 HRR393244:HRR393253 IBN393244:IBN393253 ILJ393244:ILJ393253 IVF393244:IVF393253 JFB393244:JFB393253 JOX393244:JOX393253 JYT393244:JYT393253 KIP393244:KIP393253 KSL393244:KSL393253 LCH393244:LCH393253 LMD393244:LMD393253 LVZ393244:LVZ393253 MFV393244:MFV393253 MPR393244:MPR393253 MZN393244:MZN393253 NJJ393244:NJJ393253 NTF393244:NTF393253 ODB393244:ODB393253 OMX393244:OMX393253 OWT393244:OWT393253 PGP393244:PGP393253 PQL393244:PQL393253 QAH393244:QAH393253 QKD393244:QKD393253 QTZ393244:QTZ393253 RDV393244:RDV393253 RNR393244:RNR393253 RXN393244:RXN393253 SHJ393244:SHJ393253 SRF393244:SRF393253 TBB393244:TBB393253 TKX393244:TKX393253 TUT393244:TUT393253 UEP393244:UEP393253 UOL393244:UOL393253 UYH393244:UYH393253 VID393244:VID393253 VRZ393244:VRZ393253 WBV393244:WBV393253 WLR393244:WLR393253 WVN393244:WVN393253 F458780:F458789 JB458780:JB458789 SX458780:SX458789 ACT458780:ACT458789 AMP458780:AMP458789 AWL458780:AWL458789 BGH458780:BGH458789 BQD458780:BQD458789 BZZ458780:BZZ458789 CJV458780:CJV458789 CTR458780:CTR458789 DDN458780:DDN458789 DNJ458780:DNJ458789 DXF458780:DXF458789 EHB458780:EHB458789 EQX458780:EQX458789 FAT458780:FAT458789 FKP458780:FKP458789 FUL458780:FUL458789 GEH458780:GEH458789 GOD458780:GOD458789 GXZ458780:GXZ458789 HHV458780:HHV458789 HRR458780:HRR458789 IBN458780:IBN458789 ILJ458780:ILJ458789 IVF458780:IVF458789 JFB458780:JFB458789 JOX458780:JOX458789 JYT458780:JYT458789 KIP458780:KIP458789 KSL458780:KSL458789 LCH458780:LCH458789 LMD458780:LMD458789 LVZ458780:LVZ458789 MFV458780:MFV458789 MPR458780:MPR458789 MZN458780:MZN458789 NJJ458780:NJJ458789 NTF458780:NTF458789 ODB458780:ODB458789 OMX458780:OMX458789 OWT458780:OWT458789 PGP458780:PGP458789 PQL458780:PQL458789 QAH458780:QAH458789 QKD458780:QKD458789 QTZ458780:QTZ458789 RDV458780:RDV458789 RNR458780:RNR458789 RXN458780:RXN458789 SHJ458780:SHJ458789 SRF458780:SRF458789 TBB458780:TBB458789 TKX458780:TKX458789 TUT458780:TUT458789 UEP458780:UEP458789 UOL458780:UOL458789 UYH458780:UYH458789 VID458780:VID458789 VRZ458780:VRZ458789 WBV458780:WBV458789 WLR458780:WLR458789 WVN458780:WVN458789 F524316:F524325 JB524316:JB524325 SX524316:SX524325 ACT524316:ACT524325 AMP524316:AMP524325 AWL524316:AWL524325 BGH524316:BGH524325 BQD524316:BQD524325 BZZ524316:BZZ524325 CJV524316:CJV524325 CTR524316:CTR524325 DDN524316:DDN524325 DNJ524316:DNJ524325 DXF524316:DXF524325 EHB524316:EHB524325 EQX524316:EQX524325 FAT524316:FAT524325 FKP524316:FKP524325 FUL524316:FUL524325 GEH524316:GEH524325 GOD524316:GOD524325 GXZ524316:GXZ524325 HHV524316:HHV524325 HRR524316:HRR524325 IBN524316:IBN524325 ILJ524316:ILJ524325 IVF524316:IVF524325 JFB524316:JFB524325 JOX524316:JOX524325 JYT524316:JYT524325 KIP524316:KIP524325 KSL524316:KSL524325 LCH524316:LCH524325 LMD524316:LMD524325 LVZ524316:LVZ524325 MFV524316:MFV524325 MPR524316:MPR524325 MZN524316:MZN524325 NJJ524316:NJJ524325 NTF524316:NTF524325 ODB524316:ODB524325 OMX524316:OMX524325 OWT524316:OWT524325 PGP524316:PGP524325 PQL524316:PQL524325 QAH524316:QAH524325 QKD524316:QKD524325 QTZ524316:QTZ524325 RDV524316:RDV524325 RNR524316:RNR524325 RXN524316:RXN524325 SHJ524316:SHJ524325 SRF524316:SRF524325 TBB524316:TBB524325 TKX524316:TKX524325 TUT524316:TUT524325 UEP524316:UEP524325 UOL524316:UOL524325 UYH524316:UYH524325 VID524316:VID524325 VRZ524316:VRZ524325 WBV524316:WBV524325 WLR524316:WLR524325 WVN524316:WVN524325 F589852:F589861 JB589852:JB589861 SX589852:SX589861 ACT589852:ACT589861 AMP589852:AMP589861 AWL589852:AWL589861 BGH589852:BGH589861 BQD589852:BQD589861 BZZ589852:BZZ589861 CJV589852:CJV589861 CTR589852:CTR589861 DDN589852:DDN589861 DNJ589852:DNJ589861 DXF589852:DXF589861 EHB589852:EHB589861 EQX589852:EQX589861 FAT589852:FAT589861 FKP589852:FKP589861 FUL589852:FUL589861 GEH589852:GEH589861 GOD589852:GOD589861 GXZ589852:GXZ589861 HHV589852:HHV589861 HRR589852:HRR589861 IBN589852:IBN589861 ILJ589852:ILJ589861 IVF589852:IVF589861 JFB589852:JFB589861 JOX589852:JOX589861 JYT589852:JYT589861 KIP589852:KIP589861 KSL589852:KSL589861 LCH589852:LCH589861 LMD589852:LMD589861 LVZ589852:LVZ589861 MFV589852:MFV589861 MPR589852:MPR589861 MZN589852:MZN589861 NJJ589852:NJJ589861 NTF589852:NTF589861 ODB589852:ODB589861 OMX589852:OMX589861 OWT589852:OWT589861 PGP589852:PGP589861 PQL589852:PQL589861 QAH589852:QAH589861 QKD589852:QKD589861 QTZ589852:QTZ589861 RDV589852:RDV589861 RNR589852:RNR589861 RXN589852:RXN589861 SHJ589852:SHJ589861 SRF589852:SRF589861 TBB589852:TBB589861 TKX589852:TKX589861 TUT589852:TUT589861 UEP589852:UEP589861 UOL589852:UOL589861 UYH589852:UYH589861 VID589852:VID589861 VRZ589852:VRZ589861 WBV589852:WBV589861 WLR589852:WLR589861 WVN589852:WVN589861 F655388:F655397 JB655388:JB655397 SX655388:SX655397 ACT655388:ACT655397 AMP655388:AMP655397 AWL655388:AWL655397 BGH655388:BGH655397 BQD655388:BQD655397 BZZ655388:BZZ655397 CJV655388:CJV655397 CTR655388:CTR655397 DDN655388:DDN655397 DNJ655388:DNJ655397 DXF655388:DXF655397 EHB655388:EHB655397 EQX655388:EQX655397 FAT655388:FAT655397 FKP655388:FKP655397 FUL655388:FUL655397 GEH655388:GEH655397 GOD655388:GOD655397 GXZ655388:GXZ655397 HHV655388:HHV655397 HRR655388:HRR655397 IBN655388:IBN655397 ILJ655388:ILJ655397 IVF655388:IVF655397 JFB655388:JFB655397 JOX655388:JOX655397 JYT655388:JYT655397 KIP655388:KIP655397 KSL655388:KSL655397 LCH655388:LCH655397 LMD655388:LMD655397 LVZ655388:LVZ655397 MFV655388:MFV655397 MPR655388:MPR655397 MZN655388:MZN655397 NJJ655388:NJJ655397 NTF655388:NTF655397 ODB655388:ODB655397 OMX655388:OMX655397 OWT655388:OWT655397 PGP655388:PGP655397 PQL655388:PQL655397 QAH655388:QAH655397 QKD655388:QKD655397 QTZ655388:QTZ655397 RDV655388:RDV655397 RNR655388:RNR655397 RXN655388:RXN655397 SHJ655388:SHJ655397 SRF655388:SRF655397 TBB655388:TBB655397 TKX655388:TKX655397 TUT655388:TUT655397 UEP655388:UEP655397 UOL655388:UOL655397 UYH655388:UYH655397 VID655388:VID655397 VRZ655388:VRZ655397 WBV655388:WBV655397 WLR655388:WLR655397 WVN655388:WVN655397 F720924:F720933 JB720924:JB720933 SX720924:SX720933 ACT720924:ACT720933 AMP720924:AMP720933 AWL720924:AWL720933 BGH720924:BGH720933 BQD720924:BQD720933 BZZ720924:BZZ720933 CJV720924:CJV720933 CTR720924:CTR720933 DDN720924:DDN720933 DNJ720924:DNJ720933 DXF720924:DXF720933 EHB720924:EHB720933 EQX720924:EQX720933 FAT720924:FAT720933 FKP720924:FKP720933 FUL720924:FUL720933 GEH720924:GEH720933 GOD720924:GOD720933 GXZ720924:GXZ720933 HHV720924:HHV720933 HRR720924:HRR720933 IBN720924:IBN720933 ILJ720924:ILJ720933 IVF720924:IVF720933 JFB720924:JFB720933 JOX720924:JOX720933 JYT720924:JYT720933 KIP720924:KIP720933 KSL720924:KSL720933 LCH720924:LCH720933 LMD720924:LMD720933 LVZ720924:LVZ720933 MFV720924:MFV720933 MPR720924:MPR720933 MZN720924:MZN720933 NJJ720924:NJJ720933 NTF720924:NTF720933 ODB720924:ODB720933 OMX720924:OMX720933 OWT720924:OWT720933 PGP720924:PGP720933 PQL720924:PQL720933 QAH720924:QAH720933 QKD720924:QKD720933 QTZ720924:QTZ720933 RDV720924:RDV720933 RNR720924:RNR720933 RXN720924:RXN720933 SHJ720924:SHJ720933 SRF720924:SRF720933 TBB720924:TBB720933 TKX720924:TKX720933 TUT720924:TUT720933 UEP720924:UEP720933 UOL720924:UOL720933 UYH720924:UYH720933 VID720924:VID720933 VRZ720924:VRZ720933 WBV720924:WBV720933 WLR720924:WLR720933 WVN720924:WVN720933 F786460:F786469 JB786460:JB786469 SX786460:SX786469 ACT786460:ACT786469 AMP786460:AMP786469 AWL786460:AWL786469 BGH786460:BGH786469 BQD786460:BQD786469 BZZ786460:BZZ786469 CJV786460:CJV786469 CTR786460:CTR786469 DDN786460:DDN786469 DNJ786460:DNJ786469 DXF786460:DXF786469 EHB786460:EHB786469 EQX786460:EQX786469 FAT786460:FAT786469 FKP786460:FKP786469 FUL786460:FUL786469 GEH786460:GEH786469 GOD786460:GOD786469 GXZ786460:GXZ786469 HHV786460:HHV786469 HRR786460:HRR786469 IBN786460:IBN786469 ILJ786460:ILJ786469 IVF786460:IVF786469 JFB786460:JFB786469 JOX786460:JOX786469 JYT786460:JYT786469 KIP786460:KIP786469 KSL786460:KSL786469 LCH786460:LCH786469 LMD786460:LMD786469 LVZ786460:LVZ786469 MFV786460:MFV786469 MPR786460:MPR786469 MZN786460:MZN786469 NJJ786460:NJJ786469 NTF786460:NTF786469 ODB786460:ODB786469 OMX786460:OMX786469 OWT786460:OWT786469 PGP786460:PGP786469 PQL786460:PQL786469 QAH786460:QAH786469 QKD786460:QKD786469 QTZ786460:QTZ786469 RDV786460:RDV786469 RNR786460:RNR786469 RXN786460:RXN786469 SHJ786460:SHJ786469 SRF786460:SRF786469 TBB786460:TBB786469 TKX786460:TKX786469 TUT786460:TUT786469 UEP786460:UEP786469 UOL786460:UOL786469 UYH786460:UYH786469 VID786460:VID786469 VRZ786460:VRZ786469 WBV786460:WBV786469 WLR786460:WLR786469 WVN786460:WVN786469 F851996:F852005 JB851996:JB852005 SX851996:SX852005 ACT851996:ACT852005 AMP851996:AMP852005 AWL851996:AWL852005 BGH851996:BGH852005 BQD851996:BQD852005 BZZ851996:BZZ852005 CJV851996:CJV852005 CTR851996:CTR852005 DDN851996:DDN852005 DNJ851996:DNJ852005 DXF851996:DXF852005 EHB851996:EHB852005 EQX851996:EQX852005 FAT851996:FAT852005 FKP851996:FKP852005 FUL851996:FUL852005 GEH851996:GEH852005 GOD851996:GOD852005 GXZ851996:GXZ852005 HHV851996:HHV852005 HRR851996:HRR852005 IBN851996:IBN852005 ILJ851996:ILJ852005 IVF851996:IVF852005 JFB851996:JFB852005 JOX851996:JOX852005 JYT851996:JYT852005 KIP851996:KIP852005 KSL851996:KSL852005 LCH851996:LCH852005 LMD851996:LMD852005 LVZ851996:LVZ852005 MFV851996:MFV852005 MPR851996:MPR852005 MZN851996:MZN852005 NJJ851996:NJJ852005 NTF851996:NTF852005 ODB851996:ODB852005 OMX851996:OMX852005 OWT851996:OWT852005 PGP851996:PGP852005 PQL851996:PQL852005 QAH851996:QAH852005 QKD851996:QKD852005 QTZ851996:QTZ852005 RDV851996:RDV852005 RNR851996:RNR852005 RXN851996:RXN852005 SHJ851996:SHJ852005 SRF851996:SRF852005 TBB851996:TBB852005 TKX851996:TKX852005 TUT851996:TUT852005 UEP851996:UEP852005 UOL851996:UOL852005 UYH851996:UYH852005 VID851996:VID852005 VRZ851996:VRZ852005 WBV851996:WBV852005 WLR851996:WLR852005 WVN851996:WVN852005 F917532:F917541 JB917532:JB917541 SX917532:SX917541 ACT917532:ACT917541 AMP917532:AMP917541 AWL917532:AWL917541 BGH917532:BGH917541 BQD917532:BQD917541 BZZ917532:BZZ917541 CJV917532:CJV917541 CTR917532:CTR917541 DDN917532:DDN917541 DNJ917532:DNJ917541 DXF917532:DXF917541 EHB917532:EHB917541 EQX917532:EQX917541 FAT917532:FAT917541 FKP917532:FKP917541 FUL917532:FUL917541 GEH917532:GEH917541 GOD917532:GOD917541 GXZ917532:GXZ917541 HHV917532:HHV917541 HRR917532:HRR917541 IBN917532:IBN917541 ILJ917532:ILJ917541 IVF917532:IVF917541 JFB917532:JFB917541 JOX917532:JOX917541 JYT917532:JYT917541 KIP917532:KIP917541 KSL917532:KSL917541 LCH917532:LCH917541 LMD917532:LMD917541 LVZ917532:LVZ917541 MFV917532:MFV917541 MPR917532:MPR917541 MZN917532:MZN917541 NJJ917532:NJJ917541 NTF917532:NTF917541 ODB917532:ODB917541 OMX917532:OMX917541 OWT917532:OWT917541 PGP917532:PGP917541 PQL917532:PQL917541 QAH917532:QAH917541 QKD917532:QKD917541 QTZ917532:QTZ917541 RDV917532:RDV917541 RNR917532:RNR917541 RXN917532:RXN917541 SHJ917532:SHJ917541 SRF917532:SRF917541 TBB917532:TBB917541 TKX917532:TKX917541 TUT917532:TUT917541 UEP917532:UEP917541 UOL917532:UOL917541 UYH917532:UYH917541 VID917532:VID917541 VRZ917532:VRZ917541 WBV917532:WBV917541 WLR917532:WLR917541 WVN917532:WVN917541 F983068:F983077 JB983068:JB983077 SX983068:SX983077 ACT983068:ACT983077 AMP983068:AMP983077 AWL983068:AWL983077 BGH983068:BGH983077 BQD983068:BQD983077 BZZ983068:BZZ983077 CJV983068:CJV983077 CTR983068:CTR983077 DDN983068:DDN983077 DNJ983068:DNJ983077 DXF983068:DXF983077 EHB983068:EHB983077 EQX983068:EQX983077 FAT983068:FAT983077 FKP983068:FKP983077 FUL983068:FUL983077 GEH983068:GEH983077 GOD983068:GOD983077 GXZ983068:GXZ983077 HHV983068:HHV983077 HRR983068:HRR983077 IBN983068:IBN983077 ILJ983068:ILJ983077 IVF983068:IVF983077 JFB983068:JFB983077 JOX983068:JOX983077 JYT983068:JYT983077 KIP983068:KIP983077 KSL983068:KSL983077 LCH983068:LCH983077 LMD983068:LMD983077 LVZ983068:LVZ983077 MFV983068:MFV983077 MPR983068:MPR983077 MZN983068:MZN983077 NJJ983068:NJJ983077 NTF983068:NTF983077 ODB983068:ODB983077 OMX983068:OMX983077 OWT983068:OWT983077 PGP983068:PGP983077 PQL983068:PQL983077 QAH983068:QAH983077 QKD983068:QKD983077 QTZ983068:QTZ983077 RDV983068:RDV983077 RNR983068:RNR983077 RXN983068:RXN983077 SHJ983068:SHJ983077 SRF983068:SRF983077 TBB983068:TBB983077 TKX983068:TKX983077 TUT983068:TUT983077 UEP983068:UEP983077 UOL983068:UOL983077 UYH983068:UYH983077 VID983068:VID983077 VRZ983068:VRZ983077 WBV983068:WBV983077 WLR983068:WLR983077 WVN983068:WVN983077 C10:C20 IY10:IY20 SU10:SU20 ACQ10:ACQ20 AMM10:AMM20 AWI10:AWI20 BGE10:BGE20 BQA10:BQA20 BZW10:BZW20 CJS10:CJS20 CTO10:CTO20 DDK10:DDK20 DNG10:DNG20 DXC10:DXC20 EGY10:EGY20 EQU10:EQU20 FAQ10:FAQ20 FKM10:FKM20 FUI10:FUI20 GEE10:GEE20 GOA10:GOA20 GXW10:GXW20 HHS10:HHS20 HRO10:HRO20 IBK10:IBK20 ILG10:ILG20 IVC10:IVC20 JEY10:JEY20 JOU10:JOU20 JYQ10:JYQ20 KIM10:KIM20 KSI10:KSI20 LCE10:LCE20 LMA10:LMA20 LVW10:LVW20 MFS10:MFS20 MPO10:MPO20 MZK10:MZK20 NJG10:NJG20 NTC10:NTC20 OCY10:OCY20 OMU10:OMU20 OWQ10:OWQ20 PGM10:PGM20 PQI10:PQI20 QAE10:QAE20 QKA10:QKA20 QTW10:QTW20 RDS10:RDS20 RNO10:RNO20 RXK10:RXK20 SHG10:SHG20 SRC10:SRC20 TAY10:TAY20 TKU10:TKU20 TUQ10:TUQ20 UEM10:UEM20 UOI10:UOI20 UYE10:UYE20 VIA10:VIA20 VRW10:VRW20 WBS10:WBS20 WLO10:WLO20 WVK10:WVK20 C65550:C65560 IY65550:IY65560 SU65550:SU65560 ACQ65550:ACQ65560 AMM65550:AMM65560 AWI65550:AWI65560 BGE65550:BGE65560 BQA65550:BQA65560 BZW65550:BZW65560 CJS65550:CJS65560 CTO65550:CTO65560 DDK65550:DDK65560 DNG65550:DNG65560 DXC65550:DXC65560 EGY65550:EGY65560 EQU65550:EQU65560 FAQ65550:FAQ65560 FKM65550:FKM65560 FUI65550:FUI65560 GEE65550:GEE65560 GOA65550:GOA65560 GXW65550:GXW65560 HHS65550:HHS65560 HRO65550:HRO65560 IBK65550:IBK65560 ILG65550:ILG65560 IVC65550:IVC65560 JEY65550:JEY65560 JOU65550:JOU65560 JYQ65550:JYQ65560 KIM65550:KIM65560 KSI65550:KSI65560 LCE65550:LCE65560 LMA65550:LMA65560 LVW65550:LVW65560 MFS65550:MFS65560 MPO65550:MPO65560 MZK65550:MZK65560 NJG65550:NJG65560 NTC65550:NTC65560 OCY65550:OCY65560 OMU65550:OMU65560 OWQ65550:OWQ65560 PGM65550:PGM65560 PQI65550:PQI65560 QAE65550:QAE65560 QKA65550:QKA65560 QTW65550:QTW65560 RDS65550:RDS65560 RNO65550:RNO65560 RXK65550:RXK65560 SHG65550:SHG65560 SRC65550:SRC65560 TAY65550:TAY65560 TKU65550:TKU65560 TUQ65550:TUQ65560 UEM65550:UEM65560 UOI65550:UOI65560 UYE65550:UYE65560 VIA65550:VIA65560 VRW65550:VRW65560 WBS65550:WBS65560 WLO65550:WLO65560 WVK65550:WVK65560 C131086:C131096 IY131086:IY131096 SU131086:SU131096 ACQ131086:ACQ131096 AMM131086:AMM131096 AWI131086:AWI131096 BGE131086:BGE131096 BQA131086:BQA131096 BZW131086:BZW131096 CJS131086:CJS131096 CTO131086:CTO131096 DDK131086:DDK131096 DNG131086:DNG131096 DXC131086:DXC131096 EGY131086:EGY131096 EQU131086:EQU131096 FAQ131086:FAQ131096 FKM131086:FKM131096 FUI131086:FUI131096 GEE131086:GEE131096 GOA131086:GOA131096 GXW131086:GXW131096 HHS131086:HHS131096 HRO131086:HRO131096 IBK131086:IBK131096 ILG131086:ILG131096 IVC131086:IVC131096 JEY131086:JEY131096 JOU131086:JOU131096 JYQ131086:JYQ131096 KIM131086:KIM131096 KSI131086:KSI131096 LCE131086:LCE131096 LMA131086:LMA131096 LVW131086:LVW131096 MFS131086:MFS131096 MPO131086:MPO131096 MZK131086:MZK131096 NJG131086:NJG131096 NTC131086:NTC131096 OCY131086:OCY131096 OMU131086:OMU131096 OWQ131086:OWQ131096 PGM131086:PGM131096 PQI131086:PQI131096 QAE131086:QAE131096 QKA131086:QKA131096 QTW131086:QTW131096 RDS131086:RDS131096 RNO131086:RNO131096 RXK131086:RXK131096 SHG131086:SHG131096 SRC131086:SRC131096 TAY131086:TAY131096 TKU131086:TKU131096 TUQ131086:TUQ131096 UEM131086:UEM131096 UOI131086:UOI131096 UYE131086:UYE131096 VIA131086:VIA131096 VRW131086:VRW131096 WBS131086:WBS131096 WLO131086:WLO131096 WVK131086:WVK131096 C196622:C196632 IY196622:IY196632 SU196622:SU196632 ACQ196622:ACQ196632 AMM196622:AMM196632 AWI196622:AWI196632 BGE196622:BGE196632 BQA196622:BQA196632 BZW196622:BZW196632 CJS196622:CJS196632 CTO196622:CTO196632 DDK196622:DDK196632 DNG196622:DNG196632 DXC196622:DXC196632 EGY196622:EGY196632 EQU196622:EQU196632 FAQ196622:FAQ196632 FKM196622:FKM196632 FUI196622:FUI196632 GEE196622:GEE196632 GOA196622:GOA196632 GXW196622:GXW196632 HHS196622:HHS196632 HRO196622:HRO196632 IBK196622:IBK196632 ILG196622:ILG196632 IVC196622:IVC196632 JEY196622:JEY196632 JOU196622:JOU196632 JYQ196622:JYQ196632 KIM196622:KIM196632 KSI196622:KSI196632 LCE196622:LCE196632 LMA196622:LMA196632 LVW196622:LVW196632 MFS196622:MFS196632 MPO196622:MPO196632 MZK196622:MZK196632 NJG196622:NJG196632 NTC196622:NTC196632 OCY196622:OCY196632 OMU196622:OMU196632 OWQ196622:OWQ196632 PGM196622:PGM196632 PQI196622:PQI196632 QAE196622:QAE196632 QKA196622:QKA196632 QTW196622:QTW196632 RDS196622:RDS196632 RNO196622:RNO196632 RXK196622:RXK196632 SHG196622:SHG196632 SRC196622:SRC196632 TAY196622:TAY196632 TKU196622:TKU196632 TUQ196622:TUQ196632 UEM196622:UEM196632 UOI196622:UOI196632 UYE196622:UYE196632 VIA196622:VIA196632 VRW196622:VRW196632 WBS196622:WBS196632 WLO196622:WLO196632 WVK196622:WVK196632 C262158:C262168 IY262158:IY262168 SU262158:SU262168 ACQ262158:ACQ262168 AMM262158:AMM262168 AWI262158:AWI262168 BGE262158:BGE262168 BQA262158:BQA262168 BZW262158:BZW262168 CJS262158:CJS262168 CTO262158:CTO262168 DDK262158:DDK262168 DNG262158:DNG262168 DXC262158:DXC262168 EGY262158:EGY262168 EQU262158:EQU262168 FAQ262158:FAQ262168 FKM262158:FKM262168 FUI262158:FUI262168 GEE262158:GEE262168 GOA262158:GOA262168 GXW262158:GXW262168 HHS262158:HHS262168 HRO262158:HRO262168 IBK262158:IBK262168 ILG262158:ILG262168 IVC262158:IVC262168 JEY262158:JEY262168 JOU262158:JOU262168 JYQ262158:JYQ262168 KIM262158:KIM262168 KSI262158:KSI262168 LCE262158:LCE262168 LMA262158:LMA262168 LVW262158:LVW262168 MFS262158:MFS262168 MPO262158:MPO262168 MZK262158:MZK262168 NJG262158:NJG262168 NTC262158:NTC262168 OCY262158:OCY262168 OMU262158:OMU262168 OWQ262158:OWQ262168 PGM262158:PGM262168 PQI262158:PQI262168 QAE262158:QAE262168 QKA262158:QKA262168 QTW262158:QTW262168 RDS262158:RDS262168 RNO262158:RNO262168 RXK262158:RXK262168 SHG262158:SHG262168 SRC262158:SRC262168 TAY262158:TAY262168 TKU262158:TKU262168 TUQ262158:TUQ262168 UEM262158:UEM262168 UOI262158:UOI262168 UYE262158:UYE262168 VIA262158:VIA262168 VRW262158:VRW262168 WBS262158:WBS262168 WLO262158:WLO262168 WVK262158:WVK262168 C327694:C327704 IY327694:IY327704 SU327694:SU327704 ACQ327694:ACQ327704 AMM327694:AMM327704 AWI327694:AWI327704 BGE327694:BGE327704 BQA327694:BQA327704 BZW327694:BZW327704 CJS327694:CJS327704 CTO327694:CTO327704 DDK327694:DDK327704 DNG327694:DNG327704 DXC327694:DXC327704 EGY327694:EGY327704 EQU327694:EQU327704 FAQ327694:FAQ327704 FKM327694:FKM327704 FUI327694:FUI327704 GEE327694:GEE327704 GOA327694:GOA327704 GXW327694:GXW327704 HHS327694:HHS327704 HRO327694:HRO327704 IBK327694:IBK327704 ILG327694:ILG327704 IVC327694:IVC327704 JEY327694:JEY327704 JOU327694:JOU327704 JYQ327694:JYQ327704 KIM327694:KIM327704 KSI327694:KSI327704 LCE327694:LCE327704 LMA327694:LMA327704 LVW327694:LVW327704 MFS327694:MFS327704 MPO327694:MPO327704 MZK327694:MZK327704 NJG327694:NJG327704 NTC327694:NTC327704 OCY327694:OCY327704 OMU327694:OMU327704 OWQ327694:OWQ327704 PGM327694:PGM327704 PQI327694:PQI327704 QAE327694:QAE327704 QKA327694:QKA327704 QTW327694:QTW327704 RDS327694:RDS327704 RNO327694:RNO327704 RXK327694:RXK327704 SHG327694:SHG327704 SRC327694:SRC327704 TAY327694:TAY327704 TKU327694:TKU327704 TUQ327694:TUQ327704 UEM327694:UEM327704 UOI327694:UOI327704 UYE327694:UYE327704 VIA327694:VIA327704 VRW327694:VRW327704 WBS327694:WBS327704 WLO327694:WLO327704 WVK327694:WVK327704 C393230:C393240 IY393230:IY393240 SU393230:SU393240 ACQ393230:ACQ393240 AMM393230:AMM393240 AWI393230:AWI393240 BGE393230:BGE393240 BQA393230:BQA393240 BZW393230:BZW393240 CJS393230:CJS393240 CTO393230:CTO393240 DDK393230:DDK393240 DNG393230:DNG393240 DXC393230:DXC393240 EGY393230:EGY393240 EQU393230:EQU393240 FAQ393230:FAQ393240 FKM393230:FKM393240 FUI393230:FUI393240 GEE393230:GEE393240 GOA393230:GOA393240 GXW393230:GXW393240 HHS393230:HHS393240 HRO393230:HRO393240 IBK393230:IBK393240 ILG393230:ILG393240 IVC393230:IVC393240 JEY393230:JEY393240 JOU393230:JOU393240 JYQ393230:JYQ393240 KIM393230:KIM393240 KSI393230:KSI393240 LCE393230:LCE393240 LMA393230:LMA393240 LVW393230:LVW393240 MFS393230:MFS393240 MPO393230:MPO393240 MZK393230:MZK393240 NJG393230:NJG393240 NTC393230:NTC393240 OCY393230:OCY393240 OMU393230:OMU393240 OWQ393230:OWQ393240 PGM393230:PGM393240 PQI393230:PQI393240 QAE393230:QAE393240 QKA393230:QKA393240 QTW393230:QTW393240 RDS393230:RDS393240 RNO393230:RNO393240 RXK393230:RXK393240 SHG393230:SHG393240 SRC393230:SRC393240 TAY393230:TAY393240 TKU393230:TKU393240 TUQ393230:TUQ393240 UEM393230:UEM393240 UOI393230:UOI393240 UYE393230:UYE393240 VIA393230:VIA393240 VRW393230:VRW393240 WBS393230:WBS393240 WLO393230:WLO393240 WVK393230:WVK393240 C458766:C458776 IY458766:IY458776 SU458766:SU458776 ACQ458766:ACQ458776 AMM458766:AMM458776 AWI458766:AWI458776 BGE458766:BGE458776 BQA458766:BQA458776 BZW458766:BZW458776 CJS458766:CJS458776 CTO458766:CTO458776 DDK458766:DDK458776 DNG458766:DNG458776 DXC458766:DXC458776 EGY458766:EGY458776 EQU458766:EQU458776 FAQ458766:FAQ458776 FKM458766:FKM458776 FUI458766:FUI458776 GEE458766:GEE458776 GOA458766:GOA458776 GXW458766:GXW458776 HHS458766:HHS458776 HRO458766:HRO458776 IBK458766:IBK458776 ILG458766:ILG458776 IVC458766:IVC458776 JEY458766:JEY458776 JOU458766:JOU458776 JYQ458766:JYQ458776 KIM458766:KIM458776 KSI458766:KSI458776 LCE458766:LCE458776 LMA458766:LMA458776 LVW458766:LVW458776 MFS458766:MFS458776 MPO458766:MPO458776 MZK458766:MZK458776 NJG458766:NJG458776 NTC458766:NTC458776 OCY458766:OCY458776 OMU458766:OMU458776 OWQ458766:OWQ458776 PGM458766:PGM458776 PQI458766:PQI458776 QAE458766:QAE458776 QKA458766:QKA458776 QTW458766:QTW458776 RDS458766:RDS458776 RNO458766:RNO458776 RXK458766:RXK458776 SHG458766:SHG458776 SRC458766:SRC458776 TAY458766:TAY458776 TKU458766:TKU458776 TUQ458766:TUQ458776 UEM458766:UEM458776 UOI458766:UOI458776 UYE458766:UYE458776 VIA458766:VIA458776 VRW458766:VRW458776 WBS458766:WBS458776 WLO458766:WLO458776 WVK458766:WVK458776 C524302:C524312 IY524302:IY524312 SU524302:SU524312 ACQ524302:ACQ524312 AMM524302:AMM524312 AWI524302:AWI524312 BGE524302:BGE524312 BQA524302:BQA524312 BZW524302:BZW524312 CJS524302:CJS524312 CTO524302:CTO524312 DDK524302:DDK524312 DNG524302:DNG524312 DXC524302:DXC524312 EGY524302:EGY524312 EQU524302:EQU524312 FAQ524302:FAQ524312 FKM524302:FKM524312 FUI524302:FUI524312 GEE524302:GEE524312 GOA524302:GOA524312 GXW524302:GXW524312 HHS524302:HHS524312 HRO524302:HRO524312 IBK524302:IBK524312 ILG524302:ILG524312 IVC524302:IVC524312 JEY524302:JEY524312 JOU524302:JOU524312 JYQ524302:JYQ524312 KIM524302:KIM524312 KSI524302:KSI524312 LCE524302:LCE524312 LMA524302:LMA524312 LVW524302:LVW524312 MFS524302:MFS524312 MPO524302:MPO524312 MZK524302:MZK524312 NJG524302:NJG524312 NTC524302:NTC524312 OCY524302:OCY524312 OMU524302:OMU524312 OWQ524302:OWQ524312 PGM524302:PGM524312 PQI524302:PQI524312 QAE524302:QAE524312 QKA524302:QKA524312 QTW524302:QTW524312 RDS524302:RDS524312 RNO524302:RNO524312 RXK524302:RXK524312 SHG524302:SHG524312 SRC524302:SRC524312 TAY524302:TAY524312 TKU524302:TKU524312 TUQ524302:TUQ524312 UEM524302:UEM524312 UOI524302:UOI524312 UYE524302:UYE524312 VIA524302:VIA524312 VRW524302:VRW524312 WBS524302:WBS524312 WLO524302:WLO524312 WVK524302:WVK524312 C589838:C589848 IY589838:IY589848 SU589838:SU589848 ACQ589838:ACQ589848 AMM589838:AMM589848 AWI589838:AWI589848 BGE589838:BGE589848 BQA589838:BQA589848 BZW589838:BZW589848 CJS589838:CJS589848 CTO589838:CTO589848 DDK589838:DDK589848 DNG589838:DNG589848 DXC589838:DXC589848 EGY589838:EGY589848 EQU589838:EQU589848 FAQ589838:FAQ589848 FKM589838:FKM589848 FUI589838:FUI589848 GEE589838:GEE589848 GOA589838:GOA589848 GXW589838:GXW589848 HHS589838:HHS589848 HRO589838:HRO589848 IBK589838:IBK589848 ILG589838:ILG589848 IVC589838:IVC589848 JEY589838:JEY589848 JOU589838:JOU589848 JYQ589838:JYQ589848 KIM589838:KIM589848 KSI589838:KSI589848 LCE589838:LCE589848 LMA589838:LMA589848 LVW589838:LVW589848 MFS589838:MFS589848 MPO589838:MPO589848 MZK589838:MZK589848 NJG589838:NJG589848 NTC589838:NTC589848 OCY589838:OCY589848 OMU589838:OMU589848 OWQ589838:OWQ589848 PGM589838:PGM589848 PQI589838:PQI589848 QAE589838:QAE589848 QKA589838:QKA589848 QTW589838:QTW589848 RDS589838:RDS589848 RNO589838:RNO589848 RXK589838:RXK589848 SHG589838:SHG589848 SRC589838:SRC589848 TAY589838:TAY589848 TKU589838:TKU589848 TUQ589838:TUQ589848 UEM589838:UEM589848 UOI589838:UOI589848 UYE589838:UYE589848 VIA589838:VIA589848 VRW589838:VRW589848 WBS589838:WBS589848 WLO589838:WLO589848 WVK589838:WVK589848 C655374:C655384 IY655374:IY655384 SU655374:SU655384 ACQ655374:ACQ655384 AMM655374:AMM655384 AWI655374:AWI655384 BGE655374:BGE655384 BQA655374:BQA655384 BZW655374:BZW655384 CJS655374:CJS655384 CTO655374:CTO655384 DDK655374:DDK655384 DNG655374:DNG655384 DXC655374:DXC655384 EGY655374:EGY655384 EQU655374:EQU655384 FAQ655374:FAQ655384 FKM655374:FKM655384 FUI655374:FUI655384 GEE655374:GEE655384 GOA655374:GOA655384 GXW655374:GXW655384 HHS655374:HHS655384 HRO655374:HRO655384 IBK655374:IBK655384 ILG655374:ILG655384 IVC655374:IVC655384 JEY655374:JEY655384 JOU655374:JOU655384 JYQ655374:JYQ655384 KIM655374:KIM655384 KSI655374:KSI655384 LCE655374:LCE655384 LMA655374:LMA655384 LVW655374:LVW655384 MFS655374:MFS655384 MPO655374:MPO655384 MZK655374:MZK655384 NJG655374:NJG655384 NTC655374:NTC655384 OCY655374:OCY655384 OMU655374:OMU655384 OWQ655374:OWQ655384 PGM655374:PGM655384 PQI655374:PQI655384 QAE655374:QAE655384 QKA655374:QKA655384 QTW655374:QTW655384 RDS655374:RDS655384 RNO655374:RNO655384 RXK655374:RXK655384 SHG655374:SHG655384 SRC655374:SRC655384 TAY655374:TAY655384 TKU655374:TKU655384 TUQ655374:TUQ655384 UEM655374:UEM655384 UOI655374:UOI655384 UYE655374:UYE655384 VIA655374:VIA655384 VRW655374:VRW655384 WBS655374:WBS655384 WLO655374:WLO655384 WVK655374:WVK655384 C720910:C720920 IY720910:IY720920 SU720910:SU720920 ACQ720910:ACQ720920 AMM720910:AMM720920 AWI720910:AWI720920 BGE720910:BGE720920 BQA720910:BQA720920 BZW720910:BZW720920 CJS720910:CJS720920 CTO720910:CTO720920 DDK720910:DDK720920 DNG720910:DNG720920 DXC720910:DXC720920 EGY720910:EGY720920 EQU720910:EQU720920 FAQ720910:FAQ720920 FKM720910:FKM720920 FUI720910:FUI720920 GEE720910:GEE720920 GOA720910:GOA720920 GXW720910:GXW720920 HHS720910:HHS720920 HRO720910:HRO720920 IBK720910:IBK720920 ILG720910:ILG720920 IVC720910:IVC720920 JEY720910:JEY720920 JOU720910:JOU720920 JYQ720910:JYQ720920 KIM720910:KIM720920 KSI720910:KSI720920 LCE720910:LCE720920 LMA720910:LMA720920 LVW720910:LVW720920 MFS720910:MFS720920 MPO720910:MPO720920 MZK720910:MZK720920 NJG720910:NJG720920 NTC720910:NTC720920 OCY720910:OCY720920 OMU720910:OMU720920 OWQ720910:OWQ720920 PGM720910:PGM720920 PQI720910:PQI720920 QAE720910:QAE720920 QKA720910:QKA720920 QTW720910:QTW720920 RDS720910:RDS720920 RNO720910:RNO720920 RXK720910:RXK720920 SHG720910:SHG720920 SRC720910:SRC720920 TAY720910:TAY720920 TKU720910:TKU720920 TUQ720910:TUQ720920 UEM720910:UEM720920 UOI720910:UOI720920 UYE720910:UYE720920 VIA720910:VIA720920 VRW720910:VRW720920 WBS720910:WBS720920 WLO720910:WLO720920 WVK720910:WVK720920 C786446:C786456 IY786446:IY786456 SU786446:SU786456 ACQ786446:ACQ786456 AMM786446:AMM786456 AWI786446:AWI786456 BGE786446:BGE786456 BQA786446:BQA786456 BZW786446:BZW786456 CJS786446:CJS786456 CTO786446:CTO786456 DDK786446:DDK786456 DNG786446:DNG786456 DXC786446:DXC786456 EGY786446:EGY786456 EQU786446:EQU786456 FAQ786446:FAQ786456 FKM786446:FKM786456 FUI786446:FUI786456 GEE786446:GEE786456 GOA786446:GOA786456 GXW786446:GXW786456 HHS786446:HHS786456 HRO786446:HRO786456 IBK786446:IBK786456 ILG786446:ILG786456 IVC786446:IVC786456 JEY786446:JEY786456 JOU786446:JOU786456 JYQ786446:JYQ786456 KIM786446:KIM786456 KSI786446:KSI786456 LCE786446:LCE786456 LMA786446:LMA786456 LVW786446:LVW786456 MFS786446:MFS786456 MPO786446:MPO786456 MZK786446:MZK786456 NJG786446:NJG786456 NTC786446:NTC786456 OCY786446:OCY786456 OMU786446:OMU786456 OWQ786446:OWQ786456 PGM786446:PGM786456 PQI786446:PQI786456 QAE786446:QAE786456 QKA786446:QKA786456 QTW786446:QTW786456 RDS786446:RDS786456 RNO786446:RNO786456 RXK786446:RXK786456 SHG786446:SHG786456 SRC786446:SRC786456 TAY786446:TAY786456 TKU786446:TKU786456 TUQ786446:TUQ786456 UEM786446:UEM786456 UOI786446:UOI786456 UYE786446:UYE786456 VIA786446:VIA786456 VRW786446:VRW786456 WBS786446:WBS786456 WLO786446:WLO786456 WVK786446:WVK786456 C851982:C851992 IY851982:IY851992 SU851982:SU851992 ACQ851982:ACQ851992 AMM851982:AMM851992 AWI851982:AWI851992 BGE851982:BGE851992 BQA851982:BQA851992 BZW851982:BZW851992 CJS851982:CJS851992 CTO851982:CTO851992 DDK851982:DDK851992 DNG851982:DNG851992 DXC851982:DXC851992 EGY851982:EGY851992 EQU851982:EQU851992 FAQ851982:FAQ851992 FKM851982:FKM851992 FUI851982:FUI851992 GEE851982:GEE851992 GOA851982:GOA851992 GXW851982:GXW851992 HHS851982:HHS851992 HRO851982:HRO851992 IBK851982:IBK851992 ILG851982:ILG851992 IVC851982:IVC851992 JEY851982:JEY851992 JOU851982:JOU851992 JYQ851982:JYQ851992 KIM851982:KIM851992 KSI851982:KSI851992 LCE851982:LCE851992 LMA851982:LMA851992 LVW851982:LVW851992 MFS851982:MFS851992 MPO851982:MPO851992 MZK851982:MZK851992 NJG851982:NJG851992 NTC851982:NTC851992 OCY851982:OCY851992 OMU851982:OMU851992 OWQ851982:OWQ851992 PGM851982:PGM851992 PQI851982:PQI851992 QAE851982:QAE851992 QKA851982:QKA851992 QTW851982:QTW851992 RDS851982:RDS851992 RNO851982:RNO851992 RXK851982:RXK851992 SHG851982:SHG851992 SRC851982:SRC851992 TAY851982:TAY851992 TKU851982:TKU851992 TUQ851982:TUQ851992 UEM851982:UEM851992 UOI851982:UOI851992 UYE851982:UYE851992 VIA851982:VIA851992 VRW851982:VRW851992 WBS851982:WBS851992 WLO851982:WLO851992 WVK851982:WVK851992 C917518:C917528 IY917518:IY917528 SU917518:SU917528 ACQ917518:ACQ917528 AMM917518:AMM917528 AWI917518:AWI917528 BGE917518:BGE917528 BQA917518:BQA917528 BZW917518:BZW917528 CJS917518:CJS917528 CTO917518:CTO917528 DDK917518:DDK917528 DNG917518:DNG917528 DXC917518:DXC917528 EGY917518:EGY917528 EQU917518:EQU917528 FAQ917518:FAQ917528 FKM917518:FKM917528 FUI917518:FUI917528 GEE917518:GEE917528 GOA917518:GOA917528 GXW917518:GXW917528 HHS917518:HHS917528 HRO917518:HRO917528 IBK917518:IBK917528 ILG917518:ILG917528 IVC917518:IVC917528 JEY917518:JEY917528 JOU917518:JOU917528 JYQ917518:JYQ917528 KIM917518:KIM917528 KSI917518:KSI917528 LCE917518:LCE917528 LMA917518:LMA917528 LVW917518:LVW917528 MFS917518:MFS917528 MPO917518:MPO917528 MZK917518:MZK917528 NJG917518:NJG917528 NTC917518:NTC917528 OCY917518:OCY917528 OMU917518:OMU917528 OWQ917518:OWQ917528 PGM917518:PGM917528 PQI917518:PQI917528 QAE917518:QAE917528 QKA917518:QKA917528 QTW917518:QTW917528 RDS917518:RDS917528 RNO917518:RNO917528 RXK917518:RXK917528 SHG917518:SHG917528 SRC917518:SRC917528 TAY917518:TAY917528 TKU917518:TKU917528 TUQ917518:TUQ917528 UEM917518:UEM917528 UOI917518:UOI917528 UYE917518:UYE917528 VIA917518:VIA917528 VRW917518:VRW917528 WBS917518:WBS917528 WLO917518:WLO917528 WVK917518:WVK917528 C983054:C983064 IY983054:IY983064 SU983054:SU983064 ACQ983054:ACQ983064 AMM983054:AMM983064 AWI983054:AWI983064 BGE983054:BGE983064 BQA983054:BQA983064 BZW983054:BZW983064 CJS983054:CJS983064 CTO983054:CTO983064 DDK983054:DDK983064 DNG983054:DNG983064 DXC983054:DXC983064 EGY983054:EGY983064 EQU983054:EQU983064 FAQ983054:FAQ983064 FKM983054:FKM983064 FUI983054:FUI983064 GEE983054:GEE983064 GOA983054:GOA983064 GXW983054:GXW983064 HHS983054:HHS983064 HRO983054:HRO983064 IBK983054:IBK983064 ILG983054:ILG983064 IVC983054:IVC983064 JEY983054:JEY983064 JOU983054:JOU983064 JYQ983054:JYQ983064 KIM983054:KIM983064 KSI983054:KSI983064 LCE983054:LCE983064 LMA983054:LMA983064 LVW983054:LVW983064 MFS983054:MFS983064 MPO983054:MPO983064 MZK983054:MZK983064 NJG983054:NJG983064 NTC983054:NTC983064 OCY983054:OCY983064 OMU983054:OMU983064 OWQ983054:OWQ983064 PGM983054:PGM983064 PQI983054:PQI983064 QAE983054:QAE983064 QKA983054:QKA983064 QTW983054:QTW983064 RDS983054:RDS983064 RNO983054:RNO983064 RXK983054:RXK983064 SHG983054:SHG983064 SRC983054:SRC983064 TAY983054:TAY983064 TKU983054:TKU983064 TUQ983054:TUQ983064 UEM983054:UEM983064 UOI983054:UOI983064 UYE983054:UYE983064 VIA983054:VIA983064 VRW983054:VRW983064 WBS983054:WBS983064 WLO983054:WLO983064 WVK983054:WVK983064 C41:C50 IY41:IY50 SU41:SU50 ACQ41:ACQ50 AMM41:AMM50 AWI41:AWI50 BGE41:BGE50 BQA41:BQA50 BZW41:BZW50 CJS41:CJS50 CTO41:CTO50 DDK41:DDK50 DNG41:DNG50 DXC41:DXC50 EGY41:EGY50 EQU41:EQU50 FAQ41:FAQ50 FKM41:FKM50 FUI41:FUI50 GEE41:GEE50 GOA41:GOA50 GXW41:GXW50 HHS41:HHS50 HRO41:HRO50 IBK41:IBK50 ILG41:ILG50 IVC41:IVC50 JEY41:JEY50 JOU41:JOU50 JYQ41:JYQ50 KIM41:KIM50 KSI41:KSI50 LCE41:LCE50 LMA41:LMA50 LVW41:LVW50 MFS41:MFS50 MPO41:MPO50 MZK41:MZK50 NJG41:NJG50 NTC41:NTC50 OCY41:OCY50 OMU41:OMU50 OWQ41:OWQ50 PGM41:PGM50 PQI41:PQI50 QAE41:QAE50 QKA41:QKA50 QTW41:QTW50 RDS41:RDS50 RNO41:RNO50 RXK41:RXK50 SHG41:SHG50 SRC41:SRC50 TAY41:TAY50 TKU41:TKU50 TUQ41:TUQ50 UEM41:UEM50 UOI41:UOI50 UYE41:UYE50 VIA41:VIA50 VRW41:VRW50 WBS41:WBS50 WLO41:WLO50 WVK41:WVK50 C65577:C65586 IY65577:IY65586 SU65577:SU65586 ACQ65577:ACQ65586 AMM65577:AMM65586 AWI65577:AWI65586 BGE65577:BGE65586 BQA65577:BQA65586 BZW65577:BZW65586 CJS65577:CJS65586 CTO65577:CTO65586 DDK65577:DDK65586 DNG65577:DNG65586 DXC65577:DXC65586 EGY65577:EGY65586 EQU65577:EQU65586 FAQ65577:FAQ65586 FKM65577:FKM65586 FUI65577:FUI65586 GEE65577:GEE65586 GOA65577:GOA65586 GXW65577:GXW65586 HHS65577:HHS65586 HRO65577:HRO65586 IBK65577:IBK65586 ILG65577:ILG65586 IVC65577:IVC65586 JEY65577:JEY65586 JOU65577:JOU65586 JYQ65577:JYQ65586 KIM65577:KIM65586 KSI65577:KSI65586 LCE65577:LCE65586 LMA65577:LMA65586 LVW65577:LVW65586 MFS65577:MFS65586 MPO65577:MPO65586 MZK65577:MZK65586 NJG65577:NJG65586 NTC65577:NTC65586 OCY65577:OCY65586 OMU65577:OMU65586 OWQ65577:OWQ65586 PGM65577:PGM65586 PQI65577:PQI65586 QAE65577:QAE65586 QKA65577:QKA65586 QTW65577:QTW65586 RDS65577:RDS65586 RNO65577:RNO65586 RXK65577:RXK65586 SHG65577:SHG65586 SRC65577:SRC65586 TAY65577:TAY65586 TKU65577:TKU65586 TUQ65577:TUQ65586 UEM65577:UEM65586 UOI65577:UOI65586 UYE65577:UYE65586 VIA65577:VIA65586 VRW65577:VRW65586 WBS65577:WBS65586 WLO65577:WLO65586 WVK65577:WVK65586 C131113:C131122 IY131113:IY131122 SU131113:SU131122 ACQ131113:ACQ131122 AMM131113:AMM131122 AWI131113:AWI131122 BGE131113:BGE131122 BQA131113:BQA131122 BZW131113:BZW131122 CJS131113:CJS131122 CTO131113:CTO131122 DDK131113:DDK131122 DNG131113:DNG131122 DXC131113:DXC131122 EGY131113:EGY131122 EQU131113:EQU131122 FAQ131113:FAQ131122 FKM131113:FKM131122 FUI131113:FUI131122 GEE131113:GEE131122 GOA131113:GOA131122 GXW131113:GXW131122 HHS131113:HHS131122 HRO131113:HRO131122 IBK131113:IBK131122 ILG131113:ILG131122 IVC131113:IVC131122 JEY131113:JEY131122 JOU131113:JOU131122 JYQ131113:JYQ131122 KIM131113:KIM131122 KSI131113:KSI131122 LCE131113:LCE131122 LMA131113:LMA131122 LVW131113:LVW131122 MFS131113:MFS131122 MPO131113:MPO131122 MZK131113:MZK131122 NJG131113:NJG131122 NTC131113:NTC131122 OCY131113:OCY131122 OMU131113:OMU131122 OWQ131113:OWQ131122 PGM131113:PGM131122 PQI131113:PQI131122 QAE131113:QAE131122 QKA131113:QKA131122 QTW131113:QTW131122 RDS131113:RDS131122 RNO131113:RNO131122 RXK131113:RXK131122 SHG131113:SHG131122 SRC131113:SRC131122 TAY131113:TAY131122 TKU131113:TKU131122 TUQ131113:TUQ131122 UEM131113:UEM131122 UOI131113:UOI131122 UYE131113:UYE131122 VIA131113:VIA131122 VRW131113:VRW131122 WBS131113:WBS131122 WLO131113:WLO131122 WVK131113:WVK131122 C196649:C196658 IY196649:IY196658 SU196649:SU196658 ACQ196649:ACQ196658 AMM196649:AMM196658 AWI196649:AWI196658 BGE196649:BGE196658 BQA196649:BQA196658 BZW196649:BZW196658 CJS196649:CJS196658 CTO196649:CTO196658 DDK196649:DDK196658 DNG196649:DNG196658 DXC196649:DXC196658 EGY196649:EGY196658 EQU196649:EQU196658 FAQ196649:FAQ196658 FKM196649:FKM196658 FUI196649:FUI196658 GEE196649:GEE196658 GOA196649:GOA196658 GXW196649:GXW196658 HHS196649:HHS196658 HRO196649:HRO196658 IBK196649:IBK196658 ILG196649:ILG196658 IVC196649:IVC196658 JEY196649:JEY196658 JOU196649:JOU196658 JYQ196649:JYQ196658 KIM196649:KIM196658 KSI196649:KSI196658 LCE196649:LCE196658 LMA196649:LMA196658 LVW196649:LVW196658 MFS196649:MFS196658 MPO196649:MPO196658 MZK196649:MZK196658 NJG196649:NJG196658 NTC196649:NTC196658 OCY196649:OCY196658 OMU196649:OMU196658 OWQ196649:OWQ196658 PGM196649:PGM196658 PQI196649:PQI196658 QAE196649:QAE196658 QKA196649:QKA196658 QTW196649:QTW196658 RDS196649:RDS196658 RNO196649:RNO196658 RXK196649:RXK196658 SHG196649:SHG196658 SRC196649:SRC196658 TAY196649:TAY196658 TKU196649:TKU196658 TUQ196649:TUQ196658 UEM196649:UEM196658 UOI196649:UOI196658 UYE196649:UYE196658 VIA196649:VIA196658 VRW196649:VRW196658 WBS196649:WBS196658 WLO196649:WLO196658 WVK196649:WVK196658 C262185:C262194 IY262185:IY262194 SU262185:SU262194 ACQ262185:ACQ262194 AMM262185:AMM262194 AWI262185:AWI262194 BGE262185:BGE262194 BQA262185:BQA262194 BZW262185:BZW262194 CJS262185:CJS262194 CTO262185:CTO262194 DDK262185:DDK262194 DNG262185:DNG262194 DXC262185:DXC262194 EGY262185:EGY262194 EQU262185:EQU262194 FAQ262185:FAQ262194 FKM262185:FKM262194 FUI262185:FUI262194 GEE262185:GEE262194 GOA262185:GOA262194 GXW262185:GXW262194 HHS262185:HHS262194 HRO262185:HRO262194 IBK262185:IBK262194 ILG262185:ILG262194 IVC262185:IVC262194 JEY262185:JEY262194 JOU262185:JOU262194 JYQ262185:JYQ262194 KIM262185:KIM262194 KSI262185:KSI262194 LCE262185:LCE262194 LMA262185:LMA262194 LVW262185:LVW262194 MFS262185:MFS262194 MPO262185:MPO262194 MZK262185:MZK262194 NJG262185:NJG262194 NTC262185:NTC262194 OCY262185:OCY262194 OMU262185:OMU262194 OWQ262185:OWQ262194 PGM262185:PGM262194 PQI262185:PQI262194 QAE262185:QAE262194 QKA262185:QKA262194 QTW262185:QTW262194 RDS262185:RDS262194 RNO262185:RNO262194 RXK262185:RXK262194 SHG262185:SHG262194 SRC262185:SRC262194 TAY262185:TAY262194 TKU262185:TKU262194 TUQ262185:TUQ262194 UEM262185:UEM262194 UOI262185:UOI262194 UYE262185:UYE262194 VIA262185:VIA262194 VRW262185:VRW262194 WBS262185:WBS262194 WLO262185:WLO262194 WVK262185:WVK262194 C327721:C327730 IY327721:IY327730 SU327721:SU327730 ACQ327721:ACQ327730 AMM327721:AMM327730 AWI327721:AWI327730 BGE327721:BGE327730 BQA327721:BQA327730 BZW327721:BZW327730 CJS327721:CJS327730 CTO327721:CTO327730 DDK327721:DDK327730 DNG327721:DNG327730 DXC327721:DXC327730 EGY327721:EGY327730 EQU327721:EQU327730 FAQ327721:FAQ327730 FKM327721:FKM327730 FUI327721:FUI327730 GEE327721:GEE327730 GOA327721:GOA327730 GXW327721:GXW327730 HHS327721:HHS327730 HRO327721:HRO327730 IBK327721:IBK327730 ILG327721:ILG327730 IVC327721:IVC327730 JEY327721:JEY327730 JOU327721:JOU327730 JYQ327721:JYQ327730 KIM327721:KIM327730 KSI327721:KSI327730 LCE327721:LCE327730 LMA327721:LMA327730 LVW327721:LVW327730 MFS327721:MFS327730 MPO327721:MPO327730 MZK327721:MZK327730 NJG327721:NJG327730 NTC327721:NTC327730 OCY327721:OCY327730 OMU327721:OMU327730 OWQ327721:OWQ327730 PGM327721:PGM327730 PQI327721:PQI327730 QAE327721:QAE327730 QKA327721:QKA327730 QTW327721:QTW327730 RDS327721:RDS327730 RNO327721:RNO327730 RXK327721:RXK327730 SHG327721:SHG327730 SRC327721:SRC327730 TAY327721:TAY327730 TKU327721:TKU327730 TUQ327721:TUQ327730 UEM327721:UEM327730 UOI327721:UOI327730 UYE327721:UYE327730 VIA327721:VIA327730 VRW327721:VRW327730 WBS327721:WBS327730 WLO327721:WLO327730 WVK327721:WVK327730 C393257:C393266 IY393257:IY393266 SU393257:SU393266 ACQ393257:ACQ393266 AMM393257:AMM393266 AWI393257:AWI393266 BGE393257:BGE393266 BQA393257:BQA393266 BZW393257:BZW393266 CJS393257:CJS393266 CTO393257:CTO393266 DDK393257:DDK393266 DNG393257:DNG393266 DXC393257:DXC393266 EGY393257:EGY393266 EQU393257:EQU393266 FAQ393257:FAQ393266 FKM393257:FKM393266 FUI393257:FUI393266 GEE393257:GEE393266 GOA393257:GOA393266 GXW393257:GXW393266 HHS393257:HHS393266 HRO393257:HRO393266 IBK393257:IBK393266 ILG393257:ILG393266 IVC393257:IVC393266 JEY393257:JEY393266 JOU393257:JOU393266 JYQ393257:JYQ393266 KIM393257:KIM393266 KSI393257:KSI393266 LCE393257:LCE393266 LMA393257:LMA393266 LVW393257:LVW393266 MFS393257:MFS393266 MPO393257:MPO393266 MZK393257:MZK393266 NJG393257:NJG393266 NTC393257:NTC393266 OCY393257:OCY393266 OMU393257:OMU393266 OWQ393257:OWQ393266 PGM393257:PGM393266 PQI393257:PQI393266 QAE393257:QAE393266 QKA393257:QKA393266 QTW393257:QTW393266 RDS393257:RDS393266 RNO393257:RNO393266 RXK393257:RXK393266 SHG393257:SHG393266 SRC393257:SRC393266 TAY393257:TAY393266 TKU393257:TKU393266 TUQ393257:TUQ393266 UEM393257:UEM393266 UOI393257:UOI393266 UYE393257:UYE393266 VIA393257:VIA393266 VRW393257:VRW393266 WBS393257:WBS393266 WLO393257:WLO393266 WVK393257:WVK393266 C458793:C458802 IY458793:IY458802 SU458793:SU458802 ACQ458793:ACQ458802 AMM458793:AMM458802 AWI458793:AWI458802 BGE458793:BGE458802 BQA458793:BQA458802 BZW458793:BZW458802 CJS458793:CJS458802 CTO458793:CTO458802 DDK458793:DDK458802 DNG458793:DNG458802 DXC458793:DXC458802 EGY458793:EGY458802 EQU458793:EQU458802 FAQ458793:FAQ458802 FKM458793:FKM458802 FUI458793:FUI458802 GEE458793:GEE458802 GOA458793:GOA458802 GXW458793:GXW458802 HHS458793:HHS458802 HRO458793:HRO458802 IBK458793:IBK458802 ILG458793:ILG458802 IVC458793:IVC458802 JEY458793:JEY458802 JOU458793:JOU458802 JYQ458793:JYQ458802 KIM458793:KIM458802 KSI458793:KSI458802 LCE458793:LCE458802 LMA458793:LMA458802 LVW458793:LVW458802 MFS458793:MFS458802 MPO458793:MPO458802 MZK458793:MZK458802 NJG458793:NJG458802 NTC458793:NTC458802 OCY458793:OCY458802 OMU458793:OMU458802 OWQ458793:OWQ458802 PGM458793:PGM458802 PQI458793:PQI458802 QAE458793:QAE458802 QKA458793:QKA458802 QTW458793:QTW458802 RDS458793:RDS458802 RNO458793:RNO458802 RXK458793:RXK458802 SHG458793:SHG458802 SRC458793:SRC458802 TAY458793:TAY458802 TKU458793:TKU458802 TUQ458793:TUQ458802 UEM458793:UEM458802 UOI458793:UOI458802 UYE458793:UYE458802 VIA458793:VIA458802 VRW458793:VRW458802 WBS458793:WBS458802 WLO458793:WLO458802 WVK458793:WVK458802 C524329:C524338 IY524329:IY524338 SU524329:SU524338 ACQ524329:ACQ524338 AMM524329:AMM524338 AWI524329:AWI524338 BGE524329:BGE524338 BQA524329:BQA524338 BZW524329:BZW524338 CJS524329:CJS524338 CTO524329:CTO524338 DDK524329:DDK524338 DNG524329:DNG524338 DXC524329:DXC524338 EGY524329:EGY524338 EQU524329:EQU524338 FAQ524329:FAQ524338 FKM524329:FKM524338 FUI524329:FUI524338 GEE524329:GEE524338 GOA524329:GOA524338 GXW524329:GXW524338 HHS524329:HHS524338 HRO524329:HRO524338 IBK524329:IBK524338 ILG524329:ILG524338 IVC524329:IVC524338 JEY524329:JEY524338 JOU524329:JOU524338 JYQ524329:JYQ524338 KIM524329:KIM524338 KSI524329:KSI524338 LCE524329:LCE524338 LMA524329:LMA524338 LVW524329:LVW524338 MFS524329:MFS524338 MPO524329:MPO524338 MZK524329:MZK524338 NJG524329:NJG524338 NTC524329:NTC524338 OCY524329:OCY524338 OMU524329:OMU524338 OWQ524329:OWQ524338 PGM524329:PGM524338 PQI524329:PQI524338 QAE524329:QAE524338 QKA524329:QKA524338 QTW524329:QTW524338 RDS524329:RDS524338 RNO524329:RNO524338 RXK524329:RXK524338 SHG524329:SHG524338 SRC524329:SRC524338 TAY524329:TAY524338 TKU524329:TKU524338 TUQ524329:TUQ524338 UEM524329:UEM524338 UOI524329:UOI524338 UYE524329:UYE524338 VIA524329:VIA524338 VRW524329:VRW524338 WBS524329:WBS524338 WLO524329:WLO524338 WVK524329:WVK524338 C589865:C589874 IY589865:IY589874 SU589865:SU589874 ACQ589865:ACQ589874 AMM589865:AMM589874 AWI589865:AWI589874 BGE589865:BGE589874 BQA589865:BQA589874 BZW589865:BZW589874 CJS589865:CJS589874 CTO589865:CTO589874 DDK589865:DDK589874 DNG589865:DNG589874 DXC589865:DXC589874 EGY589865:EGY589874 EQU589865:EQU589874 FAQ589865:FAQ589874 FKM589865:FKM589874 FUI589865:FUI589874 GEE589865:GEE589874 GOA589865:GOA589874 GXW589865:GXW589874 HHS589865:HHS589874 HRO589865:HRO589874 IBK589865:IBK589874 ILG589865:ILG589874 IVC589865:IVC589874 JEY589865:JEY589874 JOU589865:JOU589874 JYQ589865:JYQ589874 KIM589865:KIM589874 KSI589865:KSI589874 LCE589865:LCE589874 LMA589865:LMA589874 LVW589865:LVW589874 MFS589865:MFS589874 MPO589865:MPO589874 MZK589865:MZK589874 NJG589865:NJG589874 NTC589865:NTC589874 OCY589865:OCY589874 OMU589865:OMU589874 OWQ589865:OWQ589874 PGM589865:PGM589874 PQI589865:PQI589874 QAE589865:QAE589874 QKA589865:QKA589874 QTW589865:QTW589874 RDS589865:RDS589874 RNO589865:RNO589874 RXK589865:RXK589874 SHG589865:SHG589874 SRC589865:SRC589874 TAY589865:TAY589874 TKU589865:TKU589874 TUQ589865:TUQ589874 UEM589865:UEM589874 UOI589865:UOI589874 UYE589865:UYE589874 VIA589865:VIA589874 VRW589865:VRW589874 WBS589865:WBS589874 WLO589865:WLO589874 WVK589865:WVK589874 C655401:C655410 IY655401:IY655410 SU655401:SU655410 ACQ655401:ACQ655410 AMM655401:AMM655410 AWI655401:AWI655410 BGE655401:BGE655410 BQA655401:BQA655410 BZW655401:BZW655410 CJS655401:CJS655410 CTO655401:CTO655410 DDK655401:DDK655410 DNG655401:DNG655410 DXC655401:DXC655410 EGY655401:EGY655410 EQU655401:EQU655410 FAQ655401:FAQ655410 FKM655401:FKM655410 FUI655401:FUI655410 GEE655401:GEE655410 GOA655401:GOA655410 GXW655401:GXW655410 HHS655401:HHS655410 HRO655401:HRO655410 IBK655401:IBK655410 ILG655401:ILG655410 IVC655401:IVC655410 JEY655401:JEY655410 JOU655401:JOU655410 JYQ655401:JYQ655410 KIM655401:KIM655410 KSI655401:KSI655410 LCE655401:LCE655410 LMA655401:LMA655410 LVW655401:LVW655410 MFS655401:MFS655410 MPO655401:MPO655410 MZK655401:MZK655410 NJG655401:NJG655410 NTC655401:NTC655410 OCY655401:OCY655410 OMU655401:OMU655410 OWQ655401:OWQ655410 PGM655401:PGM655410 PQI655401:PQI655410 QAE655401:QAE655410 QKA655401:QKA655410 QTW655401:QTW655410 RDS655401:RDS655410 RNO655401:RNO655410 RXK655401:RXK655410 SHG655401:SHG655410 SRC655401:SRC655410 TAY655401:TAY655410 TKU655401:TKU655410 TUQ655401:TUQ655410 UEM655401:UEM655410 UOI655401:UOI655410 UYE655401:UYE655410 VIA655401:VIA655410 VRW655401:VRW655410 WBS655401:WBS655410 WLO655401:WLO655410 WVK655401:WVK655410 C720937:C720946 IY720937:IY720946 SU720937:SU720946 ACQ720937:ACQ720946 AMM720937:AMM720946 AWI720937:AWI720946 BGE720937:BGE720946 BQA720937:BQA720946 BZW720937:BZW720946 CJS720937:CJS720946 CTO720937:CTO720946 DDK720937:DDK720946 DNG720937:DNG720946 DXC720937:DXC720946 EGY720937:EGY720946 EQU720937:EQU720946 FAQ720937:FAQ720946 FKM720937:FKM720946 FUI720937:FUI720946 GEE720937:GEE720946 GOA720937:GOA720946 GXW720937:GXW720946 HHS720937:HHS720946 HRO720937:HRO720946 IBK720937:IBK720946 ILG720937:ILG720946 IVC720937:IVC720946 JEY720937:JEY720946 JOU720937:JOU720946 JYQ720937:JYQ720946 KIM720937:KIM720946 KSI720937:KSI720946 LCE720937:LCE720946 LMA720937:LMA720946 LVW720937:LVW720946 MFS720937:MFS720946 MPO720937:MPO720946 MZK720937:MZK720946 NJG720937:NJG720946 NTC720937:NTC720946 OCY720937:OCY720946 OMU720937:OMU720946 OWQ720937:OWQ720946 PGM720937:PGM720946 PQI720937:PQI720946 QAE720937:QAE720946 QKA720937:QKA720946 QTW720937:QTW720946 RDS720937:RDS720946 RNO720937:RNO720946 RXK720937:RXK720946 SHG720937:SHG720946 SRC720937:SRC720946 TAY720937:TAY720946 TKU720937:TKU720946 TUQ720937:TUQ720946 UEM720937:UEM720946 UOI720937:UOI720946 UYE720937:UYE720946 VIA720937:VIA720946 VRW720937:VRW720946 WBS720937:WBS720946 WLO720937:WLO720946 WVK720937:WVK720946 C786473:C786482 IY786473:IY786482 SU786473:SU786482 ACQ786473:ACQ786482 AMM786473:AMM786482 AWI786473:AWI786482 BGE786473:BGE786482 BQA786473:BQA786482 BZW786473:BZW786482 CJS786473:CJS786482 CTO786473:CTO786482 DDK786473:DDK786482 DNG786473:DNG786482 DXC786473:DXC786482 EGY786473:EGY786482 EQU786473:EQU786482 FAQ786473:FAQ786482 FKM786473:FKM786482 FUI786473:FUI786482 GEE786473:GEE786482 GOA786473:GOA786482 GXW786473:GXW786482 HHS786473:HHS786482 HRO786473:HRO786482 IBK786473:IBK786482 ILG786473:ILG786482 IVC786473:IVC786482 JEY786473:JEY786482 JOU786473:JOU786482 JYQ786473:JYQ786482 KIM786473:KIM786482 KSI786473:KSI786482 LCE786473:LCE786482 LMA786473:LMA786482 LVW786473:LVW786482 MFS786473:MFS786482 MPO786473:MPO786482 MZK786473:MZK786482 NJG786473:NJG786482 NTC786473:NTC786482 OCY786473:OCY786482 OMU786473:OMU786482 OWQ786473:OWQ786482 PGM786473:PGM786482 PQI786473:PQI786482 QAE786473:QAE786482 QKA786473:QKA786482 QTW786473:QTW786482 RDS786473:RDS786482 RNO786473:RNO786482 RXK786473:RXK786482 SHG786473:SHG786482 SRC786473:SRC786482 TAY786473:TAY786482 TKU786473:TKU786482 TUQ786473:TUQ786482 UEM786473:UEM786482 UOI786473:UOI786482 UYE786473:UYE786482 VIA786473:VIA786482 VRW786473:VRW786482 WBS786473:WBS786482 WLO786473:WLO786482 WVK786473:WVK786482 C852009:C852018 IY852009:IY852018 SU852009:SU852018 ACQ852009:ACQ852018 AMM852009:AMM852018 AWI852009:AWI852018 BGE852009:BGE852018 BQA852009:BQA852018 BZW852009:BZW852018 CJS852009:CJS852018 CTO852009:CTO852018 DDK852009:DDK852018 DNG852009:DNG852018 DXC852009:DXC852018 EGY852009:EGY852018 EQU852009:EQU852018 FAQ852009:FAQ852018 FKM852009:FKM852018 FUI852009:FUI852018 GEE852009:GEE852018 GOA852009:GOA852018 GXW852009:GXW852018 HHS852009:HHS852018 HRO852009:HRO852018 IBK852009:IBK852018 ILG852009:ILG852018 IVC852009:IVC852018 JEY852009:JEY852018 JOU852009:JOU852018 JYQ852009:JYQ852018 KIM852009:KIM852018 KSI852009:KSI852018 LCE852009:LCE852018 LMA852009:LMA852018 LVW852009:LVW852018 MFS852009:MFS852018 MPO852009:MPO852018 MZK852009:MZK852018 NJG852009:NJG852018 NTC852009:NTC852018 OCY852009:OCY852018 OMU852009:OMU852018 OWQ852009:OWQ852018 PGM852009:PGM852018 PQI852009:PQI852018 QAE852009:QAE852018 QKA852009:QKA852018 QTW852009:QTW852018 RDS852009:RDS852018 RNO852009:RNO852018 RXK852009:RXK852018 SHG852009:SHG852018 SRC852009:SRC852018 TAY852009:TAY852018 TKU852009:TKU852018 TUQ852009:TUQ852018 UEM852009:UEM852018 UOI852009:UOI852018 UYE852009:UYE852018 VIA852009:VIA852018 VRW852009:VRW852018 WBS852009:WBS852018 WLO852009:WLO852018 WVK852009:WVK852018 C917545:C917554 IY917545:IY917554 SU917545:SU917554 ACQ917545:ACQ917554 AMM917545:AMM917554 AWI917545:AWI917554 BGE917545:BGE917554 BQA917545:BQA917554 BZW917545:BZW917554 CJS917545:CJS917554 CTO917545:CTO917554 DDK917545:DDK917554 DNG917545:DNG917554 DXC917545:DXC917554 EGY917545:EGY917554 EQU917545:EQU917554 FAQ917545:FAQ917554 FKM917545:FKM917554 FUI917545:FUI917554 GEE917545:GEE917554 GOA917545:GOA917554 GXW917545:GXW917554 HHS917545:HHS917554 HRO917545:HRO917554 IBK917545:IBK917554 ILG917545:ILG917554 IVC917545:IVC917554 JEY917545:JEY917554 JOU917545:JOU917554 JYQ917545:JYQ917554 KIM917545:KIM917554 KSI917545:KSI917554 LCE917545:LCE917554 LMA917545:LMA917554 LVW917545:LVW917554 MFS917545:MFS917554 MPO917545:MPO917554 MZK917545:MZK917554 NJG917545:NJG917554 NTC917545:NTC917554 OCY917545:OCY917554 OMU917545:OMU917554 OWQ917545:OWQ917554 PGM917545:PGM917554 PQI917545:PQI917554 QAE917545:QAE917554 QKA917545:QKA917554 QTW917545:QTW917554 RDS917545:RDS917554 RNO917545:RNO917554 RXK917545:RXK917554 SHG917545:SHG917554 SRC917545:SRC917554 TAY917545:TAY917554 TKU917545:TKU917554 TUQ917545:TUQ917554 UEM917545:UEM917554 UOI917545:UOI917554 UYE917545:UYE917554 VIA917545:VIA917554 VRW917545:VRW917554 WBS917545:WBS917554 WLO917545:WLO917554 WVK917545:WVK917554 C983081:C983090 IY983081:IY983090 SU983081:SU983090 ACQ983081:ACQ983090 AMM983081:AMM983090 AWI983081:AWI983090 BGE983081:BGE983090 BQA983081:BQA983090 BZW983081:BZW983090 CJS983081:CJS983090 CTO983081:CTO983090 DDK983081:DDK983090 DNG983081:DNG983090 DXC983081:DXC983090 EGY983081:EGY983090 EQU983081:EQU983090 FAQ983081:FAQ983090 FKM983081:FKM983090 FUI983081:FUI983090 GEE983081:GEE983090 GOA983081:GOA983090 GXW983081:GXW983090 HHS983081:HHS983090 HRO983081:HRO983090 IBK983081:IBK983090 ILG983081:ILG983090 IVC983081:IVC983090 JEY983081:JEY983090 JOU983081:JOU983090 JYQ983081:JYQ983090 KIM983081:KIM983090 KSI983081:KSI983090 LCE983081:LCE983090 LMA983081:LMA983090 LVW983081:LVW983090 MFS983081:MFS983090 MPO983081:MPO983090 MZK983081:MZK983090 NJG983081:NJG983090 NTC983081:NTC983090 OCY983081:OCY983090 OMU983081:OMU983090 OWQ983081:OWQ983090 PGM983081:PGM983090 PQI983081:PQI983090 QAE983081:QAE983090 QKA983081:QKA983090 QTW983081:QTW983090 RDS983081:RDS983090 RNO983081:RNO983090 RXK983081:RXK983090 SHG983081:SHG983090 SRC983081:SRC983090 TAY983081:TAY983090 TKU983081:TKU983090 TUQ983081:TUQ983090 UEM983081:UEM983090 UOI983081:UOI983090 UYE983081:UYE983090 VIA983081:VIA983090 VRW983081:VRW983090 WBS983081:WBS983090 WLO983081:WLO983090 WVK983081:WVK983090 C26:C35 IY26:IY35 SU26:SU35 ACQ26:ACQ35 AMM26:AMM35 AWI26:AWI35 BGE26:BGE35 BQA26:BQA35 BZW26:BZW35 CJS26:CJS35 CTO26:CTO35 DDK26:DDK35 DNG26:DNG35 DXC26:DXC35 EGY26:EGY35 EQU26:EQU35 FAQ26:FAQ35 FKM26:FKM35 FUI26:FUI35 GEE26:GEE35 GOA26:GOA35 GXW26:GXW35 HHS26:HHS35 HRO26:HRO35 IBK26:IBK35 ILG26:ILG35 IVC26:IVC35 JEY26:JEY35 JOU26:JOU35 JYQ26:JYQ35 KIM26:KIM35 KSI26:KSI35 LCE26:LCE35 LMA26:LMA35 LVW26:LVW35 MFS26:MFS35 MPO26:MPO35 MZK26:MZK35 NJG26:NJG35 NTC26:NTC35 OCY26:OCY35 OMU26:OMU35 OWQ26:OWQ35 PGM26:PGM35 PQI26:PQI35 QAE26:QAE35 QKA26:QKA35 QTW26:QTW35 RDS26:RDS35 RNO26:RNO35 RXK26:RXK35 SHG26:SHG35 SRC26:SRC35 TAY26:TAY35 TKU26:TKU35 TUQ26:TUQ35 UEM26:UEM35 UOI26:UOI35 UYE26:UYE35 VIA26:VIA35 VRW26:VRW35 WBS26:WBS35 WLO26:WLO35 WVK26:WVK35 C65564:C65573 IY65564:IY65573 SU65564:SU65573 ACQ65564:ACQ65573 AMM65564:AMM65573 AWI65564:AWI65573 BGE65564:BGE65573 BQA65564:BQA65573 BZW65564:BZW65573 CJS65564:CJS65573 CTO65564:CTO65573 DDK65564:DDK65573 DNG65564:DNG65573 DXC65564:DXC65573 EGY65564:EGY65573 EQU65564:EQU65573 FAQ65564:FAQ65573 FKM65564:FKM65573 FUI65564:FUI65573 GEE65564:GEE65573 GOA65564:GOA65573 GXW65564:GXW65573 HHS65564:HHS65573 HRO65564:HRO65573 IBK65564:IBK65573 ILG65564:ILG65573 IVC65564:IVC65573 JEY65564:JEY65573 JOU65564:JOU65573 JYQ65564:JYQ65573 KIM65564:KIM65573 KSI65564:KSI65573 LCE65564:LCE65573 LMA65564:LMA65573 LVW65564:LVW65573 MFS65564:MFS65573 MPO65564:MPO65573 MZK65564:MZK65573 NJG65564:NJG65573 NTC65564:NTC65573 OCY65564:OCY65573 OMU65564:OMU65573 OWQ65564:OWQ65573 PGM65564:PGM65573 PQI65564:PQI65573 QAE65564:QAE65573 QKA65564:QKA65573 QTW65564:QTW65573 RDS65564:RDS65573 RNO65564:RNO65573 RXK65564:RXK65573 SHG65564:SHG65573 SRC65564:SRC65573 TAY65564:TAY65573 TKU65564:TKU65573 TUQ65564:TUQ65573 UEM65564:UEM65573 UOI65564:UOI65573 UYE65564:UYE65573 VIA65564:VIA65573 VRW65564:VRW65573 WBS65564:WBS65573 WLO65564:WLO65573 WVK65564:WVK65573 C131100:C131109 IY131100:IY131109 SU131100:SU131109 ACQ131100:ACQ131109 AMM131100:AMM131109 AWI131100:AWI131109 BGE131100:BGE131109 BQA131100:BQA131109 BZW131100:BZW131109 CJS131100:CJS131109 CTO131100:CTO131109 DDK131100:DDK131109 DNG131100:DNG131109 DXC131100:DXC131109 EGY131100:EGY131109 EQU131100:EQU131109 FAQ131100:FAQ131109 FKM131100:FKM131109 FUI131100:FUI131109 GEE131100:GEE131109 GOA131100:GOA131109 GXW131100:GXW131109 HHS131100:HHS131109 HRO131100:HRO131109 IBK131100:IBK131109 ILG131100:ILG131109 IVC131100:IVC131109 JEY131100:JEY131109 JOU131100:JOU131109 JYQ131100:JYQ131109 KIM131100:KIM131109 KSI131100:KSI131109 LCE131100:LCE131109 LMA131100:LMA131109 LVW131100:LVW131109 MFS131100:MFS131109 MPO131100:MPO131109 MZK131100:MZK131109 NJG131100:NJG131109 NTC131100:NTC131109 OCY131100:OCY131109 OMU131100:OMU131109 OWQ131100:OWQ131109 PGM131100:PGM131109 PQI131100:PQI131109 QAE131100:QAE131109 QKA131100:QKA131109 QTW131100:QTW131109 RDS131100:RDS131109 RNO131100:RNO131109 RXK131100:RXK131109 SHG131100:SHG131109 SRC131100:SRC131109 TAY131100:TAY131109 TKU131100:TKU131109 TUQ131100:TUQ131109 UEM131100:UEM131109 UOI131100:UOI131109 UYE131100:UYE131109 VIA131100:VIA131109 VRW131100:VRW131109 WBS131100:WBS131109 WLO131100:WLO131109 WVK131100:WVK131109 C196636:C196645 IY196636:IY196645 SU196636:SU196645 ACQ196636:ACQ196645 AMM196636:AMM196645 AWI196636:AWI196645 BGE196636:BGE196645 BQA196636:BQA196645 BZW196636:BZW196645 CJS196636:CJS196645 CTO196636:CTO196645 DDK196636:DDK196645 DNG196636:DNG196645 DXC196636:DXC196645 EGY196636:EGY196645 EQU196636:EQU196645 FAQ196636:FAQ196645 FKM196636:FKM196645 FUI196636:FUI196645 GEE196636:GEE196645 GOA196636:GOA196645 GXW196636:GXW196645 HHS196636:HHS196645 HRO196636:HRO196645 IBK196636:IBK196645 ILG196636:ILG196645 IVC196636:IVC196645 JEY196636:JEY196645 JOU196636:JOU196645 JYQ196636:JYQ196645 KIM196636:KIM196645 KSI196636:KSI196645 LCE196636:LCE196645 LMA196636:LMA196645 LVW196636:LVW196645 MFS196636:MFS196645 MPO196636:MPO196645 MZK196636:MZK196645 NJG196636:NJG196645 NTC196636:NTC196645 OCY196636:OCY196645 OMU196636:OMU196645 OWQ196636:OWQ196645 PGM196636:PGM196645 PQI196636:PQI196645 QAE196636:QAE196645 QKA196636:QKA196645 QTW196636:QTW196645 RDS196636:RDS196645 RNO196636:RNO196645 RXK196636:RXK196645 SHG196636:SHG196645 SRC196636:SRC196645 TAY196636:TAY196645 TKU196636:TKU196645 TUQ196636:TUQ196645 UEM196636:UEM196645 UOI196636:UOI196645 UYE196636:UYE196645 VIA196636:VIA196645 VRW196636:VRW196645 WBS196636:WBS196645 WLO196636:WLO196645 WVK196636:WVK196645 C262172:C262181 IY262172:IY262181 SU262172:SU262181 ACQ262172:ACQ262181 AMM262172:AMM262181 AWI262172:AWI262181 BGE262172:BGE262181 BQA262172:BQA262181 BZW262172:BZW262181 CJS262172:CJS262181 CTO262172:CTO262181 DDK262172:DDK262181 DNG262172:DNG262181 DXC262172:DXC262181 EGY262172:EGY262181 EQU262172:EQU262181 FAQ262172:FAQ262181 FKM262172:FKM262181 FUI262172:FUI262181 GEE262172:GEE262181 GOA262172:GOA262181 GXW262172:GXW262181 HHS262172:HHS262181 HRO262172:HRO262181 IBK262172:IBK262181 ILG262172:ILG262181 IVC262172:IVC262181 JEY262172:JEY262181 JOU262172:JOU262181 JYQ262172:JYQ262181 KIM262172:KIM262181 KSI262172:KSI262181 LCE262172:LCE262181 LMA262172:LMA262181 LVW262172:LVW262181 MFS262172:MFS262181 MPO262172:MPO262181 MZK262172:MZK262181 NJG262172:NJG262181 NTC262172:NTC262181 OCY262172:OCY262181 OMU262172:OMU262181 OWQ262172:OWQ262181 PGM262172:PGM262181 PQI262172:PQI262181 QAE262172:QAE262181 QKA262172:QKA262181 QTW262172:QTW262181 RDS262172:RDS262181 RNO262172:RNO262181 RXK262172:RXK262181 SHG262172:SHG262181 SRC262172:SRC262181 TAY262172:TAY262181 TKU262172:TKU262181 TUQ262172:TUQ262181 UEM262172:UEM262181 UOI262172:UOI262181 UYE262172:UYE262181 VIA262172:VIA262181 VRW262172:VRW262181 WBS262172:WBS262181 WLO262172:WLO262181 WVK262172:WVK262181 C327708:C327717 IY327708:IY327717 SU327708:SU327717 ACQ327708:ACQ327717 AMM327708:AMM327717 AWI327708:AWI327717 BGE327708:BGE327717 BQA327708:BQA327717 BZW327708:BZW327717 CJS327708:CJS327717 CTO327708:CTO327717 DDK327708:DDK327717 DNG327708:DNG327717 DXC327708:DXC327717 EGY327708:EGY327717 EQU327708:EQU327717 FAQ327708:FAQ327717 FKM327708:FKM327717 FUI327708:FUI327717 GEE327708:GEE327717 GOA327708:GOA327717 GXW327708:GXW327717 HHS327708:HHS327717 HRO327708:HRO327717 IBK327708:IBK327717 ILG327708:ILG327717 IVC327708:IVC327717 JEY327708:JEY327717 JOU327708:JOU327717 JYQ327708:JYQ327717 KIM327708:KIM327717 KSI327708:KSI327717 LCE327708:LCE327717 LMA327708:LMA327717 LVW327708:LVW327717 MFS327708:MFS327717 MPO327708:MPO327717 MZK327708:MZK327717 NJG327708:NJG327717 NTC327708:NTC327717 OCY327708:OCY327717 OMU327708:OMU327717 OWQ327708:OWQ327717 PGM327708:PGM327717 PQI327708:PQI327717 QAE327708:QAE327717 QKA327708:QKA327717 QTW327708:QTW327717 RDS327708:RDS327717 RNO327708:RNO327717 RXK327708:RXK327717 SHG327708:SHG327717 SRC327708:SRC327717 TAY327708:TAY327717 TKU327708:TKU327717 TUQ327708:TUQ327717 UEM327708:UEM327717 UOI327708:UOI327717 UYE327708:UYE327717 VIA327708:VIA327717 VRW327708:VRW327717 WBS327708:WBS327717 WLO327708:WLO327717 WVK327708:WVK327717 C393244:C393253 IY393244:IY393253 SU393244:SU393253 ACQ393244:ACQ393253 AMM393244:AMM393253 AWI393244:AWI393253 BGE393244:BGE393253 BQA393244:BQA393253 BZW393244:BZW393253 CJS393244:CJS393253 CTO393244:CTO393253 DDK393244:DDK393253 DNG393244:DNG393253 DXC393244:DXC393253 EGY393244:EGY393253 EQU393244:EQU393253 FAQ393244:FAQ393253 FKM393244:FKM393253 FUI393244:FUI393253 GEE393244:GEE393253 GOA393244:GOA393253 GXW393244:GXW393253 HHS393244:HHS393253 HRO393244:HRO393253 IBK393244:IBK393253 ILG393244:ILG393253 IVC393244:IVC393253 JEY393244:JEY393253 JOU393244:JOU393253 JYQ393244:JYQ393253 KIM393244:KIM393253 KSI393244:KSI393253 LCE393244:LCE393253 LMA393244:LMA393253 LVW393244:LVW393253 MFS393244:MFS393253 MPO393244:MPO393253 MZK393244:MZK393253 NJG393244:NJG393253 NTC393244:NTC393253 OCY393244:OCY393253 OMU393244:OMU393253 OWQ393244:OWQ393253 PGM393244:PGM393253 PQI393244:PQI393253 QAE393244:QAE393253 QKA393244:QKA393253 QTW393244:QTW393253 RDS393244:RDS393253 RNO393244:RNO393253 RXK393244:RXK393253 SHG393244:SHG393253 SRC393244:SRC393253 TAY393244:TAY393253 TKU393244:TKU393253 TUQ393244:TUQ393253 UEM393244:UEM393253 UOI393244:UOI393253 UYE393244:UYE393253 VIA393244:VIA393253 VRW393244:VRW393253 WBS393244:WBS393253 WLO393244:WLO393253 WVK393244:WVK393253 C458780:C458789 IY458780:IY458789 SU458780:SU458789 ACQ458780:ACQ458789 AMM458780:AMM458789 AWI458780:AWI458789 BGE458780:BGE458789 BQA458780:BQA458789 BZW458780:BZW458789 CJS458780:CJS458789 CTO458780:CTO458789 DDK458780:DDK458789 DNG458780:DNG458789 DXC458780:DXC458789 EGY458780:EGY458789 EQU458780:EQU458789 FAQ458780:FAQ458789 FKM458780:FKM458789 FUI458780:FUI458789 GEE458780:GEE458789 GOA458780:GOA458789 GXW458780:GXW458789 HHS458780:HHS458789 HRO458780:HRO458789 IBK458780:IBK458789 ILG458780:ILG458789 IVC458780:IVC458789 JEY458780:JEY458789 JOU458780:JOU458789 JYQ458780:JYQ458789 KIM458780:KIM458789 KSI458780:KSI458789 LCE458780:LCE458789 LMA458780:LMA458789 LVW458780:LVW458789 MFS458780:MFS458789 MPO458780:MPO458789 MZK458780:MZK458789 NJG458780:NJG458789 NTC458780:NTC458789 OCY458780:OCY458789 OMU458780:OMU458789 OWQ458780:OWQ458789 PGM458780:PGM458789 PQI458780:PQI458789 QAE458780:QAE458789 QKA458780:QKA458789 QTW458780:QTW458789 RDS458780:RDS458789 RNO458780:RNO458789 RXK458780:RXK458789 SHG458780:SHG458789 SRC458780:SRC458789 TAY458780:TAY458789 TKU458780:TKU458789 TUQ458780:TUQ458789 UEM458780:UEM458789 UOI458780:UOI458789 UYE458780:UYE458789 VIA458780:VIA458789 VRW458780:VRW458789 WBS458780:WBS458789 WLO458780:WLO458789 WVK458780:WVK458789 C524316:C524325 IY524316:IY524325 SU524316:SU524325 ACQ524316:ACQ524325 AMM524316:AMM524325 AWI524316:AWI524325 BGE524316:BGE524325 BQA524316:BQA524325 BZW524316:BZW524325 CJS524316:CJS524325 CTO524316:CTO524325 DDK524316:DDK524325 DNG524316:DNG524325 DXC524316:DXC524325 EGY524316:EGY524325 EQU524316:EQU524325 FAQ524316:FAQ524325 FKM524316:FKM524325 FUI524316:FUI524325 GEE524316:GEE524325 GOA524316:GOA524325 GXW524316:GXW524325 HHS524316:HHS524325 HRO524316:HRO524325 IBK524316:IBK524325 ILG524316:ILG524325 IVC524316:IVC524325 JEY524316:JEY524325 JOU524316:JOU524325 JYQ524316:JYQ524325 KIM524316:KIM524325 KSI524316:KSI524325 LCE524316:LCE524325 LMA524316:LMA524325 LVW524316:LVW524325 MFS524316:MFS524325 MPO524316:MPO524325 MZK524316:MZK524325 NJG524316:NJG524325 NTC524316:NTC524325 OCY524316:OCY524325 OMU524316:OMU524325 OWQ524316:OWQ524325 PGM524316:PGM524325 PQI524316:PQI524325 QAE524316:QAE524325 QKA524316:QKA524325 QTW524316:QTW524325 RDS524316:RDS524325 RNO524316:RNO524325 RXK524316:RXK524325 SHG524316:SHG524325 SRC524316:SRC524325 TAY524316:TAY524325 TKU524316:TKU524325 TUQ524316:TUQ524325 UEM524316:UEM524325 UOI524316:UOI524325 UYE524316:UYE524325 VIA524316:VIA524325 VRW524316:VRW524325 WBS524316:WBS524325 WLO524316:WLO524325 WVK524316:WVK524325 C589852:C589861 IY589852:IY589861 SU589852:SU589861 ACQ589852:ACQ589861 AMM589852:AMM589861 AWI589852:AWI589861 BGE589852:BGE589861 BQA589852:BQA589861 BZW589852:BZW589861 CJS589852:CJS589861 CTO589852:CTO589861 DDK589852:DDK589861 DNG589852:DNG589861 DXC589852:DXC589861 EGY589852:EGY589861 EQU589852:EQU589861 FAQ589852:FAQ589861 FKM589852:FKM589861 FUI589852:FUI589861 GEE589852:GEE589861 GOA589852:GOA589861 GXW589852:GXW589861 HHS589852:HHS589861 HRO589852:HRO589861 IBK589852:IBK589861 ILG589852:ILG589861 IVC589852:IVC589861 JEY589852:JEY589861 JOU589852:JOU589861 JYQ589852:JYQ589861 KIM589852:KIM589861 KSI589852:KSI589861 LCE589852:LCE589861 LMA589852:LMA589861 LVW589852:LVW589861 MFS589852:MFS589861 MPO589852:MPO589861 MZK589852:MZK589861 NJG589852:NJG589861 NTC589852:NTC589861 OCY589852:OCY589861 OMU589852:OMU589861 OWQ589852:OWQ589861 PGM589852:PGM589861 PQI589852:PQI589861 QAE589852:QAE589861 QKA589852:QKA589861 QTW589852:QTW589861 RDS589852:RDS589861 RNO589852:RNO589861 RXK589852:RXK589861 SHG589852:SHG589861 SRC589852:SRC589861 TAY589852:TAY589861 TKU589852:TKU589861 TUQ589852:TUQ589861 UEM589852:UEM589861 UOI589852:UOI589861 UYE589852:UYE589861 VIA589852:VIA589861 VRW589852:VRW589861 WBS589852:WBS589861 WLO589852:WLO589861 WVK589852:WVK589861 C655388:C655397 IY655388:IY655397 SU655388:SU655397 ACQ655388:ACQ655397 AMM655388:AMM655397 AWI655388:AWI655397 BGE655388:BGE655397 BQA655388:BQA655397 BZW655388:BZW655397 CJS655388:CJS655397 CTO655388:CTO655397 DDK655388:DDK655397 DNG655388:DNG655397 DXC655388:DXC655397 EGY655388:EGY655397 EQU655388:EQU655397 FAQ655388:FAQ655397 FKM655388:FKM655397 FUI655388:FUI655397 GEE655388:GEE655397 GOA655388:GOA655397 GXW655388:GXW655397 HHS655388:HHS655397 HRO655388:HRO655397 IBK655388:IBK655397 ILG655388:ILG655397 IVC655388:IVC655397 JEY655388:JEY655397 JOU655388:JOU655397 JYQ655388:JYQ655397 KIM655388:KIM655397 KSI655388:KSI655397 LCE655388:LCE655397 LMA655388:LMA655397 LVW655388:LVW655397 MFS655388:MFS655397 MPO655388:MPO655397 MZK655388:MZK655397 NJG655388:NJG655397 NTC655388:NTC655397 OCY655388:OCY655397 OMU655388:OMU655397 OWQ655388:OWQ655397 PGM655388:PGM655397 PQI655388:PQI655397 QAE655388:QAE655397 QKA655388:QKA655397 QTW655388:QTW655397 RDS655388:RDS655397 RNO655388:RNO655397 RXK655388:RXK655397 SHG655388:SHG655397 SRC655388:SRC655397 TAY655388:TAY655397 TKU655388:TKU655397 TUQ655388:TUQ655397 UEM655388:UEM655397 UOI655388:UOI655397 UYE655388:UYE655397 VIA655388:VIA655397 VRW655388:VRW655397 WBS655388:WBS655397 WLO655388:WLO655397 WVK655388:WVK655397 C720924:C720933 IY720924:IY720933 SU720924:SU720933 ACQ720924:ACQ720933 AMM720924:AMM720933 AWI720924:AWI720933 BGE720924:BGE720933 BQA720924:BQA720933 BZW720924:BZW720933 CJS720924:CJS720933 CTO720924:CTO720933 DDK720924:DDK720933 DNG720924:DNG720933 DXC720924:DXC720933 EGY720924:EGY720933 EQU720924:EQU720933 FAQ720924:FAQ720933 FKM720924:FKM720933 FUI720924:FUI720933 GEE720924:GEE720933 GOA720924:GOA720933 GXW720924:GXW720933 HHS720924:HHS720933 HRO720924:HRO720933 IBK720924:IBK720933 ILG720924:ILG720933 IVC720924:IVC720933 JEY720924:JEY720933 JOU720924:JOU720933 JYQ720924:JYQ720933 KIM720924:KIM720933 KSI720924:KSI720933 LCE720924:LCE720933 LMA720924:LMA720933 LVW720924:LVW720933 MFS720924:MFS720933 MPO720924:MPO720933 MZK720924:MZK720933 NJG720924:NJG720933 NTC720924:NTC720933 OCY720924:OCY720933 OMU720924:OMU720933 OWQ720924:OWQ720933 PGM720924:PGM720933 PQI720924:PQI720933 QAE720924:QAE720933 QKA720924:QKA720933 QTW720924:QTW720933 RDS720924:RDS720933 RNO720924:RNO720933 RXK720924:RXK720933 SHG720924:SHG720933 SRC720924:SRC720933 TAY720924:TAY720933 TKU720924:TKU720933 TUQ720924:TUQ720933 UEM720924:UEM720933 UOI720924:UOI720933 UYE720924:UYE720933 VIA720924:VIA720933 VRW720924:VRW720933 WBS720924:WBS720933 WLO720924:WLO720933 WVK720924:WVK720933 C786460:C786469 IY786460:IY786469 SU786460:SU786469 ACQ786460:ACQ786469 AMM786460:AMM786469 AWI786460:AWI786469 BGE786460:BGE786469 BQA786460:BQA786469 BZW786460:BZW786469 CJS786460:CJS786469 CTO786460:CTO786469 DDK786460:DDK786469 DNG786460:DNG786469 DXC786460:DXC786469 EGY786460:EGY786469 EQU786460:EQU786469 FAQ786460:FAQ786469 FKM786460:FKM786469 FUI786460:FUI786469 GEE786460:GEE786469 GOA786460:GOA786469 GXW786460:GXW786469 HHS786460:HHS786469 HRO786460:HRO786469 IBK786460:IBK786469 ILG786460:ILG786469 IVC786460:IVC786469 JEY786460:JEY786469 JOU786460:JOU786469 JYQ786460:JYQ786469 KIM786460:KIM786469 KSI786460:KSI786469 LCE786460:LCE786469 LMA786460:LMA786469 LVW786460:LVW786469 MFS786460:MFS786469 MPO786460:MPO786469 MZK786460:MZK786469 NJG786460:NJG786469 NTC786460:NTC786469 OCY786460:OCY786469 OMU786460:OMU786469 OWQ786460:OWQ786469 PGM786460:PGM786469 PQI786460:PQI786469 QAE786460:QAE786469 QKA786460:QKA786469 QTW786460:QTW786469 RDS786460:RDS786469 RNO786460:RNO786469 RXK786460:RXK786469 SHG786460:SHG786469 SRC786460:SRC786469 TAY786460:TAY786469 TKU786460:TKU786469 TUQ786460:TUQ786469 UEM786460:UEM786469 UOI786460:UOI786469 UYE786460:UYE786469 VIA786460:VIA786469 VRW786460:VRW786469 WBS786460:WBS786469 WLO786460:WLO786469 WVK786460:WVK786469 C851996:C852005 IY851996:IY852005 SU851996:SU852005 ACQ851996:ACQ852005 AMM851996:AMM852005 AWI851996:AWI852005 BGE851996:BGE852005 BQA851996:BQA852005 BZW851996:BZW852005 CJS851996:CJS852005 CTO851996:CTO852005 DDK851996:DDK852005 DNG851996:DNG852005 DXC851996:DXC852005 EGY851996:EGY852005 EQU851996:EQU852005 FAQ851996:FAQ852005 FKM851996:FKM852005 FUI851996:FUI852005 GEE851996:GEE852005 GOA851996:GOA852005 GXW851996:GXW852005 HHS851996:HHS852005 HRO851996:HRO852005 IBK851996:IBK852005 ILG851996:ILG852005 IVC851996:IVC852005 JEY851996:JEY852005 JOU851996:JOU852005 JYQ851996:JYQ852005 KIM851996:KIM852005 KSI851996:KSI852005 LCE851996:LCE852005 LMA851996:LMA852005 LVW851996:LVW852005 MFS851996:MFS852005 MPO851996:MPO852005 MZK851996:MZK852005 NJG851996:NJG852005 NTC851996:NTC852005 OCY851996:OCY852005 OMU851996:OMU852005 OWQ851996:OWQ852005 PGM851996:PGM852005 PQI851996:PQI852005 QAE851996:QAE852005 QKA851996:QKA852005 QTW851996:QTW852005 RDS851996:RDS852005 RNO851996:RNO852005 RXK851996:RXK852005 SHG851996:SHG852005 SRC851996:SRC852005 TAY851996:TAY852005 TKU851996:TKU852005 TUQ851996:TUQ852005 UEM851996:UEM852005 UOI851996:UOI852005 UYE851996:UYE852005 VIA851996:VIA852005 VRW851996:VRW852005 WBS851996:WBS852005 WLO851996:WLO852005 WVK851996:WVK852005 C917532:C917541 IY917532:IY917541 SU917532:SU917541 ACQ917532:ACQ917541 AMM917532:AMM917541 AWI917532:AWI917541 BGE917532:BGE917541 BQA917532:BQA917541 BZW917532:BZW917541 CJS917532:CJS917541 CTO917532:CTO917541 DDK917532:DDK917541 DNG917532:DNG917541 DXC917532:DXC917541 EGY917532:EGY917541 EQU917532:EQU917541 FAQ917532:FAQ917541 FKM917532:FKM917541 FUI917532:FUI917541 GEE917532:GEE917541 GOA917532:GOA917541 GXW917532:GXW917541 HHS917532:HHS917541 HRO917532:HRO917541 IBK917532:IBK917541 ILG917532:ILG917541 IVC917532:IVC917541 JEY917532:JEY917541 JOU917532:JOU917541 JYQ917532:JYQ917541 KIM917532:KIM917541 KSI917532:KSI917541 LCE917532:LCE917541 LMA917532:LMA917541 LVW917532:LVW917541 MFS917532:MFS917541 MPO917532:MPO917541 MZK917532:MZK917541 NJG917532:NJG917541 NTC917532:NTC917541 OCY917532:OCY917541 OMU917532:OMU917541 OWQ917532:OWQ917541 PGM917532:PGM917541 PQI917532:PQI917541 QAE917532:QAE917541 QKA917532:QKA917541 QTW917532:QTW917541 RDS917532:RDS917541 RNO917532:RNO917541 RXK917532:RXK917541 SHG917532:SHG917541 SRC917532:SRC917541 TAY917532:TAY917541 TKU917532:TKU917541 TUQ917532:TUQ917541 UEM917532:UEM917541 UOI917532:UOI917541 UYE917532:UYE917541 VIA917532:VIA917541 VRW917532:VRW917541 WBS917532:WBS917541 WLO917532:WLO917541 WVK917532:WVK917541 C983068:C983077 IY983068:IY983077 SU983068:SU983077 ACQ983068:ACQ983077 AMM983068:AMM983077 AWI983068:AWI983077 BGE983068:BGE983077 BQA983068:BQA983077 BZW983068:BZW983077 CJS983068:CJS983077 CTO983068:CTO983077 DDK983068:DDK983077 DNG983068:DNG983077 DXC983068:DXC983077 EGY983068:EGY983077 EQU983068:EQU983077 FAQ983068:FAQ983077 FKM983068:FKM983077 FUI983068:FUI983077 GEE983068:GEE983077 GOA983068:GOA983077 GXW983068:GXW983077 HHS983068:HHS983077 HRO983068:HRO983077 IBK983068:IBK983077 ILG983068:ILG983077 IVC983068:IVC983077 JEY983068:JEY983077 JOU983068:JOU983077 JYQ983068:JYQ983077 KIM983068:KIM983077 KSI983068:KSI983077 LCE983068:LCE983077 LMA983068:LMA983077 LVW983068:LVW983077 MFS983068:MFS983077 MPO983068:MPO983077 MZK983068:MZK983077 NJG983068:NJG983077 NTC983068:NTC983077 OCY983068:OCY983077 OMU983068:OMU983077 OWQ983068:OWQ983077 PGM983068:PGM983077 PQI983068:PQI983077 QAE983068:QAE983077 QKA983068:QKA983077 QTW983068:QTW983077 RDS983068:RDS983077 RNO983068:RNO983077 RXK983068:RXK983077 SHG983068:SHG983077 SRC983068:SRC983077 TAY983068:TAY983077 TKU983068:TKU983077 TUQ983068:TUQ983077 UEM983068:UEM983077 UOI983068:UOI983077 UYE983068:UYE983077 VIA983068:VIA983077 VRW983068:VRW983077 WBS983068:WBS983077 WLO983068:WLO983077 WVK983068:WVK983077 F41:F50 JB41:JB50 SX41:SX50 ACT41:ACT50 AMP41:AMP50 AWL41:AWL50 BGH41:BGH50 BQD41:BQD50 BZZ41:BZZ50 CJV41:CJV50 CTR41:CTR50 DDN41:DDN50 DNJ41:DNJ50 DXF41:DXF50 EHB41:EHB50 EQX41:EQX50 FAT41:FAT50 FKP41:FKP50 FUL41:FUL50 GEH41:GEH50 GOD41:GOD50 GXZ41:GXZ50 HHV41:HHV50 HRR41:HRR50 IBN41:IBN50 ILJ41:ILJ50 IVF41:IVF50 JFB41:JFB50 JOX41:JOX50 JYT41:JYT50 KIP41:KIP50 KSL41:KSL50 LCH41:LCH50 LMD41:LMD50 LVZ41:LVZ50 MFV41:MFV50 MPR41:MPR50 MZN41:MZN50 NJJ41:NJJ50 NTF41:NTF50 ODB41:ODB50 OMX41:OMX50 OWT41:OWT50 PGP41:PGP50 PQL41:PQL50 QAH41:QAH50 QKD41:QKD50 QTZ41:QTZ50 RDV41:RDV50 RNR41:RNR50 RXN41:RXN50 SHJ41:SHJ50 SRF41:SRF50 TBB41:TBB50 TKX41:TKX50 TUT41:TUT50 UEP41:UEP50 UOL41:UOL50 UYH41:UYH50 VID41:VID50 VRZ41:VRZ50 WBV41:WBV50 WLR41:WLR50 WVN41:WVN50 F65577:F65586 JB65577:JB65586 SX65577:SX65586 ACT65577:ACT65586 AMP65577:AMP65586 AWL65577:AWL65586 BGH65577:BGH65586 BQD65577:BQD65586 BZZ65577:BZZ65586 CJV65577:CJV65586 CTR65577:CTR65586 DDN65577:DDN65586 DNJ65577:DNJ65586 DXF65577:DXF65586 EHB65577:EHB65586 EQX65577:EQX65586 FAT65577:FAT65586 FKP65577:FKP65586 FUL65577:FUL65586 GEH65577:GEH65586 GOD65577:GOD65586 GXZ65577:GXZ65586 HHV65577:HHV65586 HRR65577:HRR65586 IBN65577:IBN65586 ILJ65577:ILJ65586 IVF65577:IVF65586 JFB65577:JFB65586 JOX65577:JOX65586 JYT65577:JYT65586 KIP65577:KIP65586 KSL65577:KSL65586 LCH65577:LCH65586 LMD65577:LMD65586 LVZ65577:LVZ65586 MFV65577:MFV65586 MPR65577:MPR65586 MZN65577:MZN65586 NJJ65577:NJJ65586 NTF65577:NTF65586 ODB65577:ODB65586 OMX65577:OMX65586 OWT65577:OWT65586 PGP65577:PGP65586 PQL65577:PQL65586 QAH65577:QAH65586 QKD65577:QKD65586 QTZ65577:QTZ65586 RDV65577:RDV65586 RNR65577:RNR65586 RXN65577:RXN65586 SHJ65577:SHJ65586 SRF65577:SRF65586 TBB65577:TBB65586 TKX65577:TKX65586 TUT65577:TUT65586 UEP65577:UEP65586 UOL65577:UOL65586 UYH65577:UYH65586 VID65577:VID65586 VRZ65577:VRZ65586 WBV65577:WBV65586 WLR65577:WLR65586 WVN65577:WVN65586 F131113:F131122 JB131113:JB131122 SX131113:SX131122 ACT131113:ACT131122 AMP131113:AMP131122 AWL131113:AWL131122 BGH131113:BGH131122 BQD131113:BQD131122 BZZ131113:BZZ131122 CJV131113:CJV131122 CTR131113:CTR131122 DDN131113:DDN131122 DNJ131113:DNJ131122 DXF131113:DXF131122 EHB131113:EHB131122 EQX131113:EQX131122 FAT131113:FAT131122 FKP131113:FKP131122 FUL131113:FUL131122 GEH131113:GEH131122 GOD131113:GOD131122 GXZ131113:GXZ131122 HHV131113:HHV131122 HRR131113:HRR131122 IBN131113:IBN131122 ILJ131113:ILJ131122 IVF131113:IVF131122 JFB131113:JFB131122 JOX131113:JOX131122 JYT131113:JYT131122 KIP131113:KIP131122 KSL131113:KSL131122 LCH131113:LCH131122 LMD131113:LMD131122 LVZ131113:LVZ131122 MFV131113:MFV131122 MPR131113:MPR131122 MZN131113:MZN131122 NJJ131113:NJJ131122 NTF131113:NTF131122 ODB131113:ODB131122 OMX131113:OMX131122 OWT131113:OWT131122 PGP131113:PGP131122 PQL131113:PQL131122 QAH131113:QAH131122 QKD131113:QKD131122 QTZ131113:QTZ131122 RDV131113:RDV131122 RNR131113:RNR131122 RXN131113:RXN131122 SHJ131113:SHJ131122 SRF131113:SRF131122 TBB131113:TBB131122 TKX131113:TKX131122 TUT131113:TUT131122 UEP131113:UEP131122 UOL131113:UOL131122 UYH131113:UYH131122 VID131113:VID131122 VRZ131113:VRZ131122 WBV131113:WBV131122 WLR131113:WLR131122 WVN131113:WVN131122 F196649:F196658 JB196649:JB196658 SX196649:SX196658 ACT196649:ACT196658 AMP196649:AMP196658 AWL196649:AWL196658 BGH196649:BGH196658 BQD196649:BQD196658 BZZ196649:BZZ196658 CJV196649:CJV196658 CTR196649:CTR196658 DDN196649:DDN196658 DNJ196649:DNJ196658 DXF196649:DXF196658 EHB196649:EHB196658 EQX196649:EQX196658 FAT196649:FAT196658 FKP196649:FKP196658 FUL196649:FUL196658 GEH196649:GEH196658 GOD196649:GOD196658 GXZ196649:GXZ196658 HHV196649:HHV196658 HRR196649:HRR196658 IBN196649:IBN196658 ILJ196649:ILJ196658 IVF196649:IVF196658 JFB196649:JFB196658 JOX196649:JOX196658 JYT196649:JYT196658 KIP196649:KIP196658 KSL196649:KSL196658 LCH196649:LCH196658 LMD196649:LMD196658 LVZ196649:LVZ196658 MFV196649:MFV196658 MPR196649:MPR196658 MZN196649:MZN196658 NJJ196649:NJJ196658 NTF196649:NTF196658 ODB196649:ODB196658 OMX196649:OMX196658 OWT196649:OWT196658 PGP196649:PGP196658 PQL196649:PQL196658 QAH196649:QAH196658 QKD196649:QKD196658 QTZ196649:QTZ196658 RDV196649:RDV196658 RNR196649:RNR196658 RXN196649:RXN196658 SHJ196649:SHJ196658 SRF196649:SRF196658 TBB196649:TBB196658 TKX196649:TKX196658 TUT196649:TUT196658 UEP196649:UEP196658 UOL196649:UOL196658 UYH196649:UYH196658 VID196649:VID196658 VRZ196649:VRZ196658 WBV196649:WBV196658 WLR196649:WLR196658 WVN196649:WVN196658 F262185:F262194 JB262185:JB262194 SX262185:SX262194 ACT262185:ACT262194 AMP262185:AMP262194 AWL262185:AWL262194 BGH262185:BGH262194 BQD262185:BQD262194 BZZ262185:BZZ262194 CJV262185:CJV262194 CTR262185:CTR262194 DDN262185:DDN262194 DNJ262185:DNJ262194 DXF262185:DXF262194 EHB262185:EHB262194 EQX262185:EQX262194 FAT262185:FAT262194 FKP262185:FKP262194 FUL262185:FUL262194 GEH262185:GEH262194 GOD262185:GOD262194 GXZ262185:GXZ262194 HHV262185:HHV262194 HRR262185:HRR262194 IBN262185:IBN262194 ILJ262185:ILJ262194 IVF262185:IVF262194 JFB262185:JFB262194 JOX262185:JOX262194 JYT262185:JYT262194 KIP262185:KIP262194 KSL262185:KSL262194 LCH262185:LCH262194 LMD262185:LMD262194 LVZ262185:LVZ262194 MFV262185:MFV262194 MPR262185:MPR262194 MZN262185:MZN262194 NJJ262185:NJJ262194 NTF262185:NTF262194 ODB262185:ODB262194 OMX262185:OMX262194 OWT262185:OWT262194 PGP262185:PGP262194 PQL262185:PQL262194 QAH262185:QAH262194 QKD262185:QKD262194 QTZ262185:QTZ262194 RDV262185:RDV262194 RNR262185:RNR262194 RXN262185:RXN262194 SHJ262185:SHJ262194 SRF262185:SRF262194 TBB262185:TBB262194 TKX262185:TKX262194 TUT262185:TUT262194 UEP262185:UEP262194 UOL262185:UOL262194 UYH262185:UYH262194 VID262185:VID262194 VRZ262185:VRZ262194 WBV262185:WBV262194 WLR262185:WLR262194 WVN262185:WVN262194 F327721:F327730 JB327721:JB327730 SX327721:SX327730 ACT327721:ACT327730 AMP327721:AMP327730 AWL327721:AWL327730 BGH327721:BGH327730 BQD327721:BQD327730 BZZ327721:BZZ327730 CJV327721:CJV327730 CTR327721:CTR327730 DDN327721:DDN327730 DNJ327721:DNJ327730 DXF327721:DXF327730 EHB327721:EHB327730 EQX327721:EQX327730 FAT327721:FAT327730 FKP327721:FKP327730 FUL327721:FUL327730 GEH327721:GEH327730 GOD327721:GOD327730 GXZ327721:GXZ327730 HHV327721:HHV327730 HRR327721:HRR327730 IBN327721:IBN327730 ILJ327721:ILJ327730 IVF327721:IVF327730 JFB327721:JFB327730 JOX327721:JOX327730 JYT327721:JYT327730 KIP327721:KIP327730 KSL327721:KSL327730 LCH327721:LCH327730 LMD327721:LMD327730 LVZ327721:LVZ327730 MFV327721:MFV327730 MPR327721:MPR327730 MZN327721:MZN327730 NJJ327721:NJJ327730 NTF327721:NTF327730 ODB327721:ODB327730 OMX327721:OMX327730 OWT327721:OWT327730 PGP327721:PGP327730 PQL327721:PQL327730 QAH327721:QAH327730 QKD327721:QKD327730 QTZ327721:QTZ327730 RDV327721:RDV327730 RNR327721:RNR327730 RXN327721:RXN327730 SHJ327721:SHJ327730 SRF327721:SRF327730 TBB327721:TBB327730 TKX327721:TKX327730 TUT327721:TUT327730 UEP327721:UEP327730 UOL327721:UOL327730 UYH327721:UYH327730 VID327721:VID327730 VRZ327721:VRZ327730 WBV327721:WBV327730 WLR327721:WLR327730 WVN327721:WVN327730 F393257:F393266 JB393257:JB393266 SX393257:SX393266 ACT393257:ACT393266 AMP393257:AMP393266 AWL393257:AWL393266 BGH393257:BGH393266 BQD393257:BQD393266 BZZ393257:BZZ393266 CJV393257:CJV393266 CTR393257:CTR393266 DDN393257:DDN393266 DNJ393257:DNJ393266 DXF393257:DXF393266 EHB393257:EHB393266 EQX393257:EQX393266 FAT393257:FAT393266 FKP393257:FKP393266 FUL393257:FUL393266 GEH393257:GEH393266 GOD393257:GOD393266 GXZ393257:GXZ393266 HHV393257:HHV393266 HRR393257:HRR393266 IBN393257:IBN393266 ILJ393257:ILJ393266 IVF393257:IVF393266 JFB393257:JFB393266 JOX393257:JOX393266 JYT393257:JYT393266 KIP393257:KIP393266 KSL393257:KSL393266 LCH393257:LCH393266 LMD393257:LMD393266 LVZ393257:LVZ393266 MFV393257:MFV393266 MPR393257:MPR393266 MZN393257:MZN393266 NJJ393257:NJJ393266 NTF393257:NTF393266 ODB393257:ODB393266 OMX393257:OMX393266 OWT393257:OWT393266 PGP393257:PGP393266 PQL393257:PQL393266 QAH393257:QAH393266 QKD393257:QKD393266 QTZ393257:QTZ393266 RDV393257:RDV393266 RNR393257:RNR393266 RXN393257:RXN393266 SHJ393257:SHJ393266 SRF393257:SRF393266 TBB393257:TBB393266 TKX393257:TKX393266 TUT393257:TUT393266 UEP393257:UEP393266 UOL393257:UOL393266 UYH393257:UYH393266 VID393257:VID393266 VRZ393257:VRZ393266 WBV393257:WBV393266 WLR393257:WLR393266 WVN393257:WVN393266 F458793:F458802 JB458793:JB458802 SX458793:SX458802 ACT458793:ACT458802 AMP458793:AMP458802 AWL458793:AWL458802 BGH458793:BGH458802 BQD458793:BQD458802 BZZ458793:BZZ458802 CJV458793:CJV458802 CTR458793:CTR458802 DDN458793:DDN458802 DNJ458793:DNJ458802 DXF458793:DXF458802 EHB458793:EHB458802 EQX458793:EQX458802 FAT458793:FAT458802 FKP458793:FKP458802 FUL458793:FUL458802 GEH458793:GEH458802 GOD458793:GOD458802 GXZ458793:GXZ458802 HHV458793:HHV458802 HRR458793:HRR458802 IBN458793:IBN458802 ILJ458793:ILJ458802 IVF458793:IVF458802 JFB458793:JFB458802 JOX458793:JOX458802 JYT458793:JYT458802 KIP458793:KIP458802 KSL458793:KSL458802 LCH458793:LCH458802 LMD458793:LMD458802 LVZ458793:LVZ458802 MFV458793:MFV458802 MPR458793:MPR458802 MZN458793:MZN458802 NJJ458793:NJJ458802 NTF458793:NTF458802 ODB458793:ODB458802 OMX458793:OMX458802 OWT458793:OWT458802 PGP458793:PGP458802 PQL458793:PQL458802 QAH458793:QAH458802 QKD458793:QKD458802 QTZ458793:QTZ458802 RDV458793:RDV458802 RNR458793:RNR458802 RXN458793:RXN458802 SHJ458793:SHJ458802 SRF458793:SRF458802 TBB458793:TBB458802 TKX458793:TKX458802 TUT458793:TUT458802 UEP458793:UEP458802 UOL458793:UOL458802 UYH458793:UYH458802 VID458793:VID458802 VRZ458793:VRZ458802 WBV458793:WBV458802 WLR458793:WLR458802 WVN458793:WVN458802 F524329:F524338 JB524329:JB524338 SX524329:SX524338 ACT524329:ACT524338 AMP524329:AMP524338 AWL524329:AWL524338 BGH524329:BGH524338 BQD524329:BQD524338 BZZ524329:BZZ524338 CJV524329:CJV524338 CTR524329:CTR524338 DDN524329:DDN524338 DNJ524329:DNJ524338 DXF524329:DXF524338 EHB524329:EHB524338 EQX524329:EQX524338 FAT524329:FAT524338 FKP524329:FKP524338 FUL524329:FUL524338 GEH524329:GEH524338 GOD524329:GOD524338 GXZ524329:GXZ524338 HHV524329:HHV524338 HRR524329:HRR524338 IBN524329:IBN524338 ILJ524329:ILJ524338 IVF524329:IVF524338 JFB524329:JFB524338 JOX524329:JOX524338 JYT524329:JYT524338 KIP524329:KIP524338 KSL524329:KSL524338 LCH524329:LCH524338 LMD524329:LMD524338 LVZ524329:LVZ524338 MFV524329:MFV524338 MPR524329:MPR524338 MZN524329:MZN524338 NJJ524329:NJJ524338 NTF524329:NTF524338 ODB524329:ODB524338 OMX524329:OMX524338 OWT524329:OWT524338 PGP524329:PGP524338 PQL524329:PQL524338 QAH524329:QAH524338 QKD524329:QKD524338 QTZ524329:QTZ524338 RDV524329:RDV524338 RNR524329:RNR524338 RXN524329:RXN524338 SHJ524329:SHJ524338 SRF524329:SRF524338 TBB524329:TBB524338 TKX524329:TKX524338 TUT524329:TUT524338 UEP524329:UEP524338 UOL524329:UOL524338 UYH524329:UYH524338 VID524329:VID524338 VRZ524329:VRZ524338 WBV524329:WBV524338 WLR524329:WLR524338 WVN524329:WVN524338 F589865:F589874 JB589865:JB589874 SX589865:SX589874 ACT589865:ACT589874 AMP589865:AMP589874 AWL589865:AWL589874 BGH589865:BGH589874 BQD589865:BQD589874 BZZ589865:BZZ589874 CJV589865:CJV589874 CTR589865:CTR589874 DDN589865:DDN589874 DNJ589865:DNJ589874 DXF589865:DXF589874 EHB589865:EHB589874 EQX589865:EQX589874 FAT589865:FAT589874 FKP589865:FKP589874 FUL589865:FUL589874 GEH589865:GEH589874 GOD589865:GOD589874 GXZ589865:GXZ589874 HHV589865:HHV589874 HRR589865:HRR589874 IBN589865:IBN589874 ILJ589865:ILJ589874 IVF589865:IVF589874 JFB589865:JFB589874 JOX589865:JOX589874 JYT589865:JYT589874 KIP589865:KIP589874 KSL589865:KSL589874 LCH589865:LCH589874 LMD589865:LMD589874 LVZ589865:LVZ589874 MFV589865:MFV589874 MPR589865:MPR589874 MZN589865:MZN589874 NJJ589865:NJJ589874 NTF589865:NTF589874 ODB589865:ODB589874 OMX589865:OMX589874 OWT589865:OWT589874 PGP589865:PGP589874 PQL589865:PQL589874 QAH589865:QAH589874 QKD589865:QKD589874 QTZ589865:QTZ589874 RDV589865:RDV589874 RNR589865:RNR589874 RXN589865:RXN589874 SHJ589865:SHJ589874 SRF589865:SRF589874 TBB589865:TBB589874 TKX589865:TKX589874 TUT589865:TUT589874 UEP589865:UEP589874 UOL589865:UOL589874 UYH589865:UYH589874 VID589865:VID589874 VRZ589865:VRZ589874 WBV589865:WBV589874 WLR589865:WLR589874 WVN589865:WVN589874 F655401:F655410 JB655401:JB655410 SX655401:SX655410 ACT655401:ACT655410 AMP655401:AMP655410 AWL655401:AWL655410 BGH655401:BGH655410 BQD655401:BQD655410 BZZ655401:BZZ655410 CJV655401:CJV655410 CTR655401:CTR655410 DDN655401:DDN655410 DNJ655401:DNJ655410 DXF655401:DXF655410 EHB655401:EHB655410 EQX655401:EQX655410 FAT655401:FAT655410 FKP655401:FKP655410 FUL655401:FUL655410 GEH655401:GEH655410 GOD655401:GOD655410 GXZ655401:GXZ655410 HHV655401:HHV655410 HRR655401:HRR655410 IBN655401:IBN655410 ILJ655401:ILJ655410 IVF655401:IVF655410 JFB655401:JFB655410 JOX655401:JOX655410 JYT655401:JYT655410 KIP655401:KIP655410 KSL655401:KSL655410 LCH655401:LCH655410 LMD655401:LMD655410 LVZ655401:LVZ655410 MFV655401:MFV655410 MPR655401:MPR655410 MZN655401:MZN655410 NJJ655401:NJJ655410 NTF655401:NTF655410 ODB655401:ODB655410 OMX655401:OMX655410 OWT655401:OWT655410 PGP655401:PGP655410 PQL655401:PQL655410 QAH655401:QAH655410 QKD655401:QKD655410 QTZ655401:QTZ655410 RDV655401:RDV655410 RNR655401:RNR655410 RXN655401:RXN655410 SHJ655401:SHJ655410 SRF655401:SRF655410 TBB655401:TBB655410 TKX655401:TKX655410 TUT655401:TUT655410 UEP655401:UEP655410 UOL655401:UOL655410 UYH655401:UYH655410 VID655401:VID655410 VRZ655401:VRZ655410 WBV655401:WBV655410 WLR655401:WLR655410 WVN655401:WVN655410 F720937:F720946 JB720937:JB720946 SX720937:SX720946 ACT720937:ACT720946 AMP720937:AMP720946 AWL720937:AWL720946 BGH720937:BGH720946 BQD720937:BQD720946 BZZ720937:BZZ720946 CJV720937:CJV720946 CTR720937:CTR720946 DDN720937:DDN720946 DNJ720937:DNJ720946 DXF720937:DXF720946 EHB720937:EHB720946 EQX720937:EQX720946 FAT720937:FAT720946 FKP720937:FKP720946 FUL720937:FUL720946 GEH720937:GEH720946 GOD720937:GOD720946 GXZ720937:GXZ720946 HHV720937:HHV720946 HRR720937:HRR720946 IBN720937:IBN720946 ILJ720937:ILJ720946 IVF720937:IVF720946 JFB720937:JFB720946 JOX720937:JOX720946 JYT720937:JYT720946 KIP720937:KIP720946 KSL720937:KSL720946 LCH720937:LCH720946 LMD720937:LMD720946 LVZ720937:LVZ720946 MFV720937:MFV720946 MPR720937:MPR720946 MZN720937:MZN720946 NJJ720937:NJJ720946 NTF720937:NTF720946 ODB720937:ODB720946 OMX720937:OMX720946 OWT720937:OWT720946 PGP720937:PGP720946 PQL720937:PQL720946 QAH720937:QAH720946 QKD720937:QKD720946 QTZ720937:QTZ720946 RDV720937:RDV720946 RNR720937:RNR720946 RXN720937:RXN720946 SHJ720937:SHJ720946 SRF720937:SRF720946 TBB720937:TBB720946 TKX720937:TKX720946 TUT720937:TUT720946 UEP720937:UEP720946 UOL720937:UOL720946 UYH720937:UYH720946 VID720937:VID720946 VRZ720937:VRZ720946 WBV720937:WBV720946 WLR720937:WLR720946 WVN720937:WVN720946 F786473:F786482 JB786473:JB786482 SX786473:SX786482 ACT786473:ACT786482 AMP786473:AMP786482 AWL786473:AWL786482 BGH786473:BGH786482 BQD786473:BQD786482 BZZ786473:BZZ786482 CJV786473:CJV786482 CTR786473:CTR786482 DDN786473:DDN786482 DNJ786473:DNJ786482 DXF786473:DXF786482 EHB786473:EHB786482 EQX786473:EQX786482 FAT786473:FAT786482 FKP786473:FKP786482 FUL786473:FUL786482 GEH786473:GEH786482 GOD786473:GOD786482 GXZ786473:GXZ786482 HHV786473:HHV786482 HRR786473:HRR786482 IBN786473:IBN786482 ILJ786473:ILJ786482 IVF786473:IVF786482 JFB786473:JFB786482 JOX786473:JOX786482 JYT786473:JYT786482 KIP786473:KIP786482 KSL786473:KSL786482 LCH786473:LCH786482 LMD786473:LMD786482 LVZ786473:LVZ786482 MFV786473:MFV786482 MPR786473:MPR786482 MZN786473:MZN786482 NJJ786473:NJJ786482 NTF786473:NTF786482 ODB786473:ODB786482 OMX786473:OMX786482 OWT786473:OWT786482 PGP786473:PGP786482 PQL786473:PQL786482 QAH786473:QAH786482 QKD786473:QKD786482 QTZ786473:QTZ786482 RDV786473:RDV786482 RNR786473:RNR786482 RXN786473:RXN786482 SHJ786473:SHJ786482 SRF786473:SRF786482 TBB786473:TBB786482 TKX786473:TKX786482 TUT786473:TUT786482 UEP786473:UEP786482 UOL786473:UOL786482 UYH786473:UYH786482 VID786473:VID786482 VRZ786473:VRZ786482 WBV786473:WBV786482 WLR786473:WLR786482 WVN786473:WVN786482 F852009:F852018 JB852009:JB852018 SX852009:SX852018 ACT852009:ACT852018 AMP852009:AMP852018 AWL852009:AWL852018 BGH852009:BGH852018 BQD852009:BQD852018 BZZ852009:BZZ852018 CJV852009:CJV852018 CTR852009:CTR852018 DDN852009:DDN852018 DNJ852009:DNJ852018 DXF852009:DXF852018 EHB852009:EHB852018 EQX852009:EQX852018 FAT852009:FAT852018 FKP852009:FKP852018 FUL852009:FUL852018 GEH852009:GEH852018 GOD852009:GOD852018 GXZ852009:GXZ852018 HHV852009:HHV852018 HRR852009:HRR852018 IBN852009:IBN852018 ILJ852009:ILJ852018 IVF852009:IVF852018 JFB852009:JFB852018 JOX852009:JOX852018 JYT852009:JYT852018 KIP852009:KIP852018 KSL852009:KSL852018 LCH852009:LCH852018 LMD852009:LMD852018 LVZ852009:LVZ852018 MFV852009:MFV852018 MPR852009:MPR852018 MZN852009:MZN852018 NJJ852009:NJJ852018 NTF852009:NTF852018 ODB852009:ODB852018 OMX852009:OMX852018 OWT852009:OWT852018 PGP852009:PGP852018 PQL852009:PQL852018 QAH852009:QAH852018 QKD852009:QKD852018 QTZ852009:QTZ852018 RDV852009:RDV852018 RNR852009:RNR852018 RXN852009:RXN852018 SHJ852009:SHJ852018 SRF852009:SRF852018 TBB852009:TBB852018 TKX852009:TKX852018 TUT852009:TUT852018 UEP852009:UEP852018 UOL852009:UOL852018 UYH852009:UYH852018 VID852009:VID852018 VRZ852009:VRZ852018 WBV852009:WBV852018 WLR852009:WLR852018 WVN852009:WVN852018 F917545:F917554 JB917545:JB917554 SX917545:SX917554 ACT917545:ACT917554 AMP917545:AMP917554 AWL917545:AWL917554 BGH917545:BGH917554 BQD917545:BQD917554 BZZ917545:BZZ917554 CJV917545:CJV917554 CTR917545:CTR917554 DDN917545:DDN917554 DNJ917545:DNJ917554 DXF917545:DXF917554 EHB917545:EHB917554 EQX917545:EQX917554 FAT917545:FAT917554 FKP917545:FKP917554 FUL917545:FUL917554 GEH917545:GEH917554 GOD917545:GOD917554 GXZ917545:GXZ917554 HHV917545:HHV917554 HRR917545:HRR917554 IBN917545:IBN917554 ILJ917545:ILJ917554 IVF917545:IVF917554 JFB917545:JFB917554 JOX917545:JOX917554 JYT917545:JYT917554 KIP917545:KIP917554 KSL917545:KSL917554 LCH917545:LCH917554 LMD917545:LMD917554 LVZ917545:LVZ917554 MFV917545:MFV917554 MPR917545:MPR917554 MZN917545:MZN917554 NJJ917545:NJJ917554 NTF917545:NTF917554 ODB917545:ODB917554 OMX917545:OMX917554 OWT917545:OWT917554 PGP917545:PGP917554 PQL917545:PQL917554 QAH917545:QAH917554 QKD917545:QKD917554 QTZ917545:QTZ917554 RDV917545:RDV917554 RNR917545:RNR917554 RXN917545:RXN917554 SHJ917545:SHJ917554 SRF917545:SRF917554 TBB917545:TBB917554 TKX917545:TKX917554 TUT917545:TUT917554 UEP917545:UEP917554 UOL917545:UOL917554 UYH917545:UYH917554 VID917545:VID917554 VRZ917545:VRZ917554 WBV917545:WBV917554 WLR917545:WLR917554 WVN917545:WVN917554 F983081:F983090 JB983081:JB983090 SX983081:SX983090 ACT983081:ACT983090 AMP983081:AMP983090 AWL983081:AWL983090 BGH983081:BGH983090 BQD983081:BQD983090 BZZ983081:BZZ983090 CJV983081:CJV983090 CTR983081:CTR983090 DDN983081:DDN983090 DNJ983081:DNJ983090 DXF983081:DXF983090 EHB983081:EHB983090 EQX983081:EQX983090 FAT983081:FAT983090 FKP983081:FKP983090 FUL983081:FUL983090 GEH983081:GEH983090 GOD983081:GOD983090 GXZ983081:GXZ983090 HHV983081:HHV983090 HRR983081:HRR983090 IBN983081:IBN983090 ILJ983081:ILJ983090 IVF983081:IVF983090 JFB983081:JFB983090 JOX983081:JOX983090 JYT983081:JYT983090 KIP983081:KIP983090 KSL983081:KSL983090 LCH983081:LCH983090 LMD983081:LMD983090 LVZ983081:LVZ983090 MFV983081:MFV983090 MPR983081:MPR983090 MZN983081:MZN983090 NJJ983081:NJJ983090 NTF983081:NTF983090 ODB983081:ODB983090 OMX983081:OMX983090 OWT983081:OWT983090 PGP983081:PGP983090 PQL983081:PQL983090 QAH983081:QAH983090 QKD983081:QKD983090 QTZ983081:QTZ983090 RDV983081:RDV983090 RNR983081:RNR983090 RXN983081:RXN983090 SHJ983081:SHJ983090 SRF983081:SRF983090 TBB983081:TBB983090 TKX983081:TKX983090 TUT983081:TUT983090 UEP983081:UEP983090 UOL983081:UOL983090 UYH983081:UYH983090 VID983081:VID983090 VRZ983081:VRZ983090 WBV983081:WBV983090 WLR983081:WLR983090 WVN983081:WVN983090 F10:F20 JB10:JB20 SX10:SX20 ACT10:ACT20 AMP10:AMP20 AWL10:AWL20 BGH10:BGH20 BQD10:BQD20 BZZ10:BZZ20 CJV10:CJV20 CTR10:CTR20 DDN10:DDN20 DNJ10:DNJ20 DXF10:DXF20 EHB10:EHB20 EQX10:EQX20 FAT10:FAT20 FKP10:FKP20 FUL10:FUL20 GEH10:GEH20 GOD10:GOD20 GXZ10:GXZ20 HHV10:HHV20 HRR10:HRR20 IBN10:IBN20 ILJ10:ILJ20 IVF10:IVF20 JFB10:JFB20 JOX10:JOX20 JYT10:JYT20 KIP10:KIP20 KSL10:KSL20 LCH10:LCH20 LMD10:LMD20 LVZ10:LVZ20 MFV10:MFV20 MPR10:MPR20 MZN10:MZN20 NJJ10:NJJ20 NTF10:NTF20 ODB10:ODB20 OMX10:OMX20 OWT10:OWT20 PGP10:PGP20 PQL10:PQL20 QAH10:QAH20 QKD10:QKD20 QTZ10:QTZ20 RDV10:RDV20 RNR10:RNR20 RXN10:RXN20 SHJ10:SHJ20 SRF10:SRF20 TBB10:TBB20 TKX10:TKX20 TUT10:TUT20 UEP10:UEP20 UOL10:UOL20 UYH10:UYH20 VID10:VID20 VRZ10:VRZ20 WBV10:WBV20 WLR10:WLR20 WVN10:WVN20 F65550:F65560 JB65550:JB65560 SX65550:SX65560 ACT65550:ACT65560 AMP65550:AMP65560 AWL65550:AWL65560 BGH65550:BGH65560 BQD65550:BQD65560 BZZ65550:BZZ65560 CJV65550:CJV65560 CTR65550:CTR65560 DDN65550:DDN65560 DNJ65550:DNJ65560 DXF65550:DXF65560 EHB65550:EHB65560 EQX65550:EQX65560 FAT65550:FAT65560 FKP65550:FKP65560 FUL65550:FUL65560 GEH65550:GEH65560 GOD65550:GOD65560 GXZ65550:GXZ65560 HHV65550:HHV65560 HRR65550:HRR65560 IBN65550:IBN65560 ILJ65550:ILJ65560 IVF65550:IVF65560 JFB65550:JFB65560 JOX65550:JOX65560 JYT65550:JYT65560 KIP65550:KIP65560 KSL65550:KSL65560 LCH65550:LCH65560 LMD65550:LMD65560 LVZ65550:LVZ65560 MFV65550:MFV65560 MPR65550:MPR65560 MZN65550:MZN65560 NJJ65550:NJJ65560 NTF65550:NTF65560 ODB65550:ODB65560 OMX65550:OMX65560 OWT65550:OWT65560 PGP65550:PGP65560 PQL65550:PQL65560 QAH65550:QAH65560 QKD65550:QKD65560 QTZ65550:QTZ65560 RDV65550:RDV65560 RNR65550:RNR65560 RXN65550:RXN65560 SHJ65550:SHJ65560 SRF65550:SRF65560 TBB65550:TBB65560 TKX65550:TKX65560 TUT65550:TUT65560 UEP65550:UEP65560 UOL65550:UOL65560 UYH65550:UYH65560 VID65550:VID65560 VRZ65550:VRZ65560 WBV65550:WBV65560 WLR65550:WLR65560 WVN65550:WVN65560 F131086:F131096 JB131086:JB131096 SX131086:SX131096 ACT131086:ACT131096 AMP131086:AMP131096 AWL131086:AWL131096 BGH131086:BGH131096 BQD131086:BQD131096 BZZ131086:BZZ131096 CJV131086:CJV131096 CTR131086:CTR131096 DDN131086:DDN131096 DNJ131086:DNJ131096 DXF131086:DXF131096 EHB131086:EHB131096 EQX131086:EQX131096 FAT131086:FAT131096 FKP131086:FKP131096 FUL131086:FUL131096 GEH131086:GEH131096 GOD131086:GOD131096 GXZ131086:GXZ131096 HHV131086:HHV131096 HRR131086:HRR131096 IBN131086:IBN131096 ILJ131086:ILJ131096 IVF131086:IVF131096 JFB131086:JFB131096 JOX131086:JOX131096 JYT131086:JYT131096 KIP131086:KIP131096 KSL131086:KSL131096 LCH131086:LCH131096 LMD131086:LMD131096 LVZ131086:LVZ131096 MFV131086:MFV131096 MPR131086:MPR131096 MZN131086:MZN131096 NJJ131086:NJJ131096 NTF131086:NTF131096 ODB131086:ODB131096 OMX131086:OMX131096 OWT131086:OWT131096 PGP131086:PGP131096 PQL131086:PQL131096 QAH131086:QAH131096 QKD131086:QKD131096 QTZ131086:QTZ131096 RDV131086:RDV131096 RNR131086:RNR131096 RXN131086:RXN131096 SHJ131086:SHJ131096 SRF131086:SRF131096 TBB131086:TBB131096 TKX131086:TKX131096 TUT131086:TUT131096 UEP131086:UEP131096 UOL131086:UOL131096 UYH131086:UYH131096 VID131086:VID131096 VRZ131086:VRZ131096 WBV131086:WBV131096 WLR131086:WLR131096 WVN131086:WVN131096 F196622:F196632 JB196622:JB196632 SX196622:SX196632 ACT196622:ACT196632 AMP196622:AMP196632 AWL196622:AWL196632 BGH196622:BGH196632 BQD196622:BQD196632 BZZ196622:BZZ196632 CJV196622:CJV196632 CTR196622:CTR196632 DDN196622:DDN196632 DNJ196622:DNJ196632 DXF196622:DXF196632 EHB196622:EHB196632 EQX196622:EQX196632 FAT196622:FAT196632 FKP196622:FKP196632 FUL196622:FUL196632 GEH196622:GEH196632 GOD196622:GOD196632 GXZ196622:GXZ196632 HHV196622:HHV196632 HRR196622:HRR196632 IBN196622:IBN196632 ILJ196622:ILJ196632 IVF196622:IVF196632 JFB196622:JFB196632 JOX196622:JOX196632 JYT196622:JYT196632 KIP196622:KIP196632 KSL196622:KSL196632 LCH196622:LCH196632 LMD196622:LMD196632 LVZ196622:LVZ196632 MFV196622:MFV196632 MPR196622:MPR196632 MZN196622:MZN196632 NJJ196622:NJJ196632 NTF196622:NTF196632 ODB196622:ODB196632 OMX196622:OMX196632 OWT196622:OWT196632 PGP196622:PGP196632 PQL196622:PQL196632 QAH196622:QAH196632 QKD196622:QKD196632 QTZ196622:QTZ196632 RDV196622:RDV196632 RNR196622:RNR196632 RXN196622:RXN196632 SHJ196622:SHJ196632 SRF196622:SRF196632 TBB196622:TBB196632 TKX196622:TKX196632 TUT196622:TUT196632 UEP196622:UEP196632 UOL196622:UOL196632 UYH196622:UYH196632 VID196622:VID196632 VRZ196622:VRZ196632 WBV196622:WBV196632 WLR196622:WLR196632 WVN196622:WVN196632 F262158:F262168 JB262158:JB262168 SX262158:SX262168 ACT262158:ACT262168 AMP262158:AMP262168 AWL262158:AWL262168 BGH262158:BGH262168 BQD262158:BQD262168 BZZ262158:BZZ262168 CJV262158:CJV262168 CTR262158:CTR262168 DDN262158:DDN262168 DNJ262158:DNJ262168 DXF262158:DXF262168 EHB262158:EHB262168 EQX262158:EQX262168 FAT262158:FAT262168 FKP262158:FKP262168 FUL262158:FUL262168 GEH262158:GEH262168 GOD262158:GOD262168 GXZ262158:GXZ262168 HHV262158:HHV262168 HRR262158:HRR262168 IBN262158:IBN262168 ILJ262158:ILJ262168 IVF262158:IVF262168 JFB262158:JFB262168 JOX262158:JOX262168 JYT262158:JYT262168 KIP262158:KIP262168 KSL262158:KSL262168 LCH262158:LCH262168 LMD262158:LMD262168 LVZ262158:LVZ262168 MFV262158:MFV262168 MPR262158:MPR262168 MZN262158:MZN262168 NJJ262158:NJJ262168 NTF262158:NTF262168 ODB262158:ODB262168 OMX262158:OMX262168 OWT262158:OWT262168 PGP262158:PGP262168 PQL262158:PQL262168 QAH262158:QAH262168 QKD262158:QKD262168 QTZ262158:QTZ262168 RDV262158:RDV262168 RNR262158:RNR262168 RXN262158:RXN262168 SHJ262158:SHJ262168 SRF262158:SRF262168 TBB262158:TBB262168 TKX262158:TKX262168 TUT262158:TUT262168 UEP262158:UEP262168 UOL262158:UOL262168 UYH262158:UYH262168 VID262158:VID262168 VRZ262158:VRZ262168 WBV262158:WBV262168 WLR262158:WLR262168 WVN262158:WVN262168 F327694:F327704 JB327694:JB327704 SX327694:SX327704 ACT327694:ACT327704 AMP327694:AMP327704 AWL327694:AWL327704 BGH327694:BGH327704 BQD327694:BQD327704 BZZ327694:BZZ327704 CJV327694:CJV327704 CTR327694:CTR327704 DDN327694:DDN327704 DNJ327694:DNJ327704 DXF327694:DXF327704 EHB327694:EHB327704 EQX327694:EQX327704 FAT327694:FAT327704 FKP327694:FKP327704 FUL327694:FUL327704 GEH327694:GEH327704 GOD327694:GOD327704 GXZ327694:GXZ327704 HHV327694:HHV327704 HRR327694:HRR327704 IBN327694:IBN327704 ILJ327694:ILJ327704 IVF327694:IVF327704 JFB327694:JFB327704 JOX327694:JOX327704 JYT327694:JYT327704 KIP327694:KIP327704 KSL327694:KSL327704 LCH327694:LCH327704 LMD327694:LMD327704 LVZ327694:LVZ327704 MFV327694:MFV327704 MPR327694:MPR327704 MZN327694:MZN327704 NJJ327694:NJJ327704 NTF327694:NTF327704 ODB327694:ODB327704 OMX327694:OMX327704 OWT327694:OWT327704 PGP327694:PGP327704 PQL327694:PQL327704 QAH327694:QAH327704 QKD327694:QKD327704 QTZ327694:QTZ327704 RDV327694:RDV327704 RNR327694:RNR327704 RXN327694:RXN327704 SHJ327694:SHJ327704 SRF327694:SRF327704 TBB327694:TBB327704 TKX327694:TKX327704 TUT327694:TUT327704 UEP327694:UEP327704 UOL327694:UOL327704 UYH327694:UYH327704 VID327694:VID327704 VRZ327694:VRZ327704 WBV327694:WBV327704 WLR327694:WLR327704 WVN327694:WVN327704 F393230:F393240 JB393230:JB393240 SX393230:SX393240 ACT393230:ACT393240 AMP393230:AMP393240 AWL393230:AWL393240 BGH393230:BGH393240 BQD393230:BQD393240 BZZ393230:BZZ393240 CJV393230:CJV393240 CTR393230:CTR393240 DDN393230:DDN393240 DNJ393230:DNJ393240 DXF393230:DXF393240 EHB393230:EHB393240 EQX393230:EQX393240 FAT393230:FAT393240 FKP393230:FKP393240 FUL393230:FUL393240 GEH393230:GEH393240 GOD393230:GOD393240 GXZ393230:GXZ393240 HHV393230:HHV393240 HRR393230:HRR393240 IBN393230:IBN393240 ILJ393230:ILJ393240 IVF393230:IVF393240 JFB393230:JFB393240 JOX393230:JOX393240 JYT393230:JYT393240 KIP393230:KIP393240 KSL393230:KSL393240 LCH393230:LCH393240 LMD393230:LMD393240 LVZ393230:LVZ393240 MFV393230:MFV393240 MPR393230:MPR393240 MZN393230:MZN393240 NJJ393230:NJJ393240 NTF393230:NTF393240 ODB393230:ODB393240 OMX393230:OMX393240 OWT393230:OWT393240 PGP393230:PGP393240 PQL393230:PQL393240 QAH393230:QAH393240 QKD393230:QKD393240 QTZ393230:QTZ393240 RDV393230:RDV393240 RNR393230:RNR393240 RXN393230:RXN393240 SHJ393230:SHJ393240 SRF393230:SRF393240 TBB393230:TBB393240 TKX393230:TKX393240 TUT393230:TUT393240 UEP393230:UEP393240 UOL393230:UOL393240 UYH393230:UYH393240 VID393230:VID393240 VRZ393230:VRZ393240 WBV393230:WBV393240 WLR393230:WLR393240 WVN393230:WVN393240 F458766:F458776 JB458766:JB458776 SX458766:SX458776 ACT458766:ACT458776 AMP458766:AMP458776 AWL458766:AWL458776 BGH458766:BGH458776 BQD458766:BQD458776 BZZ458766:BZZ458776 CJV458766:CJV458776 CTR458766:CTR458776 DDN458766:DDN458776 DNJ458766:DNJ458776 DXF458766:DXF458776 EHB458766:EHB458776 EQX458766:EQX458776 FAT458766:FAT458776 FKP458766:FKP458776 FUL458766:FUL458776 GEH458766:GEH458776 GOD458766:GOD458776 GXZ458766:GXZ458776 HHV458766:HHV458776 HRR458766:HRR458776 IBN458766:IBN458776 ILJ458766:ILJ458776 IVF458766:IVF458776 JFB458766:JFB458776 JOX458766:JOX458776 JYT458766:JYT458776 KIP458766:KIP458776 KSL458766:KSL458776 LCH458766:LCH458776 LMD458766:LMD458776 LVZ458766:LVZ458776 MFV458766:MFV458776 MPR458766:MPR458776 MZN458766:MZN458776 NJJ458766:NJJ458776 NTF458766:NTF458776 ODB458766:ODB458776 OMX458766:OMX458776 OWT458766:OWT458776 PGP458766:PGP458776 PQL458766:PQL458776 QAH458766:QAH458776 QKD458766:QKD458776 QTZ458766:QTZ458776 RDV458766:RDV458776 RNR458766:RNR458776 RXN458766:RXN458776 SHJ458766:SHJ458776 SRF458766:SRF458776 TBB458766:TBB458776 TKX458766:TKX458776 TUT458766:TUT458776 UEP458766:UEP458776 UOL458766:UOL458776 UYH458766:UYH458776 VID458766:VID458776 VRZ458766:VRZ458776 WBV458766:WBV458776 WLR458766:WLR458776 WVN458766:WVN458776 F524302:F524312 JB524302:JB524312 SX524302:SX524312 ACT524302:ACT524312 AMP524302:AMP524312 AWL524302:AWL524312 BGH524302:BGH524312 BQD524302:BQD524312 BZZ524302:BZZ524312 CJV524302:CJV524312 CTR524302:CTR524312 DDN524302:DDN524312 DNJ524302:DNJ524312 DXF524302:DXF524312 EHB524302:EHB524312 EQX524302:EQX524312 FAT524302:FAT524312 FKP524302:FKP524312 FUL524302:FUL524312 GEH524302:GEH524312 GOD524302:GOD524312 GXZ524302:GXZ524312 HHV524302:HHV524312 HRR524302:HRR524312 IBN524302:IBN524312 ILJ524302:ILJ524312 IVF524302:IVF524312 JFB524302:JFB524312 JOX524302:JOX524312 JYT524302:JYT524312 KIP524302:KIP524312 KSL524302:KSL524312 LCH524302:LCH524312 LMD524302:LMD524312 LVZ524302:LVZ524312 MFV524302:MFV524312 MPR524302:MPR524312 MZN524302:MZN524312 NJJ524302:NJJ524312 NTF524302:NTF524312 ODB524302:ODB524312 OMX524302:OMX524312 OWT524302:OWT524312 PGP524302:PGP524312 PQL524302:PQL524312 QAH524302:QAH524312 QKD524302:QKD524312 QTZ524302:QTZ524312 RDV524302:RDV524312 RNR524302:RNR524312 RXN524302:RXN524312 SHJ524302:SHJ524312 SRF524302:SRF524312 TBB524302:TBB524312 TKX524302:TKX524312 TUT524302:TUT524312 UEP524302:UEP524312 UOL524302:UOL524312 UYH524302:UYH524312 VID524302:VID524312 VRZ524302:VRZ524312 WBV524302:WBV524312 WLR524302:WLR524312 WVN524302:WVN524312 F589838:F589848 JB589838:JB589848 SX589838:SX589848 ACT589838:ACT589848 AMP589838:AMP589848 AWL589838:AWL589848 BGH589838:BGH589848 BQD589838:BQD589848 BZZ589838:BZZ589848 CJV589838:CJV589848 CTR589838:CTR589848 DDN589838:DDN589848 DNJ589838:DNJ589848 DXF589838:DXF589848 EHB589838:EHB589848 EQX589838:EQX589848 FAT589838:FAT589848 FKP589838:FKP589848 FUL589838:FUL589848 GEH589838:GEH589848 GOD589838:GOD589848 GXZ589838:GXZ589848 HHV589838:HHV589848 HRR589838:HRR589848 IBN589838:IBN589848 ILJ589838:ILJ589848 IVF589838:IVF589848 JFB589838:JFB589848 JOX589838:JOX589848 JYT589838:JYT589848 KIP589838:KIP589848 KSL589838:KSL589848 LCH589838:LCH589848 LMD589838:LMD589848 LVZ589838:LVZ589848 MFV589838:MFV589848 MPR589838:MPR589848 MZN589838:MZN589848 NJJ589838:NJJ589848 NTF589838:NTF589848 ODB589838:ODB589848 OMX589838:OMX589848 OWT589838:OWT589848 PGP589838:PGP589848 PQL589838:PQL589848 QAH589838:QAH589848 QKD589838:QKD589848 QTZ589838:QTZ589848 RDV589838:RDV589848 RNR589838:RNR589848 RXN589838:RXN589848 SHJ589838:SHJ589848 SRF589838:SRF589848 TBB589838:TBB589848 TKX589838:TKX589848 TUT589838:TUT589848 UEP589838:UEP589848 UOL589838:UOL589848 UYH589838:UYH589848 VID589838:VID589848 VRZ589838:VRZ589848 WBV589838:WBV589848 WLR589838:WLR589848 WVN589838:WVN589848 F655374:F655384 JB655374:JB655384 SX655374:SX655384 ACT655374:ACT655384 AMP655374:AMP655384 AWL655374:AWL655384 BGH655374:BGH655384 BQD655374:BQD655384 BZZ655374:BZZ655384 CJV655374:CJV655384 CTR655374:CTR655384 DDN655374:DDN655384 DNJ655374:DNJ655384 DXF655374:DXF655384 EHB655374:EHB655384 EQX655374:EQX655384 FAT655374:FAT655384 FKP655374:FKP655384 FUL655374:FUL655384 GEH655374:GEH655384 GOD655374:GOD655384 GXZ655374:GXZ655384 HHV655374:HHV655384 HRR655374:HRR655384 IBN655374:IBN655384 ILJ655374:ILJ655384 IVF655374:IVF655384 JFB655374:JFB655384 JOX655374:JOX655384 JYT655374:JYT655384 KIP655374:KIP655384 KSL655374:KSL655384 LCH655374:LCH655384 LMD655374:LMD655384 LVZ655374:LVZ655384 MFV655374:MFV655384 MPR655374:MPR655384 MZN655374:MZN655384 NJJ655374:NJJ655384 NTF655374:NTF655384 ODB655374:ODB655384 OMX655374:OMX655384 OWT655374:OWT655384 PGP655374:PGP655384 PQL655374:PQL655384 QAH655374:QAH655384 QKD655374:QKD655384 QTZ655374:QTZ655384 RDV655374:RDV655384 RNR655374:RNR655384 RXN655374:RXN655384 SHJ655374:SHJ655384 SRF655374:SRF655384 TBB655374:TBB655384 TKX655374:TKX655384 TUT655374:TUT655384 UEP655374:UEP655384 UOL655374:UOL655384 UYH655374:UYH655384 VID655374:VID655384 VRZ655374:VRZ655384 WBV655374:WBV655384 WLR655374:WLR655384 WVN655374:WVN655384 F720910:F720920 JB720910:JB720920 SX720910:SX720920 ACT720910:ACT720920 AMP720910:AMP720920 AWL720910:AWL720920 BGH720910:BGH720920 BQD720910:BQD720920 BZZ720910:BZZ720920 CJV720910:CJV720920 CTR720910:CTR720920 DDN720910:DDN720920 DNJ720910:DNJ720920 DXF720910:DXF720920 EHB720910:EHB720920 EQX720910:EQX720920 FAT720910:FAT720920 FKP720910:FKP720920 FUL720910:FUL720920 GEH720910:GEH720920 GOD720910:GOD720920 GXZ720910:GXZ720920 HHV720910:HHV720920 HRR720910:HRR720920 IBN720910:IBN720920 ILJ720910:ILJ720920 IVF720910:IVF720920 JFB720910:JFB720920 JOX720910:JOX720920 JYT720910:JYT720920 KIP720910:KIP720920 KSL720910:KSL720920 LCH720910:LCH720920 LMD720910:LMD720920 LVZ720910:LVZ720920 MFV720910:MFV720920 MPR720910:MPR720920 MZN720910:MZN720920 NJJ720910:NJJ720920 NTF720910:NTF720920 ODB720910:ODB720920 OMX720910:OMX720920 OWT720910:OWT720920 PGP720910:PGP720920 PQL720910:PQL720920 QAH720910:QAH720920 QKD720910:QKD720920 QTZ720910:QTZ720920 RDV720910:RDV720920 RNR720910:RNR720920 RXN720910:RXN720920 SHJ720910:SHJ720920 SRF720910:SRF720920 TBB720910:TBB720920 TKX720910:TKX720920 TUT720910:TUT720920 UEP720910:UEP720920 UOL720910:UOL720920 UYH720910:UYH720920 VID720910:VID720920 VRZ720910:VRZ720920 WBV720910:WBV720920 WLR720910:WLR720920 WVN720910:WVN720920 F786446:F786456 JB786446:JB786456 SX786446:SX786456 ACT786446:ACT786456 AMP786446:AMP786456 AWL786446:AWL786456 BGH786446:BGH786456 BQD786446:BQD786456 BZZ786446:BZZ786456 CJV786446:CJV786456 CTR786446:CTR786456 DDN786446:DDN786456 DNJ786446:DNJ786456 DXF786446:DXF786456 EHB786446:EHB786456 EQX786446:EQX786456 FAT786446:FAT786456 FKP786446:FKP786456 FUL786446:FUL786456 GEH786446:GEH786456 GOD786446:GOD786456 GXZ786446:GXZ786456 HHV786446:HHV786456 HRR786446:HRR786456 IBN786446:IBN786456 ILJ786446:ILJ786456 IVF786446:IVF786456 JFB786446:JFB786456 JOX786446:JOX786456 JYT786446:JYT786456 KIP786446:KIP786456 KSL786446:KSL786456 LCH786446:LCH786456 LMD786446:LMD786456 LVZ786446:LVZ786456 MFV786446:MFV786456 MPR786446:MPR786456 MZN786446:MZN786456 NJJ786446:NJJ786456 NTF786446:NTF786456 ODB786446:ODB786456 OMX786446:OMX786456 OWT786446:OWT786456 PGP786446:PGP786456 PQL786446:PQL786456 QAH786446:QAH786456 QKD786446:QKD786456 QTZ786446:QTZ786456 RDV786446:RDV786456 RNR786446:RNR786456 RXN786446:RXN786456 SHJ786446:SHJ786456 SRF786446:SRF786456 TBB786446:TBB786456 TKX786446:TKX786456 TUT786446:TUT786456 UEP786446:UEP786456 UOL786446:UOL786456 UYH786446:UYH786456 VID786446:VID786456 VRZ786446:VRZ786456 WBV786446:WBV786456 WLR786446:WLR786456 WVN786446:WVN786456 F851982:F851992 JB851982:JB851992 SX851982:SX851992 ACT851982:ACT851992 AMP851982:AMP851992 AWL851982:AWL851992 BGH851982:BGH851992 BQD851982:BQD851992 BZZ851982:BZZ851992 CJV851982:CJV851992 CTR851982:CTR851992 DDN851982:DDN851992 DNJ851982:DNJ851992 DXF851982:DXF851992 EHB851982:EHB851992 EQX851982:EQX851992 FAT851982:FAT851992 FKP851982:FKP851992 FUL851982:FUL851992 GEH851982:GEH851992 GOD851982:GOD851992 GXZ851982:GXZ851992 HHV851982:HHV851992 HRR851982:HRR851992 IBN851982:IBN851992 ILJ851982:ILJ851992 IVF851982:IVF851992 JFB851982:JFB851992 JOX851982:JOX851992 JYT851982:JYT851992 KIP851982:KIP851992 KSL851982:KSL851992 LCH851982:LCH851992 LMD851982:LMD851992 LVZ851982:LVZ851992 MFV851982:MFV851992 MPR851982:MPR851992 MZN851982:MZN851992 NJJ851982:NJJ851992 NTF851982:NTF851992 ODB851982:ODB851992 OMX851982:OMX851992 OWT851982:OWT851992 PGP851982:PGP851992 PQL851982:PQL851992 QAH851982:QAH851992 QKD851982:QKD851992 QTZ851982:QTZ851992 RDV851982:RDV851992 RNR851982:RNR851992 RXN851982:RXN851992 SHJ851982:SHJ851992 SRF851982:SRF851992 TBB851982:TBB851992 TKX851982:TKX851992 TUT851982:TUT851992 UEP851982:UEP851992 UOL851982:UOL851992 UYH851982:UYH851992 VID851982:VID851992 VRZ851982:VRZ851992 WBV851982:WBV851992 WLR851982:WLR851992 WVN851982:WVN851992 F917518:F917528 JB917518:JB917528 SX917518:SX917528 ACT917518:ACT917528 AMP917518:AMP917528 AWL917518:AWL917528 BGH917518:BGH917528 BQD917518:BQD917528 BZZ917518:BZZ917528 CJV917518:CJV917528 CTR917518:CTR917528 DDN917518:DDN917528 DNJ917518:DNJ917528 DXF917518:DXF917528 EHB917518:EHB917528 EQX917518:EQX917528 FAT917518:FAT917528 FKP917518:FKP917528 FUL917518:FUL917528 GEH917518:GEH917528 GOD917518:GOD917528 GXZ917518:GXZ917528 HHV917518:HHV917528 HRR917518:HRR917528 IBN917518:IBN917528 ILJ917518:ILJ917528 IVF917518:IVF917528 JFB917518:JFB917528 JOX917518:JOX917528 JYT917518:JYT917528 KIP917518:KIP917528 KSL917518:KSL917528 LCH917518:LCH917528 LMD917518:LMD917528 LVZ917518:LVZ917528 MFV917518:MFV917528 MPR917518:MPR917528 MZN917518:MZN917528 NJJ917518:NJJ917528 NTF917518:NTF917528 ODB917518:ODB917528 OMX917518:OMX917528 OWT917518:OWT917528 PGP917518:PGP917528 PQL917518:PQL917528 QAH917518:QAH917528 QKD917518:QKD917528 QTZ917518:QTZ917528 RDV917518:RDV917528 RNR917518:RNR917528 RXN917518:RXN917528 SHJ917518:SHJ917528 SRF917518:SRF917528 TBB917518:TBB917528 TKX917518:TKX917528 TUT917518:TUT917528 UEP917518:UEP917528 UOL917518:UOL917528 UYH917518:UYH917528 VID917518:VID917528 VRZ917518:VRZ917528 WBV917518:WBV917528 WLR917518:WLR917528 WVN917518:WVN917528 F983054:F983064 JB983054:JB983064 SX983054:SX983064 ACT983054:ACT983064 AMP983054:AMP983064 AWL983054:AWL983064 BGH983054:BGH983064 BQD983054:BQD983064 BZZ983054:BZZ983064 CJV983054:CJV983064 CTR983054:CTR983064 DDN983054:DDN983064 DNJ983054:DNJ983064 DXF983054:DXF983064 EHB983054:EHB983064 EQX983054:EQX983064 FAT983054:FAT983064 FKP983054:FKP983064 FUL983054:FUL983064 GEH983054:GEH983064 GOD983054:GOD983064 GXZ983054:GXZ983064 HHV983054:HHV983064 HRR983054:HRR983064 IBN983054:IBN983064 ILJ983054:ILJ983064 IVF983054:IVF983064 JFB983054:JFB983064 JOX983054:JOX983064 JYT983054:JYT983064 KIP983054:KIP983064 KSL983054:KSL983064 LCH983054:LCH983064 LMD983054:LMD983064 LVZ983054:LVZ983064 MFV983054:MFV983064 MPR983054:MPR983064 MZN983054:MZN983064 NJJ983054:NJJ983064 NTF983054:NTF983064 ODB983054:ODB983064 OMX983054:OMX983064 OWT983054:OWT983064 PGP983054:PGP983064 PQL983054:PQL983064 QAH983054:QAH983064 QKD983054:QKD983064 QTZ983054:QTZ983064 RDV983054:RDV983064 RNR983054:RNR983064 RXN983054:RXN983064 SHJ983054:SHJ983064 SRF983054:SRF983064 TBB983054:TBB983064 TKX983054:TKX983064 TUT983054:TUT983064 UEP983054:UEP983064 UOL983054:UOL983064 UYH983054:UYH983064 VID983054:VID983064 VRZ983054:VRZ983064 WBV983054:WBV983064 WLR983054:WLR983064 WVN983054:WVN983064" xr:uid="{A50BBF09-496E-43D7-92BB-1DA784066AC1}">
      <formula1>"Not Applicable,High,Medium,Low"</formula1>
    </dataValidation>
    <dataValidation type="list" allowBlank="1" showInputMessage="1" showErrorMessage="1" sqref="D26:D35 IZ26:IZ35 SV26:SV35 ACR26:ACR35 AMN26:AMN35 AWJ26:AWJ35 BGF26:BGF35 BQB26:BQB35 BZX26:BZX35 CJT26:CJT35 CTP26:CTP35 DDL26:DDL35 DNH26:DNH35 DXD26:DXD35 EGZ26:EGZ35 EQV26:EQV35 FAR26:FAR35 FKN26:FKN35 FUJ26:FUJ35 GEF26:GEF35 GOB26:GOB35 GXX26:GXX35 HHT26:HHT35 HRP26:HRP35 IBL26:IBL35 ILH26:ILH35 IVD26:IVD35 JEZ26:JEZ35 JOV26:JOV35 JYR26:JYR35 KIN26:KIN35 KSJ26:KSJ35 LCF26:LCF35 LMB26:LMB35 LVX26:LVX35 MFT26:MFT35 MPP26:MPP35 MZL26:MZL35 NJH26:NJH35 NTD26:NTD35 OCZ26:OCZ35 OMV26:OMV35 OWR26:OWR35 PGN26:PGN35 PQJ26:PQJ35 QAF26:QAF35 QKB26:QKB35 QTX26:QTX35 RDT26:RDT35 RNP26:RNP35 RXL26:RXL35 SHH26:SHH35 SRD26:SRD35 TAZ26:TAZ35 TKV26:TKV35 TUR26:TUR35 UEN26:UEN35 UOJ26:UOJ35 UYF26:UYF35 VIB26:VIB35 VRX26:VRX35 WBT26:WBT35 WLP26:WLP35 WVL26:WVL35 D65564:D65573 IZ65564:IZ65573 SV65564:SV65573 ACR65564:ACR65573 AMN65564:AMN65573 AWJ65564:AWJ65573 BGF65564:BGF65573 BQB65564:BQB65573 BZX65564:BZX65573 CJT65564:CJT65573 CTP65564:CTP65573 DDL65564:DDL65573 DNH65564:DNH65573 DXD65564:DXD65573 EGZ65564:EGZ65573 EQV65564:EQV65573 FAR65564:FAR65573 FKN65564:FKN65573 FUJ65564:FUJ65573 GEF65564:GEF65573 GOB65564:GOB65573 GXX65564:GXX65573 HHT65564:HHT65573 HRP65564:HRP65573 IBL65564:IBL65573 ILH65564:ILH65573 IVD65564:IVD65573 JEZ65564:JEZ65573 JOV65564:JOV65573 JYR65564:JYR65573 KIN65564:KIN65573 KSJ65564:KSJ65573 LCF65564:LCF65573 LMB65564:LMB65573 LVX65564:LVX65573 MFT65564:MFT65573 MPP65564:MPP65573 MZL65564:MZL65573 NJH65564:NJH65573 NTD65564:NTD65573 OCZ65564:OCZ65573 OMV65564:OMV65573 OWR65564:OWR65573 PGN65564:PGN65573 PQJ65564:PQJ65573 QAF65564:QAF65573 QKB65564:QKB65573 QTX65564:QTX65573 RDT65564:RDT65573 RNP65564:RNP65573 RXL65564:RXL65573 SHH65564:SHH65573 SRD65564:SRD65573 TAZ65564:TAZ65573 TKV65564:TKV65573 TUR65564:TUR65573 UEN65564:UEN65573 UOJ65564:UOJ65573 UYF65564:UYF65573 VIB65564:VIB65573 VRX65564:VRX65573 WBT65564:WBT65573 WLP65564:WLP65573 WVL65564:WVL65573 D131100:D131109 IZ131100:IZ131109 SV131100:SV131109 ACR131100:ACR131109 AMN131100:AMN131109 AWJ131100:AWJ131109 BGF131100:BGF131109 BQB131100:BQB131109 BZX131100:BZX131109 CJT131100:CJT131109 CTP131100:CTP131109 DDL131100:DDL131109 DNH131100:DNH131109 DXD131100:DXD131109 EGZ131100:EGZ131109 EQV131100:EQV131109 FAR131100:FAR131109 FKN131100:FKN131109 FUJ131100:FUJ131109 GEF131100:GEF131109 GOB131100:GOB131109 GXX131100:GXX131109 HHT131100:HHT131109 HRP131100:HRP131109 IBL131100:IBL131109 ILH131100:ILH131109 IVD131100:IVD131109 JEZ131100:JEZ131109 JOV131100:JOV131109 JYR131100:JYR131109 KIN131100:KIN131109 KSJ131100:KSJ131109 LCF131100:LCF131109 LMB131100:LMB131109 LVX131100:LVX131109 MFT131100:MFT131109 MPP131100:MPP131109 MZL131100:MZL131109 NJH131100:NJH131109 NTD131100:NTD131109 OCZ131100:OCZ131109 OMV131100:OMV131109 OWR131100:OWR131109 PGN131100:PGN131109 PQJ131100:PQJ131109 QAF131100:QAF131109 QKB131100:QKB131109 QTX131100:QTX131109 RDT131100:RDT131109 RNP131100:RNP131109 RXL131100:RXL131109 SHH131100:SHH131109 SRD131100:SRD131109 TAZ131100:TAZ131109 TKV131100:TKV131109 TUR131100:TUR131109 UEN131100:UEN131109 UOJ131100:UOJ131109 UYF131100:UYF131109 VIB131100:VIB131109 VRX131100:VRX131109 WBT131100:WBT131109 WLP131100:WLP131109 WVL131100:WVL131109 D196636:D196645 IZ196636:IZ196645 SV196636:SV196645 ACR196636:ACR196645 AMN196636:AMN196645 AWJ196636:AWJ196645 BGF196636:BGF196645 BQB196636:BQB196645 BZX196636:BZX196645 CJT196636:CJT196645 CTP196636:CTP196645 DDL196636:DDL196645 DNH196636:DNH196645 DXD196636:DXD196645 EGZ196636:EGZ196645 EQV196636:EQV196645 FAR196636:FAR196645 FKN196636:FKN196645 FUJ196636:FUJ196645 GEF196636:GEF196645 GOB196636:GOB196645 GXX196636:GXX196645 HHT196636:HHT196645 HRP196636:HRP196645 IBL196636:IBL196645 ILH196636:ILH196645 IVD196636:IVD196645 JEZ196636:JEZ196645 JOV196636:JOV196645 JYR196636:JYR196645 KIN196636:KIN196645 KSJ196636:KSJ196645 LCF196636:LCF196645 LMB196636:LMB196645 LVX196636:LVX196645 MFT196636:MFT196645 MPP196636:MPP196645 MZL196636:MZL196645 NJH196636:NJH196645 NTD196636:NTD196645 OCZ196636:OCZ196645 OMV196636:OMV196645 OWR196636:OWR196645 PGN196636:PGN196645 PQJ196636:PQJ196645 QAF196636:QAF196645 QKB196636:QKB196645 QTX196636:QTX196645 RDT196636:RDT196645 RNP196636:RNP196645 RXL196636:RXL196645 SHH196636:SHH196645 SRD196636:SRD196645 TAZ196636:TAZ196645 TKV196636:TKV196645 TUR196636:TUR196645 UEN196636:UEN196645 UOJ196636:UOJ196645 UYF196636:UYF196645 VIB196636:VIB196645 VRX196636:VRX196645 WBT196636:WBT196645 WLP196636:WLP196645 WVL196636:WVL196645 D262172:D262181 IZ262172:IZ262181 SV262172:SV262181 ACR262172:ACR262181 AMN262172:AMN262181 AWJ262172:AWJ262181 BGF262172:BGF262181 BQB262172:BQB262181 BZX262172:BZX262181 CJT262172:CJT262181 CTP262172:CTP262181 DDL262172:DDL262181 DNH262172:DNH262181 DXD262172:DXD262181 EGZ262172:EGZ262181 EQV262172:EQV262181 FAR262172:FAR262181 FKN262172:FKN262181 FUJ262172:FUJ262181 GEF262172:GEF262181 GOB262172:GOB262181 GXX262172:GXX262181 HHT262172:HHT262181 HRP262172:HRP262181 IBL262172:IBL262181 ILH262172:ILH262181 IVD262172:IVD262181 JEZ262172:JEZ262181 JOV262172:JOV262181 JYR262172:JYR262181 KIN262172:KIN262181 KSJ262172:KSJ262181 LCF262172:LCF262181 LMB262172:LMB262181 LVX262172:LVX262181 MFT262172:MFT262181 MPP262172:MPP262181 MZL262172:MZL262181 NJH262172:NJH262181 NTD262172:NTD262181 OCZ262172:OCZ262181 OMV262172:OMV262181 OWR262172:OWR262181 PGN262172:PGN262181 PQJ262172:PQJ262181 QAF262172:QAF262181 QKB262172:QKB262181 QTX262172:QTX262181 RDT262172:RDT262181 RNP262172:RNP262181 RXL262172:RXL262181 SHH262172:SHH262181 SRD262172:SRD262181 TAZ262172:TAZ262181 TKV262172:TKV262181 TUR262172:TUR262181 UEN262172:UEN262181 UOJ262172:UOJ262181 UYF262172:UYF262181 VIB262172:VIB262181 VRX262172:VRX262181 WBT262172:WBT262181 WLP262172:WLP262181 WVL262172:WVL262181 D327708:D327717 IZ327708:IZ327717 SV327708:SV327717 ACR327708:ACR327717 AMN327708:AMN327717 AWJ327708:AWJ327717 BGF327708:BGF327717 BQB327708:BQB327717 BZX327708:BZX327717 CJT327708:CJT327717 CTP327708:CTP327717 DDL327708:DDL327717 DNH327708:DNH327717 DXD327708:DXD327717 EGZ327708:EGZ327717 EQV327708:EQV327717 FAR327708:FAR327717 FKN327708:FKN327717 FUJ327708:FUJ327717 GEF327708:GEF327717 GOB327708:GOB327717 GXX327708:GXX327717 HHT327708:HHT327717 HRP327708:HRP327717 IBL327708:IBL327717 ILH327708:ILH327717 IVD327708:IVD327717 JEZ327708:JEZ327717 JOV327708:JOV327717 JYR327708:JYR327717 KIN327708:KIN327717 KSJ327708:KSJ327717 LCF327708:LCF327717 LMB327708:LMB327717 LVX327708:LVX327717 MFT327708:MFT327717 MPP327708:MPP327717 MZL327708:MZL327717 NJH327708:NJH327717 NTD327708:NTD327717 OCZ327708:OCZ327717 OMV327708:OMV327717 OWR327708:OWR327717 PGN327708:PGN327717 PQJ327708:PQJ327717 QAF327708:QAF327717 QKB327708:QKB327717 QTX327708:QTX327717 RDT327708:RDT327717 RNP327708:RNP327717 RXL327708:RXL327717 SHH327708:SHH327717 SRD327708:SRD327717 TAZ327708:TAZ327717 TKV327708:TKV327717 TUR327708:TUR327717 UEN327708:UEN327717 UOJ327708:UOJ327717 UYF327708:UYF327717 VIB327708:VIB327717 VRX327708:VRX327717 WBT327708:WBT327717 WLP327708:WLP327717 WVL327708:WVL327717 D393244:D393253 IZ393244:IZ393253 SV393244:SV393253 ACR393244:ACR393253 AMN393244:AMN393253 AWJ393244:AWJ393253 BGF393244:BGF393253 BQB393244:BQB393253 BZX393244:BZX393253 CJT393244:CJT393253 CTP393244:CTP393253 DDL393244:DDL393253 DNH393244:DNH393253 DXD393244:DXD393253 EGZ393244:EGZ393253 EQV393244:EQV393253 FAR393244:FAR393253 FKN393244:FKN393253 FUJ393244:FUJ393253 GEF393244:GEF393253 GOB393244:GOB393253 GXX393244:GXX393253 HHT393244:HHT393253 HRP393244:HRP393253 IBL393244:IBL393253 ILH393244:ILH393253 IVD393244:IVD393253 JEZ393244:JEZ393253 JOV393244:JOV393253 JYR393244:JYR393253 KIN393244:KIN393253 KSJ393244:KSJ393253 LCF393244:LCF393253 LMB393244:LMB393253 LVX393244:LVX393253 MFT393244:MFT393253 MPP393244:MPP393253 MZL393244:MZL393253 NJH393244:NJH393253 NTD393244:NTD393253 OCZ393244:OCZ393253 OMV393244:OMV393253 OWR393244:OWR393253 PGN393244:PGN393253 PQJ393244:PQJ393253 QAF393244:QAF393253 QKB393244:QKB393253 QTX393244:QTX393253 RDT393244:RDT393253 RNP393244:RNP393253 RXL393244:RXL393253 SHH393244:SHH393253 SRD393244:SRD393253 TAZ393244:TAZ393253 TKV393244:TKV393253 TUR393244:TUR393253 UEN393244:UEN393253 UOJ393244:UOJ393253 UYF393244:UYF393253 VIB393244:VIB393253 VRX393244:VRX393253 WBT393244:WBT393253 WLP393244:WLP393253 WVL393244:WVL393253 D458780:D458789 IZ458780:IZ458789 SV458780:SV458789 ACR458780:ACR458789 AMN458780:AMN458789 AWJ458780:AWJ458789 BGF458780:BGF458789 BQB458780:BQB458789 BZX458780:BZX458789 CJT458780:CJT458789 CTP458780:CTP458789 DDL458780:DDL458789 DNH458780:DNH458789 DXD458780:DXD458789 EGZ458780:EGZ458789 EQV458780:EQV458789 FAR458780:FAR458789 FKN458780:FKN458789 FUJ458780:FUJ458789 GEF458780:GEF458789 GOB458780:GOB458789 GXX458780:GXX458789 HHT458780:HHT458789 HRP458780:HRP458789 IBL458780:IBL458789 ILH458780:ILH458789 IVD458780:IVD458789 JEZ458780:JEZ458789 JOV458780:JOV458789 JYR458780:JYR458789 KIN458780:KIN458789 KSJ458780:KSJ458789 LCF458780:LCF458789 LMB458780:LMB458789 LVX458780:LVX458789 MFT458780:MFT458789 MPP458780:MPP458789 MZL458780:MZL458789 NJH458780:NJH458789 NTD458780:NTD458789 OCZ458780:OCZ458789 OMV458780:OMV458789 OWR458780:OWR458789 PGN458780:PGN458789 PQJ458780:PQJ458789 QAF458780:QAF458789 QKB458780:QKB458789 QTX458780:QTX458789 RDT458780:RDT458789 RNP458780:RNP458789 RXL458780:RXL458789 SHH458780:SHH458789 SRD458780:SRD458789 TAZ458780:TAZ458789 TKV458780:TKV458789 TUR458780:TUR458789 UEN458780:UEN458789 UOJ458780:UOJ458789 UYF458780:UYF458789 VIB458780:VIB458789 VRX458780:VRX458789 WBT458780:WBT458789 WLP458780:WLP458789 WVL458780:WVL458789 D524316:D524325 IZ524316:IZ524325 SV524316:SV524325 ACR524316:ACR524325 AMN524316:AMN524325 AWJ524316:AWJ524325 BGF524316:BGF524325 BQB524316:BQB524325 BZX524316:BZX524325 CJT524316:CJT524325 CTP524316:CTP524325 DDL524316:DDL524325 DNH524316:DNH524325 DXD524316:DXD524325 EGZ524316:EGZ524325 EQV524316:EQV524325 FAR524316:FAR524325 FKN524316:FKN524325 FUJ524316:FUJ524325 GEF524316:GEF524325 GOB524316:GOB524325 GXX524316:GXX524325 HHT524316:HHT524325 HRP524316:HRP524325 IBL524316:IBL524325 ILH524316:ILH524325 IVD524316:IVD524325 JEZ524316:JEZ524325 JOV524316:JOV524325 JYR524316:JYR524325 KIN524316:KIN524325 KSJ524316:KSJ524325 LCF524316:LCF524325 LMB524316:LMB524325 LVX524316:LVX524325 MFT524316:MFT524325 MPP524316:MPP524325 MZL524316:MZL524325 NJH524316:NJH524325 NTD524316:NTD524325 OCZ524316:OCZ524325 OMV524316:OMV524325 OWR524316:OWR524325 PGN524316:PGN524325 PQJ524316:PQJ524325 QAF524316:QAF524325 QKB524316:QKB524325 QTX524316:QTX524325 RDT524316:RDT524325 RNP524316:RNP524325 RXL524316:RXL524325 SHH524316:SHH524325 SRD524316:SRD524325 TAZ524316:TAZ524325 TKV524316:TKV524325 TUR524316:TUR524325 UEN524316:UEN524325 UOJ524316:UOJ524325 UYF524316:UYF524325 VIB524316:VIB524325 VRX524316:VRX524325 WBT524316:WBT524325 WLP524316:WLP524325 WVL524316:WVL524325 D589852:D589861 IZ589852:IZ589861 SV589852:SV589861 ACR589852:ACR589861 AMN589852:AMN589861 AWJ589852:AWJ589861 BGF589852:BGF589861 BQB589852:BQB589861 BZX589852:BZX589861 CJT589852:CJT589861 CTP589852:CTP589861 DDL589852:DDL589861 DNH589852:DNH589861 DXD589852:DXD589861 EGZ589852:EGZ589861 EQV589852:EQV589861 FAR589852:FAR589861 FKN589852:FKN589861 FUJ589852:FUJ589861 GEF589852:GEF589861 GOB589852:GOB589861 GXX589852:GXX589861 HHT589852:HHT589861 HRP589852:HRP589861 IBL589852:IBL589861 ILH589852:ILH589861 IVD589852:IVD589861 JEZ589852:JEZ589861 JOV589852:JOV589861 JYR589852:JYR589861 KIN589852:KIN589861 KSJ589852:KSJ589861 LCF589852:LCF589861 LMB589852:LMB589861 LVX589852:LVX589861 MFT589852:MFT589861 MPP589852:MPP589861 MZL589852:MZL589861 NJH589852:NJH589861 NTD589852:NTD589861 OCZ589852:OCZ589861 OMV589852:OMV589861 OWR589852:OWR589861 PGN589852:PGN589861 PQJ589852:PQJ589861 QAF589852:QAF589861 QKB589852:QKB589861 QTX589852:QTX589861 RDT589852:RDT589861 RNP589852:RNP589861 RXL589852:RXL589861 SHH589852:SHH589861 SRD589852:SRD589861 TAZ589852:TAZ589861 TKV589852:TKV589861 TUR589852:TUR589861 UEN589852:UEN589861 UOJ589852:UOJ589861 UYF589852:UYF589861 VIB589852:VIB589861 VRX589852:VRX589861 WBT589852:WBT589861 WLP589852:WLP589861 WVL589852:WVL589861 D655388:D655397 IZ655388:IZ655397 SV655388:SV655397 ACR655388:ACR655397 AMN655388:AMN655397 AWJ655388:AWJ655397 BGF655388:BGF655397 BQB655388:BQB655397 BZX655388:BZX655397 CJT655388:CJT655397 CTP655388:CTP655397 DDL655388:DDL655397 DNH655388:DNH655397 DXD655388:DXD655397 EGZ655388:EGZ655397 EQV655388:EQV655397 FAR655388:FAR655397 FKN655388:FKN655397 FUJ655388:FUJ655397 GEF655388:GEF655397 GOB655388:GOB655397 GXX655388:GXX655397 HHT655388:HHT655397 HRP655388:HRP655397 IBL655388:IBL655397 ILH655388:ILH655397 IVD655388:IVD655397 JEZ655388:JEZ655397 JOV655388:JOV655397 JYR655388:JYR655397 KIN655388:KIN655397 KSJ655388:KSJ655397 LCF655388:LCF655397 LMB655388:LMB655397 LVX655388:LVX655397 MFT655388:MFT655397 MPP655388:MPP655397 MZL655388:MZL655397 NJH655388:NJH655397 NTD655388:NTD655397 OCZ655388:OCZ655397 OMV655388:OMV655397 OWR655388:OWR655397 PGN655388:PGN655397 PQJ655388:PQJ655397 QAF655388:QAF655397 QKB655388:QKB655397 QTX655388:QTX655397 RDT655388:RDT655397 RNP655388:RNP655397 RXL655388:RXL655397 SHH655388:SHH655397 SRD655388:SRD655397 TAZ655388:TAZ655397 TKV655388:TKV655397 TUR655388:TUR655397 UEN655388:UEN655397 UOJ655388:UOJ655397 UYF655388:UYF655397 VIB655388:VIB655397 VRX655388:VRX655397 WBT655388:WBT655397 WLP655388:WLP655397 WVL655388:WVL655397 D720924:D720933 IZ720924:IZ720933 SV720924:SV720933 ACR720924:ACR720933 AMN720924:AMN720933 AWJ720924:AWJ720933 BGF720924:BGF720933 BQB720924:BQB720933 BZX720924:BZX720933 CJT720924:CJT720933 CTP720924:CTP720933 DDL720924:DDL720933 DNH720924:DNH720933 DXD720924:DXD720933 EGZ720924:EGZ720933 EQV720924:EQV720933 FAR720924:FAR720933 FKN720924:FKN720933 FUJ720924:FUJ720933 GEF720924:GEF720933 GOB720924:GOB720933 GXX720924:GXX720933 HHT720924:HHT720933 HRP720924:HRP720933 IBL720924:IBL720933 ILH720924:ILH720933 IVD720924:IVD720933 JEZ720924:JEZ720933 JOV720924:JOV720933 JYR720924:JYR720933 KIN720924:KIN720933 KSJ720924:KSJ720933 LCF720924:LCF720933 LMB720924:LMB720933 LVX720924:LVX720933 MFT720924:MFT720933 MPP720924:MPP720933 MZL720924:MZL720933 NJH720924:NJH720933 NTD720924:NTD720933 OCZ720924:OCZ720933 OMV720924:OMV720933 OWR720924:OWR720933 PGN720924:PGN720933 PQJ720924:PQJ720933 QAF720924:QAF720933 QKB720924:QKB720933 QTX720924:QTX720933 RDT720924:RDT720933 RNP720924:RNP720933 RXL720924:RXL720933 SHH720924:SHH720933 SRD720924:SRD720933 TAZ720924:TAZ720933 TKV720924:TKV720933 TUR720924:TUR720933 UEN720924:UEN720933 UOJ720924:UOJ720933 UYF720924:UYF720933 VIB720924:VIB720933 VRX720924:VRX720933 WBT720924:WBT720933 WLP720924:WLP720933 WVL720924:WVL720933 D786460:D786469 IZ786460:IZ786469 SV786460:SV786469 ACR786460:ACR786469 AMN786460:AMN786469 AWJ786460:AWJ786469 BGF786460:BGF786469 BQB786460:BQB786469 BZX786460:BZX786469 CJT786460:CJT786469 CTP786460:CTP786469 DDL786460:DDL786469 DNH786460:DNH786469 DXD786460:DXD786469 EGZ786460:EGZ786469 EQV786460:EQV786469 FAR786460:FAR786469 FKN786460:FKN786469 FUJ786460:FUJ786469 GEF786460:GEF786469 GOB786460:GOB786469 GXX786460:GXX786469 HHT786460:HHT786469 HRP786460:HRP786469 IBL786460:IBL786469 ILH786460:ILH786469 IVD786460:IVD786469 JEZ786460:JEZ786469 JOV786460:JOV786469 JYR786460:JYR786469 KIN786460:KIN786469 KSJ786460:KSJ786469 LCF786460:LCF786469 LMB786460:LMB786469 LVX786460:LVX786469 MFT786460:MFT786469 MPP786460:MPP786469 MZL786460:MZL786469 NJH786460:NJH786469 NTD786460:NTD786469 OCZ786460:OCZ786469 OMV786460:OMV786469 OWR786460:OWR786469 PGN786460:PGN786469 PQJ786460:PQJ786469 QAF786460:QAF786469 QKB786460:QKB786469 QTX786460:QTX786469 RDT786460:RDT786469 RNP786460:RNP786469 RXL786460:RXL786469 SHH786460:SHH786469 SRD786460:SRD786469 TAZ786460:TAZ786469 TKV786460:TKV786469 TUR786460:TUR786469 UEN786460:UEN786469 UOJ786460:UOJ786469 UYF786460:UYF786469 VIB786460:VIB786469 VRX786460:VRX786469 WBT786460:WBT786469 WLP786460:WLP786469 WVL786460:WVL786469 D851996:D852005 IZ851996:IZ852005 SV851996:SV852005 ACR851996:ACR852005 AMN851996:AMN852005 AWJ851996:AWJ852005 BGF851996:BGF852005 BQB851996:BQB852005 BZX851996:BZX852005 CJT851996:CJT852005 CTP851996:CTP852005 DDL851996:DDL852005 DNH851996:DNH852005 DXD851996:DXD852005 EGZ851996:EGZ852005 EQV851996:EQV852005 FAR851996:FAR852005 FKN851996:FKN852005 FUJ851996:FUJ852005 GEF851996:GEF852005 GOB851996:GOB852005 GXX851996:GXX852005 HHT851996:HHT852005 HRP851996:HRP852005 IBL851996:IBL852005 ILH851996:ILH852005 IVD851996:IVD852005 JEZ851996:JEZ852005 JOV851996:JOV852005 JYR851996:JYR852005 KIN851996:KIN852005 KSJ851996:KSJ852005 LCF851996:LCF852005 LMB851996:LMB852005 LVX851996:LVX852005 MFT851996:MFT852005 MPP851996:MPP852005 MZL851996:MZL852005 NJH851996:NJH852005 NTD851996:NTD852005 OCZ851996:OCZ852005 OMV851996:OMV852005 OWR851996:OWR852005 PGN851996:PGN852005 PQJ851996:PQJ852005 QAF851996:QAF852005 QKB851996:QKB852005 QTX851996:QTX852005 RDT851996:RDT852005 RNP851996:RNP852005 RXL851996:RXL852005 SHH851996:SHH852005 SRD851996:SRD852005 TAZ851996:TAZ852005 TKV851996:TKV852005 TUR851996:TUR852005 UEN851996:UEN852005 UOJ851996:UOJ852005 UYF851996:UYF852005 VIB851996:VIB852005 VRX851996:VRX852005 WBT851996:WBT852005 WLP851996:WLP852005 WVL851996:WVL852005 D917532:D917541 IZ917532:IZ917541 SV917532:SV917541 ACR917532:ACR917541 AMN917532:AMN917541 AWJ917532:AWJ917541 BGF917532:BGF917541 BQB917532:BQB917541 BZX917532:BZX917541 CJT917532:CJT917541 CTP917532:CTP917541 DDL917532:DDL917541 DNH917532:DNH917541 DXD917532:DXD917541 EGZ917532:EGZ917541 EQV917532:EQV917541 FAR917532:FAR917541 FKN917532:FKN917541 FUJ917532:FUJ917541 GEF917532:GEF917541 GOB917532:GOB917541 GXX917532:GXX917541 HHT917532:HHT917541 HRP917532:HRP917541 IBL917532:IBL917541 ILH917532:ILH917541 IVD917532:IVD917541 JEZ917532:JEZ917541 JOV917532:JOV917541 JYR917532:JYR917541 KIN917532:KIN917541 KSJ917532:KSJ917541 LCF917532:LCF917541 LMB917532:LMB917541 LVX917532:LVX917541 MFT917532:MFT917541 MPP917532:MPP917541 MZL917532:MZL917541 NJH917532:NJH917541 NTD917532:NTD917541 OCZ917532:OCZ917541 OMV917532:OMV917541 OWR917532:OWR917541 PGN917532:PGN917541 PQJ917532:PQJ917541 QAF917532:QAF917541 QKB917532:QKB917541 QTX917532:QTX917541 RDT917532:RDT917541 RNP917532:RNP917541 RXL917532:RXL917541 SHH917532:SHH917541 SRD917532:SRD917541 TAZ917532:TAZ917541 TKV917532:TKV917541 TUR917532:TUR917541 UEN917532:UEN917541 UOJ917532:UOJ917541 UYF917532:UYF917541 VIB917532:VIB917541 VRX917532:VRX917541 WBT917532:WBT917541 WLP917532:WLP917541 WVL917532:WVL917541 D983068:D983077 IZ983068:IZ983077 SV983068:SV983077 ACR983068:ACR983077 AMN983068:AMN983077 AWJ983068:AWJ983077 BGF983068:BGF983077 BQB983068:BQB983077 BZX983068:BZX983077 CJT983068:CJT983077 CTP983068:CTP983077 DDL983068:DDL983077 DNH983068:DNH983077 DXD983068:DXD983077 EGZ983068:EGZ983077 EQV983068:EQV983077 FAR983068:FAR983077 FKN983068:FKN983077 FUJ983068:FUJ983077 GEF983068:GEF983077 GOB983068:GOB983077 GXX983068:GXX983077 HHT983068:HHT983077 HRP983068:HRP983077 IBL983068:IBL983077 ILH983068:ILH983077 IVD983068:IVD983077 JEZ983068:JEZ983077 JOV983068:JOV983077 JYR983068:JYR983077 KIN983068:KIN983077 KSJ983068:KSJ983077 LCF983068:LCF983077 LMB983068:LMB983077 LVX983068:LVX983077 MFT983068:MFT983077 MPP983068:MPP983077 MZL983068:MZL983077 NJH983068:NJH983077 NTD983068:NTD983077 OCZ983068:OCZ983077 OMV983068:OMV983077 OWR983068:OWR983077 PGN983068:PGN983077 PQJ983068:PQJ983077 QAF983068:QAF983077 QKB983068:QKB983077 QTX983068:QTX983077 RDT983068:RDT983077 RNP983068:RNP983077 RXL983068:RXL983077 SHH983068:SHH983077 SRD983068:SRD983077 TAZ983068:TAZ983077 TKV983068:TKV983077 TUR983068:TUR983077 UEN983068:UEN983077 UOJ983068:UOJ983077 UYF983068:UYF983077 VIB983068:VIB983077 VRX983068:VRX983077 WBT983068:WBT983077 WLP983068:WLP983077 WVL983068:WVL983077 D41:D50 IZ41:IZ50 SV41:SV50 ACR41:ACR50 AMN41:AMN50 AWJ41:AWJ50 BGF41:BGF50 BQB41:BQB50 BZX41:BZX50 CJT41:CJT50 CTP41:CTP50 DDL41:DDL50 DNH41:DNH50 DXD41:DXD50 EGZ41:EGZ50 EQV41:EQV50 FAR41:FAR50 FKN41:FKN50 FUJ41:FUJ50 GEF41:GEF50 GOB41:GOB50 GXX41:GXX50 HHT41:HHT50 HRP41:HRP50 IBL41:IBL50 ILH41:ILH50 IVD41:IVD50 JEZ41:JEZ50 JOV41:JOV50 JYR41:JYR50 KIN41:KIN50 KSJ41:KSJ50 LCF41:LCF50 LMB41:LMB50 LVX41:LVX50 MFT41:MFT50 MPP41:MPP50 MZL41:MZL50 NJH41:NJH50 NTD41:NTD50 OCZ41:OCZ50 OMV41:OMV50 OWR41:OWR50 PGN41:PGN50 PQJ41:PQJ50 QAF41:QAF50 QKB41:QKB50 QTX41:QTX50 RDT41:RDT50 RNP41:RNP50 RXL41:RXL50 SHH41:SHH50 SRD41:SRD50 TAZ41:TAZ50 TKV41:TKV50 TUR41:TUR50 UEN41:UEN50 UOJ41:UOJ50 UYF41:UYF50 VIB41:VIB50 VRX41:VRX50 WBT41:WBT50 WLP41:WLP50 WVL41:WVL50 D65577:D65586 IZ65577:IZ65586 SV65577:SV65586 ACR65577:ACR65586 AMN65577:AMN65586 AWJ65577:AWJ65586 BGF65577:BGF65586 BQB65577:BQB65586 BZX65577:BZX65586 CJT65577:CJT65586 CTP65577:CTP65586 DDL65577:DDL65586 DNH65577:DNH65586 DXD65577:DXD65586 EGZ65577:EGZ65586 EQV65577:EQV65586 FAR65577:FAR65586 FKN65577:FKN65586 FUJ65577:FUJ65586 GEF65577:GEF65586 GOB65577:GOB65586 GXX65577:GXX65586 HHT65577:HHT65586 HRP65577:HRP65586 IBL65577:IBL65586 ILH65577:ILH65586 IVD65577:IVD65586 JEZ65577:JEZ65586 JOV65577:JOV65586 JYR65577:JYR65586 KIN65577:KIN65586 KSJ65577:KSJ65586 LCF65577:LCF65586 LMB65577:LMB65586 LVX65577:LVX65586 MFT65577:MFT65586 MPP65577:MPP65586 MZL65577:MZL65586 NJH65577:NJH65586 NTD65577:NTD65586 OCZ65577:OCZ65586 OMV65577:OMV65586 OWR65577:OWR65586 PGN65577:PGN65586 PQJ65577:PQJ65586 QAF65577:QAF65586 QKB65577:QKB65586 QTX65577:QTX65586 RDT65577:RDT65586 RNP65577:RNP65586 RXL65577:RXL65586 SHH65577:SHH65586 SRD65577:SRD65586 TAZ65577:TAZ65586 TKV65577:TKV65586 TUR65577:TUR65586 UEN65577:UEN65586 UOJ65577:UOJ65586 UYF65577:UYF65586 VIB65577:VIB65586 VRX65577:VRX65586 WBT65577:WBT65586 WLP65577:WLP65586 WVL65577:WVL65586 D131113:D131122 IZ131113:IZ131122 SV131113:SV131122 ACR131113:ACR131122 AMN131113:AMN131122 AWJ131113:AWJ131122 BGF131113:BGF131122 BQB131113:BQB131122 BZX131113:BZX131122 CJT131113:CJT131122 CTP131113:CTP131122 DDL131113:DDL131122 DNH131113:DNH131122 DXD131113:DXD131122 EGZ131113:EGZ131122 EQV131113:EQV131122 FAR131113:FAR131122 FKN131113:FKN131122 FUJ131113:FUJ131122 GEF131113:GEF131122 GOB131113:GOB131122 GXX131113:GXX131122 HHT131113:HHT131122 HRP131113:HRP131122 IBL131113:IBL131122 ILH131113:ILH131122 IVD131113:IVD131122 JEZ131113:JEZ131122 JOV131113:JOV131122 JYR131113:JYR131122 KIN131113:KIN131122 KSJ131113:KSJ131122 LCF131113:LCF131122 LMB131113:LMB131122 LVX131113:LVX131122 MFT131113:MFT131122 MPP131113:MPP131122 MZL131113:MZL131122 NJH131113:NJH131122 NTD131113:NTD131122 OCZ131113:OCZ131122 OMV131113:OMV131122 OWR131113:OWR131122 PGN131113:PGN131122 PQJ131113:PQJ131122 QAF131113:QAF131122 QKB131113:QKB131122 QTX131113:QTX131122 RDT131113:RDT131122 RNP131113:RNP131122 RXL131113:RXL131122 SHH131113:SHH131122 SRD131113:SRD131122 TAZ131113:TAZ131122 TKV131113:TKV131122 TUR131113:TUR131122 UEN131113:UEN131122 UOJ131113:UOJ131122 UYF131113:UYF131122 VIB131113:VIB131122 VRX131113:VRX131122 WBT131113:WBT131122 WLP131113:WLP131122 WVL131113:WVL131122 D196649:D196658 IZ196649:IZ196658 SV196649:SV196658 ACR196649:ACR196658 AMN196649:AMN196658 AWJ196649:AWJ196658 BGF196649:BGF196658 BQB196649:BQB196658 BZX196649:BZX196658 CJT196649:CJT196658 CTP196649:CTP196658 DDL196649:DDL196658 DNH196649:DNH196658 DXD196649:DXD196658 EGZ196649:EGZ196658 EQV196649:EQV196658 FAR196649:FAR196658 FKN196649:FKN196658 FUJ196649:FUJ196658 GEF196649:GEF196658 GOB196649:GOB196658 GXX196649:GXX196658 HHT196649:HHT196658 HRP196649:HRP196658 IBL196649:IBL196658 ILH196649:ILH196658 IVD196649:IVD196658 JEZ196649:JEZ196658 JOV196649:JOV196658 JYR196649:JYR196658 KIN196649:KIN196658 KSJ196649:KSJ196658 LCF196649:LCF196658 LMB196649:LMB196658 LVX196649:LVX196658 MFT196649:MFT196658 MPP196649:MPP196658 MZL196649:MZL196658 NJH196649:NJH196658 NTD196649:NTD196658 OCZ196649:OCZ196658 OMV196649:OMV196658 OWR196649:OWR196658 PGN196649:PGN196658 PQJ196649:PQJ196658 QAF196649:QAF196658 QKB196649:QKB196658 QTX196649:QTX196658 RDT196649:RDT196658 RNP196649:RNP196658 RXL196649:RXL196658 SHH196649:SHH196658 SRD196649:SRD196658 TAZ196649:TAZ196658 TKV196649:TKV196658 TUR196649:TUR196658 UEN196649:UEN196658 UOJ196649:UOJ196658 UYF196649:UYF196658 VIB196649:VIB196658 VRX196649:VRX196658 WBT196649:WBT196658 WLP196649:WLP196658 WVL196649:WVL196658 D262185:D262194 IZ262185:IZ262194 SV262185:SV262194 ACR262185:ACR262194 AMN262185:AMN262194 AWJ262185:AWJ262194 BGF262185:BGF262194 BQB262185:BQB262194 BZX262185:BZX262194 CJT262185:CJT262194 CTP262185:CTP262194 DDL262185:DDL262194 DNH262185:DNH262194 DXD262185:DXD262194 EGZ262185:EGZ262194 EQV262185:EQV262194 FAR262185:FAR262194 FKN262185:FKN262194 FUJ262185:FUJ262194 GEF262185:GEF262194 GOB262185:GOB262194 GXX262185:GXX262194 HHT262185:HHT262194 HRP262185:HRP262194 IBL262185:IBL262194 ILH262185:ILH262194 IVD262185:IVD262194 JEZ262185:JEZ262194 JOV262185:JOV262194 JYR262185:JYR262194 KIN262185:KIN262194 KSJ262185:KSJ262194 LCF262185:LCF262194 LMB262185:LMB262194 LVX262185:LVX262194 MFT262185:MFT262194 MPP262185:MPP262194 MZL262185:MZL262194 NJH262185:NJH262194 NTD262185:NTD262194 OCZ262185:OCZ262194 OMV262185:OMV262194 OWR262185:OWR262194 PGN262185:PGN262194 PQJ262185:PQJ262194 QAF262185:QAF262194 QKB262185:QKB262194 QTX262185:QTX262194 RDT262185:RDT262194 RNP262185:RNP262194 RXL262185:RXL262194 SHH262185:SHH262194 SRD262185:SRD262194 TAZ262185:TAZ262194 TKV262185:TKV262194 TUR262185:TUR262194 UEN262185:UEN262194 UOJ262185:UOJ262194 UYF262185:UYF262194 VIB262185:VIB262194 VRX262185:VRX262194 WBT262185:WBT262194 WLP262185:WLP262194 WVL262185:WVL262194 D327721:D327730 IZ327721:IZ327730 SV327721:SV327730 ACR327721:ACR327730 AMN327721:AMN327730 AWJ327721:AWJ327730 BGF327721:BGF327730 BQB327721:BQB327730 BZX327721:BZX327730 CJT327721:CJT327730 CTP327721:CTP327730 DDL327721:DDL327730 DNH327721:DNH327730 DXD327721:DXD327730 EGZ327721:EGZ327730 EQV327721:EQV327730 FAR327721:FAR327730 FKN327721:FKN327730 FUJ327721:FUJ327730 GEF327721:GEF327730 GOB327721:GOB327730 GXX327721:GXX327730 HHT327721:HHT327730 HRP327721:HRP327730 IBL327721:IBL327730 ILH327721:ILH327730 IVD327721:IVD327730 JEZ327721:JEZ327730 JOV327721:JOV327730 JYR327721:JYR327730 KIN327721:KIN327730 KSJ327721:KSJ327730 LCF327721:LCF327730 LMB327721:LMB327730 LVX327721:LVX327730 MFT327721:MFT327730 MPP327721:MPP327730 MZL327721:MZL327730 NJH327721:NJH327730 NTD327721:NTD327730 OCZ327721:OCZ327730 OMV327721:OMV327730 OWR327721:OWR327730 PGN327721:PGN327730 PQJ327721:PQJ327730 QAF327721:QAF327730 QKB327721:QKB327730 QTX327721:QTX327730 RDT327721:RDT327730 RNP327721:RNP327730 RXL327721:RXL327730 SHH327721:SHH327730 SRD327721:SRD327730 TAZ327721:TAZ327730 TKV327721:TKV327730 TUR327721:TUR327730 UEN327721:UEN327730 UOJ327721:UOJ327730 UYF327721:UYF327730 VIB327721:VIB327730 VRX327721:VRX327730 WBT327721:WBT327730 WLP327721:WLP327730 WVL327721:WVL327730 D393257:D393266 IZ393257:IZ393266 SV393257:SV393266 ACR393257:ACR393266 AMN393257:AMN393266 AWJ393257:AWJ393266 BGF393257:BGF393266 BQB393257:BQB393266 BZX393257:BZX393266 CJT393257:CJT393266 CTP393257:CTP393266 DDL393257:DDL393266 DNH393257:DNH393266 DXD393257:DXD393266 EGZ393257:EGZ393266 EQV393257:EQV393266 FAR393257:FAR393266 FKN393257:FKN393266 FUJ393257:FUJ393266 GEF393257:GEF393266 GOB393257:GOB393266 GXX393257:GXX393266 HHT393257:HHT393266 HRP393257:HRP393266 IBL393257:IBL393266 ILH393257:ILH393266 IVD393257:IVD393266 JEZ393257:JEZ393266 JOV393257:JOV393266 JYR393257:JYR393266 KIN393257:KIN393266 KSJ393257:KSJ393266 LCF393257:LCF393266 LMB393257:LMB393266 LVX393257:LVX393266 MFT393257:MFT393266 MPP393257:MPP393266 MZL393257:MZL393266 NJH393257:NJH393266 NTD393257:NTD393266 OCZ393257:OCZ393266 OMV393257:OMV393266 OWR393257:OWR393266 PGN393257:PGN393266 PQJ393257:PQJ393266 QAF393257:QAF393266 QKB393257:QKB393266 QTX393257:QTX393266 RDT393257:RDT393266 RNP393257:RNP393266 RXL393257:RXL393266 SHH393257:SHH393266 SRD393257:SRD393266 TAZ393257:TAZ393266 TKV393257:TKV393266 TUR393257:TUR393266 UEN393257:UEN393266 UOJ393257:UOJ393266 UYF393257:UYF393266 VIB393257:VIB393266 VRX393257:VRX393266 WBT393257:WBT393266 WLP393257:WLP393266 WVL393257:WVL393266 D458793:D458802 IZ458793:IZ458802 SV458793:SV458802 ACR458793:ACR458802 AMN458793:AMN458802 AWJ458793:AWJ458802 BGF458793:BGF458802 BQB458793:BQB458802 BZX458793:BZX458802 CJT458793:CJT458802 CTP458793:CTP458802 DDL458793:DDL458802 DNH458793:DNH458802 DXD458793:DXD458802 EGZ458793:EGZ458802 EQV458793:EQV458802 FAR458793:FAR458802 FKN458793:FKN458802 FUJ458793:FUJ458802 GEF458793:GEF458802 GOB458793:GOB458802 GXX458793:GXX458802 HHT458793:HHT458802 HRP458793:HRP458802 IBL458793:IBL458802 ILH458793:ILH458802 IVD458793:IVD458802 JEZ458793:JEZ458802 JOV458793:JOV458802 JYR458793:JYR458802 KIN458793:KIN458802 KSJ458793:KSJ458802 LCF458793:LCF458802 LMB458793:LMB458802 LVX458793:LVX458802 MFT458793:MFT458802 MPP458793:MPP458802 MZL458793:MZL458802 NJH458793:NJH458802 NTD458793:NTD458802 OCZ458793:OCZ458802 OMV458793:OMV458802 OWR458793:OWR458802 PGN458793:PGN458802 PQJ458793:PQJ458802 QAF458793:QAF458802 QKB458793:QKB458802 QTX458793:QTX458802 RDT458793:RDT458802 RNP458793:RNP458802 RXL458793:RXL458802 SHH458793:SHH458802 SRD458793:SRD458802 TAZ458793:TAZ458802 TKV458793:TKV458802 TUR458793:TUR458802 UEN458793:UEN458802 UOJ458793:UOJ458802 UYF458793:UYF458802 VIB458793:VIB458802 VRX458793:VRX458802 WBT458793:WBT458802 WLP458793:WLP458802 WVL458793:WVL458802 D524329:D524338 IZ524329:IZ524338 SV524329:SV524338 ACR524329:ACR524338 AMN524329:AMN524338 AWJ524329:AWJ524338 BGF524329:BGF524338 BQB524329:BQB524338 BZX524329:BZX524338 CJT524329:CJT524338 CTP524329:CTP524338 DDL524329:DDL524338 DNH524329:DNH524338 DXD524329:DXD524338 EGZ524329:EGZ524338 EQV524329:EQV524338 FAR524329:FAR524338 FKN524329:FKN524338 FUJ524329:FUJ524338 GEF524329:GEF524338 GOB524329:GOB524338 GXX524329:GXX524338 HHT524329:HHT524338 HRP524329:HRP524338 IBL524329:IBL524338 ILH524329:ILH524338 IVD524329:IVD524338 JEZ524329:JEZ524338 JOV524329:JOV524338 JYR524329:JYR524338 KIN524329:KIN524338 KSJ524329:KSJ524338 LCF524329:LCF524338 LMB524329:LMB524338 LVX524329:LVX524338 MFT524329:MFT524338 MPP524329:MPP524338 MZL524329:MZL524338 NJH524329:NJH524338 NTD524329:NTD524338 OCZ524329:OCZ524338 OMV524329:OMV524338 OWR524329:OWR524338 PGN524329:PGN524338 PQJ524329:PQJ524338 QAF524329:QAF524338 QKB524329:QKB524338 QTX524329:QTX524338 RDT524329:RDT524338 RNP524329:RNP524338 RXL524329:RXL524338 SHH524329:SHH524338 SRD524329:SRD524338 TAZ524329:TAZ524338 TKV524329:TKV524338 TUR524329:TUR524338 UEN524329:UEN524338 UOJ524329:UOJ524338 UYF524329:UYF524338 VIB524329:VIB524338 VRX524329:VRX524338 WBT524329:WBT524338 WLP524329:WLP524338 WVL524329:WVL524338 D589865:D589874 IZ589865:IZ589874 SV589865:SV589874 ACR589865:ACR589874 AMN589865:AMN589874 AWJ589865:AWJ589874 BGF589865:BGF589874 BQB589865:BQB589874 BZX589865:BZX589874 CJT589865:CJT589874 CTP589865:CTP589874 DDL589865:DDL589874 DNH589865:DNH589874 DXD589865:DXD589874 EGZ589865:EGZ589874 EQV589865:EQV589874 FAR589865:FAR589874 FKN589865:FKN589874 FUJ589865:FUJ589874 GEF589865:GEF589874 GOB589865:GOB589874 GXX589865:GXX589874 HHT589865:HHT589874 HRP589865:HRP589874 IBL589865:IBL589874 ILH589865:ILH589874 IVD589865:IVD589874 JEZ589865:JEZ589874 JOV589865:JOV589874 JYR589865:JYR589874 KIN589865:KIN589874 KSJ589865:KSJ589874 LCF589865:LCF589874 LMB589865:LMB589874 LVX589865:LVX589874 MFT589865:MFT589874 MPP589865:MPP589874 MZL589865:MZL589874 NJH589865:NJH589874 NTD589865:NTD589874 OCZ589865:OCZ589874 OMV589865:OMV589874 OWR589865:OWR589874 PGN589865:PGN589874 PQJ589865:PQJ589874 QAF589865:QAF589874 QKB589865:QKB589874 QTX589865:QTX589874 RDT589865:RDT589874 RNP589865:RNP589874 RXL589865:RXL589874 SHH589865:SHH589874 SRD589865:SRD589874 TAZ589865:TAZ589874 TKV589865:TKV589874 TUR589865:TUR589874 UEN589865:UEN589874 UOJ589865:UOJ589874 UYF589865:UYF589874 VIB589865:VIB589874 VRX589865:VRX589874 WBT589865:WBT589874 WLP589865:WLP589874 WVL589865:WVL589874 D655401:D655410 IZ655401:IZ655410 SV655401:SV655410 ACR655401:ACR655410 AMN655401:AMN655410 AWJ655401:AWJ655410 BGF655401:BGF655410 BQB655401:BQB655410 BZX655401:BZX655410 CJT655401:CJT655410 CTP655401:CTP655410 DDL655401:DDL655410 DNH655401:DNH655410 DXD655401:DXD655410 EGZ655401:EGZ655410 EQV655401:EQV655410 FAR655401:FAR655410 FKN655401:FKN655410 FUJ655401:FUJ655410 GEF655401:GEF655410 GOB655401:GOB655410 GXX655401:GXX655410 HHT655401:HHT655410 HRP655401:HRP655410 IBL655401:IBL655410 ILH655401:ILH655410 IVD655401:IVD655410 JEZ655401:JEZ655410 JOV655401:JOV655410 JYR655401:JYR655410 KIN655401:KIN655410 KSJ655401:KSJ655410 LCF655401:LCF655410 LMB655401:LMB655410 LVX655401:LVX655410 MFT655401:MFT655410 MPP655401:MPP655410 MZL655401:MZL655410 NJH655401:NJH655410 NTD655401:NTD655410 OCZ655401:OCZ655410 OMV655401:OMV655410 OWR655401:OWR655410 PGN655401:PGN655410 PQJ655401:PQJ655410 QAF655401:QAF655410 QKB655401:QKB655410 QTX655401:QTX655410 RDT655401:RDT655410 RNP655401:RNP655410 RXL655401:RXL655410 SHH655401:SHH655410 SRD655401:SRD655410 TAZ655401:TAZ655410 TKV655401:TKV655410 TUR655401:TUR655410 UEN655401:UEN655410 UOJ655401:UOJ655410 UYF655401:UYF655410 VIB655401:VIB655410 VRX655401:VRX655410 WBT655401:WBT655410 WLP655401:WLP655410 WVL655401:WVL655410 D720937:D720946 IZ720937:IZ720946 SV720937:SV720946 ACR720937:ACR720946 AMN720937:AMN720946 AWJ720937:AWJ720946 BGF720937:BGF720946 BQB720937:BQB720946 BZX720937:BZX720946 CJT720937:CJT720946 CTP720937:CTP720946 DDL720937:DDL720946 DNH720937:DNH720946 DXD720937:DXD720946 EGZ720937:EGZ720946 EQV720937:EQV720946 FAR720937:FAR720946 FKN720937:FKN720946 FUJ720937:FUJ720946 GEF720937:GEF720946 GOB720937:GOB720946 GXX720937:GXX720946 HHT720937:HHT720946 HRP720937:HRP720946 IBL720937:IBL720946 ILH720937:ILH720946 IVD720937:IVD720946 JEZ720937:JEZ720946 JOV720937:JOV720946 JYR720937:JYR720946 KIN720937:KIN720946 KSJ720937:KSJ720946 LCF720937:LCF720946 LMB720937:LMB720946 LVX720937:LVX720946 MFT720937:MFT720946 MPP720937:MPP720946 MZL720937:MZL720946 NJH720937:NJH720946 NTD720937:NTD720946 OCZ720937:OCZ720946 OMV720937:OMV720946 OWR720937:OWR720946 PGN720937:PGN720946 PQJ720937:PQJ720946 QAF720937:QAF720946 QKB720937:QKB720946 QTX720937:QTX720946 RDT720937:RDT720946 RNP720937:RNP720946 RXL720937:RXL720946 SHH720937:SHH720946 SRD720937:SRD720946 TAZ720937:TAZ720946 TKV720937:TKV720946 TUR720937:TUR720946 UEN720937:UEN720946 UOJ720937:UOJ720946 UYF720937:UYF720946 VIB720937:VIB720946 VRX720937:VRX720946 WBT720937:WBT720946 WLP720937:WLP720946 WVL720937:WVL720946 D786473:D786482 IZ786473:IZ786482 SV786473:SV786482 ACR786473:ACR786482 AMN786473:AMN786482 AWJ786473:AWJ786482 BGF786473:BGF786482 BQB786473:BQB786482 BZX786473:BZX786482 CJT786473:CJT786482 CTP786473:CTP786482 DDL786473:DDL786482 DNH786473:DNH786482 DXD786473:DXD786482 EGZ786473:EGZ786482 EQV786473:EQV786482 FAR786473:FAR786482 FKN786473:FKN786482 FUJ786473:FUJ786482 GEF786473:GEF786482 GOB786473:GOB786482 GXX786473:GXX786482 HHT786473:HHT786482 HRP786473:HRP786482 IBL786473:IBL786482 ILH786473:ILH786482 IVD786473:IVD786482 JEZ786473:JEZ786482 JOV786473:JOV786482 JYR786473:JYR786482 KIN786473:KIN786482 KSJ786473:KSJ786482 LCF786473:LCF786482 LMB786473:LMB786482 LVX786473:LVX786482 MFT786473:MFT786482 MPP786473:MPP786482 MZL786473:MZL786482 NJH786473:NJH786482 NTD786473:NTD786482 OCZ786473:OCZ786482 OMV786473:OMV786482 OWR786473:OWR786482 PGN786473:PGN786482 PQJ786473:PQJ786482 QAF786473:QAF786482 QKB786473:QKB786482 QTX786473:QTX786482 RDT786473:RDT786482 RNP786473:RNP786482 RXL786473:RXL786482 SHH786473:SHH786482 SRD786473:SRD786482 TAZ786473:TAZ786482 TKV786473:TKV786482 TUR786473:TUR786482 UEN786473:UEN786482 UOJ786473:UOJ786482 UYF786473:UYF786482 VIB786473:VIB786482 VRX786473:VRX786482 WBT786473:WBT786482 WLP786473:WLP786482 WVL786473:WVL786482 D852009:D852018 IZ852009:IZ852018 SV852009:SV852018 ACR852009:ACR852018 AMN852009:AMN852018 AWJ852009:AWJ852018 BGF852009:BGF852018 BQB852009:BQB852018 BZX852009:BZX852018 CJT852009:CJT852018 CTP852009:CTP852018 DDL852009:DDL852018 DNH852009:DNH852018 DXD852009:DXD852018 EGZ852009:EGZ852018 EQV852009:EQV852018 FAR852009:FAR852018 FKN852009:FKN852018 FUJ852009:FUJ852018 GEF852009:GEF852018 GOB852009:GOB852018 GXX852009:GXX852018 HHT852009:HHT852018 HRP852009:HRP852018 IBL852009:IBL852018 ILH852009:ILH852018 IVD852009:IVD852018 JEZ852009:JEZ852018 JOV852009:JOV852018 JYR852009:JYR852018 KIN852009:KIN852018 KSJ852009:KSJ852018 LCF852009:LCF852018 LMB852009:LMB852018 LVX852009:LVX852018 MFT852009:MFT852018 MPP852009:MPP852018 MZL852009:MZL852018 NJH852009:NJH852018 NTD852009:NTD852018 OCZ852009:OCZ852018 OMV852009:OMV852018 OWR852009:OWR852018 PGN852009:PGN852018 PQJ852009:PQJ852018 QAF852009:QAF852018 QKB852009:QKB852018 QTX852009:QTX852018 RDT852009:RDT852018 RNP852009:RNP852018 RXL852009:RXL852018 SHH852009:SHH852018 SRD852009:SRD852018 TAZ852009:TAZ852018 TKV852009:TKV852018 TUR852009:TUR852018 UEN852009:UEN852018 UOJ852009:UOJ852018 UYF852009:UYF852018 VIB852009:VIB852018 VRX852009:VRX852018 WBT852009:WBT852018 WLP852009:WLP852018 WVL852009:WVL852018 D917545:D917554 IZ917545:IZ917554 SV917545:SV917554 ACR917545:ACR917554 AMN917545:AMN917554 AWJ917545:AWJ917554 BGF917545:BGF917554 BQB917545:BQB917554 BZX917545:BZX917554 CJT917545:CJT917554 CTP917545:CTP917554 DDL917545:DDL917554 DNH917545:DNH917554 DXD917545:DXD917554 EGZ917545:EGZ917554 EQV917545:EQV917554 FAR917545:FAR917554 FKN917545:FKN917554 FUJ917545:FUJ917554 GEF917545:GEF917554 GOB917545:GOB917554 GXX917545:GXX917554 HHT917545:HHT917554 HRP917545:HRP917554 IBL917545:IBL917554 ILH917545:ILH917554 IVD917545:IVD917554 JEZ917545:JEZ917554 JOV917545:JOV917554 JYR917545:JYR917554 KIN917545:KIN917554 KSJ917545:KSJ917554 LCF917545:LCF917554 LMB917545:LMB917554 LVX917545:LVX917554 MFT917545:MFT917554 MPP917545:MPP917554 MZL917545:MZL917554 NJH917545:NJH917554 NTD917545:NTD917554 OCZ917545:OCZ917554 OMV917545:OMV917554 OWR917545:OWR917554 PGN917545:PGN917554 PQJ917545:PQJ917554 QAF917545:QAF917554 QKB917545:QKB917554 QTX917545:QTX917554 RDT917545:RDT917554 RNP917545:RNP917554 RXL917545:RXL917554 SHH917545:SHH917554 SRD917545:SRD917554 TAZ917545:TAZ917554 TKV917545:TKV917554 TUR917545:TUR917554 UEN917545:UEN917554 UOJ917545:UOJ917554 UYF917545:UYF917554 VIB917545:VIB917554 VRX917545:VRX917554 WBT917545:WBT917554 WLP917545:WLP917554 WVL917545:WVL917554 D983081:D983090 IZ983081:IZ983090 SV983081:SV983090 ACR983081:ACR983090 AMN983081:AMN983090 AWJ983081:AWJ983090 BGF983081:BGF983090 BQB983081:BQB983090 BZX983081:BZX983090 CJT983081:CJT983090 CTP983081:CTP983090 DDL983081:DDL983090 DNH983081:DNH983090 DXD983081:DXD983090 EGZ983081:EGZ983090 EQV983081:EQV983090 FAR983081:FAR983090 FKN983081:FKN983090 FUJ983081:FUJ983090 GEF983081:GEF983090 GOB983081:GOB983090 GXX983081:GXX983090 HHT983081:HHT983090 HRP983081:HRP983090 IBL983081:IBL983090 ILH983081:ILH983090 IVD983081:IVD983090 JEZ983081:JEZ983090 JOV983081:JOV983090 JYR983081:JYR983090 KIN983081:KIN983090 KSJ983081:KSJ983090 LCF983081:LCF983090 LMB983081:LMB983090 LVX983081:LVX983090 MFT983081:MFT983090 MPP983081:MPP983090 MZL983081:MZL983090 NJH983081:NJH983090 NTD983081:NTD983090 OCZ983081:OCZ983090 OMV983081:OMV983090 OWR983081:OWR983090 PGN983081:PGN983090 PQJ983081:PQJ983090 QAF983081:QAF983090 QKB983081:QKB983090 QTX983081:QTX983090 RDT983081:RDT983090 RNP983081:RNP983090 RXL983081:RXL983090 SHH983081:SHH983090 SRD983081:SRD983090 TAZ983081:TAZ983090 TKV983081:TKV983090 TUR983081:TUR983090 UEN983081:UEN983090 UOJ983081:UOJ983090 UYF983081:UYF983090 VIB983081:VIB983090 VRX983081:VRX983090 WBT983081:WBT983090 WLP983081:WLP983090 WVL983081:WVL983090 D10:D20 IZ10:IZ20 SV10:SV20 ACR10:ACR20 AMN10:AMN20 AWJ10:AWJ20 BGF10:BGF20 BQB10:BQB20 BZX10:BZX20 CJT10:CJT20 CTP10:CTP20 DDL10:DDL20 DNH10:DNH20 DXD10:DXD20 EGZ10:EGZ20 EQV10:EQV20 FAR10:FAR20 FKN10:FKN20 FUJ10:FUJ20 GEF10:GEF20 GOB10:GOB20 GXX10:GXX20 HHT10:HHT20 HRP10:HRP20 IBL10:IBL20 ILH10:ILH20 IVD10:IVD20 JEZ10:JEZ20 JOV10:JOV20 JYR10:JYR20 KIN10:KIN20 KSJ10:KSJ20 LCF10:LCF20 LMB10:LMB20 LVX10:LVX20 MFT10:MFT20 MPP10:MPP20 MZL10:MZL20 NJH10:NJH20 NTD10:NTD20 OCZ10:OCZ20 OMV10:OMV20 OWR10:OWR20 PGN10:PGN20 PQJ10:PQJ20 QAF10:QAF20 QKB10:QKB20 QTX10:QTX20 RDT10:RDT20 RNP10:RNP20 RXL10:RXL20 SHH10:SHH20 SRD10:SRD20 TAZ10:TAZ20 TKV10:TKV20 TUR10:TUR20 UEN10:UEN20 UOJ10:UOJ20 UYF10:UYF20 VIB10:VIB20 VRX10:VRX20 WBT10:WBT20 WLP10:WLP20 WVL10:WVL20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xr:uid="{D1F0CF14-C69B-4628-B137-A545FF01D492}">
      <formula1>"Yes,No"</formula1>
    </dataValidation>
    <dataValidation type="list" allowBlank="1" showInputMessage="1" showErrorMessage="1" sqref="B37 B22 B6" xr:uid="{FC0E5B26-2857-444D-B996-A03D375ABF25}">
      <formula1>Process_Objective_Metrics</formula1>
    </dataValidation>
  </dataValidations>
  <pageMargins left="0.7" right="0.7" top="0.75" bottom="0.75" header="0.3" footer="0.3"/>
  <pageSetup orientation="portrait" horizontalDpi="4294967293" vertic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7B9B2-3A63-4CB8-913C-55E5F1D07678}">
  <sheetPr codeName="Sheet6"/>
  <dimension ref="A1:H200"/>
  <sheetViews>
    <sheetView workbookViewId="0">
      <selection activeCell="H13" sqref="H13"/>
    </sheetView>
  </sheetViews>
  <sheetFormatPr defaultColWidth="8.7265625" defaultRowHeight="14.5"/>
  <cols>
    <col min="1" max="1" width="46.81640625" style="287" customWidth="1"/>
    <col min="2" max="2" width="14.81640625" style="327" customWidth="1"/>
    <col min="3" max="3" width="13.54296875" style="288" customWidth="1"/>
    <col min="4" max="4" width="14.54296875" style="288" customWidth="1"/>
    <col min="5" max="5" width="18.453125" style="285" customWidth="1"/>
    <col min="6" max="6" width="14.54296875" style="285" customWidth="1"/>
    <col min="7" max="7" width="13.54296875" style="285" customWidth="1"/>
    <col min="8" max="8" width="39.453125" style="287" customWidth="1"/>
    <col min="9" max="16384" width="8.7265625" style="288"/>
  </cols>
  <sheetData>
    <row r="1" spans="1:8" ht="32.5" customHeight="1" thickBot="1">
      <c r="A1" s="284"/>
      <c r="C1" s="285"/>
      <c r="D1" s="286" t="s">
        <v>604</v>
      </c>
      <c r="F1" s="284"/>
      <c r="G1" s="284"/>
    </row>
    <row r="2" spans="1:8">
      <c r="A2" s="289" t="s">
        <v>605</v>
      </c>
      <c r="B2" s="328" t="s">
        <v>606</v>
      </c>
      <c r="C2" s="290" t="s">
        <v>607</v>
      </c>
      <c r="D2" s="290" t="s">
        <v>608</v>
      </c>
      <c r="E2" s="291" t="s">
        <v>609</v>
      </c>
      <c r="F2" s="291" t="s">
        <v>610</v>
      </c>
      <c r="G2" s="292" t="s">
        <v>611</v>
      </c>
      <c r="H2" s="289" t="s">
        <v>612</v>
      </c>
    </row>
    <row r="3" spans="1:8">
      <c r="A3" s="293"/>
      <c r="B3" s="375"/>
      <c r="C3" s="294"/>
      <c r="D3" s="294"/>
      <c r="E3" s="409"/>
      <c r="F3" s="350"/>
      <c r="G3" s="350"/>
      <c r="H3" s="293"/>
    </row>
    <row r="4" spans="1:8">
      <c r="A4" s="293"/>
      <c r="B4" s="375"/>
      <c r="C4" s="294"/>
      <c r="D4" s="294"/>
      <c r="E4" s="423"/>
      <c r="F4" s="350"/>
      <c r="G4" s="350"/>
      <c r="H4" s="293"/>
    </row>
    <row r="5" spans="1:8">
      <c r="A5" s="293"/>
      <c r="B5" s="375"/>
      <c r="C5" s="294"/>
      <c r="D5" s="294"/>
      <c r="E5" s="423"/>
      <c r="F5" s="350"/>
      <c r="G5" s="350"/>
      <c r="H5" s="293"/>
    </row>
    <row r="6" spans="1:8">
      <c r="A6" s="293"/>
      <c r="B6" s="375"/>
      <c r="C6" s="294"/>
      <c r="D6" s="294"/>
      <c r="E6" s="423"/>
      <c r="F6" s="350"/>
      <c r="G6" s="350"/>
      <c r="H6" s="293"/>
    </row>
    <row r="7" spans="1:8">
      <c r="A7" s="293"/>
      <c r="B7" s="375"/>
      <c r="C7" s="294"/>
      <c r="D7" s="294"/>
      <c r="E7" s="423"/>
      <c r="F7" s="350"/>
      <c r="G7" s="350"/>
      <c r="H7" s="293"/>
    </row>
    <row r="8" spans="1:8">
      <c r="A8" s="293"/>
      <c r="B8" s="375"/>
      <c r="C8" s="294"/>
      <c r="D8" s="294"/>
      <c r="E8" s="409"/>
      <c r="F8" s="350"/>
      <c r="G8" s="350"/>
      <c r="H8" s="293"/>
    </row>
    <row r="9" spans="1:8">
      <c r="A9" s="293"/>
      <c r="B9" s="375"/>
      <c r="C9" s="294"/>
      <c r="D9" s="294"/>
      <c r="E9" s="409"/>
      <c r="F9" s="350"/>
      <c r="G9" s="350"/>
      <c r="H9" s="293"/>
    </row>
    <row r="10" spans="1:8">
      <c r="A10" s="293"/>
      <c r="B10" s="375"/>
      <c r="C10" s="294"/>
      <c r="D10" s="294"/>
      <c r="E10" s="409"/>
      <c r="F10" s="350"/>
      <c r="G10" s="350"/>
      <c r="H10" s="293"/>
    </row>
    <row r="11" spans="1:8">
      <c r="A11" s="293"/>
      <c r="B11" s="375"/>
      <c r="C11" s="294"/>
      <c r="D11" s="294"/>
      <c r="E11" s="409"/>
      <c r="F11" s="350"/>
      <c r="G11" s="350"/>
      <c r="H11" s="293"/>
    </row>
    <row r="12" spans="1:8">
      <c r="A12" s="293"/>
      <c r="B12" s="375"/>
      <c r="C12" s="294"/>
      <c r="D12" s="294"/>
      <c r="E12" s="409"/>
      <c r="F12" s="350"/>
      <c r="G12" s="350"/>
      <c r="H12" s="293"/>
    </row>
    <row r="13" spans="1:8">
      <c r="A13" s="293"/>
      <c r="B13" s="375"/>
      <c r="C13" s="294"/>
      <c r="D13" s="294"/>
      <c r="E13" s="409"/>
      <c r="F13" s="350"/>
      <c r="G13" s="350"/>
      <c r="H13" s="293"/>
    </row>
    <row r="14" spans="1:8">
      <c r="A14" s="293"/>
      <c r="B14" s="375"/>
      <c r="C14" s="294"/>
      <c r="D14" s="294"/>
      <c r="E14" s="409"/>
      <c r="F14" s="350"/>
      <c r="G14" s="350"/>
      <c r="H14" s="293"/>
    </row>
    <row r="15" spans="1:8">
      <c r="A15" s="293"/>
      <c r="B15" s="375"/>
      <c r="C15" s="294"/>
      <c r="D15" s="294"/>
      <c r="E15" s="409"/>
      <c r="F15" s="350"/>
      <c r="G15" s="350"/>
      <c r="H15" s="293"/>
    </row>
    <row r="16" spans="1:8">
      <c r="A16" s="293"/>
      <c r="B16" s="375"/>
      <c r="C16" s="294"/>
      <c r="D16" s="294"/>
      <c r="E16" s="409"/>
      <c r="F16" s="350"/>
      <c r="G16" s="350"/>
      <c r="H16" s="293"/>
    </row>
    <row r="17" spans="1:8">
      <c r="A17" s="293"/>
      <c r="B17" s="375"/>
      <c r="C17" s="294"/>
      <c r="D17" s="294"/>
      <c r="E17" s="409"/>
      <c r="F17" s="350"/>
      <c r="G17" s="350"/>
      <c r="H17" s="293"/>
    </row>
    <row r="18" spans="1:8">
      <c r="A18" s="293"/>
      <c r="B18" s="375"/>
      <c r="C18" s="294"/>
      <c r="D18" s="294"/>
      <c r="E18" s="409"/>
      <c r="F18" s="350"/>
      <c r="G18" s="350"/>
      <c r="H18" s="293"/>
    </row>
    <row r="19" spans="1:8">
      <c r="A19" s="293"/>
      <c r="B19" s="375"/>
      <c r="C19" s="294"/>
      <c r="D19" s="294"/>
      <c r="E19" s="409"/>
      <c r="F19" s="350"/>
      <c r="G19" s="350"/>
      <c r="H19" s="293"/>
    </row>
    <row r="20" spans="1:8">
      <c r="A20" s="293"/>
      <c r="B20" s="375"/>
      <c r="C20" s="294"/>
      <c r="D20" s="294"/>
      <c r="E20" s="409"/>
      <c r="F20" s="350"/>
      <c r="G20" s="350"/>
      <c r="H20" s="293"/>
    </row>
    <row r="21" spans="1:8">
      <c r="A21" s="293"/>
      <c r="B21" s="375"/>
      <c r="C21" s="294"/>
      <c r="D21" s="294"/>
      <c r="E21" s="409"/>
      <c r="F21" s="350"/>
      <c r="G21" s="350"/>
      <c r="H21" s="293"/>
    </row>
    <row r="22" spans="1:8">
      <c r="A22" s="293"/>
      <c r="B22" s="375"/>
      <c r="C22" s="294"/>
      <c r="D22" s="294"/>
      <c r="E22" s="409"/>
      <c r="F22" s="350"/>
      <c r="G22" s="350"/>
      <c r="H22" s="293"/>
    </row>
    <row r="23" spans="1:8">
      <c r="A23" s="293"/>
      <c r="B23" s="375"/>
      <c r="C23" s="294"/>
      <c r="D23" s="294"/>
      <c r="E23" s="409"/>
      <c r="F23" s="350"/>
      <c r="G23" s="350"/>
      <c r="H23" s="293"/>
    </row>
    <row r="24" spans="1:8">
      <c r="A24" s="293"/>
      <c r="B24" s="375"/>
      <c r="C24" s="294"/>
      <c r="D24" s="294"/>
      <c r="E24" s="409"/>
      <c r="F24" s="350"/>
      <c r="G24" s="350"/>
      <c r="H24" s="293"/>
    </row>
    <row r="25" spans="1:8">
      <c r="A25" s="293"/>
      <c r="B25" s="375"/>
      <c r="C25" s="294"/>
      <c r="D25" s="294"/>
      <c r="E25" s="409"/>
      <c r="F25" s="350"/>
      <c r="G25" s="350"/>
      <c r="H25" s="293"/>
    </row>
    <row r="26" spans="1:8">
      <c r="A26" s="293"/>
      <c r="B26" s="375"/>
      <c r="C26" s="294"/>
      <c r="D26" s="294"/>
      <c r="E26" s="409"/>
      <c r="F26" s="350"/>
      <c r="G26" s="350"/>
      <c r="H26" s="293"/>
    </row>
    <row r="27" spans="1:8">
      <c r="A27" s="293"/>
      <c r="B27" s="375"/>
      <c r="C27" s="294"/>
      <c r="D27" s="294"/>
      <c r="E27" s="409"/>
      <c r="F27" s="350"/>
      <c r="G27" s="350"/>
      <c r="H27" s="293"/>
    </row>
    <row r="28" spans="1:8">
      <c r="A28" s="293"/>
      <c r="B28" s="375"/>
      <c r="C28" s="294"/>
      <c r="D28" s="294"/>
      <c r="E28" s="409"/>
      <c r="F28" s="350"/>
      <c r="G28" s="350"/>
      <c r="H28" s="293"/>
    </row>
    <row r="29" spans="1:8">
      <c r="A29" s="293"/>
      <c r="B29" s="375"/>
      <c r="C29" s="294"/>
      <c r="D29" s="294"/>
      <c r="E29" s="409"/>
      <c r="F29" s="350"/>
      <c r="G29" s="350"/>
      <c r="H29" s="293"/>
    </row>
    <row r="30" spans="1:8">
      <c r="A30" s="293"/>
      <c r="B30" s="375"/>
      <c r="C30" s="294"/>
      <c r="D30" s="294"/>
      <c r="E30" s="409"/>
      <c r="F30" s="350"/>
      <c r="G30" s="350"/>
      <c r="H30" s="293"/>
    </row>
    <row r="31" spans="1:8">
      <c r="A31" s="293"/>
      <c r="B31" s="375"/>
      <c r="C31" s="294"/>
      <c r="D31" s="294"/>
      <c r="E31" s="409"/>
      <c r="F31" s="350"/>
      <c r="G31" s="350"/>
      <c r="H31" s="293"/>
    </row>
    <row r="32" spans="1:8">
      <c r="A32" s="293"/>
      <c r="B32" s="375"/>
      <c r="C32" s="294"/>
      <c r="D32" s="294"/>
      <c r="E32" s="409"/>
      <c r="F32" s="350"/>
      <c r="G32" s="350"/>
      <c r="H32" s="293"/>
    </row>
    <row r="33" spans="1:8">
      <c r="A33" s="293"/>
      <c r="B33" s="375"/>
      <c r="C33" s="294"/>
      <c r="D33" s="294"/>
      <c r="E33" s="409"/>
      <c r="F33" s="350"/>
      <c r="G33" s="350"/>
      <c r="H33" s="293"/>
    </row>
    <row r="34" spans="1:8">
      <c r="A34" s="293"/>
      <c r="B34" s="375"/>
      <c r="C34" s="294"/>
      <c r="D34" s="294"/>
      <c r="E34" s="409"/>
      <c r="F34" s="350"/>
      <c r="G34" s="350"/>
      <c r="H34" s="293"/>
    </row>
    <row r="35" spans="1:8">
      <c r="A35" s="293"/>
      <c r="B35" s="375"/>
      <c r="C35" s="294"/>
      <c r="D35" s="294"/>
      <c r="E35" s="409"/>
      <c r="F35" s="350"/>
      <c r="G35" s="350"/>
      <c r="H35" s="293"/>
    </row>
    <row r="36" spans="1:8">
      <c r="A36" s="293"/>
      <c r="B36" s="375"/>
      <c r="C36" s="294"/>
      <c r="D36" s="294"/>
      <c r="E36" s="409"/>
      <c r="F36" s="350"/>
      <c r="G36" s="350"/>
      <c r="H36" s="293"/>
    </row>
    <row r="37" spans="1:8">
      <c r="A37" s="293"/>
      <c r="B37" s="375"/>
      <c r="C37" s="294"/>
      <c r="D37" s="294"/>
      <c r="E37" s="409"/>
      <c r="F37" s="350"/>
      <c r="G37" s="350"/>
      <c r="H37" s="293"/>
    </row>
    <row r="38" spans="1:8">
      <c r="A38" s="293"/>
      <c r="B38" s="375"/>
      <c r="C38" s="294"/>
      <c r="D38" s="294"/>
      <c r="E38" s="409"/>
      <c r="F38" s="350"/>
      <c r="G38" s="350"/>
      <c r="H38" s="293"/>
    </row>
    <row r="39" spans="1:8">
      <c r="A39" s="293"/>
      <c r="B39" s="375"/>
      <c r="C39" s="294"/>
      <c r="D39" s="294"/>
      <c r="E39" s="409"/>
      <c r="F39" s="350"/>
      <c r="G39" s="350"/>
      <c r="H39" s="293"/>
    </row>
    <row r="40" spans="1:8">
      <c r="A40" s="293"/>
      <c r="B40" s="375"/>
      <c r="C40" s="294"/>
      <c r="D40" s="294"/>
      <c r="E40" s="409"/>
      <c r="F40" s="350"/>
      <c r="G40" s="350"/>
      <c r="H40" s="293"/>
    </row>
    <row r="41" spans="1:8">
      <c r="A41" s="293"/>
      <c r="B41" s="375"/>
      <c r="C41" s="294"/>
      <c r="D41" s="294"/>
      <c r="E41" s="409"/>
      <c r="F41" s="350"/>
      <c r="G41" s="350"/>
      <c r="H41" s="293"/>
    </row>
    <row r="42" spans="1:8">
      <c r="A42" s="293"/>
      <c r="B42" s="375"/>
      <c r="C42" s="294"/>
      <c r="D42" s="294"/>
      <c r="E42" s="409"/>
      <c r="F42" s="350"/>
      <c r="G42" s="350"/>
      <c r="H42" s="293"/>
    </row>
    <row r="43" spans="1:8">
      <c r="A43" s="293"/>
      <c r="B43" s="375"/>
      <c r="C43" s="294"/>
      <c r="D43" s="294"/>
      <c r="E43" s="409"/>
      <c r="F43" s="350"/>
      <c r="G43" s="350"/>
      <c r="H43" s="293"/>
    </row>
    <row r="44" spans="1:8">
      <c r="A44" s="293"/>
      <c r="B44" s="375"/>
      <c r="C44" s="294"/>
      <c r="D44" s="294"/>
      <c r="E44" s="409"/>
      <c r="F44" s="350"/>
      <c r="G44" s="350"/>
      <c r="H44" s="293"/>
    </row>
    <row r="45" spans="1:8">
      <c r="A45" s="293"/>
      <c r="B45" s="375"/>
      <c r="C45" s="294"/>
      <c r="D45" s="294"/>
      <c r="E45" s="409"/>
      <c r="F45" s="350"/>
      <c r="G45" s="350"/>
      <c r="H45" s="293"/>
    </row>
    <row r="46" spans="1:8">
      <c r="A46" s="293"/>
      <c r="B46" s="375"/>
      <c r="C46" s="294"/>
      <c r="D46" s="294"/>
      <c r="E46" s="409"/>
      <c r="F46" s="350"/>
      <c r="G46" s="350"/>
      <c r="H46" s="293"/>
    </row>
    <row r="47" spans="1:8">
      <c r="A47" s="293"/>
      <c r="B47" s="375"/>
      <c r="C47" s="294"/>
      <c r="D47" s="294"/>
      <c r="E47" s="409"/>
      <c r="F47" s="350"/>
      <c r="G47" s="350"/>
      <c r="H47" s="293"/>
    </row>
    <row r="48" spans="1:8">
      <c r="A48" s="293"/>
      <c r="B48" s="375"/>
      <c r="C48" s="294"/>
      <c r="D48" s="294"/>
      <c r="E48" s="409"/>
      <c r="F48" s="350"/>
      <c r="G48" s="350"/>
      <c r="H48" s="293"/>
    </row>
    <row r="49" spans="1:8">
      <c r="A49" s="293"/>
      <c r="B49" s="375"/>
      <c r="C49" s="294"/>
      <c r="D49" s="294"/>
      <c r="E49" s="409"/>
      <c r="F49" s="350"/>
      <c r="G49" s="350"/>
      <c r="H49" s="293"/>
    </row>
    <row r="50" spans="1:8">
      <c r="A50" s="293"/>
      <c r="B50" s="375"/>
      <c r="C50" s="294"/>
      <c r="D50" s="294"/>
      <c r="E50" s="409"/>
      <c r="F50" s="350"/>
      <c r="G50" s="350"/>
      <c r="H50" s="293"/>
    </row>
    <row r="51" spans="1:8">
      <c r="A51" s="293"/>
      <c r="B51" s="375"/>
      <c r="C51" s="294"/>
      <c r="D51" s="294"/>
      <c r="E51" s="409"/>
      <c r="F51" s="350"/>
      <c r="G51" s="350"/>
      <c r="H51" s="293"/>
    </row>
    <row r="52" spans="1:8">
      <c r="A52" s="293"/>
      <c r="B52" s="375"/>
      <c r="C52" s="294"/>
      <c r="D52" s="294"/>
      <c r="E52" s="409"/>
      <c r="F52" s="350"/>
      <c r="G52" s="350"/>
      <c r="H52" s="293"/>
    </row>
    <row r="53" spans="1:8">
      <c r="A53" s="293"/>
      <c r="B53" s="375"/>
      <c r="C53" s="294"/>
      <c r="D53" s="294"/>
      <c r="E53" s="409"/>
      <c r="F53" s="350"/>
      <c r="G53" s="350"/>
      <c r="H53" s="293"/>
    </row>
    <row r="54" spans="1:8">
      <c r="A54" s="293"/>
      <c r="B54" s="375"/>
      <c r="C54" s="294"/>
      <c r="D54" s="294"/>
      <c r="E54" s="409"/>
      <c r="F54" s="350"/>
      <c r="G54" s="350"/>
      <c r="H54" s="293"/>
    </row>
    <row r="55" spans="1:8">
      <c r="A55" s="293"/>
      <c r="B55" s="375"/>
      <c r="C55" s="294"/>
      <c r="D55" s="294"/>
      <c r="E55" s="409"/>
      <c r="F55" s="350"/>
      <c r="G55" s="350"/>
      <c r="H55" s="293"/>
    </row>
    <row r="56" spans="1:8">
      <c r="A56" s="293"/>
      <c r="B56" s="375"/>
      <c r="C56" s="294"/>
      <c r="D56" s="294"/>
      <c r="E56" s="409"/>
      <c r="F56" s="350"/>
      <c r="G56" s="350"/>
      <c r="H56" s="293"/>
    </row>
    <row r="57" spans="1:8">
      <c r="A57" s="293"/>
      <c r="B57" s="375"/>
      <c r="C57" s="294"/>
      <c r="D57" s="294"/>
      <c r="E57" s="409"/>
      <c r="F57" s="350"/>
      <c r="G57" s="350"/>
      <c r="H57" s="293"/>
    </row>
    <row r="58" spans="1:8">
      <c r="A58" s="293"/>
      <c r="B58" s="375"/>
      <c r="C58" s="294"/>
      <c r="D58" s="294"/>
      <c r="E58" s="409"/>
      <c r="F58" s="350"/>
      <c r="G58" s="350"/>
      <c r="H58" s="293"/>
    </row>
    <row r="59" spans="1:8">
      <c r="A59" s="293"/>
      <c r="B59" s="375"/>
      <c r="C59" s="294"/>
      <c r="D59" s="294"/>
      <c r="E59" s="409"/>
      <c r="F59" s="350"/>
      <c r="G59" s="350"/>
      <c r="H59" s="293"/>
    </row>
    <row r="60" spans="1:8">
      <c r="A60" s="293"/>
      <c r="B60" s="375"/>
      <c r="C60" s="294"/>
      <c r="D60" s="294"/>
      <c r="E60" s="409"/>
      <c r="F60" s="350"/>
      <c r="G60" s="350"/>
      <c r="H60" s="293"/>
    </row>
    <row r="61" spans="1:8">
      <c r="A61" s="293"/>
      <c r="B61" s="375"/>
      <c r="C61" s="294"/>
      <c r="D61" s="294"/>
      <c r="E61" s="409"/>
      <c r="F61" s="350"/>
      <c r="G61" s="350"/>
      <c r="H61" s="293"/>
    </row>
    <row r="62" spans="1:8">
      <c r="A62" s="293"/>
      <c r="B62" s="375"/>
      <c r="C62" s="294"/>
      <c r="D62" s="294"/>
      <c r="E62" s="409"/>
      <c r="F62" s="350"/>
      <c r="G62" s="350"/>
      <c r="H62" s="293"/>
    </row>
    <row r="63" spans="1:8">
      <c r="A63" s="293"/>
      <c r="B63" s="375"/>
      <c r="C63" s="294"/>
      <c r="D63" s="294"/>
      <c r="E63" s="409"/>
      <c r="F63" s="350"/>
      <c r="G63" s="350"/>
      <c r="H63" s="293"/>
    </row>
    <row r="64" spans="1:8">
      <c r="A64" s="293"/>
      <c r="B64" s="375"/>
      <c r="C64" s="294"/>
      <c r="D64" s="294"/>
      <c r="E64" s="409"/>
      <c r="F64" s="350"/>
      <c r="G64" s="350"/>
      <c r="H64" s="293"/>
    </row>
    <row r="65" spans="1:8">
      <c r="A65" s="293"/>
      <c r="B65" s="375"/>
      <c r="C65" s="294"/>
      <c r="D65" s="294"/>
      <c r="E65" s="409"/>
      <c r="F65" s="350"/>
      <c r="G65" s="350"/>
      <c r="H65" s="293"/>
    </row>
    <row r="66" spans="1:8">
      <c r="A66" s="293"/>
      <c r="B66" s="375"/>
      <c r="C66" s="294"/>
      <c r="D66" s="294"/>
      <c r="E66" s="409"/>
      <c r="F66" s="350"/>
      <c r="G66" s="350"/>
      <c r="H66" s="293"/>
    </row>
    <row r="67" spans="1:8">
      <c r="A67" s="293"/>
      <c r="B67" s="375"/>
      <c r="C67" s="294"/>
      <c r="D67" s="294"/>
      <c r="E67" s="409"/>
      <c r="F67" s="350"/>
      <c r="G67" s="350"/>
      <c r="H67" s="293"/>
    </row>
    <row r="68" spans="1:8">
      <c r="A68" s="293"/>
      <c r="B68" s="375"/>
      <c r="C68" s="294"/>
      <c r="D68" s="294"/>
      <c r="E68" s="409"/>
      <c r="F68" s="350"/>
      <c r="G68" s="350"/>
      <c r="H68" s="293"/>
    </row>
    <row r="69" spans="1:8">
      <c r="A69" s="293"/>
      <c r="B69" s="375"/>
      <c r="C69" s="294"/>
      <c r="D69" s="294"/>
      <c r="E69" s="409"/>
      <c r="F69" s="350"/>
      <c r="G69" s="350"/>
      <c r="H69" s="293"/>
    </row>
    <row r="70" spans="1:8">
      <c r="A70" s="293"/>
      <c r="B70" s="375"/>
      <c r="C70" s="294"/>
      <c r="D70" s="294"/>
      <c r="E70" s="409"/>
      <c r="F70" s="350"/>
      <c r="G70" s="350"/>
      <c r="H70" s="293"/>
    </row>
    <row r="71" spans="1:8">
      <c r="A71" s="293"/>
      <c r="B71" s="375"/>
      <c r="C71" s="294"/>
      <c r="D71" s="294"/>
      <c r="E71" s="409"/>
      <c r="F71" s="350"/>
      <c r="G71" s="350"/>
      <c r="H71" s="293"/>
    </row>
    <row r="72" spans="1:8">
      <c r="A72" s="293"/>
      <c r="B72" s="375"/>
      <c r="C72" s="294"/>
      <c r="D72" s="294"/>
      <c r="E72" s="409"/>
      <c r="F72" s="350"/>
      <c r="G72" s="350"/>
      <c r="H72" s="293"/>
    </row>
    <row r="73" spans="1:8">
      <c r="A73" s="293"/>
      <c r="B73" s="375"/>
      <c r="C73" s="294"/>
      <c r="D73" s="294"/>
      <c r="E73" s="409"/>
      <c r="F73" s="350"/>
      <c r="G73" s="350"/>
      <c r="H73" s="293"/>
    </row>
    <row r="74" spans="1:8">
      <c r="A74" s="293"/>
      <c r="B74" s="375"/>
      <c r="C74" s="294"/>
      <c r="D74" s="294"/>
      <c r="E74" s="409"/>
      <c r="F74" s="350"/>
      <c r="G74" s="350"/>
      <c r="H74" s="293"/>
    </row>
    <row r="75" spans="1:8">
      <c r="A75" s="293"/>
      <c r="B75" s="375"/>
      <c r="C75" s="294"/>
      <c r="D75" s="294"/>
      <c r="E75" s="409"/>
      <c r="F75" s="350"/>
      <c r="G75" s="350"/>
      <c r="H75" s="293"/>
    </row>
    <row r="76" spans="1:8">
      <c r="A76" s="293"/>
      <c r="B76" s="375"/>
      <c r="C76" s="294"/>
      <c r="D76" s="294"/>
      <c r="E76" s="409"/>
      <c r="F76" s="350"/>
      <c r="G76" s="350"/>
      <c r="H76" s="293"/>
    </row>
    <row r="77" spans="1:8">
      <c r="A77" s="293"/>
      <c r="B77" s="375"/>
      <c r="C77" s="294"/>
      <c r="D77" s="294"/>
      <c r="E77" s="409"/>
      <c r="F77" s="350"/>
      <c r="G77" s="350"/>
      <c r="H77" s="293"/>
    </row>
    <row r="78" spans="1:8">
      <c r="A78" s="293"/>
      <c r="B78" s="375"/>
      <c r="C78" s="294"/>
      <c r="D78" s="294"/>
      <c r="E78" s="409"/>
      <c r="F78" s="350"/>
      <c r="G78" s="350"/>
      <c r="H78" s="293"/>
    </row>
    <row r="79" spans="1:8">
      <c r="A79" s="293"/>
      <c r="B79" s="375"/>
      <c r="C79" s="294"/>
      <c r="D79" s="294"/>
      <c r="E79" s="409"/>
      <c r="F79" s="350"/>
      <c r="G79" s="350"/>
      <c r="H79" s="293"/>
    </row>
    <row r="80" spans="1:8">
      <c r="A80" s="293"/>
      <c r="B80" s="375"/>
      <c r="C80" s="294"/>
      <c r="D80" s="294"/>
      <c r="E80" s="409"/>
      <c r="F80" s="350"/>
      <c r="G80" s="350"/>
      <c r="H80" s="293"/>
    </row>
    <row r="81" spans="1:8">
      <c r="A81" s="293"/>
      <c r="B81" s="375"/>
      <c r="C81" s="294"/>
      <c r="D81" s="294"/>
      <c r="E81" s="409"/>
      <c r="F81" s="350"/>
      <c r="G81" s="350"/>
      <c r="H81" s="293"/>
    </row>
    <row r="82" spans="1:8">
      <c r="A82" s="293"/>
      <c r="B82" s="375"/>
      <c r="C82" s="294"/>
      <c r="D82" s="294"/>
      <c r="E82" s="409"/>
      <c r="F82" s="350"/>
      <c r="G82" s="350"/>
      <c r="H82" s="293"/>
    </row>
    <row r="83" spans="1:8">
      <c r="A83" s="293"/>
      <c r="B83" s="375"/>
      <c r="C83" s="294"/>
      <c r="D83" s="294"/>
      <c r="E83" s="409"/>
      <c r="F83" s="350"/>
      <c r="G83" s="350"/>
      <c r="H83" s="293"/>
    </row>
    <row r="84" spans="1:8">
      <c r="A84" s="293"/>
      <c r="B84" s="375"/>
      <c r="C84" s="294"/>
      <c r="D84" s="294"/>
      <c r="E84" s="409"/>
      <c r="F84" s="350"/>
      <c r="G84" s="350"/>
      <c r="H84" s="293"/>
    </row>
    <row r="85" spans="1:8">
      <c r="A85" s="293"/>
      <c r="B85" s="375"/>
      <c r="C85" s="294"/>
      <c r="D85" s="294"/>
      <c r="E85" s="409"/>
      <c r="F85" s="350"/>
      <c r="G85" s="350"/>
      <c r="H85" s="293"/>
    </row>
    <row r="86" spans="1:8">
      <c r="A86" s="293"/>
      <c r="B86" s="375"/>
      <c r="C86" s="294"/>
      <c r="D86" s="294"/>
      <c r="E86" s="409"/>
      <c r="F86" s="350"/>
      <c r="G86" s="350"/>
      <c r="H86" s="293"/>
    </row>
    <row r="87" spans="1:8">
      <c r="A87" s="293"/>
      <c r="B87" s="375"/>
      <c r="C87" s="294"/>
      <c r="D87" s="294"/>
      <c r="E87" s="409"/>
      <c r="F87" s="350"/>
      <c r="G87" s="350"/>
      <c r="H87" s="293"/>
    </row>
    <row r="88" spans="1:8">
      <c r="A88" s="293"/>
      <c r="B88" s="375"/>
      <c r="C88" s="294"/>
      <c r="D88" s="294"/>
      <c r="E88" s="409"/>
      <c r="F88" s="350"/>
      <c r="G88" s="350"/>
      <c r="H88" s="293"/>
    </row>
    <row r="89" spans="1:8">
      <c r="A89" s="293"/>
      <c r="B89" s="375"/>
      <c r="C89" s="294"/>
      <c r="D89" s="294"/>
      <c r="E89" s="409"/>
      <c r="F89" s="350"/>
      <c r="G89" s="350"/>
      <c r="H89" s="293"/>
    </row>
    <row r="90" spans="1:8">
      <c r="A90" s="293"/>
      <c r="B90" s="375"/>
      <c r="C90" s="294"/>
      <c r="D90" s="294"/>
      <c r="E90" s="409"/>
      <c r="F90" s="350"/>
      <c r="G90" s="350"/>
      <c r="H90" s="293"/>
    </row>
    <row r="91" spans="1:8">
      <c r="A91" s="293"/>
      <c r="B91" s="375"/>
      <c r="C91" s="294"/>
      <c r="D91" s="294"/>
      <c r="E91" s="409"/>
      <c r="F91" s="350"/>
      <c r="G91" s="350"/>
      <c r="H91" s="293"/>
    </row>
    <row r="92" spans="1:8">
      <c r="A92" s="293"/>
      <c r="B92" s="375"/>
      <c r="C92" s="294"/>
      <c r="D92" s="294"/>
      <c r="E92" s="409"/>
      <c r="F92" s="350"/>
      <c r="G92" s="350"/>
      <c r="H92" s="293"/>
    </row>
    <row r="93" spans="1:8">
      <c r="A93" s="293"/>
      <c r="B93" s="375"/>
      <c r="C93" s="294"/>
      <c r="D93" s="294"/>
      <c r="E93" s="409"/>
      <c r="F93" s="350"/>
      <c r="G93" s="350"/>
      <c r="H93" s="293"/>
    </row>
    <row r="94" spans="1:8">
      <c r="A94" s="293"/>
      <c r="B94" s="375"/>
      <c r="C94" s="294"/>
      <c r="D94" s="294"/>
      <c r="E94" s="409"/>
      <c r="F94" s="350"/>
      <c r="G94" s="350"/>
      <c r="H94" s="293"/>
    </row>
    <row r="95" spans="1:8">
      <c r="A95" s="293"/>
      <c r="B95" s="375"/>
      <c r="C95" s="294"/>
      <c r="D95" s="294"/>
      <c r="E95" s="409"/>
      <c r="F95" s="350"/>
      <c r="G95" s="350"/>
      <c r="H95" s="293"/>
    </row>
    <row r="96" spans="1:8">
      <c r="A96" s="293"/>
      <c r="B96" s="375"/>
      <c r="C96" s="294"/>
      <c r="D96" s="294"/>
      <c r="E96" s="409"/>
      <c r="F96" s="350"/>
      <c r="G96" s="350"/>
      <c r="H96" s="293"/>
    </row>
    <row r="97" spans="1:8">
      <c r="A97" s="293"/>
      <c r="B97" s="375"/>
      <c r="C97" s="294"/>
      <c r="D97" s="294"/>
      <c r="E97" s="409"/>
      <c r="F97" s="350"/>
      <c r="G97" s="350"/>
      <c r="H97" s="293"/>
    </row>
    <row r="98" spans="1:8">
      <c r="A98" s="293"/>
      <c r="B98" s="375"/>
      <c r="C98" s="294"/>
      <c r="D98" s="294"/>
      <c r="E98" s="409"/>
      <c r="F98" s="350"/>
      <c r="G98" s="350"/>
      <c r="H98" s="293"/>
    </row>
    <row r="99" spans="1:8">
      <c r="A99" s="293"/>
      <c r="B99" s="375"/>
      <c r="C99" s="294"/>
      <c r="D99" s="294"/>
      <c r="E99" s="409"/>
      <c r="F99" s="350"/>
      <c r="G99" s="350"/>
      <c r="H99" s="293"/>
    </row>
    <row r="100" spans="1:8">
      <c r="A100" s="293"/>
      <c r="B100" s="375"/>
      <c r="C100" s="294"/>
      <c r="D100" s="294"/>
      <c r="E100" s="409"/>
      <c r="F100" s="350"/>
      <c r="G100" s="350"/>
      <c r="H100" s="293"/>
    </row>
    <row r="101" spans="1:8">
      <c r="A101" s="293"/>
      <c r="B101" s="375"/>
      <c r="C101" s="294"/>
      <c r="D101" s="294"/>
      <c r="E101" s="409"/>
      <c r="F101" s="350"/>
      <c r="G101" s="350"/>
      <c r="H101" s="293"/>
    </row>
    <row r="102" spans="1:8">
      <c r="A102" s="293"/>
      <c r="B102" s="375"/>
      <c r="C102" s="294"/>
      <c r="D102" s="294"/>
      <c r="E102" s="409"/>
      <c r="F102" s="350"/>
      <c r="G102" s="350"/>
      <c r="H102" s="293"/>
    </row>
    <row r="103" spans="1:8">
      <c r="A103" s="293"/>
      <c r="B103" s="375"/>
      <c r="C103" s="294"/>
      <c r="D103" s="294"/>
      <c r="E103" s="409"/>
      <c r="F103" s="350"/>
      <c r="G103" s="350"/>
      <c r="H103" s="293"/>
    </row>
    <row r="104" spans="1:8">
      <c r="A104" s="293"/>
      <c r="B104" s="375"/>
      <c r="C104" s="294"/>
      <c r="D104" s="294"/>
      <c r="E104" s="409"/>
      <c r="F104" s="350"/>
      <c r="G104" s="350"/>
      <c r="H104" s="293"/>
    </row>
    <row r="105" spans="1:8">
      <c r="A105" s="293"/>
      <c r="B105" s="375"/>
      <c r="C105" s="294"/>
      <c r="D105" s="294"/>
      <c r="E105" s="409"/>
      <c r="F105" s="350"/>
      <c r="G105" s="350"/>
      <c r="H105" s="293"/>
    </row>
    <row r="106" spans="1:8">
      <c r="A106" s="293"/>
      <c r="B106" s="375"/>
      <c r="C106" s="294"/>
      <c r="D106" s="294"/>
      <c r="E106" s="409"/>
      <c r="F106" s="350"/>
      <c r="G106" s="350"/>
      <c r="H106" s="293"/>
    </row>
    <row r="107" spans="1:8">
      <c r="A107" s="293"/>
      <c r="B107" s="375"/>
      <c r="C107" s="294"/>
      <c r="D107" s="294"/>
      <c r="E107" s="409"/>
      <c r="F107" s="350"/>
      <c r="G107" s="350"/>
      <c r="H107" s="293"/>
    </row>
    <row r="108" spans="1:8">
      <c r="A108" s="293"/>
      <c r="B108" s="375"/>
      <c r="C108" s="294"/>
      <c r="D108" s="294"/>
      <c r="E108" s="409"/>
      <c r="F108" s="350"/>
      <c r="G108" s="350"/>
      <c r="H108" s="293"/>
    </row>
    <row r="109" spans="1:8">
      <c r="A109" s="293"/>
      <c r="B109" s="375"/>
      <c r="C109" s="294"/>
      <c r="D109" s="294"/>
      <c r="E109" s="409"/>
      <c r="F109" s="350"/>
      <c r="G109" s="350"/>
      <c r="H109" s="293"/>
    </row>
    <row r="110" spans="1:8">
      <c r="A110" s="293"/>
      <c r="B110" s="375"/>
      <c r="C110" s="294"/>
      <c r="D110" s="294"/>
      <c r="E110" s="409"/>
      <c r="F110" s="350"/>
      <c r="G110" s="350"/>
      <c r="H110" s="293"/>
    </row>
    <row r="111" spans="1:8">
      <c r="A111" s="293"/>
      <c r="B111" s="375"/>
      <c r="C111" s="294"/>
      <c r="D111" s="294"/>
      <c r="E111" s="409"/>
      <c r="F111" s="350"/>
      <c r="G111" s="350"/>
      <c r="H111" s="293"/>
    </row>
    <row r="112" spans="1:8">
      <c r="A112" s="293"/>
      <c r="B112" s="375"/>
      <c r="C112" s="294"/>
      <c r="D112" s="294"/>
      <c r="E112" s="409"/>
      <c r="F112" s="350"/>
      <c r="G112" s="350"/>
      <c r="H112" s="293"/>
    </row>
    <row r="113" spans="1:8">
      <c r="A113" s="293"/>
      <c r="B113" s="375"/>
      <c r="C113" s="294"/>
      <c r="D113" s="294"/>
      <c r="E113" s="409"/>
      <c r="F113" s="350"/>
      <c r="G113" s="350"/>
      <c r="H113" s="293"/>
    </row>
    <row r="114" spans="1:8">
      <c r="A114" s="293"/>
      <c r="B114" s="375"/>
      <c r="C114" s="294"/>
      <c r="D114" s="294"/>
      <c r="E114" s="409"/>
      <c r="F114" s="350"/>
      <c r="G114" s="350"/>
      <c r="H114" s="293"/>
    </row>
    <row r="115" spans="1:8">
      <c r="A115" s="293"/>
      <c r="B115" s="375"/>
      <c r="C115" s="294"/>
      <c r="D115" s="294"/>
      <c r="E115" s="409"/>
      <c r="F115" s="350"/>
      <c r="G115" s="350"/>
      <c r="H115" s="293"/>
    </row>
    <row r="116" spans="1:8">
      <c r="A116" s="293"/>
      <c r="B116" s="375"/>
      <c r="C116" s="294"/>
      <c r="D116" s="294"/>
      <c r="E116" s="409"/>
      <c r="F116" s="350"/>
      <c r="G116" s="350"/>
      <c r="H116" s="293"/>
    </row>
    <row r="117" spans="1:8">
      <c r="A117" s="293"/>
      <c r="B117" s="375"/>
      <c r="C117" s="294"/>
      <c r="D117" s="294"/>
      <c r="E117" s="409"/>
      <c r="F117" s="350"/>
      <c r="G117" s="350"/>
      <c r="H117" s="293"/>
    </row>
    <row r="118" spans="1:8">
      <c r="A118" s="293"/>
      <c r="B118" s="375"/>
      <c r="C118" s="294"/>
      <c r="D118" s="294"/>
      <c r="E118" s="409"/>
      <c r="F118" s="350"/>
      <c r="G118" s="350"/>
      <c r="H118" s="293"/>
    </row>
    <row r="119" spans="1:8">
      <c r="A119" s="293"/>
      <c r="B119" s="375"/>
      <c r="C119" s="294"/>
      <c r="D119" s="294"/>
      <c r="E119" s="409"/>
      <c r="F119" s="350"/>
      <c r="G119" s="350"/>
      <c r="H119" s="293"/>
    </row>
    <row r="120" spans="1:8">
      <c r="A120" s="293"/>
      <c r="B120" s="375"/>
      <c r="C120" s="294"/>
      <c r="D120" s="294"/>
      <c r="E120" s="409"/>
      <c r="F120" s="350"/>
      <c r="G120" s="350"/>
      <c r="H120" s="293"/>
    </row>
    <row r="121" spans="1:8">
      <c r="A121" s="293"/>
      <c r="B121" s="375"/>
      <c r="C121" s="294"/>
      <c r="D121" s="294"/>
      <c r="E121" s="409"/>
      <c r="F121" s="350"/>
      <c r="G121" s="350"/>
      <c r="H121" s="293"/>
    </row>
    <row r="122" spans="1:8">
      <c r="A122" s="293"/>
      <c r="B122" s="375"/>
      <c r="C122" s="294"/>
      <c r="D122" s="294"/>
      <c r="E122" s="409"/>
      <c r="F122" s="350"/>
      <c r="G122" s="350"/>
      <c r="H122" s="293"/>
    </row>
    <row r="123" spans="1:8">
      <c r="A123" s="293"/>
      <c r="B123" s="375"/>
      <c r="C123" s="294"/>
      <c r="D123" s="294"/>
      <c r="E123" s="409"/>
      <c r="F123" s="350"/>
      <c r="G123" s="350"/>
      <c r="H123" s="293"/>
    </row>
    <row r="124" spans="1:8">
      <c r="A124" s="293"/>
      <c r="B124" s="375"/>
      <c r="C124" s="294"/>
      <c r="D124" s="294"/>
      <c r="E124" s="409"/>
      <c r="F124" s="350"/>
      <c r="G124" s="350"/>
      <c r="H124" s="293"/>
    </row>
    <row r="125" spans="1:8">
      <c r="A125" s="293"/>
      <c r="B125" s="375"/>
      <c r="C125" s="294"/>
      <c r="D125" s="294"/>
      <c r="E125" s="409"/>
      <c r="F125" s="350"/>
      <c r="G125" s="350"/>
      <c r="H125" s="293"/>
    </row>
    <row r="126" spans="1:8">
      <c r="A126" s="293"/>
      <c r="B126" s="375"/>
      <c r="C126" s="294"/>
      <c r="D126" s="294"/>
      <c r="E126" s="409"/>
      <c r="F126" s="350"/>
      <c r="G126" s="350"/>
      <c r="H126" s="293"/>
    </row>
    <row r="127" spans="1:8">
      <c r="A127" s="293"/>
      <c r="B127" s="375"/>
      <c r="C127" s="294"/>
      <c r="D127" s="294"/>
      <c r="E127" s="409"/>
      <c r="F127" s="350"/>
      <c r="G127" s="350"/>
      <c r="H127" s="293"/>
    </row>
    <row r="128" spans="1:8">
      <c r="A128" s="293"/>
      <c r="B128" s="375"/>
      <c r="C128" s="294"/>
      <c r="D128" s="294"/>
      <c r="E128" s="409"/>
      <c r="F128" s="350"/>
      <c r="G128" s="350"/>
      <c r="H128" s="293"/>
    </row>
    <row r="129" spans="1:8">
      <c r="A129" s="293"/>
      <c r="B129" s="375"/>
      <c r="C129" s="294"/>
      <c r="D129" s="294"/>
      <c r="E129" s="409"/>
      <c r="F129" s="350"/>
      <c r="G129" s="350"/>
      <c r="H129" s="293"/>
    </row>
    <row r="130" spans="1:8">
      <c r="A130" s="293"/>
      <c r="B130" s="375"/>
      <c r="C130" s="294"/>
      <c r="D130" s="294"/>
      <c r="E130" s="409"/>
      <c r="F130" s="350"/>
      <c r="G130" s="350"/>
      <c r="H130" s="293"/>
    </row>
    <row r="131" spans="1:8">
      <c r="A131" s="293"/>
      <c r="B131" s="375"/>
      <c r="C131" s="294"/>
      <c r="D131" s="294"/>
      <c r="E131" s="409"/>
      <c r="F131" s="350"/>
      <c r="G131" s="350"/>
      <c r="H131" s="293"/>
    </row>
    <row r="132" spans="1:8">
      <c r="A132" s="293"/>
      <c r="B132" s="375"/>
      <c r="C132" s="294"/>
      <c r="D132" s="294"/>
      <c r="E132" s="409"/>
      <c r="F132" s="350"/>
      <c r="G132" s="350"/>
      <c r="H132" s="293"/>
    </row>
    <row r="133" spans="1:8">
      <c r="A133" s="293"/>
      <c r="B133" s="375"/>
      <c r="C133" s="294"/>
      <c r="D133" s="294"/>
      <c r="E133" s="409"/>
      <c r="F133" s="350"/>
      <c r="G133" s="350"/>
      <c r="H133" s="293"/>
    </row>
    <row r="134" spans="1:8">
      <c r="A134" s="293"/>
      <c r="B134" s="375"/>
      <c r="C134" s="294"/>
      <c r="D134" s="294"/>
      <c r="E134" s="409"/>
      <c r="F134" s="350"/>
      <c r="G134" s="350"/>
      <c r="H134" s="293"/>
    </row>
    <row r="135" spans="1:8">
      <c r="A135" s="293"/>
      <c r="B135" s="375"/>
      <c r="C135" s="294"/>
      <c r="D135" s="294"/>
      <c r="E135" s="409"/>
      <c r="F135" s="350"/>
      <c r="G135" s="350"/>
      <c r="H135" s="293"/>
    </row>
    <row r="136" spans="1:8">
      <c r="A136" s="293"/>
      <c r="B136" s="375"/>
      <c r="C136" s="294"/>
      <c r="D136" s="294"/>
      <c r="E136" s="409"/>
      <c r="F136" s="350"/>
      <c r="G136" s="350"/>
      <c r="H136" s="293"/>
    </row>
    <row r="137" spans="1:8">
      <c r="A137" s="293"/>
      <c r="B137" s="375"/>
      <c r="C137" s="294"/>
      <c r="D137" s="294"/>
      <c r="E137" s="409"/>
      <c r="F137" s="350"/>
      <c r="G137" s="350"/>
      <c r="H137" s="293"/>
    </row>
    <row r="138" spans="1:8">
      <c r="A138" s="293"/>
      <c r="B138" s="375"/>
      <c r="C138" s="294"/>
      <c r="D138" s="294"/>
      <c r="E138" s="409"/>
      <c r="F138" s="350"/>
      <c r="G138" s="350"/>
      <c r="H138" s="293"/>
    </row>
    <row r="139" spans="1:8">
      <c r="A139" s="293"/>
      <c r="B139" s="375"/>
      <c r="C139" s="294"/>
      <c r="D139" s="294"/>
      <c r="E139" s="409"/>
      <c r="F139" s="350"/>
      <c r="G139" s="350"/>
      <c r="H139" s="293"/>
    </row>
    <row r="140" spans="1:8">
      <c r="A140" s="293"/>
      <c r="B140" s="375"/>
      <c r="C140" s="294"/>
      <c r="D140" s="294"/>
      <c r="E140" s="409"/>
      <c r="F140" s="350"/>
      <c r="G140" s="350"/>
      <c r="H140" s="293"/>
    </row>
    <row r="141" spans="1:8">
      <c r="A141" s="293"/>
      <c r="B141" s="375"/>
      <c r="C141" s="294"/>
      <c r="D141" s="294"/>
      <c r="E141" s="409"/>
      <c r="F141" s="350"/>
      <c r="G141" s="350"/>
      <c r="H141" s="293"/>
    </row>
    <row r="142" spans="1:8">
      <c r="A142" s="293"/>
      <c r="B142" s="375"/>
      <c r="C142" s="294"/>
      <c r="D142" s="294"/>
      <c r="E142" s="409"/>
      <c r="F142" s="350"/>
      <c r="G142" s="350"/>
      <c r="H142" s="293"/>
    </row>
    <row r="143" spans="1:8">
      <c r="A143" s="293"/>
      <c r="B143" s="375"/>
      <c r="C143" s="294"/>
      <c r="D143" s="294"/>
      <c r="E143" s="409"/>
      <c r="F143" s="350"/>
      <c r="G143" s="350"/>
      <c r="H143" s="293"/>
    </row>
    <row r="144" spans="1:8">
      <c r="A144" s="293"/>
      <c r="B144" s="375"/>
      <c r="C144" s="294"/>
      <c r="D144" s="294"/>
      <c r="E144" s="409"/>
      <c r="F144" s="350"/>
      <c r="G144" s="350"/>
      <c r="H144" s="293"/>
    </row>
    <row r="145" spans="1:8">
      <c r="A145" s="293"/>
      <c r="B145" s="375"/>
      <c r="C145" s="294"/>
      <c r="D145" s="294"/>
      <c r="E145" s="409"/>
      <c r="F145" s="350"/>
      <c r="G145" s="350"/>
      <c r="H145" s="293"/>
    </row>
    <row r="146" spans="1:8">
      <c r="A146" s="293"/>
      <c r="B146" s="375"/>
      <c r="C146" s="294"/>
      <c r="D146" s="294"/>
      <c r="E146" s="409"/>
      <c r="F146" s="350"/>
      <c r="G146" s="350"/>
      <c r="H146" s="293"/>
    </row>
    <row r="147" spans="1:8">
      <c r="A147" s="293"/>
      <c r="B147" s="375"/>
      <c r="C147" s="294"/>
      <c r="D147" s="294"/>
      <c r="E147" s="409"/>
      <c r="F147" s="350"/>
      <c r="G147" s="350"/>
      <c r="H147" s="293"/>
    </row>
    <row r="148" spans="1:8">
      <c r="A148" s="293"/>
      <c r="B148" s="375"/>
      <c r="C148" s="294"/>
      <c r="D148" s="294"/>
      <c r="E148" s="409"/>
      <c r="F148" s="350"/>
      <c r="G148" s="350"/>
      <c r="H148" s="293"/>
    </row>
    <row r="149" spans="1:8">
      <c r="A149" s="293"/>
      <c r="B149" s="375"/>
      <c r="C149" s="294"/>
      <c r="D149" s="294"/>
      <c r="E149" s="409"/>
      <c r="F149" s="350"/>
      <c r="G149" s="350"/>
      <c r="H149" s="293"/>
    </row>
    <row r="150" spans="1:8">
      <c r="A150" s="293"/>
      <c r="B150" s="375"/>
      <c r="C150" s="294"/>
      <c r="D150" s="294"/>
      <c r="E150" s="409"/>
      <c r="F150" s="350"/>
      <c r="G150" s="350"/>
      <c r="H150" s="293"/>
    </row>
    <row r="151" spans="1:8">
      <c r="A151" s="293"/>
      <c r="B151" s="375"/>
      <c r="C151" s="294"/>
      <c r="D151" s="294"/>
      <c r="E151" s="409"/>
      <c r="F151" s="350"/>
      <c r="G151" s="350"/>
      <c r="H151" s="293"/>
    </row>
    <row r="152" spans="1:8">
      <c r="A152" s="293"/>
      <c r="B152" s="375"/>
      <c r="C152" s="294"/>
      <c r="D152" s="294"/>
      <c r="E152" s="409"/>
      <c r="F152" s="350"/>
      <c r="G152" s="350"/>
      <c r="H152" s="293"/>
    </row>
    <row r="153" spans="1:8">
      <c r="A153" s="293"/>
      <c r="B153" s="375"/>
      <c r="C153" s="294"/>
      <c r="D153" s="294"/>
      <c r="E153" s="409"/>
      <c r="F153" s="350"/>
      <c r="G153" s="350"/>
      <c r="H153" s="293"/>
    </row>
    <row r="154" spans="1:8">
      <c r="A154" s="293"/>
      <c r="B154" s="375"/>
      <c r="C154" s="294"/>
      <c r="D154" s="294"/>
      <c r="E154" s="409"/>
      <c r="F154" s="350"/>
      <c r="G154" s="350"/>
      <c r="H154" s="293"/>
    </row>
    <row r="155" spans="1:8">
      <c r="A155" s="293"/>
      <c r="B155" s="375"/>
      <c r="C155" s="294"/>
      <c r="D155" s="294"/>
      <c r="E155" s="409"/>
      <c r="F155" s="350"/>
      <c r="G155" s="350"/>
      <c r="H155" s="293"/>
    </row>
    <row r="156" spans="1:8">
      <c r="A156" s="293"/>
      <c r="B156" s="375"/>
      <c r="C156" s="294"/>
      <c r="D156" s="294"/>
      <c r="E156" s="409"/>
      <c r="F156" s="350"/>
      <c r="G156" s="350"/>
      <c r="H156" s="293"/>
    </row>
    <row r="157" spans="1:8">
      <c r="A157" s="293"/>
      <c r="B157" s="375"/>
      <c r="C157" s="294"/>
      <c r="D157" s="294"/>
      <c r="E157" s="409"/>
      <c r="F157" s="350"/>
      <c r="G157" s="350"/>
      <c r="H157" s="293"/>
    </row>
    <row r="158" spans="1:8">
      <c r="A158" s="293"/>
      <c r="B158" s="375"/>
      <c r="C158" s="294"/>
      <c r="D158" s="294"/>
      <c r="E158" s="409"/>
      <c r="F158" s="350"/>
      <c r="G158" s="350"/>
      <c r="H158" s="293"/>
    </row>
    <row r="159" spans="1:8">
      <c r="A159" s="293"/>
      <c r="B159" s="375"/>
      <c r="C159" s="294"/>
      <c r="D159" s="294"/>
      <c r="E159" s="409"/>
      <c r="F159" s="350"/>
      <c r="G159" s="350"/>
      <c r="H159" s="293"/>
    </row>
    <row r="160" spans="1:8">
      <c r="A160" s="293"/>
      <c r="B160" s="375"/>
      <c r="C160" s="294"/>
      <c r="D160" s="294"/>
      <c r="E160" s="409"/>
      <c r="F160" s="350"/>
      <c r="G160" s="350"/>
      <c r="H160" s="293"/>
    </row>
    <row r="161" spans="1:8">
      <c r="A161" s="293"/>
      <c r="B161" s="375"/>
      <c r="C161" s="294"/>
      <c r="D161" s="294"/>
      <c r="E161" s="409"/>
      <c r="F161" s="350"/>
      <c r="G161" s="350"/>
      <c r="H161" s="293"/>
    </row>
    <row r="162" spans="1:8">
      <c r="A162" s="293"/>
      <c r="B162" s="375"/>
      <c r="C162" s="294"/>
      <c r="D162" s="294"/>
      <c r="E162" s="409"/>
      <c r="F162" s="350"/>
      <c r="G162" s="350"/>
      <c r="H162" s="293"/>
    </row>
    <row r="163" spans="1:8">
      <c r="A163" s="293"/>
      <c r="B163" s="375"/>
      <c r="C163" s="294"/>
      <c r="D163" s="294"/>
      <c r="E163" s="409"/>
      <c r="F163" s="350"/>
      <c r="G163" s="350"/>
      <c r="H163" s="293"/>
    </row>
    <row r="164" spans="1:8">
      <c r="A164" s="293"/>
      <c r="B164" s="375"/>
      <c r="C164" s="294"/>
      <c r="D164" s="294"/>
      <c r="E164" s="409"/>
      <c r="F164" s="350"/>
      <c r="G164" s="350"/>
      <c r="H164" s="293"/>
    </row>
    <row r="165" spans="1:8">
      <c r="A165" s="293"/>
      <c r="B165" s="375"/>
      <c r="C165" s="294"/>
      <c r="D165" s="294"/>
      <c r="E165" s="409"/>
      <c r="F165" s="350"/>
      <c r="G165" s="350"/>
      <c r="H165" s="293"/>
    </row>
    <row r="166" spans="1:8">
      <c r="A166" s="293"/>
      <c r="B166" s="375"/>
      <c r="C166" s="294"/>
      <c r="D166" s="294"/>
      <c r="E166" s="409"/>
      <c r="F166" s="350"/>
      <c r="G166" s="350"/>
      <c r="H166" s="293"/>
    </row>
    <row r="167" spans="1:8">
      <c r="A167" s="293"/>
      <c r="B167" s="375"/>
      <c r="C167" s="294"/>
      <c r="D167" s="294"/>
      <c r="E167" s="409"/>
      <c r="F167" s="350"/>
      <c r="G167" s="350"/>
      <c r="H167" s="293"/>
    </row>
    <row r="168" spans="1:8">
      <c r="A168" s="293"/>
      <c r="B168" s="375"/>
      <c r="C168" s="294"/>
      <c r="D168" s="294"/>
      <c r="E168" s="409"/>
      <c r="F168" s="350"/>
      <c r="G168" s="350"/>
      <c r="H168" s="293"/>
    </row>
    <row r="169" spans="1:8">
      <c r="A169" s="293"/>
      <c r="B169" s="375"/>
      <c r="C169" s="294"/>
      <c r="D169" s="294"/>
      <c r="E169" s="409"/>
      <c r="F169" s="350"/>
      <c r="G169" s="350"/>
      <c r="H169" s="293"/>
    </row>
    <row r="170" spans="1:8">
      <c r="A170" s="293"/>
      <c r="B170" s="375"/>
      <c r="C170" s="294"/>
      <c r="D170" s="294"/>
      <c r="E170" s="409"/>
      <c r="F170" s="350"/>
      <c r="G170" s="350"/>
      <c r="H170" s="293"/>
    </row>
    <row r="171" spans="1:8">
      <c r="A171" s="293"/>
      <c r="B171" s="375"/>
      <c r="C171" s="294"/>
      <c r="D171" s="294"/>
      <c r="E171" s="409"/>
      <c r="F171" s="350"/>
      <c r="G171" s="350"/>
      <c r="H171" s="293"/>
    </row>
    <row r="172" spans="1:8">
      <c r="A172" s="293"/>
      <c r="B172" s="375"/>
      <c r="C172" s="294"/>
      <c r="D172" s="294"/>
      <c r="E172" s="409"/>
      <c r="F172" s="350"/>
      <c r="G172" s="350"/>
      <c r="H172" s="293"/>
    </row>
    <row r="173" spans="1:8">
      <c r="A173" s="293"/>
      <c r="B173" s="375"/>
      <c r="C173" s="294"/>
      <c r="D173" s="294"/>
      <c r="E173" s="409"/>
      <c r="F173" s="350"/>
      <c r="G173" s="350"/>
      <c r="H173" s="293"/>
    </row>
    <row r="174" spans="1:8">
      <c r="A174" s="293"/>
      <c r="B174" s="375"/>
      <c r="C174" s="294"/>
      <c r="D174" s="294"/>
      <c r="E174" s="409"/>
      <c r="F174" s="350"/>
      <c r="G174" s="350"/>
      <c r="H174" s="293"/>
    </row>
    <row r="175" spans="1:8">
      <c r="A175" s="293"/>
      <c r="B175" s="375"/>
      <c r="C175" s="294"/>
      <c r="D175" s="294"/>
      <c r="E175" s="409"/>
      <c r="F175" s="350"/>
      <c r="G175" s="350"/>
      <c r="H175" s="293"/>
    </row>
    <row r="176" spans="1:8">
      <c r="A176" s="293"/>
      <c r="B176" s="375"/>
      <c r="C176" s="294"/>
      <c r="D176" s="294"/>
      <c r="E176" s="409"/>
      <c r="F176" s="350"/>
      <c r="G176" s="350"/>
      <c r="H176" s="293"/>
    </row>
    <row r="177" spans="1:8">
      <c r="A177" s="293"/>
      <c r="B177" s="375"/>
      <c r="C177" s="294"/>
      <c r="D177" s="294"/>
      <c r="E177" s="409"/>
      <c r="F177" s="350"/>
      <c r="G177" s="350"/>
      <c r="H177" s="293"/>
    </row>
    <row r="178" spans="1:8">
      <c r="A178" s="293"/>
      <c r="B178" s="375"/>
      <c r="C178" s="294"/>
      <c r="D178" s="294"/>
      <c r="E178" s="409"/>
      <c r="F178" s="350"/>
      <c r="G178" s="350"/>
      <c r="H178" s="293"/>
    </row>
    <row r="179" spans="1:8">
      <c r="A179" s="293"/>
      <c r="B179" s="375"/>
      <c r="C179" s="294"/>
      <c r="D179" s="294"/>
      <c r="E179" s="409"/>
      <c r="F179" s="350"/>
      <c r="G179" s="350"/>
      <c r="H179" s="293"/>
    </row>
    <row r="180" spans="1:8">
      <c r="A180" s="293"/>
      <c r="B180" s="375"/>
      <c r="C180" s="294"/>
      <c r="D180" s="294"/>
      <c r="E180" s="409"/>
      <c r="F180" s="350"/>
      <c r="G180" s="350"/>
      <c r="H180" s="293"/>
    </row>
    <row r="181" spans="1:8">
      <c r="A181" s="293"/>
      <c r="B181" s="375"/>
      <c r="C181" s="294"/>
      <c r="D181" s="294"/>
      <c r="E181" s="409"/>
      <c r="F181" s="350"/>
      <c r="G181" s="350"/>
      <c r="H181" s="293"/>
    </row>
    <row r="182" spans="1:8">
      <c r="A182" s="293"/>
      <c r="B182" s="375"/>
      <c r="C182" s="294"/>
      <c r="D182" s="294"/>
      <c r="E182" s="409"/>
      <c r="F182" s="350"/>
      <c r="G182" s="350"/>
      <c r="H182" s="293"/>
    </row>
    <row r="183" spans="1:8">
      <c r="A183" s="293"/>
      <c r="B183" s="375"/>
      <c r="C183" s="294"/>
      <c r="D183" s="294"/>
      <c r="E183" s="409"/>
      <c r="F183" s="350"/>
      <c r="G183" s="350"/>
      <c r="H183" s="293"/>
    </row>
    <row r="184" spans="1:8">
      <c r="A184" s="293"/>
      <c r="B184" s="375"/>
      <c r="C184" s="294"/>
      <c r="D184" s="294"/>
      <c r="E184" s="409"/>
      <c r="F184" s="350"/>
      <c r="G184" s="350"/>
      <c r="H184" s="293"/>
    </row>
    <row r="185" spans="1:8">
      <c r="A185" s="293"/>
      <c r="B185" s="375"/>
      <c r="C185" s="294"/>
      <c r="D185" s="294"/>
      <c r="E185" s="409"/>
      <c r="F185" s="350"/>
      <c r="G185" s="350"/>
      <c r="H185" s="293"/>
    </row>
    <row r="186" spans="1:8">
      <c r="A186" s="293"/>
      <c r="B186" s="375"/>
      <c r="C186" s="294"/>
      <c r="D186" s="294"/>
      <c r="E186" s="409"/>
      <c r="F186" s="350"/>
      <c r="G186" s="350"/>
      <c r="H186" s="293"/>
    </row>
    <row r="187" spans="1:8">
      <c r="A187" s="293"/>
      <c r="B187" s="375"/>
      <c r="C187" s="294"/>
      <c r="D187" s="294"/>
      <c r="E187" s="409"/>
      <c r="F187" s="350"/>
      <c r="G187" s="350"/>
      <c r="H187" s="293"/>
    </row>
    <row r="188" spans="1:8">
      <c r="A188" s="293"/>
      <c r="B188" s="375"/>
      <c r="C188" s="294"/>
      <c r="D188" s="294"/>
      <c r="E188" s="409"/>
      <c r="F188" s="350"/>
      <c r="G188" s="350"/>
      <c r="H188" s="293"/>
    </row>
    <row r="189" spans="1:8">
      <c r="A189" s="293"/>
      <c r="B189" s="375"/>
      <c r="C189" s="294"/>
      <c r="D189" s="294"/>
      <c r="E189" s="409"/>
      <c r="F189" s="350"/>
      <c r="G189" s="350"/>
      <c r="H189" s="293"/>
    </row>
    <row r="190" spans="1:8">
      <c r="A190" s="293"/>
      <c r="B190" s="375"/>
      <c r="C190" s="294"/>
      <c r="D190" s="294"/>
      <c r="E190" s="409"/>
      <c r="F190" s="350"/>
      <c r="G190" s="350"/>
      <c r="H190" s="293"/>
    </row>
    <row r="191" spans="1:8">
      <c r="A191" s="293"/>
      <c r="B191" s="375"/>
      <c r="C191" s="294"/>
      <c r="D191" s="294"/>
      <c r="E191" s="409"/>
      <c r="F191" s="350"/>
      <c r="G191" s="350"/>
      <c r="H191" s="293"/>
    </row>
    <row r="192" spans="1:8">
      <c r="A192" s="293"/>
      <c r="B192" s="375"/>
      <c r="C192" s="294"/>
      <c r="D192" s="294"/>
      <c r="E192" s="409"/>
      <c r="F192" s="350"/>
      <c r="G192" s="350"/>
      <c r="H192" s="293"/>
    </row>
    <row r="193" spans="1:8">
      <c r="A193" s="293"/>
      <c r="B193" s="375"/>
      <c r="C193" s="294"/>
      <c r="D193" s="294"/>
      <c r="E193" s="409"/>
      <c r="F193" s="350"/>
      <c r="G193" s="350"/>
      <c r="H193" s="293"/>
    </row>
    <row r="194" spans="1:8">
      <c r="A194" s="293"/>
      <c r="B194" s="375"/>
      <c r="C194" s="294"/>
      <c r="D194" s="294"/>
      <c r="E194" s="409"/>
      <c r="F194" s="350"/>
      <c r="G194" s="350"/>
      <c r="H194" s="293"/>
    </row>
    <row r="195" spans="1:8">
      <c r="A195" s="293"/>
      <c r="B195" s="375"/>
      <c r="C195" s="294"/>
      <c r="D195" s="294"/>
      <c r="E195" s="409"/>
      <c r="F195" s="350"/>
      <c r="G195" s="350"/>
      <c r="H195" s="293"/>
    </row>
    <row r="196" spans="1:8">
      <c r="A196" s="293"/>
      <c r="B196" s="375"/>
      <c r="C196" s="294"/>
      <c r="D196" s="294"/>
      <c r="E196" s="409"/>
      <c r="F196" s="350"/>
      <c r="G196" s="350"/>
      <c r="H196" s="293"/>
    </row>
    <row r="197" spans="1:8">
      <c r="A197" s="293"/>
      <c r="B197" s="375"/>
      <c r="C197" s="294"/>
      <c r="D197" s="294"/>
      <c r="E197" s="409"/>
      <c r="F197" s="350"/>
      <c r="G197" s="350"/>
      <c r="H197" s="293"/>
    </row>
    <row r="198" spans="1:8">
      <c r="A198" s="293"/>
      <c r="B198" s="375"/>
      <c r="C198" s="294"/>
      <c r="D198" s="294"/>
      <c r="E198" s="409"/>
      <c r="F198" s="350"/>
      <c r="G198" s="350"/>
      <c r="H198" s="293"/>
    </row>
    <row r="199" spans="1:8">
      <c r="A199" s="293"/>
      <c r="B199" s="375"/>
      <c r="C199" s="294"/>
      <c r="D199" s="294"/>
      <c r="E199" s="409"/>
      <c r="F199" s="350"/>
      <c r="G199" s="350"/>
      <c r="H199" s="293"/>
    </row>
    <row r="200" spans="1:8">
      <c r="A200" s="293"/>
      <c r="B200" s="375"/>
      <c r="C200" s="294"/>
      <c r="D200" s="294"/>
      <c r="E200" s="409"/>
      <c r="F200" s="350"/>
      <c r="G200" s="350"/>
      <c r="H200" s="293"/>
    </row>
  </sheetData>
  <pageMargins left="0.7" right="0.7" top="0.75" bottom="0.75" header="0.3" footer="0.3"/>
  <drawing r:id="rId1"/>
  <legacyDrawing r:id="rId2"/>
  <controls>
    <mc:AlternateContent xmlns:mc="http://schemas.openxmlformats.org/markup-compatibility/2006">
      <mc:Choice Requires="x14">
        <control shapeId="552961" r:id="rId3" name="cmdGetAllMeasures">
          <controlPr locked="0" defaultSize="0" autoLine="0" r:id="rId4">
            <anchor moveWithCells="1">
              <from>
                <xdr:col>0</xdr:col>
                <xdr:colOff>76200</xdr:colOff>
                <xdr:row>0</xdr:row>
                <xdr:rowOff>50800</xdr:rowOff>
              </from>
              <to>
                <xdr:col>0</xdr:col>
                <xdr:colOff>1828800</xdr:colOff>
                <xdr:row>0</xdr:row>
                <xdr:rowOff>381000</xdr:rowOff>
              </to>
            </anchor>
          </controlPr>
        </control>
      </mc:Choice>
      <mc:Fallback>
        <control shapeId="552961" r:id="rId3" name="cmdGetAllMeasures"/>
      </mc:Fallback>
    </mc:AlternateContent>
    <mc:AlternateContent xmlns:mc="http://schemas.openxmlformats.org/markup-compatibility/2006">
      <mc:Choice Requires="x14">
        <control shapeId="552962" r:id="rId5" name="cmdClear">
          <controlPr locked="0" defaultSize="0" autoLine="0" r:id="rId6">
            <anchor moveWithCells="1">
              <from>
                <xdr:col>0</xdr:col>
                <xdr:colOff>1955800</xdr:colOff>
                <xdr:row>0</xdr:row>
                <xdr:rowOff>50800</xdr:rowOff>
              </from>
              <to>
                <xdr:col>0</xdr:col>
                <xdr:colOff>3219450</xdr:colOff>
                <xdr:row>0</xdr:row>
                <xdr:rowOff>381000</xdr:rowOff>
              </to>
            </anchor>
          </controlPr>
        </control>
      </mc:Choice>
      <mc:Fallback>
        <control shapeId="552962" r:id="rId5" name="cmdClear"/>
      </mc:Fallback>
    </mc:AlternateContent>
    <mc:AlternateContent xmlns:mc="http://schemas.openxmlformats.org/markup-compatibility/2006">
      <mc:Choice Requires="x14">
        <control shapeId="552963" r:id="rId7" name="cmdSubmit">
          <controlPr locked="0" defaultSize="0" autoLine="0" r:id="rId8">
            <anchor moveWithCells="1">
              <from>
                <xdr:col>1</xdr:col>
                <xdr:colOff>76200</xdr:colOff>
                <xdr:row>0</xdr:row>
                <xdr:rowOff>12700</xdr:rowOff>
              </from>
              <to>
                <xdr:col>2</xdr:col>
                <xdr:colOff>876300</xdr:colOff>
                <xdr:row>0</xdr:row>
                <xdr:rowOff>374650</xdr:rowOff>
              </to>
            </anchor>
          </controlPr>
        </control>
      </mc:Choice>
      <mc:Fallback>
        <control shapeId="552963" r:id="rId7" name="cmd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6C0C5-A59A-4019-B825-551901C13B76}">
  <sheetPr codeName="Sheet15"/>
  <dimension ref="A1:ED1124"/>
  <sheetViews>
    <sheetView showGridLines="0" workbookViewId="0">
      <selection activeCell="R9" sqref="R9"/>
    </sheetView>
  </sheetViews>
  <sheetFormatPr defaultColWidth="8.7265625" defaultRowHeight="14.5"/>
  <cols>
    <col min="1" max="1" width="30.1796875" style="307" customWidth="1"/>
    <col min="2" max="2" width="11.7265625" style="308" customWidth="1"/>
    <col min="3" max="3" width="14.54296875" style="307" customWidth="1"/>
    <col min="4" max="4" width="10.81640625" style="343" customWidth="1"/>
    <col min="5" max="5" width="8" style="307" customWidth="1"/>
    <col min="6" max="6" width="2.54296875" style="307" customWidth="1"/>
    <col min="7" max="7" width="8.1796875" style="308" customWidth="1"/>
    <col min="8" max="8" width="6.7265625" style="308" customWidth="1"/>
    <col min="9" max="9" width="7.26953125" style="308" customWidth="1"/>
    <col min="10" max="10" width="28.81640625" style="307" hidden="1" customWidth="1"/>
    <col min="11" max="11" width="15.453125" style="307" hidden="1" customWidth="1"/>
    <col min="12" max="12" width="16.453125" style="307" hidden="1" customWidth="1"/>
    <col min="13" max="13" width="15.1796875" style="307" hidden="1" customWidth="1"/>
    <col min="14" max="14" width="14.7265625" style="307" hidden="1" customWidth="1"/>
    <col min="15" max="15" width="12.1796875" style="307" hidden="1" customWidth="1"/>
    <col min="16" max="16" width="15" style="307" hidden="1" customWidth="1"/>
    <col min="17" max="17" width="16.1796875" style="307" hidden="1" customWidth="1"/>
    <col min="18" max="18" width="13.453125" style="308" customWidth="1"/>
    <col min="19" max="19" width="12.453125" style="308" customWidth="1"/>
    <col min="20" max="20" width="12.54296875" style="308" hidden="1" customWidth="1"/>
    <col min="21" max="21" width="14" style="308" hidden="1" customWidth="1"/>
    <col min="22" max="22" width="4.54296875" style="308" hidden="1" customWidth="1"/>
    <col min="23" max="23" width="39.7265625" style="346" customWidth="1"/>
    <col min="24" max="25" width="33.453125" style="285" customWidth="1"/>
    <col min="26" max="26" width="22.54296875" style="285" customWidth="1"/>
    <col min="27" max="27" width="14.54296875" style="285" customWidth="1"/>
    <col min="28" max="28" width="17.453125" style="285" customWidth="1"/>
    <col min="29" max="134" width="8.7265625" style="349"/>
    <col min="135" max="16384" width="8.7265625" style="288"/>
  </cols>
  <sheetData>
    <row r="1" spans="1:72" ht="39.65" customHeight="1" thickBot="1"/>
    <row r="2" spans="1:72" s="311" customFormat="1" ht="29.15" customHeight="1" thickBot="1">
      <c r="A2" s="313" t="s">
        <v>613</v>
      </c>
      <c r="B2" s="314" t="s">
        <v>614</v>
      </c>
      <c r="C2" s="314" t="s">
        <v>615</v>
      </c>
      <c r="D2" s="344" t="s">
        <v>616</v>
      </c>
      <c r="E2" s="314" t="s">
        <v>607</v>
      </c>
      <c r="F2" s="352" t="s">
        <v>617</v>
      </c>
      <c r="G2" s="351" t="s">
        <v>24</v>
      </c>
      <c r="H2" s="314" t="s">
        <v>25</v>
      </c>
      <c r="I2" s="314" t="s">
        <v>26</v>
      </c>
      <c r="J2" s="314" t="s">
        <v>618</v>
      </c>
      <c r="K2" s="314" t="s">
        <v>619</v>
      </c>
      <c r="L2" s="314" t="s">
        <v>620</v>
      </c>
      <c r="M2" s="314" t="s">
        <v>621</v>
      </c>
      <c r="N2" s="315" t="s">
        <v>622</v>
      </c>
      <c r="O2" s="314" t="s">
        <v>623</v>
      </c>
      <c r="P2" s="314" t="s">
        <v>624</v>
      </c>
      <c r="Q2" s="314" t="s">
        <v>625</v>
      </c>
      <c r="R2" s="314" t="s">
        <v>626</v>
      </c>
      <c r="S2" s="314" t="s">
        <v>627</v>
      </c>
      <c r="T2" s="314" t="s">
        <v>604</v>
      </c>
      <c r="U2" s="314" t="s">
        <v>628</v>
      </c>
      <c r="V2" s="314" t="s">
        <v>629</v>
      </c>
      <c r="W2" s="347" t="s">
        <v>630</v>
      </c>
      <c r="X2" s="347" t="s">
        <v>631</v>
      </c>
      <c r="Y2" s="347" t="s">
        <v>632</v>
      </c>
      <c r="Z2" s="347" t="s">
        <v>633</v>
      </c>
      <c r="AA2" s="347" t="s">
        <v>634</v>
      </c>
      <c r="AB2" s="347" t="s">
        <v>635</v>
      </c>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c r="BT2" s="353"/>
    </row>
    <row r="3" spans="1:72" s="312" customFormat="1">
      <c r="A3" s="410"/>
      <c r="B3" s="411"/>
      <c r="C3" s="410"/>
      <c r="D3" s="412"/>
      <c r="E3" s="410"/>
      <c r="F3" s="410"/>
      <c r="G3" s="411"/>
      <c r="H3" s="411"/>
      <c r="I3" s="411"/>
      <c r="J3" s="410"/>
      <c r="K3" s="410"/>
      <c r="L3" s="410"/>
      <c r="M3" s="410"/>
      <c r="N3" s="410"/>
      <c r="O3" s="410"/>
      <c r="P3" s="410"/>
      <c r="Q3" s="410"/>
      <c r="R3" s="413"/>
      <c r="S3" s="413"/>
      <c r="T3" s="411"/>
      <c r="U3" s="413"/>
      <c r="V3" s="413"/>
      <c r="W3" s="348"/>
      <c r="X3" s="349"/>
      <c r="Y3" s="349"/>
      <c r="Z3" s="349"/>
      <c r="AA3" s="349"/>
      <c r="AB3" s="349"/>
      <c r="AC3" s="354"/>
      <c r="AD3" s="354"/>
      <c r="AE3" s="354"/>
      <c r="AF3" s="354"/>
      <c r="AG3" s="354"/>
      <c r="AH3" s="354"/>
      <c r="AI3" s="354"/>
      <c r="AJ3" s="354"/>
      <c r="AK3" s="354"/>
      <c r="AL3" s="354"/>
      <c r="AM3" s="354"/>
      <c r="AN3" s="354"/>
      <c r="AO3" s="354"/>
      <c r="AP3" s="354"/>
      <c r="AQ3" s="354"/>
      <c r="AR3" s="354"/>
      <c r="AS3" s="354"/>
      <c r="AT3" s="354"/>
      <c r="AU3" s="354"/>
      <c r="AV3" s="354"/>
      <c r="AW3" s="354"/>
      <c r="AX3" s="354"/>
      <c r="AY3" s="354"/>
      <c r="AZ3" s="354"/>
      <c r="BA3" s="354"/>
      <c r="BB3" s="354"/>
      <c r="BC3" s="354"/>
      <c r="BD3" s="354"/>
      <c r="BE3" s="354"/>
      <c r="BF3" s="354"/>
      <c r="BG3" s="354"/>
      <c r="BH3" s="354"/>
      <c r="BI3" s="354"/>
      <c r="BJ3" s="354"/>
      <c r="BK3" s="354"/>
      <c r="BL3" s="354"/>
      <c r="BM3" s="354"/>
      <c r="BN3" s="354"/>
      <c r="BO3" s="354"/>
      <c r="BP3" s="354"/>
      <c r="BQ3" s="354"/>
      <c r="BR3" s="354"/>
      <c r="BS3" s="354"/>
      <c r="BT3" s="354"/>
    </row>
    <row r="4" spans="1:72" s="312" customFormat="1">
      <c r="A4" s="410"/>
      <c r="B4" s="411"/>
      <c r="C4" s="410"/>
      <c r="D4" s="412"/>
      <c r="E4" s="410"/>
      <c r="F4" s="410"/>
      <c r="G4" s="411"/>
      <c r="H4" s="411"/>
      <c r="I4" s="411"/>
      <c r="J4" s="410"/>
      <c r="K4" s="410"/>
      <c r="L4" s="410"/>
      <c r="M4" s="410"/>
      <c r="N4" s="410"/>
      <c r="O4" s="410"/>
      <c r="P4" s="410"/>
      <c r="Q4" s="410"/>
      <c r="R4" s="413"/>
      <c r="S4" s="413"/>
      <c r="T4" s="411"/>
      <c r="U4" s="413"/>
      <c r="V4" s="413"/>
      <c r="W4" s="348"/>
      <c r="X4" s="349"/>
      <c r="Y4" s="349"/>
      <c r="Z4" s="349"/>
      <c r="AA4" s="349"/>
      <c r="AB4" s="349"/>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row>
    <row r="5" spans="1:72" s="312" customFormat="1">
      <c r="A5" s="410"/>
      <c r="B5" s="411"/>
      <c r="C5" s="410"/>
      <c r="D5" s="412"/>
      <c r="E5" s="410"/>
      <c r="F5" s="410"/>
      <c r="G5" s="411"/>
      <c r="H5" s="411"/>
      <c r="I5" s="411"/>
      <c r="J5" s="410"/>
      <c r="K5" s="410"/>
      <c r="L5" s="410"/>
      <c r="M5" s="410"/>
      <c r="N5" s="410"/>
      <c r="O5" s="410"/>
      <c r="P5" s="410"/>
      <c r="Q5" s="410"/>
      <c r="R5" s="413"/>
      <c r="S5" s="413"/>
      <c r="T5" s="411"/>
      <c r="U5" s="413"/>
      <c r="V5" s="413"/>
      <c r="W5" s="348"/>
      <c r="X5" s="349"/>
      <c r="Y5" s="349"/>
      <c r="Z5" s="349"/>
      <c r="AA5" s="349"/>
      <c r="AB5" s="349"/>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row>
    <row r="6" spans="1:72" s="312" customFormat="1">
      <c r="A6" s="410"/>
      <c r="B6" s="411"/>
      <c r="C6" s="410"/>
      <c r="D6" s="412"/>
      <c r="E6" s="410"/>
      <c r="F6" s="410"/>
      <c r="G6" s="411"/>
      <c r="H6" s="411"/>
      <c r="I6" s="411"/>
      <c r="J6" s="410"/>
      <c r="K6" s="410"/>
      <c r="L6" s="410"/>
      <c r="M6" s="410"/>
      <c r="N6" s="410"/>
      <c r="O6" s="410"/>
      <c r="P6" s="410"/>
      <c r="Q6" s="410"/>
      <c r="R6" s="413"/>
      <c r="S6" s="413"/>
      <c r="T6" s="411"/>
      <c r="U6" s="413"/>
      <c r="V6" s="413"/>
      <c r="W6" s="348"/>
      <c r="X6" s="349"/>
      <c r="Y6" s="349"/>
      <c r="Z6" s="349"/>
      <c r="AA6" s="349"/>
      <c r="AB6" s="349"/>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row>
    <row r="7" spans="1:72" s="312" customFormat="1">
      <c r="A7" s="410"/>
      <c r="B7" s="411"/>
      <c r="C7" s="410"/>
      <c r="D7" s="412"/>
      <c r="E7" s="410"/>
      <c r="F7" s="410"/>
      <c r="G7" s="411"/>
      <c r="H7" s="411"/>
      <c r="I7" s="411"/>
      <c r="J7" s="410"/>
      <c r="K7" s="410"/>
      <c r="L7" s="410"/>
      <c r="M7" s="410"/>
      <c r="N7" s="410"/>
      <c r="O7" s="410"/>
      <c r="P7" s="410"/>
      <c r="Q7" s="410"/>
      <c r="R7" s="413"/>
      <c r="S7" s="413"/>
      <c r="T7" s="411"/>
      <c r="U7" s="413"/>
      <c r="V7" s="413"/>
      <c r="W7" s="348"/>
      <c r="X7" s="349"/>
      <c r="Y7" s="349"/>
      <c r="Z7" s="349"/>
      <c r="AA7" s="349"/>
      <c r="AB7" s="349"/>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row>
    <row r="8" spans="1:72" s="312" customFormat="1">
      <c r="A8" s="410"/>
      <c r="B8" s="411"/>
      <c r="C8" s="410"/>
      <c r="D8" s="412"/>
      <c r="E8" s="410"/>
      <c r="F8" s="410"/>
      <c r="G8" s="411"/>
      <c r="H8" s="411"/>
      <c r="I8" s="411"/>
      <c r="J8" s="410"/>
      <c r="K8" s="410"/>
      <c r="L8" s="410"/>
      <c r="M8" s="410"/>
      <c r="N8" s="410"/>
      <c r="O8" s="410"/>
      <c r="P8" s="410"/>
      <c r="Q8" s="410"/>
      <c r="R8" s="413"/>
      <c r="S8" s="413"/>
      <c r="T8" s="411"/>
      <c r="U8" s="413"/>
      <c r="V8" s="413"/>
      <c r="W8" s="348"/>
      <c r="X8" s="349"/>
      <c r="Y8" s="349"/>
      <c r="Z8" s="349"/>
      <c r="AA8" s="349"/>
      <c r="AB8" s="349"/>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row>
    <row r="9" spans="1:72" s="312" customFormat="1">
      <c r="A9" s="410"/>
      <c r="B9" s="411"/>
      <c r="C9" s="410"/>
      <c r="D9" s="412"/>
      <c r="E9" s="410"/>
      <c r="F9" s="410"/>
      <c r="G9" s="411"/>
      <c r="H9" s="411"/>
      <c r="I9" s="411"/>
      <c r="J9" s="410"/>
      <c r="K9" s="410"/>
      <c r="L9" s="410"/>
      <c r="M9" s="410"/>
      <c r="N9" s="410"/>
      <c r="O9" s="410"/>
      <c r="P9" s="410"/>
      <c r="Q9" s="410"/>
      <c r="R9" s="413"/>
      <c r="S9" s="413"/>
      <c r="T9" s="411"/>
      <c r="U9" s="413"/>
      <c r="V9" s="413"/>
      <c r="W9" s="348"/>
      <c r="X9" s="349"/>
      <c r="Y9" s="349"/>
      <c r="Z9" s="349"/>
      <c r="AA9" s="349"/>
      <c r="AB9" s="349"/>
      <c r="AC9" s="354"/>
      <c r="AD9" s="354"/>
      <c r="AE9" s="354"/>
      <c r="AF9" s="354"/>
      <c r="AG9" s="354"/>
      <c r="AH9" s="354"/>
      <c r="AI9" s="354"/>
      <c r="AJ9" s="354"/>
      <c r="AK9" s="354"/>
      <c r="AL9" s="354"/>
      <c r="AM9" s="354"/>
      <c r="AN9" s="354"/>
      <c r="AO9" s="354"/>
      <c r="AP9" s="354"/>
      <c r="AQ9" s="354"/>
      <c r="AR9" s="354"/>
      <c r="AS9" s="354"/>
      <c r="AT9" s="354"/>
      <c r="AU9" s="354"/>
      <c r="AV9" s="354"/>
      <c r="AW9" s="354"/>
      <c r="AX9" s="354"/>
      <c r="AY9" s="354"/>
      <c r="AZ9" s="354"/>
      <c r="BA9" s="354"/>
      <c r="BB9" s="354"/>
      <c r="BC9" s="354"/>
      <c r="BD9" s="354"/>
      <c r="BE9" s="354"/>
      <c r="BF9" s="354"/>
      <c r="BG9" s="354"/>
      <c r="BH9" s="354"/>
      <c r="BI9" s="354"/>
      <c r="BJ9" s="354"/>
      <c r="BK9" s="354"/>
      <c r="BL9" s="354"/>
      <c r="BM9" s="354"/>
      <c r="BN9" s="354"/>
      <c r="BO9" s="354"/>
      <c r="BP9" s="354"/>
      <c r="BQ9" s="354"/>
      <c r="BR9" s="354"/>
      <c r="BS9" s="354"/>
      <c r="BT9" s="354"/>
    </row>
    <row r="10" spans="1:72" s="312" customFormat="1">
      <c r="A10" s="410"/>
      <c r="B10" s="411"/>
      <c r="C10" s="410"/>
      <c r="D10" s="412"/>
      <c r="E10" s="410"/>
      <c r="F10" s="410"/>
      <c r="G10" s="411"/>
      <c r="H10" s="411"/>
      <c r="I10" s="411"/>
      <c r="J10" s="410"/>
      <c r="K10" s="410"/>
      <c r="L10" s="410"/>
      <c r="M10" s="410"/>
      <c r="N10" s="410"/>
      <c r="O10" s="410"/>
      <c r="P10" s="410"/>
      <c r="Q10" s="410"/>
      <c r="R10" s="413"/>
      <c r="S10" s="413"/>
      <c r="T10" s="411"/>
      <c r="U10" s="413"/>
      <c r="V10" s="413"/>
      <c r="W10" s="348"/>
      <c r="X10" s="349"/>
      <c r="Y10" s="349"/>
      <c r="Z10" s="349"/>
      <c r="AA10" s="349"/>
      <c r="AB10" s="349"/>
      <c r="AC10" s="354"/>
      <c r="AD10" s="354"/>
      <c r="AE10" s="354"/>
      <c r="AF10" s="354"/>
      <c r="AG10" s="354"/>
      <c r="AH10" s="354"/>
      <c r="AI10" s="354"/>
      <c r="AJ10" s="354"/>
      <c r="AK10" s="354"/>
      <c r="AL10" s="354"/>
      <c r="AM10" s="354"/>
      <c r="AN10" s="354"/>
      <c r="AO10" s="354"/>
      <c r="AP10" s="354"/>
      <c r="AQ10" s="354"/>
      <c r="AR10" s="354"/>
      <c r="AS10" s="354"/>
      <c r="AT10" s="354"/>
      <c r="AU10" s="354"/>
      <c r="AV10" s="354"/>
      <c r="AW10" s="354"/>
      <c r="AX10" s="354"/>
      <c r="AY10" s="354"/>
      <c r="AZ10" s="354"/>
      <c r="BA10" s="354"/>
      <c r="BB10" s="354"/>
      <c r="BC10" s="354"/>
      <c r="BD10" s="354"/>
      <c r="BE10" s="354"/>
      <c r="BF10" s="354"/>
      <c r="BG10" s="354"/>
      <c r="BH10" s="354"/>
      <c r="BI10" s="354"/>
      <c r="BJ10" s="354"/>
      <c r="BK10" s="354"/>
      <c r="BL10" s="354"/>
      <c r="BM10" s="354"/>
      <c r="BN10" s="354"/>
      <c r="BO10" s="354"/>
      <c r="BP10" s="354"/>
      <c r="BQ10" s="354"/>
      <c r="BR10" s="354"/>
      <c r="BS10" s="354"/>
      <c r="BT10" s="354"/>
    </row>
    <row r="11" spans="1:72" s="312" customFormat="1">
      <c r="A11" s="410"/>
      <c r="B11" s="411"/>
      <c r="C11" s="410"/>
      <c r="D11" s="412"/>
      <c r="E11" s="410"/>
      <c r="F11" s="410"/>
      <c r="G11" s="411"/>
      <c r="H11" s="411"/>
      <c r="I11" s="411"/>
      <c r="J11" s="410"/>
      <c r="K11" s="410"/>
      <c r="L11" s="410"/>
      <c r="M11" s="410"/>
      <c r="N11" s="410"/>
      <c r="O11" s="410"/>
      <c r="P11" s="410"/>
      <c r="Q11" s="410"/>
      <c r="R11" s="413"/>
      <c r="S11" s="413"/>
      <c r="T11" s="411"/>
      <c r="U11" s="413"/>
      <c r="V11" s="413"/>
      <c r="W11" s="348"/>
      <c r="X11" s="349"/>
      <c r="Y11" s="349"/>
      <c r="Z11" s="349"/>
      <c r="AA11" s="349"/>
      <c r="AB11" s="349"/>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row>
    <row r="12" spans="1:72" s="312" customFormat="1">
      <c r="A12" s="410"/>
      <c r="B12" s="411"/>
      <c r="C12" s="410"/>
      <c r="D12" s="412"/>
      <c r="E12" s="410"/>
      <c r="F12" s="410"/>
      <c r="G12" s="411"/>
      <c r="H12" s="411"/>
      <c r="I12" s="411"/>
      <c r="J12" s="410"/>
      <c r="K12" s="410"/>
      <c r="L12" s="410"/>
      <c r="M12" s="410"/>
      <c r="N12" s="410"/>
      <c r="O12" s="410"/>
      <c r="P12" s="410"/>
      <c r="Q12" s="410"/>
      <c r="R12" s="413"/>
      <c r="S12" s="413"/>
      <c r="T12" s="411"/>
      <c r="U12" s="413"/>
      <c r="V12" s="413"/>
      <c r="W12" s="348"/>
      <c r="X12" s="349"/>
      <c r="Y12" s="349"/>
      <c r="Z12" s="349"/>
      <c r="AA12" s="349"/>
      <c r="AB12" s="349"/>
      <c r="AC12" s="354"/>
      <c r="AD12" s="354"/>
      <c r="AE12" s="354"/>
      <c r="AF12" s="354"/>
      <c r="AG12" s="354"/>
      <c r="AH12" s="354"/>
      <c r="AI12" s="354"/>
      <c r="AJ12" s="354"/>
      <c r="AK12" s="354"/>
      <c r="AL12" s="354"/>
      <c r="AM12" s="354"/>
      <c r="AN12" s="354"/>
      <c r="AO12" s="354"/>
      <c r="AP12" s="354"/>
      <c r="AQ12" s="354"/>
      <c r="AR12" s="354"/>
      <c r="AS12" s="354"/>
      <c r="AT12" s="354"/>
      <c r="AU12" s="354"/>
      <c r="AV12" s="354"/>
      <c r="AW12" s="354"/>
      <c r="AX12" s="354"/>
      <c r="AY12" s="354"/>
      <c r="AZ12" s="354"/>
      <c r="BA12" s="354"/>
      <c r="BB12" s="354"/>
      <c r="BC12" s="354"/>
      <c r="BD12" s="354"/>
      <c r="BE12" s="354"/>
      <c r="BF12" s="354"/>
      <c r="BG12" s="354"/>
      <c r="BH12" s="354"/>
      <c r="BI12" s="354"/>
      <c r="BJ12" s="354"/>
      <c r="BK12" s="354"/>
      <c r="BL12" s="354"/>
      <c r="BM12" s="354"/>
      <c r="BN12" s="354"/>
      <c r="BO12" s="354"/>
      <c r="BP12" s="354"/>
      <c r="BQ12" s="354"/>
      <c r="BR12" s="354"/>
      <c r="BS12" s="354"/>
      <c r="BT12" s="354"/>
    </row>
    <row r="13" spans="1:72" s="312" customFormat="1">
      <c r="A13" s="410"/>
      <c r="B13" s="411"/>
      <c r="C13" s="410"/>
      <c r="D13" s="412"/>
      <c r="E13" s="410"/>
      <c r="F13" s="410"/>
      <c r="G13" s="411"/>
      <c r="H13" s="411"/>
      <c r="I13" s="411"/>
      <c r="J13" s="410"/>
      <c r="K13" s="410"/>
      <c r="L13" s="410"/>
      <c r="M13" s="410"/>
      <c r="N13" s="410"/>
      <c r="O13" s="410"/>
      <c r="P13" s="410"/>
      <c r="Q13" s="410"/>
      <c r="R13" s="413"/>
      <c r="S13" s="413"/>
      <c r="T13" s="411"/>
      <c r="U13" s="413"/>
      <c r="V13" s="413"/>
      <c r="W13" s="348"/>
      <c r="X13" s="349"/>
      <c r="Y13" s="349"/>
      <c r="Z13" s="349"/>
      <c r="AA13" s="349"/>
      <c r="AB13" s="349"/>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354"/>
      <c r="BO13" s="354"/>
      <c r="BP13" s="354"/>
      <c r="BQ13" s="354"/>
      <c r="BR13" s="354"/>
      <c r="BS13" s="354"/>
      <c r="BT13" s="354"/>
    </row>
    <row r="14" spans="1:72" s="312" customFormat="1">
      <c r="A14" s="410"/>
      <c r="B14" s="411"/>
      <c r="C14" s="410"/>
      <c r="D14" s="412"/>
      <c r="E14" s="410"/>
      <c r="F14" s="410"/>
      <c r="G14" s="411"/>
      <c r="H14" s="411"/>
      <c r="I14" s="411"/>
      <c r="J14" s="410"/>
      <c r="K14" s="410"/>
      <c r="L14" s="410"/>
      <c r="M14" s="410"/>
      <c r="N14" s="410"/>
      <c r="O14" s="410"/>
      <c r="P14" s="410"/>
      <c r="Q14" s="410"/>
      <c r="R14" s="413"/>
      <c r="S14" s="413"/>
      <c r="T14" s="411"/>
      <c r="U14" s="413"/>
      <c r="V14" s="413"/>
      <c r="W14" s="348"/>
      <c r="X14" s="349"/>
      <c r="Y14" s="349"/>
      <c r="Z14" s="349"/>
      <c r="AA14" s="349"/>
      <c r="AB14" s="349"/>
      <c r="AC14" s="354"/>
      <c r="AD14" s="354"/>
      <c r="AE14" s="354"/>
      <c r="AF14" s="354"/>
      <c r="AG14" s="354"/>
      <c r="AH14" s="354"/>
      <c r="AI14" s="354"/>
      <c r="AJ14" s="354"/>
      <c r="AK14" s="354"/>
      <c r="AL14" s="354"/>
      <c r="AM14" s="354"/>
      <c r="AN14" s="354"/>
      <c r="AO14" s="354"/>
      <c r="AP14" s="354"/>
      <c r="AQ14" s="354"/>
      <c r="AR14" s="354"/>
      <c r="AS14" s="354"/>
      <c r="AT14" s="354"/>
      <c r="AU14" s="354"/>
      <c r="AV14" s="354"/>
      <c r="AW14" s="354"/>
      <c r="AX14" s="354"/>
      <c r="AY14" s="354"/>
      <c r="AZ14" s="354"/>
      <c r="BA14" s="354"/>
      <c r="BB14" s="354"/>
      <c r="BC14" s="354"/>
      <c r="BD14" s="354"/>
      <c r="BE14" s="354"/>
      <c r="BF14" s="354"/>
      <c r="BG14" s="354"/>
      <c r="BH14" s="354"/>
      <c r="BI14" s="354"/>
      <c r="BJ14" s="354"/>
      <c r="BK14" s="354"/>
      <c r="BL14" s="354"/>
      <c r="BM14" s="354"/>
      <c r="BN14" s="354"/>
      <c r="BO14" s="354"/>
      <c r="BP14" s="354"/>
      <c r="BQ14" s="354"/>
      <c r="BR14" s="354"/>
      <c r="BS14" s="354"/>
      <c r="BT14" s="354"/>
    </row>
    <row r="15" spans="1:72" s="312" customFormat="1">
      <c r="A15" s="410"/>
      <c r="B15" s="411"/>
      <c r="C15" s="410"/>
      <c r="D15" s="412"/>
      <c r="E15" s="410"/>
      <c r="F15" s="410"/>
      <c r="G15" s="411"/>
      <c r="H15" s="411"/>
      <c r="I15" s="411"/>
      <c r="J15" s="410"/>
      <c r="K15" s="410"/>
      <c r="L15" s="410"/>
      <c r="M15" s="410"/>
      <c r="N15" s="410"/>
      <c r="O15" s="410"/>
      <c r="P15" s="410"/>
      <c r="Q15" s="410"/>
      <c r="R15" s="413"/>
      <c r="S15" s="413"/>
      <c r="T15" s="411"/>
      <c r="U15" s="413"/>
      <c r="V15" s="413"/>
      <c r="W15" s="348"/>
      <c r="X15" s="349"/>
      <c r="Y15" s="349"/>
      <c r="Z15" s="349"/>
      <c r="AA15" s="349"/>
      <c r="AB15" s="349"/>
      <c r="AC15" s="354"/>
      <c r="AD15" s="354"/>
      <c r="AE15" s="354"/>
      <c r="AF15" s="354"/>
      <c r="AG15" s="354"/>
      <c r="AH15" s="354"/>
      <c r="AI15" s="354"/>
      <c r="AJ15" s="354"/>
      <c r="AK15" s="354"/>
      <c r="AL15" s="354"/>
      <c r="AM15" s="354"/>
      <c r="AN15" s="354"/>
      <c r="AO15" s="354"/>
      <c r="AP15" s="354"/>
      <c r="AQ15" s="354"/>
      <c r="AR15" s="354"/>
      <c r="AS15" s="354"/>
      <c r="AT15" s="354"/>
      <c r="AU15" s="354"/>
      <c r="AV15" s="354"/>
      <c r="AW15" s="354"/>
      <c r="AX15" s="354"/>
      <c r="AY15" s="354"/>
      <c r="AZ15" s="354"/>
      <c r="BA15" s="354"/>
      <c r="BB15" s="354"/>
      <c r="BC15" s="354"/>
      <c r="BD15" s="354"/>
      <c r="BE15" s="354"/>
      <c r="BF15" s="354"/>
      <c r="BG15" s="354"/>
      <c r="BH15" s="354"/>
      <c r="BI15" s="354"/>
      <c r="BJ15" s="354"/>
      <c r="BK15" s="354"/>
      <c r="BL15" s="354"/>
      <c r="BM15" s="354"/>
      <c r="BN15" s="354"/>
      <c r="BO15" s="354"/>
      <c r="BP15" s="354"/>
      <c r="BQ15" s="354"/>
      <c r="BR15" s="354"/>
      <c r="BS15" s="354"/>
      <c r="BT15" s="354"/>
    </row>
    <row r="16" spans="1:72" s="312" customFormat="1">
      <c r="A16" s="410"/>
      <c r="B16" s="411"/>
      <c r="C16" s="410"/>
      <c r="D16" s="412"/>
      <c r="E16" s="410"/>
      <c r="F16" s="410"/>
      <c r="G16" s="411"/>
      <c r="H16" s="411"/>
      <c r="I16" s="411"/>
      <c r="J16" s="410"/>
      <c r="K16" s="410"/>
      <c r="L16" s="410"/>
      <c r="M16" s="410"/>
      <c r="N16" s="410"/>
      <c r="O16" s="410"/>
      <c r="P16" s="410"/>
      <c r="Q16" s="410"/>
      <c r="R16" s="413"/>
      <c r="S16" s="413"/>
      <c r="T16" s="411"/>
      <c r="U16" s="413"/>
      <c r="V16" s="413"/>
      <c r="W16" s="348"/>
      <c r="X16" s="349"/>
      <c r="Y16" s="349"/>
      <c r="Z16" s="349"/>
      <c r="AA16" s="349"/>
      <c r="AB16" s="349"/>
      <c r="AC16" s="354"/>
      <c r="AD16" s="354"/>
      <c r="AE16" s="354"/>
      <c r="AF16" s="354"/>
      <c r="AG16" s="354"/>
      <c r="AH16" s="354"/>
      <c r="AI16" s="354"/>
      <c r="AJ16" s="354"/>
      <c r="AK16" s="354"/>
      <c r="AL16" s="354"/>
      <c r="AM16" s="354"/>
      <c r="AN16" s="354"/>
      <c r="AO16" s="354"/>
      <c r="AP16" s="354"/>
      <c r="AQ16" s="354"/>
      <c r="AR16" s="354"/>
      <c r="AS16" s="354"/>
      <c r="AT16" s="354"/>
      <c r="AU16" s="354"/>
      <c r="AV16" s="354"/>
      <c r="AW16" s="354"/>
      <c r="AX16" s="354"/>
      <c r="AY16" s="354"/>
      <c r="AZ16" s="354"/>
      <c r="BA16" s="354"/>
      <c r="BB16" s="354"/>
      <c r="BC16" s="354"/>
      <c r="BD16" s="354"/>
      <c r="BE16" s="354"/>
      <c r="BF16" s="354"/>
      <c r="BG16" s="354"/>
      <c r="BH16" s="354"/>
      <c r="BI16" s="354"/>
      <c r="BJ16" s="354"/>
      <c r="BK16" s="354"/>
      <c r="BL16" s="354"/>
      <c r="BM16" s="354"/>
      <c r="BN16" s="354"/>
      <c r="BO16" s="354"/>
      <c r="BP16" s="354"/>
      <c r="BQ16" s="354"/>
      <c r="BR16" s="354"/>
      <c r="BS16" s="354"/>
      <c r="BT16" s="354"/>
    </row>
    <row r="17" spans="1:72" s="312" customFormat="1">
      <c r="A17" s="410"/>
      <c r="B17" s="411"/>
      <c r="C17" s="410"/>
      <c r="D17" s="412"/>
      <c r="E17" s="410"/>
      <c r="F17" s="410"/>
      <c r="G17" s="411"/>
      <c r="H17" s="411"/>
      <c r="I17" s="411"/>
      <c r="J17" s="410"/>
      <c r="K17" s="410"/>
      <c r="L17" s="410"/>
      <c r="M17" s="410"/>
      <c r="N17" s="410"/>
      <c r="O17" s="410"/>
      <c r="P17" s="410"/>
      <c r="Q17" s="410"/>
      <c r="R17" s="413"/>
      <c r="S17" s="413"/>
      <c r="T17" s="411"/>
      <c r="U17" s="413"/>
      <c r="V17" s="413"/>
      <c r="W17" s="348"/>
      <c r="X17" s="349"/>
      <c r="Y17" s="349"/>
      <c r="Z17" s="349"/>
      <c r="AA17" s="349"/>
      <c r="AB17" s="349"/>
      <c r="AC17" s="354"/>
      <c r="AD17" s="354"/>
      <c r="AE17" s="354"/>
      <c r="AF17" s="354"/>
      <c r="AG17" s="354"/>
      <c r="AH17" s="354"/>
      <c r="AI17" s="354"/>
      <c r="AJ17" s="354"/>
      <c r="AK17" s="354"/>
      <c r="AL17" s="354"/>
      <c r="AM17" s="354"/>
      <c r="AN17" s="354"/>
      <c r="AO17" s="354"/>
      <c r="AP17" s="354"/>
      <c r="AQ17" s="354"/>
      <c r="AR17" s="354"/>
      <c r="AS17" s="354"/>
      <c r="AT17" s="354"/>
      <c r="AU17" s="354"/>
      <c r="AV17" s="354"/>
      <c r="AW17" s="354"/>
      <c r="AX17" s="354"/>
      <c r="AY17" s="354"/>
      <c r="AZ17" s="354"/>
      <c r="BA17" s="354"/>
      <c r="BB17" s="354"/>
      <c r="BC17" s="354"/>
      <c r="BD17" s="354"/>
      <c r="BE17" s="354"/>
      <c r="BF17" s="354"/>
      <c r="BG17" s="354"/>
      <c r="BH17" s="354"/>
      <c r="BI17" s="354"/>
      <c r="BJ17" s="354"/>
      <c r="BK17" s="354"/>
      <c r="BL17" s="354"/>
      <c r="BM17" s="354"/>
      <c r="BN17" s="354"/>
      <c r="BO17" s="354"/>
      <c r="BP17" s="354"/>
      <c r="BQ17" s="354"/>
      <c r="BR17" s="354"/>
      <c r="BS17" s="354"/>
      <c r="BT17" s="354"/>
    </row>
    <row r="18" spans="1:72" s="312" customFormat="1">
      <c r="A18" s="410"/>
      <c r="B18" s="411"/>
      <c r="C18" s="410"/>
      <c r="D18" s="412"/>
      <c r="E18" s="410"/>
      <c r="F18" s="410"/>
      <c r="G18" s="411"/>
      <c r="H18" s="411"/>
      <c r="I18" s="411"/>
      <c r="J18" s="410"/>
      <c r="K18" s="410"/>
      <c r="L18" s="410"/>
      <c r="M18" s="410"/>
      <c r="N18" s="410"/>
      <c r="O18" s="410"/>
      <c r="P18" s="410"/>
      <c r="Q18" s="410"/>
      <c r="R18" s="413"/>
      <c r="S18" s="413"/>
      <c r="T18" s="411"/>
      <c r="U18" s="413"/>
      <c r="V18" s="413"/>
      <c r="W18" s="348"/>
      <c r="X18" s="349"/>
      <c r="Y18" s="349"/>
      <c r="Z18" s="349"/>
      <c r="AA18" s="349"/>
      <c r="AB18" s="349"/>
      <c r="AC18" s="354"/>
      <c r="AD18" s="354"/>
      <c r="AE18" s="354"/>
      <c r="AF18" s="354"/>
      <c r="AG18" s="354"/>
      <c r="AH18" s="354"/>
      <c r="AI18" s="354"/>
      <c r="AJ18" s="354"/>
      <c r="AK18" s="354"/>
      <c r="AL18" s="354"/>
      <c r="AM18" s="354"/>
      <c r="AN18" s="354"/>
      <c r="AO18" s="354"/>
      <c r="AP18" s="354"/>
      <c r="AQ18" s="354"/>
      <c r="AR18" s="354"/>
      <c r="AS18" s="354"/>
      <c r="AT18" s="354"/>
      <c r="AU18" s="354"/>
      <c r="AV18" s="354"/>
      <c r="AW18" s="354"/>
      <c r="AX18" s="354"/>
      <c r="AY18" s="354"/>
      <c r="AZ18" s="354"/>
      <c r="BA18" s="354"/>
      <c r="BB18" s="354"/>
      <c r="BC18" s="354"/>
      <c r="BD18" s="354"/>
      <c r="BE18" s="354"/>
      <c r="BF18" s="354"/>
      <c r="BG18" s="354"/>
      <c r="BH18" s="354"/>
      <c r="BI18" s="354"/>
      <c r="BJ18" s="354"/>
      <c r="BK18" s="354"/>
      <c r="BL18" s="354"/>
      <c r="BM18" s="354"/>
      <c r="BN18" s="354"/>
      <c r="BO18" s="354"/>
      <c r="BP18" s="354"/>
      <c r="BQ18" s="354"/>
      <c r="BR18" s="354"/>
      <c r="BS18" s="354"/>
      <c r="BT18" s="354"/>
    </row>
    <row r="19" spans="1:72" s="312" customFormat="1">
      <c r="A19" s="410"/>
      <c r="B19" s="411"/>
      <c r="C19" s="410"/>
      <c r="D19" s="412"/>
      <c r="E19" s="410"/>
      <c r="F19" s="410"/>
      <c r="G19" s="411"/>
      <c r="H19" s="411"/>
      <c r="I19" s="411"/>
      <c r="J19" s="410"/>
      <c r="K19" s="410"/>
      <c r="L19" s="410"/>
      <c r="M19" s="410"/>
      <c r="N19" s="410"/>
      <c r="O19" s="410"/>
      <c r="P19" s="410"/>
      <c r="Q19" s="410"/>
      <c r="R19" s="413"/>
      <c r="S19" s="413"/>
      <c r="T19" s="411"/>
      <c r="U19" s="413"/>
      <c r="V19" s="413"/>
      <c r="W19" s="348"/>
      <c r="X19" s="349"/>
      <c r="Y19" s="349"/>
      <c r="Z19" s="349"/>
      <c r="AA19" s="349"/>
      <c r="AB19" s="349"/>
      <c r="AC19" s="354"/>
      <c r="AD19" s="354"/>
      <c r="AE19" s="354"/>
      <c r="AF19" s="354"/>
      <c r="AG19" s="354"/>
      <c r="AH19" s="354"/>
      <c r="AI19" s="354"/>
      <c r="AJ19" s="354"/>
      <c r="AK19" s="354"/>
      <c r="AL19" s="354"/>
      <c r="AM19" s="354"/>
      <c r="AN19" s="354"/>
      <c r="AO19" s="354"/>
      <c r="AP19" s="354"/>
      <c r="AQ19" s="354"/>
      <c r="AR19" s="354"/>
      <c r="AS19" s="354"/>
      <c r="AT19" s="354"/>
      <c r="AU19" s="354"/>
      <c r="AV19" s="354"/>
      <c r="AW19" s="354"/>
      <c r="AX19" s="354"/>
      <c r="AY19" s="354"/>
      <c r="AZ19" s="354"/>
      <c r="BA19" s="354"/>
      <c r="BB19" s="354"/>
      <c r="BC19" s="354"/>
      <c r="BD19" s="354"/>
      <c r="BE19" s="354"/>
      <c r="BF19" s="354"/>
      <c r="BG19" s="354"/>
      <c r="BH19" s="354"/>
      <c r="BI19" s="354"/>
      <c r="BJ19" s="354"/>
      <c r="BK19" s="354"/>
      <c r="BL19" s="354"/>
      <c r="BM19" s="354"/>
      <c r="BN19" s="354"/>
      <c r="BO19" s="354"/>
      <c r="BP19" s="354"/>
      <c r="BQ19" s="354"/>
      <c r="BR19" s="354"/>
      <c r="BS19" s="354"/>
      <c r="BT19" s="354"/>
    </row>
    <row r="20" spans="1:72" s="312" customFormat="1">
      <c r="A20" s="410"/>
      <c r="B20" s="411"/>
      <c r="C20" s="410"/>
      <c r="D20" s="412"/>
      <c r="E20" s="410"/>
      <c r="F20" s="410"/>
      <c r="G20" s="411"/>
      <c r="H20" s="411"/>
      <c r="I20" s="411"/>
      <c r="J20" s="410"/>
      <c r="K20" s="410"/>
      <c r="L20" s="410"/>
      <c r="M20" s="410"/>
      <c r="N20" s="410"/>
      <c r="O20" s="410"/>
      <c r="P20" s="410"/>
      <c r="Q20" s="410"/>
      <c r="R20" s="413"/>
      <c r="S20" s="413"/>
      <c r="T20" s="411"/>
      <c r="U20" s="413"/>
      <c r="V20" s="413"/>
      <c r="W20" s="348"/>
      <c r="X20" s="349"/>
      <c r="Y20" s="349"/>
      <c r="Z20" s="349"/>
      <c r="AA20" s="349"/>
      <c r="AB20" s="349"/>
      <c r="AC20" s="354"/>
      <c r="AD20" s="354"/>
      <c r="AE20" s="354"/>
      <c r="AF20" s="354"/>
      <c r="AG20" s="354"/>
      <c r="AH20" s="354"/>
      <c r="AI20" s="354"/>
      <c r="AJ20" s="354"/>
      <c r="AK20" s="354"/>
      <c r="AL20" s="354"/>
      <c r="AM20" s="354"/>
      <c r="AN20" s="354"/>
      <c r="AO20" s="354"/>
      <c r="AP20" s="354"/>
      <c r="AQ20" s="354"/>
      <c r="AR20" s="354"/>
      <c r="AS20" s="354"/>
      <c r="AT20" s="354"/>
      <c r="AU20" s="354"/>
      <c r="AV20" s="354"/>
      <c r="AW20" s="354"/>
      <c r="AX20" s="354"/>
      <c r="AY20" s="354"/>
      <c r="AZ20" s="354"/>
      <c r="BA20" s="354"/>
      <c r="BB20" s="354"/>
      <c r="BC20" s="354"/>
      <c r="BD20" s="354"/>
      <c r="BE20" s="354"/>
      <c r="BF20" s="354"/>
      <c r="BG20" s="354"/>
      <c r="BH20" s="354"/>
      <c r="BI20" s="354"/>
      <c r="BJ20" s="354"/>
      <c r="BK20" s="354"/>
      <c r="BL20" s="354"/>
      <c r="BM20" s="354"/>
      <c r="BN20" s="354"/>
      <c r="BO20" s="354"/>
      <c r="BP20" s="354"/>
      <c r="BQ20" s="354"/>
      <c r="BR20" s="354"/>
      <c r="BS20" s="354"/>
      <c r="BT20" s="354"/>
    </row>
    <row r="21" spans="1:72" s="312" customFormat="1">
      <c r="A21" s="410"/>
      <c r="B21" s="411"/>
      <c r="C21" s="410"/>
      <c r="D21" s="412"/>
      <c r="E21" s="410"/>
      <c r="F21" s="410"/>
      <c r="G21" s="411"/>
      <c r="H21" s="411"/>
      <c r="I21" s="411"/>
      <c r="J21" s="410"/>
      <c r="K21" s="410"/>
      <c r="L21" s="410"/>
      <c r="M21" s="410"/>
      <c r="N21" s="410"/>
      <c r="O21" s="410"/>
      <c r="P21" s="410"/>
      <c r="Q21" s="410"/>
      <c r="R21" s="413"/>
      <c r="S21" s="413"/>
      <c r="T21" s="411"/>
      <c r="U21" s="413"/>
      <c r="V21" s="413"/>
      <c r="W21" s="348"/>
      <c r="X21" s="349"/>
      <c r="Y21" s="349"/>
      <c r="Z21" s="349"/>
      <c r="AA21" s="349"/>
      <c r="AB21" s="349"/>
      <c r="AC21" s="354"/>
      <c r="AD21" s="354"/>
      <c r="AE21" s="354"/>
      <c r="AF21" s="354"/>
      <c r="AG21" s="354"/>
      <c r="AH21" s="354"/>
      <c r="AI21" s="354"/>
      <c r="AJ21" s="354"/>
      <c r="AK21" s="354"/>
      <c r="AL21" s="354"/>
      <c r="AM21" s="354"/>
      <c r="AN21" s="354"/>
      <c r="AO21" s="354"/>
      <c r="AP21" s="354"/>
      <c r="AQ21" s="354"/>
      <c r="AR21" s="354"/>
      <c r="AS21" s="354"/>
      <c r="AT21" s="354"/>
      <c r="AU21" s="354"/>
      <c r="AV21" s="354"/>
      <c r="AW21" s="354"/>
      <c r="AX21" s="354"/>
      <c r="AY21" s="354"/>
      <c r="AZ21" s="354"/>
      <c r="BA21" s="354"/>
      <c r="BB21" s="354"/>
      <c r="BC21" s="354"/>
      <c r="BD21" s="354"/>
      <c r="BE21" s="354"/>
      <c r="BF21" s="354"/>
      <c r="BG21" s="354"/>
      <c r="BH21" s="354"/>
      <c r="BI21" s="354"/>
      <c r="BJ21" s="354"/>
      <c r="BK21" s="354"/>
      <c r="BL21" s="354"/>
      <c r="BM21" s="354"/>
      <c r="BN21" s="354"/>
      <c r="BO21" s="354"/>
      <c r="BP21" s="354"/>
      <c r="BQ21" s="354"/>
      <c r="BR21" s="354"/>
      <c r="BS21" s="354"/>
      <c r="BT21" s="354"/>
    </row>
    <row r="22" spans="1:72" s="312" customFormat="1">
      <c r="A22" s="410"/>
      <c r="B22" s="411"/>
      <c r="C22" s="410"/>
      <c r="D22" s="412"/>
      <c r="E22" s="410"/>
      <c r="F22" s="410"/>
      <c r="G22" s="411"/>
      <c r="H22" s="411"/>
      <c r="I22" s="411"/>
      <c r="J22" s="410"/>
      <c r="K22" s="410"/>
      <c r="L22" s="410"/>
      <c r="M22" s="410"/>
      <c r="N22" s="410"/>
      <c r="O22" s="410"/>
      <c r="P22" s="410"/>
      <c r="Q22" s="410"/>
      <c r="R22" s="413"/>
      <c r="S22" s="413"/>
      <c r="T22" s="411"/>
      <c r="U22" s="413"/>
      <c r="V22" s="413"/>
      <c r="W22" s="348"/>
      <c r="X22" s="349"/>
      <c r="Y22" s="349"/>
      <c r="Z22" s="349"/>
      <c r="AA22" s="349"/>
      <c r="AB22" s="349"/>
      <c r="AC22" s="354"/>
      <c r="AD22" s="354"/>
      <c r="AE22" s="354"/>
      <c r="AF22" s="354"/>
      <c r="AG22" s="354"/>
      <c r="AH22" s="354"/>
      <c r="AI22" s="354"/>
      <c r="AJ22" s="354"/>
      <c r="AK22" s="354"/>
      <c r="AL22" s="354"/>
      <c r="AM22" s="354"/>
      <c r="AN22" s="354"/>
      <c r="AO22" s="354"/>
      <c r="AP22" s="354"/>
      <c r="AQ22" s="354"/>
      <c r="AR22" s="354"/>
      <c r="AS22" s="354"/>
      <c r="AT22" s="354"/>
      <c r="AU22" s="354"/>
      <c r="AV22" s="354"/>
      <c r="AW22" s="354"/>
      <c r="AX22" s="354"/>
      <c r="AY22" s="354"/>
      <c r="AZ22" s="354"/>
      <c r="BA22" s="354"/>
      <c r="BB22" s="354"/>
      <c r="BC22" s="354"/>
      <c r="BD22" s="354"/>
      <c r="BE22" s="354"/>
      <c r="BF22" s="354"/>
      <c r="BG22" s="354"/>
      <c r="BH22" s="354"/>
      <c r="BI22" s="354"/>
      <c r="BJ22" s="354"/>
      <c r="BK22" s="354"/>
      <c r="BL22" s="354"/>
      <c r="BM22" s="354"/>
      <c r="BN22" s="354"/>
      <c r="BO22" s="354"/>
      <c r="BP22" s="354"/>
      <c r="BQ22" s="354"/>
      <c r="BR22" s="354"/>
      <c r="BS22" s="354"/>
      <c r="BT22" s="354"/>
    </row>
    <row r="23" spans="1:72" s="312" customFormat="1">
      <c r="A23" s="410"/>
      <c r="B23" s="411"/>
      <c r="C23" s="410"/>
      <c r="D23" s="412"/>
      <c r="E23" s="410"/>
      <c r="F23" s="410"/>
      <c r="G23" s="411"/>
      <c r="H23" s="411"/>
      <c r="I23" s="411"/>
      <c r="J23" s="410"/>
      <c r="K23" s="410"/>
      <c r="L23" s="410"/>
      <c r="M23" s="410"/>
      <c r="N23" s="410"/>
      <c r="O23" s="410"/>
      <c r="P23" s="410"/>
      <c r="Q23" s="410"/>
      <c r="R23" s="413"/>
      <c r="S23" s="413"/>
      <c r="T23" s="411"/>
      <c r="U23" s="413"/>
      <c r="V23" s="413"/>
      <c r="W23" s="348"/>
      <c r="X23" s="349"/>
      <c r="Y23" s="349"/>
      <c r="Z23" s="349"/>
      <c r="AA23" s="349"/>
      <c r="AB23" s="349"/>
      <c r="AC23" s="354"/>
      <c r="AD23" s="354"/>
      <c r="AE23" s="354"/>
      <c r="AF23" s="354"/>
      <c r="AG23" s="354"/>
      <c r="AH23" s="354"/>
      <c r="AI23" s="354"/>
      <c r="AJ23" s="354"/>
      <c r="AK23" s="354"/>
      <c r="AL23" s="354"/>
      <c r="AM23" s="354"/>
      <c r="AN23" s="354"/>
      <c r="AO23" s="354"/>
      <c r="AP23" s="354"/>
      <c r="AQ23" s="354"/>
      <c r="AR23" s="354"/>
      <c r="AS23" s="354"/>
      <c r="AT23" s="354"/>
      <c r="AU23" s="354"/>
      <c r="AV23" s="354"/>
      <c r="AW23" s="354"/>
      <c r="AX23" s="354"/>
      <c r="AY23" s="354"/>
      <c r="AZ23" s="354"/>
      <c r="BA23" s="354"/>
      <c r="BB23" s="354"/>
      <c r="BC23" s="354"/>
      <c r="BD23" s="354"/>
      <c r="BE23" s="354"/>
      <c r="BF23" s="354"/>
      <c r="BG23" s="354"/>
      <c r="BH23" s="354"/>
      <c r="BI23" s="354"/>
      <c r="BJ23" s="354"/>
      <c r="BK23" s="354"/>
      <c r="BL23" s="354"/>
      <c r="BM23" s="354"/>
      <c r="BN23" s="354"/>
      <c r="BO23" s="354"/>
      <c r="BP23" s="354"/>
      <c r="BQ23" s="354"/>
      <c r="BR23" s="354"/>
      <c r="BS23" s="354"/>
      <c r="BT23" s="354"/>
    </row>
    <row r="24" spans="1:72" s="312" customFormat="1">
      <c r="A24" s="410"/>
      <c r="B24" s="411"/>
      <c r="C24" s="410"/>
      <c r="D24" s="412"/>
      <c r="E24" s="410"/>
      <c r="F24" s="410"/>
      <c r="G24" s="411"/>
      <c r="H24" s="411"/>
      <c r="I24" s="411"/>
      <c r="J24" s="410"/>
      <c r="K24" s="410"/>
      <c r="L24" s="410"/>
      <c r="M24" s="410"/>
      <c r="N24" s="410"/>
      <c r="O24" s="410"/>
      <c r="P24" s="410"/>
      <c r="Q24" s="410"/>
      <c r="R24" s="413"/>
      <c r="S24" s="413"/>
      <c r="T24" s="411"/>
      <c r="U24" s="413"/>
      <c r="V24" s="413"/>
      <c r="W24" s="348"/>
      <c r="X24" s="349"/>
      <c r="Y24" s="349"/>
      <c r="Z24" s="349"/>
      <c r="AA24" s="349"/>
      <c r="AB24" s="349"/>
      <c r="AC24" s="354"/>
      <c r="AD24" s="354"/>
      <c r="AE24" s="354"/>
      <c r="AF24" s="354"/>
      <c r="AG24" s="354"/>
      <c r="AH24" s="354"/>
      <c r="AI24" s="354"/>
      <c r="AJ24" s="354"/>
      <c r="AK24" s="354"/>
      <c r="AL24" s="354"/>
      <c r="AM24" s="354"/>
      <c r="AN24" s="354"/>
      <c r="AO24" s="354"/>
      <c r="AP24" s="354"/>
      <c r="AQ24" s="354"/>
      <c r="AR24" s="354"/>
      <c r="AS24" s="354"/>
      <c r="AT24" s="354"/>
      <c r="AU24" s="354"/>
      <c r="AV24" s="354"/>
      <c r="AW24" s="354"/>
      <c r="AX24" s="354"/>
      <c r="AY24" s="354"/>
      <c r="AZ24" s="354"/>
      <c r="BA24" s="354"/>
      <c r="BB24" s="354"/>
      <c r="BC24" s="354"/>
      <c r="BD24" s="354"/>
      <c r="BE24" s="354"/>
      <c r="BF24" s="354"/>
      <c r="BG24" s="354"/>
      <c r="BH24" s="354"/>
      <c r="BI24" s="354"/>
      <c r="BJ24" s="354"/>
      <c r="BK24" s="354"/>
      <c r="BL24" s="354"/>
      <c r="BM24" s="354"/>
      <c r="BN24" s="354"/>
      <c r="BO24" s="354"/>
      <c r="BP24" s="354"/>
      <c r="BQ24" s="354"/>
      <c r="BR24" s="354"/>
      <c r="BS24" s="354"/>
      <c r="BT24" s="354"/>
    </row>
    <row r="25" spans="1:72" s="312" customFormat="1">
      <c r="A25" s="410"/>
      <c r="B25" s="411"/>
      <c r="C25" s="410"/>
      <c r="D25" s="412"/>
      <c r="E25" s="410"/>
      <c r="F25" s="410"/>
      <c r="G25" s="411"/>
      <c r="H25" s="411"/>
      <c r="I25" s="411"/>
      <c r="J25" s="410"/>
      <c r="K25" s="410"/>
      <c r="L25" s="410"/>
      <c r="M25" s="410"/>
      <c r="N25" s="410"/>
      <c r="O25" s="410"/>
      <c r="P25" s="410"/>
      <c r="Q25" s="410"/>
      <c r="R25" s="413"/>
      <c r="S25" s="413"/>
      <c r="T25" s="411"/>
      <c r="U25" s="413"/>
      <c r="V25" s="413"/>
      <c r="W25" s="348"/>
      <c r="X25" s="349"/>
      <c r="Y25" s="349"/>
      <c r="Z25" s="349"/>
      <c r="AA25" s="349"/>
      <c r="AB25" s="349"/>
      <c r="AC25" s="354"/>
      <c r="AD25" s="354"/>
      <c r="AE25" s="354"/>
      <c r="AF25" s="354"/>
      <c r="AG25" s="354"/>
      <c r="AH25" s="354"/>
      <c r="AI25" s="354"/>
      <c r="AJ25" s="354"/>
      <c r="AK25" s="354"/>
      <c r="AL25" s="354"/>
      <c r="AM25" s="354"/>
      <c r="AN25" s="354"/>
      <c r="AO25" s="354"/>
      <c r="AP25" s="354"/>
      <c r="AQ25" s="354"/>
      <c r="AR25" s="354"/>
      <c r="AS25" s="354"/>
      <c r="AT25" s="354"/>
      <c r="AU25" s="354"/>
      <c r="AV25" s="354"/>
      <c r="AW25" s="354"/>
      <c r="AX25" s="354"/>
      <c r="AY25" s="354"/>
      <c r="AZ25" s="354"/>
      <c r="BA25" s="354"/>
      <c r="BB25" s="354"/>
      <c r="BC25" s="354"/>
      <c r="BD25" s="354"/>
      <c r="BE25" s="354"/>
      <c r="BF25" s="354"/>
      <c r="BG25" s="354"/>
      <c r="BH25" s="354"/>
      <c r="BI25" s="354"/>
      <c r="BJ25" s="354"/>
      <c r="BK25" s="354"/>
      <c r="BL25" s="354"/>
      <c r="BM25" s="354"/>
      <c r="BN25" s="354"/>
      <c r="BO25" s="354"/>
      <c r="BP25" s="354"/>
      <c r="BQ25" s="354"/>
      <c r="BR25" s="354"/>
      <c r="BS25" s="354"/>
      <c r="BT25" s="354"/>
    </row>
    <row r="26" spans="1:72" s="312" customFormat="1">
      <c r="A26" s="410"/>
      <c r="B26" s="411"/>
      <c r="C26" s="410"/>
      <c r="D26" s="412"/>
      <c r="E26" s="410"/>
      <c r="F26" s="410"/>
      <c r="G26" s="411"/>
      <c r="H26" s="411"/>
      <c r="I26" s="411"/>
      <c r="J26" s="410"/>
      <c r="K26" s="410"/>
      <c r="L26" s="410"/>
      <c r="M26" s="410"/>
      <c r="N26" s="410"/>
      <c r="O26" s="410"/>
      <c r="P26" s="410"/>
      <c r="Q26" s="410"/>
      <c r="R26" s="413"/>
      <c r="S26" s="413"/>
      <c r="T26" s="411"/>
      <c r="U26" s="413"/>
      <c r="V26" s="413"/>
      <c r="W26" s="348"/>
      <c r="X26" s="349"/>
      <c r="Y26" s="349"/>
      <c r="Z26" s="349"/>
      <c r="AA26" s="349"/>
      <c r="AB26" s="349"/>
      <c r="AC26" s="354"/>
      <c r="AD26" s="354"/>
      <c r="AE26" s="354"/>
      <c r="AF26" s="354"/>
      <c r="AG26" s="354"/>
      <c r="AH26" s="354"/>
      <c r="AI26" s="354"/>
      <c r="AJ26" s="354"/>
      <c r="AK26" s="354"/>
      <c r="AL26" s="354"/>
      <c r="AM26" s="354"/>
      <c r="AN26" s="354"/>
      <c r="AO26" s="354"/>
      <c r="AP26" s="354"/>
      <c r="AQ26" s="354"/>
      <c r="AR26" s="354"/>
      <c r="AS26" s="354"/>
      <c r="AT26" s="354"/>
      <c r="AU26" s="354"/>
      <c r="AV26" s="354"/>
      <c r="AW26" s="354"/>
      <c r="AX26" s="354"/>
      <c r="AY26" s="354"/>
      <c r="AZ26" s="354"/>
      <c r="BA26" s="354"/>
      <c r="BB26" s="354"/>
      <c r="BC26" s="354"/>
      <c r="BD26" s="354"/>
      <c r="BE26" s="354"/>
      <c r="BF26" s="354"/>
      <c r="BG26" s="354"/>
      <c r="BH26" s="354"/>
      <c r="BI26" s="354"/>
      <c r="BJ26" s="354"/>
      <c r="BK26" s="354"/>
      <c r="BL26" s="354"/>
      <c r="BM26" s="354"/>
      <c r="BN26" s="354"/>
      <c r="BO26" s="354"/>
      <c r="BP26" s="354"/>
      <c r="BQ26" s="354"/>
      <c r="BR26" s="354"/>
      <c r="BS26" s="354"/>
      <c r="BT26" s="354"/>
    </row>
    <row r="27" spans="1:72" s="312" customFormat="1">
      <c r="A27" s="410"/>
      <c r="B27" s="411"/>
      <c r="C27" s="410"/>
      <c r="D27" s="412"/>
      <c r="E27" s="410"/>
      <c r="F27" s="410"/>
      <c r="G27" s="411"/>
      <c r="H27" s="411"/>
      <c r="I27" s="411"/>
      <c r="J27" s="410"/>
      <c r="K27" s="410"/>
      <c r="L27" s="410"/>
      <c r="M27" s="410"/>
      <c r="N27" s="410"/>
      <c r="O27" s="410"/>
      <c r="P27" s="410"/>
      <c r="Q27" s="410"/>
      <c r="R27" s="413"/>
      <c r="S27" s="413"/>
      <c r="T27" s="411"/>
      <c r="U27" s="413"/>
      <c r="V27" s="413"/>
      <c r="W27" s="348"/>
      <c r="X27" s="349"/>
      <c r="Y27" s="349"/>
      <c r="Z27" s="349"/>
      <c r="AA27" s="349"/>
      <c r="AB27" s="349"/>
      <c r="AC27" s="354"/>
      <c r="AD27" s="354"/>
      <c r="AE27" s="354"/>
      <c r="AF27" s="354"/>
      <c r="AG27" s="354"/>
      <c r="AH27" s="354"/>
      <c r="AI27" s="354"/>
      <c r="AJ27" s="354"/>
      <c r="AK27" s="354"/>
      <c r="AL27" s="354"/>
      <c r="AM27" s="354"/>
      <c r="AN27" s="354"/>
      <c r="AO27" s="354"/>
      <c r="AP27" s="354"/>
      <c r="AQ27" s="354"/>
      <c r="AR27" s="354"/>
      <c r="AS27" s="354"/>
      <c r="AT27" s="354"/>
      <c r="AU27" s="354"/>
      <c r="AV27" s="354"/>
      <c r="AW27" s="354"/>
      <c r="AX27" s="354"/>
      <c r="AY27" s="354"/>
      <c r="AZ27" s="354"/>
      <c r="BA27" s="354"/>
      <c r="BB27" s="354"/>
      <c r="BC27" s="354"/>
      <c r="BD27" s="354"/>
      <c r="BE27" s="354"/>
      <c r="BF27" s="354"/>
      <c r="BG27" s="354"/>
      <c r="BH27" s="354"/>
      <c r="BI27" s="354"/>
      <c r="BJ27" s="354"/>
      <c r="BK27" s="354"/>
      <c r="BL27" s="354"/>
      <c r="BM27" s="354"/>
      <c r="BN27" s="354"/>
      <c r="BO27" s="354"/>
      <c r="BP27" s="354"/>
      <c r="BQ27" s="354"/>
      <c r="BR27" s="354"/>
      <c r="BS27" s="354"/>
      <c r="BT27" s="354"/>
    </row>
    <row r="28" spans="1:72" s="312" customFormat="1">
      <c r="A28" s="410"/>
      <c r="B28" s="411"/>
      <c r="C28" s="410"/>
      <c r="D28" s="412"/>
      <c r="E28" s="410"/>
      <c r="F28" s="410"/>
      <c r="G28" s="411"/>
      <c r="H28" s="411"/>
      <c r="I28" s="411"/>
      <c r="J28" s="410"/>
      <c r="K28" s="410"/>
      <c r="L28" s="410"/>
      <c r="M28" s="410"/>
      <c r="N28" s="410"/>
      <c r="O28" s="410"/>
      <c r="P28" s="410"/>
      <c r="Q28" s="410"/>
      <c r="R28" s="413"/>
      <c r="S28" s="413"/>
      <c r="T28" s="411"/>
      <c r="U28" s="413"/>
      <c r="V28" s="413"/>
      <c r="W28" s="348"/>
      <c r="X28" s="349"/>
      <c r="Y28" s="349"/>
      <c r="Z28" s="349"/>
      <c r="AA28" s="349"/>
      <c r="AB28" s="349"/>
      <c r="AC28" s="354"/>
      <c r="AD28" s="354"/>
      <c r="AE28" s="354"/>
      <c r="AF28" s="354"/>
      <c r="AG28" s="354"/>
      <c r="AH28" s="354"/>
      <c r="AI28" s="354"/>
      <c r="AJ28" s="354"/>
      <c r="AK28" s="354"/>
      <c r="AL28" s="354"/>
      <c r="AM28" s="354"/>
      <c r="AN28" s="354"/>
      <c r="AO28" s="354"/>
      <c r="AP28" s="354"/>
      <c r="AQ28" s="354"/>
      <c r="AR28" s="354"/>
      <c r="AS28" s="354"/>
      <c r="AT28" s="354"/>
      <c r="AU28" s="354"/>
      <c r="AV28" s="354"/>
      <c r="AW28" s="354"/>
      <c r="AX28" s="354"/>
      <c r="AY28" s="354"/>
      <c r="AZ28" s="354"/>
      <c r="BA28" s="354"/>
      <c r="BB28" s="354"/>
      <c r="BC28" s="354"/>
      <c r="BD28" s="354"/>
      <c r="BE28" s="354"/>
      <c r="BF28" s="354"/>
      <c r="BG28" s="354"/>
      <c r="BH28" s="354"/>
      <c r="BI28" s="354"/>
      <c r="BJ28" s="354"/>
      <c r="BK28" s="354"/>
      <c r="BL28" s="354"/>
      <c r="BM28" s="354"/>
      <c r="BN28" s="354"/>
      <c r="BO28" s="354"/>
      <c r="BP28" s="354"/>
      <c r="BQ28" s="354"/>
      <c r="BR28" s="354"/>
      <c r="BS28" s="354"/>
      <c r="BT28" s="354"/>
    </row>
    <row r="29" spans="1:72" s="312" customFormat="1">
      <c r="A29" s="410"/>
      <c r="B29" s="411"/>
      <c r="C29" s="410"/>
      <c r="D29" s="412"/>
      <c r="E29" s="410"/>
      <c r="F29" s="410"/>
      <c r="G29" s="411"/>
      <c r="H29" s="411"/>
      <c r="I29" s="411"/>
      <c r="J29" s="410"/>
      <c r="K29" s="410"/>
      <c r="L29" s="410"/>
      <c r="M29" s="410"/>
      <c r="N29" s="410"/>
      <c r="O29" s="410"/>
      <c r="P29" s="410"/>
      <c r="Q29" s="410"/>
      <c r="R29" s="413"/>
      <c r="S29" s="413"/>
      <c r="T29" s="411"/>
      <c r="U29" s="413"/>
      <c r="V29" s="413"/>
      <c r="W29" s="348"/>
      <c r="X29" s="349"/>
      <c r="Y29" s="349"/>
      <c r="Z29" s="349"/>
      <c r="AA29" s="349"/>
      <c r="AB29" s="349"/>
      <c r="AC29" s="354"/>
      <c r="AD29" s="354"/>
      <c r="AE29" s="354"/>
      <c r="AF29" s="354"/>
      <c r="AG29" s="354"/>
      <c r="AH29" s="354"/>
      <c r="AI29" s="354"/>
      <c r="AJ29" s="354"/>
      <c r="AK29" s="354"/>
      <c r="AL29" s="354"/>
      <c r="AM29" s="354"/>
      <c r="AN29" s="354"/>
      <c r="AO29" s="354"/>
      <c r="AP29" s="354"/>
      <c r="AQ29" s="354"/>
      <c r="AR29" s="354"/>
      <c r="AS29" s="354"/>
      <c r="AT29" s="354"/>
      <c r="AU29" s="354"/>
      <c r="AV29" s="354"/>
      <c r="AW29" s="354"/>
      <c r="AX29" s="354"/>
      <c r="AY29" s="354"/>
      <c r="AZ29" s="354"/>
      <c r="BA29" s="354"/>
      <c r="BB29" s="354"/>
      <c r="BC29" s="354"/>
      <c r="BD29" s="354"/>
      <c r="BE29" s="354"/>
      <c r="BF29" s="354"/>
      <c r="BG29" s="354"/>
      <c r="BH29" s="354"/>
      <c r="BI29" s="354"/>
      <c r="BJ29" s="354"/>
      <c r="BK29" s="354"/>
      <c r="BL29" s="354"/>
      <c r="BM29" s="354"/>
      <c r="BN29" s="354"/>
      <c r="BO29" s="354"/>
      <c r="BP29" s="354"/>
      <c r="BQ29" s="354"/>
      <c r="BR29" s="354"/>
      <c r="BS29" s="354"/>
      <c r="BT29" s="354"/>
    </row>
    <row r="30" spans="1:72" s="312" customFormat="1">
      <c r="A30" s="410"/>
      <c r="B30" s="411"/>
      <c r="C30" s="410"/>
      <c r="D30" s="412"/>
      <c r="E30" s="410"/>
      <c r="F30" s="410"/>
      <c r="G30" s="411"/>
      <c r="H30" s="411"/>
      <c r="I30" s="411"/>
      <c r="J30" s="410"/>
      <c r="K30" s="410"/>
      <c r="L30" s="410"/>
      <c r="M30" s="410"/>
      <c r="N30" s="410"/>
      <c r="O30" s="410"/>
      <c r="P30" s="410"/>
      <c r="Q30" s="410"/>
      <c r="R30" s="413"/>
      <c r="S30" s="413"/>
      <c r="T30" s="411"/>
      <c r="U30" s="413"/>
      <c r="V30" s="413"/>
      <c r="W30" s="348"/>
      <c r="X30" s="349"/>
      <c r="Y30" s="349"/>
      <c r="Z30" s="349"/>
      <c r="AA30" s="349"/>
      <c r="AB30" s="349"/>
      <c r="AC30" s="354"/>
      <c r="AD30" s="354"/>
      <c r="AE30" s="354"/>
      <c r="AF30" s="354"/>
      <c r="AG30" s="354"/>
      <c r="AH30" s="354"/>
      <c r="AI30" s="354"/>
      <c r="AJ30" s="354"/>
      <c r="AK30" s="354"/>
      <c r="AL30" s="354"/>
      <c r="AM30" s="354"/>
      <c r="AN30" s="354"/>
      <c r="AO30" s="354"/>
      <c r="AP30" s="354"/>
      <c r="AQ30" s="354"/>
      <c r="AR30" s="354"/>
      <c r="AS30" s="354"/>
      <c r="AT30" s="354"/>
      <c r="AU30" s="354"/>
      <c r="AV30" s="354"/>
      <c r="AW30" s="354"/>
      <c r="AX30" s="354"/>
      <c r="AY30" s="354"/>
      <c r="AZ30" s="354"/>
      <c r="BA30" s="354"/>
      <c r="BB30" s="354"/>
      <c r="BC30" s="354"/>
      <c r="BD30" s="354"/>
      <c r="BE30" s="354"/>
      <c r="BF30" s="354"/>
      <c r="BG30" s="354"/>
      <c r="BH30" s="354"/>
      <c r="BI30" s="354"/>
      <c r="BJ30" s="354"/>
      <c r="BK30" s="354"/>
      <c r="BL30" s="354"/>
      <c r="BM30" s="354"/>
      <c r="BN30" s="354"/>
      <c r="BO30" s="354"/>
      <c r="BP30" s="354"/>
      <c r="BQ30" s="354"/>
      <c r="BR30" s="354"/>
      <c r="BS30" s="354"/>
      <c r="BT30" s="354"/>
    </row>
    <row r="31" spans="1:72" s="312" customFormat="1">
      <c r="A31" s="410"/>
      <c r="B31" s="411"/>
      <c r="C31" s="410"/>
      <c r="D31" s="412"/>
      <c r="E31" s="410"/>
      <c r="F31" s="410"/>
      <c r="G31" s="411"/>
      <c r="H31" s="411"/>
      <c r="I31" s="411"/>
      <c r="J31" s="410"/>
      <c r="K31" s="410"/>
      <c r="L31" s="410"/>
      <c r="M31" s="410"/>
      <c r="N31" s="410"/>
      <c r="O31" s="410"/>
      <c r="P31" s="410"/>
      <c r="Q31" s="410"/>
      <c r="R31" s="413"/>
      <c r="S31" s="413"/>
      <c r="T31" s="411"/>
      <c r="U31" s="413"/>
      <c r="V31" s="413"/>
      <c r="W31" s="348"/>
      <c r="X31" s="349"/>
      <c r="Y31" s="349"/>
      <c r="Z31" s="349"/>
      <c r="AA31" s="349"/>
      <c r="AB31" s="349"/>
      <c r="AC31" s="354"/>
      <c r="AD31" s="354"/>
      <c r="AE31" s="354"/>
      <c r="AF31" s="354"/>
      <c r="AG31" s="354"/>
      <c r="AH31" s="354"/>
      <c r="AI31" s="354"/>
      <c r="AJ31" s="354"/>
      <c r="AK31" s="354"/>
      <c r="AL31" s="354"/>
      <c r="AM31" s="354"/>
      <c r="AN31" s="354"/>
      <c r="AO31" s="354"/>
      <c r="AP31" s="354"/>
      <c r="AQ31" s="354"/>
      <c r="AR31" s="354"/>
      <c r="AS31" s="354"/>
      <c r="AT31" s="354"/>
      <c r="AU31" s="354"/>
      <c r="AV31" s="354"/>
      <c r="AW31" s="354"/>
      <c r="AX31" s="354"/>
      <c r="AY31" s="354"/>
      <c r="AZ31" s="354"/>
      <c r="BA31" s="354"/>
      <c r="BB31" s="354"/>
      <c r="BC31" s="354"/>
      <c r="BD31" s="354"/>
      <c r="BE31" s="354"/>
      <c r="BF31" s="354"/>
      <c r="BG31" s="354"/>
      <c r="BH31" s="354"/>
      <c r="BI31" s="354"/>
      <c r="BJ31" s="354"/>
      <c r="BK31" s="354"/>
      <c r="BL31" s="354"/>
      <c r="BM31" s="354"/>
      <c r="BN31" s="354"/>
      <c r="BO31" s="354"/>
      <c r="BP31" s="354"/>
      <c r="BQ31" s="354"/>
      <c r="BR31" s="354"/>
      <c r="BS31" s="354"/>
      <c r="BT31" s="354"/>
    </row>
    <row r="32" spans="1:72" s="312" customFormat="1">
      <c r="A32" s="410"/>
      <c r="B32" s="411"/>
      <c r="C32" s="410"/>
      <c r="D32" s="412"/>
      <c r="E32" s="410"/>
      <c r="F32" s="410"/>
      <c r="G32" s="411"/>
      <c r="H32" s="411"/>
      <c r="I32" s="411"/>
      <c r="J32" s="410"/>
      <c r="K32" s="410"/>
      <c r="L32" s="410"/>
      <c r="M32" s="410"/>
      <c r="N32" s="410"/>
      <c r="O32" s="410"/>
      <c r="P32" s="410"/>
      <c r="Q32" s="410"/>
      <c r="R32" s="413"/>
      <c r="S32" s="413"/>
      <c r="T32" s="411"/>
      <c r="U32" s="413"/>
      <c r="V32" s="413"/>
      <c r="W32" s="348"/>
      <c r="X32" s="349"/>
      <c r="Y32" s="349"/>
      <c r="Z32" s="349"/>
      <c r="AA32" s="349"/>
      <c r="AB32" s="349"/>
      <c r="AC32" s="354"/>
      <c r="AD32" s="354"/>
      <c r="AE32" s="354"/>
      <c r="AF32" s="354"/>
      <c r="AG32" s="354"/>
      <c r="AH32" s="354"/>
      <c r="AI32" s="354"/>
      <c r="AJ32" s="354"/>
      <c r="AK32" s="354"/>
      <c r="AL32" s="354"/>
      <c r="AM32" s="354"/>
      <c r="AN32" s="354"/>
      <c r="AO32" s="354"/>
      <c r="AP32" s="354"/>
      <c r="AQ32" s="354"/>
      <c r="AR32" s="354"/>
      <c r="AS32" s="354"/>
      <c r="AT32" s="354"/>
      <c r="AU32" s="354"/>
      <c r="AV32" s="354"/>
      <c r="AW32" s="354"/>
      <c r="AX32" s="354"/>
      <c r="AY32" s="354"/>
      <c r="AZ32" s="354"/>
      <c r="BA32" s="354"/>
      <c r="BB32" s="354"/>
      <c r="BC32" s="354"/>
      <c r="BD32" s="354"/>
      <c r="BE32" s="354"/>
      <c r="BF32" s="354"/>
      <c r="BG32" s="354"/>
      <c r="BH32" s="354"/>
      <c r="BI32" s="354"/>
      <c r="BJ32" s="354"/>
      <c r="BK32" s="354"/>
      <c r="BL32" s="354"/>
      <c r="BM32" s="354"/>
      <c r="BN32" s="354"/>
      <c r="BO32" s="354"/>
      <c r="BP32" s="354"/>
      <c r="BQ32" s="354"/>
      <c r="BR32" s="354"/>
      <c r="BS32" s="354"/>
      <c r="BT32" s="354"/>
    </row>
    <row r="33" spans="1:72" s="312" customFormat="1">
      <c r="A33" s="410"/>
      <c r="B33" s="411"/>
      <c r="C33" s="410"/>
      <c r="D33" s="412"/>
      <c r="E33" s="410"/>
      <c r="F33" s="410"/>
      <c r="G33" s="411"/>
      <c r="H33" s="411"/>
      <c r="I33" s="411"/>
      <c r="J33" s="410"/>
      <c r="K33" s="410"/>
      <c r="L33" s="410"/>
      <c r="M33" s="410"/>
      <c r="N33" s="410"/>
      <c r="O33" s="410"/>
      <c r="P33" s="410"/>
      <c r="Q33" s="410"/>
      <c r="R33" s="413"/>
      <c r="S33" s="413"/>
      <c r="T33" s="411"/>
      <c r="U33" s="413"/>
      <c r="V33" s="413"/>
      <c r="W33" s="348"/>
      <c r="X33" s="349"/>
      <c r="Y33" s="349"/>
      <c r="Z33" s="349"/>
      <c r="AA33" s="349"/>
      <c r="AB33" s="349"/>
      <c r="AC33" s="354"/>
      <c r="AD33" s="354"/>
      <c r="AE33" s="354"/>
      <c r="AF33" s="354"/>
      <c r="AG33" s="354"/>
      <c r="AH33" s="354"/>
      <c r="AI33" s="354"/>
      <c r="AJ33" s="354"/>
      <c r="AK33" s="354"/>
      <c r="AL33" s="354"/>
      <c r="AM33" s="354"/>
      <c r="AN33" s="354"/>
      <c r="AO33" s="354"/>
      <c r="AP33" s="354"/>
      <c r="AQ33" s="354"/>
      <c r="AR33" s="354"/>
      <c r="AS33" s="354"/>
      <c r="AT33" s="354"/>
      <c r="AU33" s="354"/>
      <c r="AV33" s="354"/>
      <c r="AW33" s="354"/>
      <c r="AX33" s="354"/>
      <c r="AY33" s="354"/>
      <c r="AZ33" s="354"/>
      <c r="BA33" s="354"/>
      <c r="BB33" s="354"/>
      <c r="BC33" s="354"/>
      <c r="BD33" s="354"/>
      <c r="BE33" s="354"/>
      <c r="BF33" s="354"/>
      <c r="BG33" s="354"/>
      <c r="BH33" s="354"/>
      <c r="BI33" s="354"/>
      <c r="BJ33" s="354"/>
      <c r="BK33" s="354"/>
      <c r="BL33" s="354"/>
      <c r="BM33" s="354"/>
      <c r="BN33" s="354"/>
      <c r="BO33" s="354"/>
      <c r="BP33" s="354"/>
      <c r="BQ33" s="354"/>
      <c r="BR33" s="354"/>
      <c r="BS33" s="354"/>
      <c r="BT33" s="354"/>
    </row>
    <row r="34" spans="1:72" s="312" customFormat="1">
      <c r="A34" s="410"/>
      <c r="B34" s="411"/>
      <c r="C34" s="410"/>
      <c r="D34" s="412"/>
      <c r="E34" s="410"/>
      <c r="F34" s="410"/>
      <c r="G34" s="411"/>
      <c r="H34" s="411"/>
      <c r="I34" s="411"/>
      <c r="J34" s="410"/>
      <c r="K34" s="410"/>
      <c r="L34" s="410"/>
      <c r="M34" s="410"/>
      <c r="N34" s="410"/>
      <c r="O34" s="410"/>
      <c r="P34" s="410"/>
      <c r="Q34" s="410"/>
      <c r="R34" s="413"/>
      <c r="S34" s="413"/>
      <c r="T34" s="411"/>
      <c r="U34" s="413"/>
      <c r="V34" s="413"/>
      <c r="W34" s="348"/>
      <c r="X34" s="349"/>
      <c r="Y34" s="349"/>
      <c r="Z34" s="349"/>
      <c r="AA34" s="349"/>
      <c r="AB34" s="349"/>
      <c r="AC34" s="354"/>
      <c r="AD34" s="354"/>
      <c r="AE34" s="354"/>
      <c r="AF34" s="354"/>
      <c r="AG34" s="354"/>
      <c r="AH34" s="354"/>
      <c r="AI34" s="354"/>
      <c r="AJ34" s="354"/>
      <c r="AK34" s="354"/>
      <c r="AL34" s="354"/>
      <c r="AM34" s="354"/>
      <c r="AN34" s="354"/>
      <c r="AO34" s="354"/>
      <c r="AP34" s="354"/>
      <c r="AQ34" s="354"/>
      <c r="AR34" s="354"/>
      <c r="AS34" s="354"/>
      <c r="AT34" s="354"/>
      <c r="AU34" s="354"/>
      <c r="AV34" s="354"/>
      <c r="AW34" s="354"/>
      <c r="AX34" s="354"/>
      <c r="AY34" s="354"/>
      <c r="AZ34" s="354"/>
      <c r="BA34" s="354"/>
      <c r="BB34" s="354"/>
      <c r="BC34" s="354"/>
      <c r="BD34" s="354"/>
      <c r="BE34" s="354"/>
      <c r="BF34" s="354"/>
      <c r="BG34" s="354"/>
      <c r="BH34" s="354"/>
      <c r="BI34" s="354"/>
      <c r="BJ34" s="354"/>
      <c r="BK34" s="354"/>
      <c r="BL34" s="354"/>
      <c r="BM34" s="354"/>
      <c r="BN34" s="354"/>
      <c r="BO34" s="354"/>
      <c r="BP34" s="354"/>
      <c r="BQ34" s="354"/>
      <c r="BR34" s="354"/>
      <c r="BS34" s="354"/>
      <c r="BT34" s="354"/>
    </row>
    <row r="35" spans="1:72" s="312" customFormat="1">
      <c r="A35" s="410"/>
      <c r="B35" s="411"/>
      <c r="C35" s="410"/>
      <c r="D35" s="412"/>
      <c r="E35" s="410"/>
      <c r="F35" s="410"/>
      <c r="G35" s="411"/>
      <c r="H35" s="411"/>
      <c r="I35" s="411"/>
      <c r="J35" s="410"/>
      <c r="K35" s="410"/>
      <c r="L35" s="410"/>
      <c r="M35" s="410"/>
      <c r="N35" s="410"/>
      <c r="O35" s="410"/>
      <c r="P35" s="410"/>
      <c r="Q35" s="410"/>
      <c r="R35" s="413"/>
      <c r="S35" s="413"/>
      <c r="T35" s="411"/>
      <c r="U35" s="413"/>
      <c r="V35" s="413"/>
      <c r="W35" s="348"/>
      <c r="X35" s="349"/>
      <c r="Y35" s="349"/>
      <c r="Z35" s="349"/>
      <c r="AA35" s="349"/>
      <c r="AB35" s="349"/>
      <c r="AC35" s="354"/>
      <c r="AD35" s="354"/>
      <c r="AE35" s="354"/>
      <c r="AF35" s="354"/>
      <c r="AG35" s="354"/>
      <c r="AH35" s="354"/>
      <c r="AI35" s="354"/>
      <c r="AJ35" s="354"/>
      <c r="AK35" s="354"/>
      <c r="AL35" s="354"/>
      <c r="AM35" s="354"/>
      <c r="AN35" s="354"/>
      <c r="AO35" s="354"/>
      <c r="AP35" s="354"/>
      <c r="AQ35" s="354"/>
      <c r="AR35" s="354"/>
      <c r="AS35" s="354"/>
      <c r="AT35" s="354"/>
      <c r="AU35" s="354"/>
      <c r="AV35" s="354"/>
      <c r="AW35" s="354"/>
      <c r="AX35" s="354"/>
      <c r="AY35" s="354"/>
      <c r="AZ35" s="354"/>
      <c r="BA35" s="354"/>
      <c r="BB35" s="354"/>
      <c r="BC35" s="354"/>
      <c r="BD35" s="354"/>
      <c r="BE35" s="354"/>
      <c r="BF35" s="354"/>
      <c r="BG35" s="354"/>
      <c r="BH35" s="354"/>
      <c r="BI35" s="354"/>
      <c r="BJ35" s="354"/>
      <c r="BK35" s="354"/>
      <c r="BL35" s="354"/>
      <c r="BM35" s="354"/>
      <c r="BN35" s="354"/>
      <c r="BO35" s="354"/>
      <c r="BP35" s="354"/>
      <c r="BQ35" s="354"/>
      <c r="BR35" s="354"/>
      <c r="BS35" s="354"/>
      <c r="BT35" s="354"/>
    </row>
    <row r="36" spans="1:72" s="312" customFormat="1">
      <c r="A36" s="410"/>
      <c r="B36" s="411"/>
      <c r="C36" s="410"/>
      <c r="D36" s="412"/>
      <c r="E36" s="410"/>
      <c r="F36" s="410"/>
      <c r="G36" s="411"/>
      <c r="H36" s="411"/>
      <c r="I36" s="411"/>
      <c r="J36" s="410"/>
      <c r="K36" s="410"/>
      <c r="L36" s="410"/>
      <c r="M36" s="410"/>
      <c r="N36" s="410"/>
      <c r="O36" s="410"/>
      <c r="P36" s="410"/>
      <c r="Q36" s="410"/>
      <c r="R36" s="413"/>
      <c r="S36" s="413"/>
      <c r="T36" s="411"/>
      <c r="U36" s="413"/>
      <c r="V36" s="413"/>
      <c r="W36" s="348"/>
      <c r="X36" s="349"/>
      <c r="Y36" s="349"/>
      <c r="Z36" s="349"/>
      <c r="AA36" s="349"/>
      <c r="AB36" s="349"/>
      <c r="AC36" s="354"/>
      <c r="AD36" s="354"/>
      <c r="AE36" s="354"/>
      <c r="AF36" s="354"/>
      <c r="AG36" s="354"/>
      <c r="AH36" s="354"/>
      <c r="AI36" s="354"/>
      <c r="AJ36" s="354"/>
      <c r="AK36" s="354"/>
      <c r="AL36" s="354"/>
      <c r="AM36" s="354"/>
      <c r="AN36" s="354"/>
      <c r="AO36" s="354"/>
      <c r="AP36" s="354"/>
      <c r="AQ36" s="354"/>
      <c r="AR36" s="354"/>
      <c r="AS36" s="354"/>
      <c r="AT36" s="354"/>
      <c r="AU36" s="354"/>
      <c r="AV36" s="354"/>
      <c r="AW36" s="354"/>
      <c r="AX36" s="354"/>
      <c r="AY36" s="354"/>
      <c r="AZ36" s="354"/>
      <c r="BA36" s="354"/>
      <c r="BB36" s="354"/>
      <c r="BC36" s="354"/>
      <c r="BD36" s="354"/>
      <c r="BE36" s="354"/>
      <c r="BF36" s="354"/>
      <c r="BG36" s="354"/>
      <c r="BH36" s="354"/>
      <c r="BI36" s="354"/>
      <c r="BJ36" s="354"/>
      <c r="BK36" s="354"/>
      <c r="BL36" s="354"/>
      <c r="BM36" s="354"/>
      <c r="BN36" s="354"/>
      <c r="BO36" s="354"/>
      <c r="BP36" s="354"/>
      <c r="BQ36" s="354"/>
      <c r="BR36" s="354"/>
      <c r="BS36" s="354"/>
      <c r="BT36" s="354"/>
    </row>
    <row r="37" spans="1:72" s="312" customFormat="1">
      <c r="A37" s="410"/>
      <c r="B37" s="411"/>
      <c r="C37" s="410"/>
      <c r="D37" s="412"/>
      <c r="E37" s="410"/>
      <c r="F37" s="410"/>
      <c r="G37" s="411"/>
      <c r="H37" s="411"/>
      <c r="I37" s="411"/>
      <c r="J37" s="410"/>
      <c r="K37" s="410"/>
      <c r="L37" s="410"/>
      <c r="M37" s="410"/>
      <c r="N37" s="410"/>
      <c r="O37" s="410"/>
      <c r="P37" s="410"/>
      <c r="Q37" s="410"/>
      <c r="R37" s="413"/>
      <c r="S37" s="413"/>
      <c r="T37" s="411"/>
      <c r="U37" s="413"/>
      <c r="V37" s="413"/>
      <c r="W37" s="348"/>
      <c r="X37" s="349"/>
      <c r="Y37" s="349"/>
      <c r="Z37" s="349"/>
      <c r="AA37" s="349"/>
      <c r="AB37" s="349"/>
      <c r="AC37" s="354"/>
      <c r="AD37" s="354"/>
      <c r="AE37" s="354"/>
      <c r="AF37" s="354"/>
      <c r="AG37" s="354"/>
      <c r="AH37" s="354"/>
      <c r="AI37" s="354"/>
      <c r="AJ37" s="354"/>
      <c r="AK37" s="354"/>
      <c r="AL37" s="354"/>
      <c r="AM37" s="354"/>
      <c r="AN37" s="354"/>
      <c r="AO37" s="354"/>
      <c r="AP37" s="354"/>
      <c r="AQ37" s="354"/>
      <c r="AR37" s="354"/>
      <c r="AS37" s="354"/>
      <c r="AT37" s="354"/>
      <c r="AU37" s="354"/>
      <c r="AV37" s="354"/>
      <c r="AW37" s="354"/>
      <c r="AX37" s="354"/>
      <c r="AY37" s="354"/>
      <c r="AZ37" s="354"/>
      <c r="BA37" s="354"/>
      <c r="BB37" s="354"/>
      <c r="BC37" s="354"/>
      <c r="BD37" s="354"/>
      <c r="BE37" s="354"/>
      <c r="BF37" s="354"/>
      <c r="BG37" s="354"/>
      <c r="BH37" s="354"/>
      <c r="BI37" s="354"/>
      <c r="BJ37" s="354"/>
      <c r="BK37" s="354"/>
      <c r="BL37" s="354"/>
      <c r="BM37" s="354"/>
      <c r="BN37" s="354"/>
      <c r="BO37" s="354"/>
      <c r="BP37" s="354"/>
      <c r="BQ37" s="354"/>
      <c r="BR37" s="354"/>
      <c r="BS37" s="354"/>
      <c r="BT37" s="354"/>
    </row>
    <row r="38" spans="1:72" s="312" customFormat="1">
      <c r="A38" s="410"/>
      <c r="B38" s="411"/>
      <c r="C38" s="410"/>
      <c r="D38" s="412"/>
      <c r="E38" s="410"/>
      <c r="F38" s="410"/>
      <c r="G38" s="411"/>
      <c r="H38" s="411"/>
      <c r="I38" s="411"/>
      <c r="J38" s="410"/>
      <c r="K38" s="410"/>
      <c r="L38" s="410"/>
      <c r="M38" s="410"/>
      <c r="N38" s="410"/>
      <c r="O38" s="410"/>
      <c r="P38" s="410"/>
      <c r="Q38" s="410"/>
      <c r="R38" s="413"/>
      <c r="S38" s="413"/>
      <c r="T38" s="411"/>
      <c r="U38" s="413"/>
      <c r="V38" s="413"/>
      <c r="W38" s="348"/>
      <c r="X38" s="349"/>
      <c r="Y38" s="349"/>
      <c r="Z38" s="349"/>
      <c r="AA38" s="349"/>
      <c r="AB38" s="349"/>
      <c r="AC38" s="354"/>
      <c r="AD38" s="354"/>
      <c r="AE38" s="354"/>
      <c r="AF38" s="354"/>
      <c r="AG38" s="354"/>
      <c r="AH38" s="354"/>
      <c r="AI38" s="354"/>
      <c r="AJ38" s="354"/>
      <c r="AK38" s="354"/>
      <c r="AL38" s="354"/>
      <c r="AM38" s="354"/>
      <c r="AN38" s="354"/>
      <c r="AO38" s="354"/>
      <c r="AP38" s="354"/>
      <c r="AQ38" s="354"/>
      <c r="AR38" s="354"/>
      <c r="AS38" s="354"/>
      <c r="AT38" s="354"/>
      <c r="AU38" s="354"/>
      <c r="AV38" s="354"/>
      <c r="AW38" s="354"/>
      <c r="AX38" s="354"/>
      <c r="AY38" s="354"/>
      <c r="AZ38" s="354"/>
      <c r="BA38" s="354"/>
      <c r="BB38" s="354"/>
      <c r="BC38" s="354"/>
      <c r="BD38" s="354"/>
      <c r="BE38" s="354"/>
      <c r="BF38" s="354"/>
      <c r="BG38" s="354"/>
      <c r="BH38" s="354"/>
      <c r="BI38" s="354"/>
      <c r="BJ38" s="354"/>
      <c r="BK38" s="354"/>
      <c r="BL38" s="354"/>
      <c r="BM38" s="354"/>
      <c r="BN38" s="354"/>
      <c r="BO38" s="354"/>
      <c r="BP38" s="354"/>
      <c r="BQ38" s="354"/>
      <c r="BR38" s="354"/>
      <c r="BS38" s="354"/>
      <c r="BT38" s="354"/>
    </row>
    <row r="39" spans="1:72" s="312" customFormat="1">
      <c r="A39" s="410"/>
      <c r="B39" s="411"/>
      <c r="C39" s="410"/>
      <c r="D39" s="412"/>
      <c r="E39" s="410"/>
      <c r="F39" s="410"/>
      <c r="G39" s="411"/>
      <c r="H39" s="411"/>
      <c r="I39" s="411"/>
      <c r="J39" s="410"/>
      <c r="K39" s="410"/>
      <c r="L39" s="410"/>
      <c r="M39" s="410"/>
      <c r="N39" s="410"/>
      <c r="O39" s="410"/>
      <c r="P39" s="410"/>
      <c r="Q39" s="410"/>
      <c r="R39" s="413"/>
      <c r="S39" s="413"/>
      <c r="T39" s="411"/>
      <c r="U39" s="413"/>
      <c r="V39" s="413"/>
      <c r="W39" s="348"/>
      <c r="X39" s="349"/>
      <c r="Y39" s="349"/>
      <c r="Z39" s="349"/>
      <c r="AA39" s="349"/>
      <c r="AB39" s="349"/>
      <c r="AC39" s="354"/>
      <c r="AD39" s="354"/>
      <c r="AE39" s="354"/>
      <c r="AF39" s="354"/>
      <c r="AG39" s="354"/>
      <c r="AH39" s="354"/>
      <c r="AI39" s="354"/>
      <c r="AJ39" s="354"/>
      <c r="AK39" s="354"/>
      <c r="AL39" s="354"/>
      <c r="AM39" s="354"/>
      <c r="AN39" s="354"/>
      <c r="AO39" s="354"/>
      <c r="AP39" s="354"/>
      <c r="AQ39" s="354"/>
      <c r="AR39" s="354"/>
      <c r="AS39" s="354"/>
      <c r="AT39" s="354"/>
      <c r="AU39" s="354"/>
      <c r="AV39" s="354"/>
      <c r="AW39" s="354"/>
      <c r="AX39" s="354"/>
      <c r="AY39" s="354"/>
      <c r="AZ39" s="354"/>
      <c r="BA39" s="354"/>
      <c r="BB39" s="354"/>
      <c r="BC39" s="354"/>
      <c r="BD39" s="354"/>
      <c r="BE39" s="354"/>
      <c r="BF39" s="354"/>
      <c r="BG39" s="354"/>
      <c r="BH39" s="354"/>
      <c r="BI39" s="354"/>
      <c r="BJ39" s="354"/>
      <c r="BK39" s="354"/>
      <c r="BL39" s="354"/>
      <c r="BM39" s="354"/>
      <c r="BN39" s="354"/>
      <c r="BO39" s="354"/>
      <c r="BP39" s="354"/>
      <c r="BQ39" s="354"/>
      <c r="BR39" s="354"/>
      <c r="BS39" s="354"/>
      <c r="BT39" s="354"/>
    </row>
    <row r="40" spans="1:72" s="312" customFormat="1">
      <c r="A40" s="410"/>
      <c r="B40" s="411"/>
      <c r="C40" s="410"/>
      <c r="D40" s="412"/>
      <c r="E40" s="410"/>
      <c r="F40" s="410"/>
      <c r="G40" s="411"/>
      <c r="H40" s="411"/>
      <c r="I40" s="411"/>
      <c r="J40" s="410"/>
      <c r="K40" s="410"/>
      <c r="L40" s="410"/>
      <c r="M40" s="410"/>
      <c r="N40" s="410"/>
      <c r="O40" s="410"/>
      <c r="P40" s="410"/>
      <c r="Q40" s="410"/>
      <c r="R40" s="413"/>
      <c r="S40" s="413"/>
      <c r="T40" s="411"/>
      <c r="U40" s="413"/>
      <c r="V40" s="413"/>
      <c r="W40" s="348"/>
      <c r="X40" s="349"/>
      <c r="Y40" s="349"/>
      <c r="Z40" s="349"/>
      <c r="AA40" s="349"/>
      <c r="AB40" s="349"/>
      <c r="AC40" s="354"/>
      <c r="AD40" s="354"/>
      <c r="AE40" s="354"/>
      <c r="AF40" s="354"/>
      <c r="AG40" s="354"/>
      <c r="AH40" s="354"/>
      <c r="AI40" s="354"/>
      <c r="AJ40" s="354"/>
      <c r="AK40" s="354"/>
      <c r="AL40" s="354"/>
      <c r="AM40" s="354"/>
      <c r="AN40" s="354"/>
      <c r="AO40" s="354"/>
      <c r="AP40" s="354"/>
      <c r="AQ40" s="354"/>
      <c r="AR40" s="354"/>
      <c r="AS40" s="354"/>
      <c r="AT40" s="354"/>
      <c r="AU40" s="354"/>
      <c r="AV40" s="354"/>
      <c r="AW40" s="354"/>
      <c r="AX40" s="354"/>
      <c r="AY40" s="354"/>
      <c r="AZ40" s="354"/>
      <c r="BA40" s="354"/>
      <c r="BB40" s="354"/>
      <c r="BC40" s="354"/>
      <c r="BD40" s="354"/>
      <c r="BE40" s="354"/>
      <c r="BF40" s="354"/>
      <c r="BG40" s="354"/>
      <c r="BH40" s="354"/>
      <c r="BI40" s="354"/>
      <c r="BJ40" s="354"/>
      <c r="BK40" s="354"/>
      <c r="BL40" s="354"/>
      <c r="BM40" s="354"/>
      <c r="BN40" s="354"/>
      <c r="BO40" s="354"/>
      <c r="BP40" s="354"/>
      <c r="BQ40" s="354"/>
      <c r="BR40" s="354"/>
      <c r="BS40" s="354"/>
      <c r="BT40" s="354"/>
    </row>
    <row r="41" spans="1:72" s="312" customFormat="1">
      <c r="A41" s="410"/>
      <c r="B41" s="411"/>
      <c r="C41" s="410"/>
      <c r="D41" s="412"/>
      <c r="E41" s="410"/>
      <c r="F41" s="410"/>
      <c r="G41" s="411"/>
      <c r="H41" s="411"/>
      <c r="I41" s="411"/>
      <c r="J41" s="410"/>
      <c r="K41" s="410"/>
      <c r="L41" s="410"/>
      <c r="M41" s="410"/>
      <c r="N41" s="410"/>
      <c r="O41" s="410"/>
      <c r="P41" s="410"/>
      <c r="Q41" s="410"/>
      <c r="R41" s="413"/>
      <c r="S41" s="413"/>
      <c r="T41" s="411"/>
      <c r="U41" s="413"/>
      <c r="V41" s="413"/>
      <c r="W41" s="348"/>
      <c r="X41" s="349"/>
      <c r="Y41" s="349"/>
      <c r="Z41" s="349"/>
      <c r="AA41" s="349"/>
      <c r="AB41" s="349"/>
      <c r="AC41" s="354"/>
      <c r="AD41" s="354"/>
      <c r="AE41" s="354"/>
      <c r="AF41" s="354"/>
      <c r="AG41" s="354"/>
      <c r="AH41" s="354"/>
      <c r="AI41" s="354"/>
      <c r="AJ41" s="354"/>
      <c r="AK41" s="354"/>
      <c r="AL41" s="354"/>
      <c r="AM41" s="354"/>
      <c r="AN41" s="354"/>
      <c r="AO41" s="354"/>
      <c r="AP41" s="354"/>
      <c r="AQ41" s="354"/>
      <c r="AR41" s="354"/>
      <c r="AS41" s="354"/>
      <c r="AT41" s="354"/>
      <c r="AU41" s="354"/>
      <c r="AV41" s="354"/>
      <c r="AW41" s="354"/>
      <c r="AX41" s="354"/>
      <c r="AY41" s="354"/>
      <c r="AZ41" s="354"/>
      <c r="BA41" s="354"/>
      <c r="BB41" s="354"/>
      <c r="BC41" s="354"/>
      <c r="BD41" s="354"/>
      <c r="BE41" s="354"/>
      <c r="BF41" s="354"/>
      <c r="BG41" s="354"/>
      <c r="BH41" s="354"/>
      <c r="BI41" s="354"/>
      <c r="BJ41" s="354"/>
      <c r="BK41" s="354"/>
      <c r="BL41" s="354"/>
      <c r="BM41" s="354"/>
      <c r="BN41" s="354"/>
      <c r="BO41" s="354"/>
      <c r="BP41" s="354"/>
      <c r="BQ41" s="354"/>
      <c r="BR41" s="354"/>
      <c r="BS41" s="354"/>
      <c r="BT41" s="354"/>
    </row>
    <row r="42" spans="1:72" s="312" customFormat="1">
      <c r="A42" s="410"/>
      <c r="B42" s="411"/>
      <c r="C42" s="410"/>
      <c r="D42" s="412"/>
      <c r="E42" s="410"/>
      <c r="F42" s="410"/>
      <c r="G42" s="411"/>
      <c r="H42" s="411"/>
      <c r="I42" s="411"/>
      <c r="J42" s="410"/>
      <c r="K42" s="410"/>
      <c r="L42" s="410"/>
      <c r="M42" s="410"/>
      <c r="N42" s="410"/>
      <c r="O42" s="410"/>
      <c r="P42" s="410"/>
      <c r="Q42" s="410"/>
      <c r="R42" s="413"/>
      <c r="S42" s="413"/>
      <c r="T42" s="411"/>
      <c r="U42" s="413"/>
      <c r="V42" s="413"/>
      <c r="W42" s="348"/>
      <c r="X42" s="349"/>
      <c r="Y42" s="349"/>
      <c r="Z42" s="349"/>
      <c r="AA42" s="349"/>
      <c r="AB42" s="349"/>
      <c r="AC42" s="354"/>
      <c r="AD42" s="354"/>
      <c r="AE42" s="354"/>
      <c r="AF42" s="354"/>
      <c r="AG42" s="354"/>
      <c r="AH42" s="354"/>
      <c r="AI42" s="354"/>
      <c r="AJ42" s="354"/>
      <c r="AK42" s="354"/>
      <c r="AL42" s="354"/>
      <c r="AM42" s="354"/>
      <c r="AN42" s="354"/>
      <c r="AO42" s="354"/>
      <c r="AP42" s="354"/>
      <c r="AQ42" s="354"/>
      <c r="AR42" s="354"/>
      <c r="AS42" s="354"/>
      <c r="AT42" s="354"/>
      <c r="AU42" s="354"/>
      <c r="AV42" s="354"/>
      <c r="AW42" s="354"/>
      <c r="AX42" s="354"/>
      <c r="AY42" s="354"/>
      <c r="AZ42" s="354"/>
      <c r="BA42" s="354"/>
      <c r="BB42" s="354"/>
      <c r="BC42" s="354"/>
      <c r="BD42" s="354"/>
      <c r="BE42" s="354"/>
      <c r="BF42" s="354"/>
      <c r="BG42" s="354"/>
      <c r="BH42" s="354"/>
      <c r="BI42" s="354"/>
      <c r="BJ42" s="354"/>
      <c r="BK42" s="354"/>
      <c r="BL42" s="354"/>
      <c r="BM42" s="354"/>
      <c r="BN42" s="354"/>
      <c r="BO42" s="354"/>
      <c r="BP42" s="354"/>
      <c r="BQ42" s="354"/>
      <c r="BR42" s="354"/>
      <c r="BS42" s="354"/>
      <c r="BT42" s="354"/>
    </row>
    <row r="43" spans="1:72" s="312" customFormat="1">
      <c r="A43" s="410"/>
      <c r="B43" s="411"/>
      <c r="C43" s="410"/>
      <c r="D43" s="412"/>
      <c r="E43" s="410"/>
      <c r="F43" s="410"/>
      <c r="G43" s="411"/>
      <c r="H43" s="411"/>
      <c r="I43" s="411"/>
      <c r="J43" s="410"/>
      <c r="K43" s="410"/>
      <c r="L43" s="410"/>
      <c r="M43" s="410"/>
      <c r="N43" s="410"/>
      <c r="O43" s="410"/>
      <c r="P43" s="410"/>
      <c r="Q43" s="410"/>
      <c r="R43" s="413"/>
      <c r="S43" s="413"/>
      <c r="T43" s="411"/>
      <c r="U43" s="413"/>
      <c r="V43" s="413"/>
      <c r="W43" s="348"/>
      <c r="X43" s="349"/>
      <c r="Y43" s="349"/>
      <c r="Z43" s="349"/>
      <c r="AA43" s="349"/>
      <c r="AB43" s="349"/>
      <c r="AC43" s="354"/>
      <c r="AD43" s="354"/>
      <c r="AE43" s="354"/>
      <c r="AF43" s="354"/>
      <c r="AG43" s="354"/>
      <c r="AH43" s="354"/>
      <c r="AI43" s="354"/>
      <c r="AJ43" s="354"/>
      <c r="AK43" s="354"/>
      <c r="AL43" s="354"/>
      <c r="AM43" s="354"/>
      <c r="AN43" s="354"/>
      <c r="AO43" s="354"/>
      <c r="AP43" s="354"/>
      <c r="AQ43" s="354"/>
      <c r="AR43" s="354"/>
      <c r="AS43" s="354"/>
      <c r="AT43" s="354"/>
      <c r="AU43" s="354"/>
      <c r="AV43" s="354"/>
      <c r="AW43" s="354"/>
      <c r="AX43" s="354"/>
      <c r="AY43" s="354"/>
      <c r="AZ43" s="354"/>
      <c r="BA43" s="354"/>
      <c r="BB43" s="354"/>
      <c r="BC43" s="354"/>
      <c r="BD43" s="354"/>
      <c r="BE43" s="354"/>
      <c r="BF43" s="354"/>
      <c r="BG43" s="354"/>
      <c r="BH43" s="354"/>
      <c r="BI43" s="354"/>
      <c r="BJ43" s="354"/>
      <c r="BK43" s="354"/>
      <c r="BL43" s="354"/>
      <c r="BM43" s="354"/>
      <c r="BN43" s="354"/>
      <c r="BO43" s="354"/>
      <c r="BP43" s="354"/>
      <c r="BQ43" s="354"/>
      <c r="BR43" s="354"/>
      <c r="BS43" s="354"/>
      <c r="BT43" s="354"/>
    </row>
    <row r="44" spans="1:72" s="312" customFormat="1">
      <c r="A44" s="410"/>
      <c r="B44" s="411"/>
      <c r="C44" s="410"/>
      <c r="D44" s="412"/>
      <c r="E44" s="410"/>
      <c r="F44" s="410"/>
      <c r="G44" s="411"/>
      <c r="H44" s="411"/>
      <c r="I44" s="411"/>
      <c r="J44" s="410"/>
      <c r="K44" s="410"/>
      <c r="L44" s="410"/>
      <c r="M44" s="410"/>
      <c r="N44" s="410"/>
      <c r="O44" s="410"/>
      <c r="P44" s="410"/>
      <c r="Q44" s="410"/>
      <c r="R44" s="413"/>
      <c r="S44" s="413"/>
      <c r="T44" s="411"/>
      <c r="U44" s="413"/>
      <c r="V44" s="413"/>
      <c r="W44" s="348"/>
      <c r="X44" s="349"/>
      <c r="Y44" s="349"/>
      <c r="Z44" s="349"/>
      <c r="AA44" s="349"/>
      <c r="AB44" s="349"/>
      <c r="AC44" s="354"/>
      <c r="AD44" s="354"/>
      <c r="AE44" s="354"/>
      <c r="AF44" s="354"/>
      <c r="AG44" s="354"/>
      <c r="AH44" s="354"/>
      <c r="AI44" s="354"/>
      <c r="AJ44" s="354"/>
      <c r="AK44" s="354"/>
      <c r="AL44" s="354"/>
      <c r="AM44" s="354"/>
      <c r="AN44" s="354"/>
      <c r="AO44" s="354"/>
      <c r="AP44" s="354"/>
      <c r="AQ44" s="354"/>
      <c r="AR44" s="354"/>
      <c r="AS44" s="354"/>
      <c r="AT44" s="354"/>
      <c r="AU44" s="354"/>
      <c r="AV44" s="354"/>
      <c r="AW44" s="354"/>
      <c r="AX44" s="354"/>
      <c r="AY44" s="354"/>
      <c r="AZ44" s="354"/>
      <c r="BA44" s="354"/>
      <c r="BB44" s="354"/>
      <c r="BC44" s="354"/>
      <c r="BD44" s="354"/>
      <c r="BE44" s="354"/>
      <c r="BF44" s="354"/>
      <c r="BG44" s="354"/>
      <c r="BH44" s="354"/>
      <c r="BI44" s="354"/>
      <c r="BJ44" s="354"/>
      <c r="BK44" s="354"/>
      <c r="BL44" s="354"/>
      <c r="BM44" s="354"/>
      <c r="BN44" s="354"/>
      <c r="BO44" s="354"/>
      <c r="BP44" s="354"/>
      <c r="BQ44" s="354"/>
      <c r="BR44" s="354"/>
      <c r="BS44" s="354"/>
      <c r="BT44" s="354"/>
    </row>
    <row r="45" spans="1:72" s="312" customFormat="1">
      <c r="A45" s="410"/>
      <c r="B45" s="411"/>
      <c r="C45" s="410"/>
      <c r="D45" s="412"/>
      <c r="E45" s="410"/>
      <c r="F45" s="410"/>
      <c r="G45" s="411"/>
      <c r="H45" s="411"/>
      <c r="I45" s="411"/>
      <c r="J45" s="410"/>
      <c r="K45" s="410"/>
      <c r="L45" s="410"/>
      <c r="M45" s="410"/>
      <c r="N45" s="410"/>
      <c r="O45" s="410"/>
      <c r="P45" s="410"/>
      <c r="Q45" s="410"/>
      <c r="R45" s="413"/>
      <c r="S45" s="413"/>
      <c r="T45" s="411"/>
      <c r="U45" s="413"/>
      <c r="V45" s="413"/>
      <c r="W45" s="348"/>
      <c r="X45" s="349"/>
      <c r="Y45" s="349"/>
      <c r="Z45" s="349"/>
      <c r="AA45" s="349"/>
      <c r="AB45" s="349"/>
      <c r="AC45" s="354"/>
      <c r="AD45" s="354"/>
      <c r="AE45" s="354"/>
      <c r="AF45" s="354"/>
      <c r="AG45" s="354"/>
      <c r="AH45" s="354"/>
      <c r="AI45" s="354"/>
      <c r="AJ45" s="354"/>
      <c r="AK45" s="354"/>
      <c r="AL45" s="354"/>
      <c r="AM45" s="354"/>
      <c r="AN45" s="354"/>
      <c r="AO45" s="354"/>
      <c r="AP45" s="354"/>
      <c r="AQ45" s="354"/>
      <c r="AR45" s="354"/>
      <c r="AS45" s="354"/>
      <c r="AT45" s="354"/>
      <c r="AU45" s="354"/>
      <c r="AV45" s="354"/>
      <c r="AW45" s="354"/>
      <c r="AX45" s="354"/>
      <c r="AY45" s="354"/>
      <c r="AZ45" s="354"/>
      <c r="BA45" s="354"/>
      <c r="BB45" s="354"/>
      <c r="BC45" s="354"/>
      <c r="BD45" s="354"/>
      <c r="BE45" s="354"/>
      <c r="BF45" s="354"/>
      <c r="BG45" s="354"/>
      <c r="BH45" s="354"/>
      <c r="BI45" s="354"/>
      <c r="BJ45" s="354"/>
      <c r="BK45" s="354"/>
      <c r="BL45" s="354"/>
      <c r="BM45" s="354"/>
      <c r="BN45" s="354"/>
      <c r="BO45" s="354"/>
      <c r="BP45" s="354"/>
      <c r="BQ45" s="354"/>
      <c r="BR45" s="354"/>
      <c r="BS45" s="354"/>
      <c r="BT45" s="354"/>
    </row>
    <row r="46" spans="1:72" s="312" customFormat="1">
      <c r="A46" s="410"/>
      <c r="B46" s="411"/>
      <c r="C46" s="410"/>
      <c r="D46" s="412"/>
      <c r="E46" s="410"/>
      <c r="F46" s="410"/>
      <c r="G46" s="411"/>
      <c r="H46" s="411"/>
      <c r="I46" s="411"/>
      <c r="J46" s="410"/>
      <c r="K46" s="410"/>
      <c r="L46" s="410"/>
      <c r="M46" s="410"/>
      <c r="N46" s="410"/>
      <c r="O46" s="410"/>
      <c r="P46" s="410"/>
      <c r="Q46" s="410"/>
      <c r="R46" s="413"/>
      <c r="S46" s="413"/>
      <c r="T46" s="411"/>
      <c r="U46" s="413"/>
      <c r="V46" s="413"/>
      <c r="W46" s="348"/>
      <c r="X46" s="349"/>
      <c r="Y46" s="349"/>
      <c r="Z46" s="349"/>
      <c r="AA46" s="349"/>
      <c r="AB46" s="349"/>
      <c r="AC46" s="354"/>
      <c r="AD46" s="354"/>
      <c r="AE46" s="354"/>
      <c r="AF46" s="354"/>
      <c r="AG46" s="354"/>
      <c r="AH46" s="354"/>
      <c r="AI46" s="354"/>
      <c r="AJ46" s="354"/>
      <c r="AK46" s="354"/>
      <c r="AL46" s="354"/>
      <c r="AM46" s="354"/>
      <c r="AN46" s="354"/>
      <c r="AO46" s="354"/>
      <c r="AP46" s="354"/>
      <c r="AQ46" s="354"/>
      <c r="AR46" s="354"/>
      <c r="AS46" s="354"/>
      <c r="AT46" s="354"/>
      <c r="AU46" s="354"/>
      <c r="AV46" s="354"/>
      <c r="AW46" s="354"/>
      <c r="AX46" s="354"/>
      <c r="AY46" s="354"/>
      <c r="AZ46" s="354"/>
      <c r="BA46" s="354"/>
      <c r="BB46" s="354"/>
      <c r="BC46" s="354"/>
      <c r="BD46" s="354"/>
      <c r="BE46" s="354"/>
      <c r="BF46" s="354"/>
      <c r="BG46" s="354"/>
      <c r="BH46" s="354"/>
      <c r="BI46" s="354"/>
      <c r="BJ46" s="354"/>
      <c r="BK46" s="354"/>
      <c r="BL46" s="354"/>
      <c r="BM46" s="354"/>
      <c r="BN46" s="354"/>
      <c r="BO46" s="354"/>
      <c r="BP46" s="354"/>
      <c r="BQ46" s="354"/>
      <c r="BR46" s="354"/>
      <c r="BS46" s="354"/>
      <c r="BT46" s="354"/>
    </row>
    <row r="47" spans="1:72" s="312" customFormat="1">
      <c r="A47" s="410"/>
      <c r="B47" s="411"/>
      <c r="C47" s="410"/>
      <c r="D47" s="412"/>
      <c r="E47" s="410"/>
      <c r="F47" s="410"/>
      <c r="G47" s="411"/>
      <c r="H47" s="411"/>
      <c r="I47" s="411"/>
      <c r="J47" s="410"/>
      <c r="K47" s="410"/>
      <c r="L47" s="410"/>
      <c r="M47" s="410"/>
      <c r="N47" s="410"/>
      <c r="O47" s="410"/>
      <c r="P47" s="410"/>
      <c r="Q47" s="410"/>
      <c r="R47" s="413"/>
      <c r="S47" s="413"/>
      <c r="T47" s="411"/>
      <c r="U47" s="413"/>
      <c r="V47" s="413"/>
      <c r="W47" s="348"/>
      <c r="X47" s="349"/>
      <c r="Y47" s="349"/>
      <c r="Z47" s="349"/>
      <c r="AA47" s="349"/>
      <c r="AB47" s="349"/>
      <c r="AC47" s="354"/>
      <c r="AD47" s="354"/>
      <c r="AE47" s="354"/>
      <c r="AF47" s="354"/>
      <c r="AG47" s="354"/>
      <c r="AH47" s="354"/>
      <c r="AI47" s="354"/>
      <c r="AJ47" s="354"/>
      <c r="AK47" s="354"/>
      <c r="AL47" s="354"/>
      <c r="AM47" s="354"/>
      <c r="AN47" s="354"/>
      <c r="AO47" s="354"/>
      <c r="AP47" s="354"/>
      <c r="AQ47" s="354"/>
      <c r="AR47" s="354"/>
      <c r="AS47" s="354"/>
      <c r="AT47" s="354"/>
      <c r="AU47" s="354"/>
      <c r="AV47" s="354"/>
      <c r="AW47" s="354"/>
      <c r="AX47" s="354"/>
      <c r="AY47" s="354"/>
      <c r="AZ47" s="354"/>
      <c r="BA47" s="354"/>
      <c r="BB47" s="354"/>
      <c r="BC47" s="354"/>
      <c r="BD47" s="354"/>
      <c r="BE47" s="354"/>
      <c r="BF47" s="354"/>
      <c r="BG47" s="354"/>
      <c r="BH47" s="354"/>
      <c r="BI47" s="354"/>
      <c r="BJ47" s="354"/>
      <c r="BK47" s="354"/>
      <c r="BL47" s="354"/>
      <c r="BM47" s="354"/>
      <c r="BN47" s="354"/>
      <c r="BO47" s="354"/>
      <c r="BP47" s="354"/>
      <c r="BQ47" s="354"/>
      <c r="BR47" s="354"/>
      <c r="BS47" s="354"/>
      <c r="BT47" s="354"/>
    </row>
    <row r="48" spans="1:72" s="312" customFormat="1">
      <c r="A48" s="410"/>
      <c r="B48" s="411"/>
      <c r="C48" s="410"/>
      <c r="D48" s="412"/>
      <c r="E48" s="410"/>
      <c r="F48" s="410"/>
      <c r="G48" s="411"/>
      <c r="H48" s="411"/>
      <c r="I48" s="411"/>
      <c r="J48" s="410"/>
      <c r="K48" s="410"/>
      <c r="L48" s="410"/>
      <c r="M48" s="410"/>
      <c r="N48" s="410"/>
      <c r="O48" s="410"/>
      <c r="P48" s="410"/>
      <c r="Q48" s="410"/>
      <c r="R48" s="413"/>
      <c r="S48" s="413"/>
      <c r="T48" s="411"/>
      <c r="U48" s="413"/>
      <c r="V48" s="413"/>
      <c r="W48" s="348"/>
      <c r="X48" s="349"/>
      <c r="Y48" s="349"/>
      <c r="Z48" s="349"/>
      <c r="AA48" s="349"/>
      <c r="AB48" s="349"/>
      <c r="AC48" s="354"/>
      <c r="AD48" s="354"/>
      <c r="AE48" s="354"/>
      <c r="AF48" s="354"/>
      <c r="AG48" s="354"/>
      <c r="AH48" s="354"/>
      <c r="AI48" s="354"/>
      <c r="AJ48" s="354"/>
      <c r="AK48" s="354"/>
      <c r="AL48" s="354"/>
      <c r="AM48" s="354"/>
      <c r="AN48" s="354"/>
      <c r="AO48" s="354"/>
      <c r="AP48" s="354"/>
      <c r="AQ48" s="354"/>
      <c r="AR48" s="354"/>
      <c r="AS48" s="354"/>
      <c r="AT48" s="354"/>
      <c r="AU48" s="354"/>
      <c r="AV48" s="354"/>
      <c r="AW48" s="354"/>
      <c r="AX48" s="354"/>
      <c r="AY48" s="354"/>
      <c r="AZ48" s="354"/>
      <c r="BA48" s="354"/>
      <c r="BB48" s="354"/>
      <c r="BC48" s="354"/>
      <c r="BD48" s="354"/>
      <c r="BE48" s="354"/>
      <c r="BF48" s="354"/>
      <c r="BG48" s="354"/>
      <c r="BH48" s="354"/>
      <c r="BI48" s="354"/>
      <c r="BJ48" s="354"/>
      <c r="BK48" s="354"/>
      <c r="BL48" s="354"/>
      <c r="BM48" s="354"/>
      <c r="BN48" s="354"/>
      <c r="BO48" s="354"/>
      <c r="BP48" s="354"/>
      <c r="BQ48" s="354"/>
      <c r="BR48" s="354"/>
      <c r="BS48" s="354"/>
      <c r="BT48" s="354"/>
    </row>
    <row r="49" spans="1:72" s="312" customFormat="1">
      <c r="A49" s="410"/>
      <c r="B49" s="411"/>
      <c r="C49" s="410"/>
      <c r="D49" s="412"/>
      <c r="E49" s="410"/>
      <c r="F49" s="410"/>
      <c r="G49" s="411"/>
      <c r="H49" s="411"/>
      <c r="I49" s="411"/>
      <c r="J49" s="410"/>
      <c r="K49" s="410"/>
      <c r="L49" s="410"/>
      <c r="M49" s="410"/>
      <c r="N49" s="410"/>
      <c r="O49" s="410"/>
      <c r="P49" s="410"/>
      <c r="Q49" s="410"/>
      <c r="R49" s="413"/>
      <c r="S49" s="413"/>
      <c r="T49" s="411"/>
      <c r="U49" s="413"/>
      <c r="V49" s="413"/>
      <c r="W49" s="348"/>
      <c r="X49" s="349"/>
      <c r="Y49" s="349"/>
      <c r="Z49" s="349"/>
      <c r="AA49" s="349"/>
      <c r="AB49" s="349"/>
      <c r="AC49" s="354"/>
      <c r="AD49" s="354"/>
      <c r="AE49" s="354"/>
      <c r="AF49" s="354"/>
      <c r="AG49" s="354"/>
      <c r="AH49" s="354"/>
      <c r="AI49" s="354"/>
      <c r="AJ49" s="354"/>
      <c r="AK49" s="354"/>
      <c r="AL49" s="354"/>
      <c r="AM49" s="354"/>
      <c r="AN49" s="354"/>
      <c r="AO49" s="354"/>
      <c r="AP49" s="354"/>
      <c r="AQ49" s="354"/>
      <c r="AR49" s="354"/>
      <c r="AS49" s="354"/>
      <c r="AT49" s="354"/>
      <c r="AU49" s="354"/>
      <c r="AV49" s="354"/>
      <c r="AW49" s="354"/>
      <c r="AX49" s="354"/>
      <c r="AY49" s="354"/>
      <c r="AZ49" s="354"/>
      <c r="BA49" s="354"/>
      <c r="BB49" s="354"/>
      <c r="BC49" s="354"/>
      <c r="BD49" s="354"/>
      <c r="BE49" s="354"/>
      <c r="BF49" s="354"/>
      <c r="BG49" s="354"/>
      <c r="BH49" s="354"/>
      <c r="BI49" s="354"/>
      <c r="BJ49" s="354"/>
      <c r="BK49" s="354"/>
      <c r="BL49" s="354"/>
      <c r="BM49" s="354"/>
      <c r="BN49" s="354"/>
      <c r="BO49" s="354"/>
      <c r="BP49" s="354"/>
      <c r="BQ49" s="354"/>
      <c r="BR49" s="354"/>
      <c r="BS49" s="354"/>
      <c r="BT49" s="354"/>
    </row>
    <row r="50" spans="1:72" s="312" customFormat="1">
      <c r="A50" s="410"/>
      <c r="B50" s="411"/>
      <c r="C50" s="410"/>
      <c r="D50" s="412"/>
      <c r="E50" s="410"/>
      <c r="F50" s="410"/>
      <c r="G50" s="411"/>
      <c r="H50" s="411"/>
      <c r="I50" s="411"/>
      <c r="J50" s="410"/>
      <c r="K50" s="410"/>
      <c r="L50" s="410"/>
      <c r="M50" s="410"/>
      <c r="N50" s="410"/>
      <c r="O50" s="410"/>
      <c r="P50" s="410"/>
      <c r="Q50" s="410"/>
      <c r="R50" s="413"/>
      <c r="S50" s="413"/>
      <c r="T50" s="411"/>
      <c r="U50" s="413"/>
      <c r="V50" s="413"/>
      <c r="W50" s="348"/>
      <c r="X50" s="349"/>
      <c r="Y50" s="349"/>
      <c r="Z50" s="349"/>
      <c r="AA50" s="349"/>
      <c r="AB50" s="349"/>
      <c r="AC50" s="354"/>
      <c r="AD50" s="354"/>
      <c r="AE50" s="354"/>
      <c r="AF50" s="354"/>
      <c r="AG50" s="354"/>
      <c r="AH50" s="354"/>
      <c r="AI50" s="354"/>
      <c r="AJ50" s="354"/>
      <c r="AK50" s="354"/>
      <c r="AL50" s="354"/>
      <c r="AM50" s="354"/>
      <c r="AN50" s="354"/>
      <c r="AO50" s="354"/>
      <c r="AP50" s="354"/>
      <c r="AQ50" s="354"/>
      <c r="AR50" s="354"/>
      <c r="AS50" s="354"/>
      <c r="AT50" s="354"/>
      <c r="AU50" s="354"/>
      <c r="AV50" s="354"/>
      <c r="AW50" s="354"/>
      <c r="AX50" s="354"/>
      <c r="AY50" s="354"/>
      <c r="AZ50" s="354"/>
      <c r="BA50" s="354"/>
      <c r="BB50" s="354"/>
      <c r="BC50" s="354"/>
      <c r="BD50" s="354"/>
      <c r="BE50" s="354"/>
      <c r="BF50" s="354"/>
      <c r="BG50" s="354"/>
      <c r="BH50" s="354"/>
      <c r="BI50" s="354"/>
      <c r="BJ50" s="354"/>
      <c r="BK50" s="354"/>
      <c r="BL50" s="354"/>
      <c r="BM50" s="354"/>
      <c r="BN50" s="354"/>
      <c r="BO50" s="354"/>
      <c r="BP50" s="354"/>
      <c r="BQ50" s="354"/>
      <c r="BR50" s="354"/>
      <c r="BS50" s="354"/>
      <c r="BT50" s="354"/>
    </row>
    <row r="51" spans="1:72" s="312" customFormat="1">
      <c r="A51" s="410"/>
      <c r="B51" s="411"/>
      <c r="C51" s="410"/>
      <c r="D51" s="412"/>
      <c r="E51" s="410"/>
      <c r="F51" s="410"/>
      <c r="G51" s="411"/>
      <c r="H51" s="411"/>
      <c r="I51" s="411"/>
      <c r="J51" s="410"/>
      <c r="K51" s="410"/>
      <c r="L51" s="410"/>
      <c r="M51" s="410"/>
      <c r="N51" s="410"/>
      <c r="O51" s="410"/>
      <c r="P51" s="410"/>
      <c r="Q51" s="410"/>
      <c r="R51" s="413"/>
      <c r="S51" s="413"/>
      <c r="T51" s="411"/>
      <c r="U51" s="413"/>
      <c r="V51" s="413"/>
      <c r="W51" s="348"/>
      <c r="X51" s="349"/>
      <c r="Y51" s="349"/>
      <c r="Z51" s="349"/>
      <c r="AA51" s="349"/>
      <c r="AB51" s="349"/>
      <c r="AC51" s="354"/>
      <c r="AD51" s="354"/>
      <c r="AE51" s="354"/>
      <c r="AF51" s="354"/>
      <c r="AG51" s="354"/>
      <c r="AH51" s="354"/>
      <c r="AI51" s="354"/>
      <c r="AJ51" s="354"/>
      <c r="AK51" s="354"/>
      <c r="AL51" s="354"/>
      <c r="AM51" s="354"/>
      <c r="AN51" s="354"/>
      <c r="AO51" s="354"/>
      <c r="AP51" s="354"/>
      <c r="AQ51" s="354"/>
      <c r="AR51" s="354"/>
      <c r="AS51" s="354"/>
      <c r="AT51" s="354"/>
      <c r="AU51" s="354"/>
      <c r="AV51" s="354"/>
      <c r="AW51" s="354"/>
      <c r="AX51" s="354"/>
      <c r="AY51" s="354"/>
      <c r="AZ51" s="354"/>
      <c r="BA51" s="354"/>
      <c r="BB51" s="354"/>
      <c r="BC51" s="354"/>
      <c r="BD51" s="354"/>
      <c r="BE51" s="354"/>
      <c r="BF51" s="354"/>
      <c r="BG51" s="354"/>
      <c r="BH51" s="354"/>
      <c r="BI51" s="354"/>
      <c r="BJ51" s="354"/>
      <c r="BK51" s="354"/>
      <c r="BL51" s="354"/>
      <c r="BM51" s="354"/>
      <c r="BN51" s="354"/>
      <c r="BO51" s="354"/>
      <c r="BP51" s="354"/>
      <c r="BQ51" s="354"/>
      <c r="BR51" s="354"/>
      <c r="BS51" s="354"/>
      <c r="BT51" s="354"/>
    </row>
    <row r="52" spans="1:72" s="312" customFormat="1">
      <c r="A52" s="410"/>
      <c r="B52" s="411"/>
      <c r="C52" s="410"/>
      <c r="D52" s="412"/>
      <c r="E52" s="410"/>
      <c r="F52" s="410"/>
      <c r="G52" s="411"/>
      <c r="H52" s="411"/>
      <c r="I52" s="411"/>
      <c r="J52" s="410"/>
      <c r="K52" s="410"/>
      <c r="L52" s="410"/>
      <c r="M52" s="410"/>
      <c r="N52" s="410"/>
      <c r="O52" s="410"/>
      <c r="P52" s="410"/>
      <c r="Q52" s="410"/>
      <c r="R52" s="413"/>
      <c r="S52" s="413"/>
      <c r="T52" s="411"/>
      <c r="U52" s="413"/>
      <c r="V52" s="413"/>
      <c r="W52" s="348"/>
      <c r="X52" s="349"/>
      <c r="Y52" s="349"/>
      <c r="Z52" s="349"/>
      <c r="AA52" s="349"/>
      <c r="AB52" s="349"/>
      <c r="AC52" s="354"/>
      <c r="AD52" s="354"/>
      <c r="AE52" s="354"/>
      <c r="AF52" s="354"/>
      <c r="AG52" s="354"/>
      <c r="AH52" s="354"/>
      <c r="AI52" s="354"/>
      <c r="AJ52" s="354"/>
      <c r="AK52" s="354"/>
      <c r="AL52" s="354"/>
      <c r="AM52" s="354"/>
      <c r="AN52" s="354"/>
      <c r="AO52" s="354"/>
      <c r="AP52" s="354"/>
      <c r="AQ52" s="354"/>
      <c r="AR52" s="354"/>
      <c r="AS52" s="354"/>
      <c r="AT52" s="354"/>
      <c r="AU52" s="354"/>
      <c r="AV52" s="354"/>
      <c r="AW52" s="354"/>
      <c r="AX52" s="354"/>
      <c r="AY52" s="354"/>
      <c r="AZ52" s="354"/>
      <c r="BA52" s="354"/>
      <c r="BB52" s="354"/>
      <c r="BC52" s="354"/>
      <c r="BD52" s="354"/>
      <c r="BE52" s="354"/>
      <c r="BF52" s="354"/>
      <c r="BG52" s="354"/>
      <c r="BH52" s="354"/>
      <c r="BI52" s="354"/>
      <c r="BJ52" s="354"/>
      <c r="BK52" s="354"/>
      <c r="BL52" s="354"/>
      <c r="BM52" s="354"/>
      <c r="BN52" s="354"/>
      <c r="BO52" s="354"/>
      <c r="BP52" s="354"/>
      <c r="BQ52" s="354"/>
      <c r="BR52" s="354"/>
      <c r="BS52" s="354"/>
      <c r="BT52" s="354"/>
    </row>
    <row r="53" spans="1:72" s="312" customFormat="1">
      <c r="A53" s="410"/>
      <c r="B53" s="411"/>
      <c r="C53" s="410"/>
      <c r="D53" s="412"/>
      <c r="E53" s="410"/>
      <c r="F53" s="410"/>
      <c r="G53" s="411"/>
      <c r="H53" s="411"/>
      <c r="I53" s="411"/>
      <c r="J53" s="410"/>
      <c r="K53" s="410"/>
      <c r="L53" s="410"/>
      <c r="M53" s="410"/>
      <c r="N53" s="410"/>
      <c r="O53" s="410"/>
      <c r="P53" s="410"/>
      <c r="Q53" s="410"/>
      <c r="R53" s="413"/>
      <c r="S53" s="413"/>
      <c r="T53" s="411"/>
      <c r="U53" s="413"/>
      <c r="V53" s="413"/>
      <c r="W53" s="348"/>
      <c r="X53" s="349"/>
      <c r="Y53" s="349"/>
      <c r="Z53" s="349"/>
      <c r="AA53" s="349"/>
      <c r="AB53" s="349"/>
      <c r="AC53" s="354"/>
      <c r="AD53" s="354"/>
      <c r="AE53" s="354"/>
      <c r="AF53" s="354"/>
      <c r="AG53" s="354"/>
      <c r="AH53" s="354"/>
      <c r="AI53" s="354"/>
      <c r="AJ53" s="354"/>
      <c r="AK53" s="354"/>
      <c r="AL53" s="354"/>
      <c r="AM53" s="354"/>
      <c r="AN53" s="354"/>
      <c r="AO53" s="354"/>
      <c r="AP53" s="354"/>
      <c r="AQ53" s="354"/>
      <c r="AR53" s="354"/>
      <c r="AS53" s="354"/>
      <c r="AT53" s="354"/>
      <c r="AU53" s="354"/>
      <c r="AV53" s="354"/>
      <c r="AW53" s="354"/>
      <c r="AX53" s="354"/>
      <c r="AY53" s="354"/>
      <c r="AZ53" s="354"/>
      <c r="BA53" s="354"/>
      <c r="BB53" s="354"/>
      <c r="BC53" s="354"/>
      <c r="BD53" s="354"/>
      <c r="BE53" s="354"/>
      <c r="BF53" s="354"/>
      <c r="BG53" s="354"/>
      <c r="BH53" s="354"/>
      <c r="BI53" s="354"/>
      <c r="BJ53" s="354"/>
      <c r="BK53" s="354"/>
      <c r="BL53" s="354"/>
      <c r="BM53" s="354"/>
      <c r="BN53" s="354"/>
      <c r="BO53" s="354"/>
      <c r="BP53" s="354"/>
      <c r="BQ53" s="354"/>
      <c r="BR53" s="354"/>
      <c r="BS53" s="354"/>
      <c r="BT53" s="354"/>
    </row>
    <row r="54" spans="1:72" s="312" customFormat="1">
      <c r="A54" s="410"/>
      <c r="B54" s="411"/>
      <c r="C54" s="410"/>
      <c r="D54" s="412"/>
      <c r="E54" s="410"/>
      <c r="F54" s="410"/>
      <c r="G54" s="411"/>
      <c r="H54" s="411"/>
      <c r="I54" s="411"/>
      <c r="J54" s="410"/>
      <c r="K54" s="410"/>
      <c r="L54" s="410"/>
      <c r="M54" s="410"/>
      <c r="N54" s="410"/>
      <c r="O54" s="410"/>
      <c r="P54" s="410"/>
      <c r="Q54" s="410"/>
      <c r="R54" s="413"/>
      <c r="S54" s="413"/>
      <c r="T54" s="411"/>
      <c r="U54" s="413"/>
      <c r="V54" s="413"/>
      <c r="W54" s="348"/>
      <c r="X54" s="349"/>
      <c r="Y54" s="349"/>
      <c r="Z54" s="349"/>
      <c r="AA54" s="349"/>
      <c r="AB54" s="349"/>
      <c r="AC54" s="354"/>
      <c r="AD54" s="354"/>
      <c r="AE54" s="354"/>
      <c r="AF54" s="354"/>
      <c r="AG54" s="354"/>
      <c r="AH54" s="354"/>
      <c r="AI54" s="354"/>
      <c r="AJ54" s="354"/>
      <c r="AK54" s="354"/>
      <c r="AL54" s="354"/>
      <c r="AM54" s="354"/>
      <c r="AN54" s="354"/>
      <c r="AO54" s="354"/>
      <c r="AP54" s="354"/>
      <c r="AQ54" s="354"/>
      <c r="AR54" s="354"/>
      <c r="AS54" s="354"/>
      <c r="AT54" s="354"/>
      <c r="AU54" s="354"/>
      <c r="AV54" s="354"/>
      <c r="AW54" s="354"/>
      <c r="AX54" s="354"/>
      <c r="AY54" s="354"/>
      <c r="AZ54" s="354"/>
      <c r="BA54" s="354"/>
      <c r="BB54" s="354"/>
      <c r="BC54" s="354"/>
      <c r="BD54" s="354"/>
      <c r="BE54" s="354"/>
      <c r="BF54" s="354"/>
      <c r="BG54" s="354"/>
      <c r="BH54" s="354"/>
      <c r="BI54" s="354"/>
      <c r="BJ54" s="354"/>
      <c r="BK54" s="354"/>
      <c r="BL54" s="354"/>
      <c r="BM54" s="354"/>
      <c r="BN54" s="354"/>
      <c r="BO54" s="354"/>
      <c r="BP54" s="354"/>
      <c r="BQ54" s="354"/>
      <c r="BR54" s="354"/>
      <c r="BS54" s="354"/>
      <c r="BT54" s="354"/>
    </row>
    <row r="55" spans="1:72" s="312" customFormat="1">
      <c r="A55" s="410"/>
      <c r="B55" s="411"/>
      <c r="C55" s="410"/>
      <c r="D55" s="412"/>
      <c r="E55" s="410"/>
      <c r="F55" s="410"/>
      <c r="G55" s="411"/>
      <c r="H55" s="411"/>
      <c r="I55" s="411"/>
      <c r="J55" s="410"/>
      <c r="K55" s="410"/>
      <c r="L55" s="410"/>
      <c r="M55" s="410"/>
      <c r="N55" s="410"/>
      <c r="O55" s="410"/>
      <c r="P55" s="410"/>
      <c r="Q55" s="410"/>
      <c r="R55" s="413"/>
      <c r="S55" s="413"/>
      <c r="T55" s="411"/>
      <c r="U55" s="413"/>
      <c r="V55" s="413"/>
      <c r="W55" s="348"/>
      <c r="X55" s="349"/>
      <c r="Y55" s="349"/>
      <c r="Z55" s="349"/>
      <c r="AA55" s="349"/>
      <c r="AB55" s="349"/>
      <c r="AC55" s="354"/>
      <c r="AD55" s="354"/>
      <c r="AE55" s="354"/>
      <c r="AF55" s="354"/>
      <c r="AG55" s="354"/>
      <c r="AH55" s="354"/>
      <c r="AI55" s="354"/>
      <c r="AJ55" s="354"/>
      <c r="AK55" s="354"/>
      <c r="AL55" s="354"/>
      <c r="AM55" s="354"/>
      <c r="AN55" s="354"/>
      <c r="AO55" s="354"/>
      <c r="AP55" s="354"/>
      <c r="AQ55" s="354"/>
      <c r="AR55" s="354"/>
      <c r="AS55" s="354"/>
      <c r="AT55" s="354"/>
      <c r="AU55" s="354"/>
      <c r="AV55" s="354"/>
      <c r="AW55" s="354"/>
      <c r="AX55" s="354"/>
      <c r="AY55" s="354"/>
      <c r="AZ55" s="354"/>
      <c r="BA55" s="354"/>
      <c r="BB55" s="354"/>
      <c r="BC55" s="354"/>
      <c r="BD55" s="354"/>
      <c r="BE55" s="354"/>
      <c r="BF55" s="354"/>
      <c r="BG55" s="354"/>
      <c r="BH55" s="354"/>
      <c r="BI55" s="354"/>
      <c r="BJ55" s="354"/>
      <c r="BK55" s="354"/>
      <c r="BL55" s="354"/>
      <c r="BM55" s="354"/>
      <c r="BN55" s="354"/>
      <c r="BO55" s="354"/>
      <c r="BP55" s="354"/>
      <c r="BQ55" s="354"/>
      <c r="BR55" s="354"/>
      <c r="BS55" s="354"/>
      <c r="BT55" s="354"/>
    </row>
    <row r="56" spans="1:72" s="312" customFormat="1">
      <c r="A56" s="410"/>
      <c r="B56" s="411"/>
      <c r="C56" s="410"/>
      <c r="D56" s="412"/>
      <c r="E56" s="410"/>
      <c r="F56" s="410"/>
      <c r="G56" s="411"/>
      <c r="H56" s="411"/>
      <c r="I56" s="411"/>
      <c r="J56" s="410"/>
      <c r="K56" s="410"/>
      <c r="L56" s="410"/>
      <c r="M56" s="410"/>
      <c r="N56" s="410"/>
      <c r="O56" s="410"/>
      <c r="P56" s="410"/>
      <c r="Q56" s="410"/>
      <c r="R56" s="413"/>
      <c r="S56" s="413"/>
      <c r="T56" s="411"/>
      <c r="U56" s="413"/>
      <c r="V56" s="413"/>
      <c r="W56" s="348"/>
      <c r="X56" s="349"/>
      <c r="Y56" s="349"/>
      <c r="Z56" s="349"/>
      <c r="AA56" s="349"/>
      <c r="AB56" s="349"/>
      <c r="AC56" s="354"/>
      <c r="AD56" s="354"/>
      <c r="AE56" s="354"/>
      <c r="AF56" s="354"/>
      <c r="AG56" s="354"/>
      <c r="AH56" s="354"/>
      <c r="AI56" s="354"/>
      <c r="AJ56" s="354"/>
      <c r="AK56" s="354"/>
      <c r="AL56" s="354"/>
      <c r="AM56" s="354"/>
      <c r="AN56" s="354"/>
      <c r="AO56" s="354"/>
      <c r="AP56" s="354"/>
      <c r="AQ56" s="354"/>
      <c r="AR56" s="354"/>
      <c r="AS56" s="354"/>
      <c r="AT56" s="354"/>
      <c r="AU56" s="354"/>
      <c r="AV56" s="354"/>
      <c r="AW56" s="354"/>
      <c r="AX56" s="354"/>
      <c r="AY56" s="354"/>
      <c r="AZ56" s="354"/>
      <c r="BA56" s="354"/>
      <c r="BB56" s="354"/>
      <c r="BC56" s="354"/>
      <c r="BD56" s="354"/>
      <c r="BE56" s="354"/>
      <c r="BF56" s="354"/>
      <c r="BG56" s="354"/>
      <c r="BH56" s="354"/>
      <c r="BI56" s="354"/>
      <c r="BJ56" s="354"/>
      <c r="BK56" s="354"/>
      <c r="BL56" s="354"/>
      <c r="BM56" s="354"/>
      <c r="BN56" s="354"/>
      <c r="BO56" s="354"/>
      <c r="BP56" s="354"/>
      <c r="BQ56" s="354"/>
      <c r="BR56" s="354"/>
      <c r="BS56" s="354"/>
      <c r="BT56" s="354"/>
    </row>
    <row r="57" spans="1:72" s="312" customFormat="1">
      <c r="A57" s="410"/>
      <c r="B57" s="411"/>
      <c r="C57" s="410"/>
      <c r="D57" s="412"/>
      <c r="E57" s="410"/>
      <c r="F57" s="410"/>
      <c r="G57" s="411"/>
      <c r="H57" s="411"/>
      <c r="I57" s="411"/>
      <c r="J57" s="410"/>
      <c r="K57" s="410"/>
      <c r="L57" s="410"/>
      <c r="M57" s="410"/>
      <c r="N57" s="410"/>
      <c r="O57" s="410"/>
      <c r="P57" s="410"/>
      <c r="Q57" s="410"/>
      <c r="R57" s="413"/>
      <c r="S57" s="413"/>
      <c r="T57" s="411"/>
      <c r="U57" s="413"/>
      <c r="V57" s="413"/>
      <c r="W57" s="348"/>
      <c r="X57" s="349"/>
      <c r="Y57" s="349"/>
      <c r="Z57" s="349"/>
      <c r="AA57" s="349"/>
      <c r="AB57" s="349"/>
      <c r="AC57" s="354"/>
      <c r="AD57" s="354"/>
      <c r="AE57" s="354"/>
      <c r="AF57" s="354"/>
      <c r="AG57" s="354"/>
      <c r="AH57" s="354"/>
      <c r="AI57" s="354"/>
      <c r="AJ57" s="354"/>
      <c r="AK57" s="354"/>
      <c r="AL57" s="354"/>
      <c r="AM57" s="354"/>
      <c r="AN57" s="354"/>
      <c r="AO57" s="354"/>
      <c r="AP57" s="354"/>
      <c r="AQ57" s="354"/>
      <c r="AR57" s="354"/>
      <c r="AS57" s="354"/>
      <c r="AT57" s="354"/>
      <c r="AU57" s="354"/>
      <c r="AV57" s="354"/>
      <c r="AW57" s="354"/>
      <c r="AX57" s="354"/>
      <c r="AY57" s="354"/>
      <c r="AZ57" s="354"/>
      <c r="BA57" s="354"/>
      <c r="BB57" s="354"/>
      <c r="BC57" s="354"/>
      <c r="BD57" s="354"/>
      <c r="BE57" s="354"/>
      <c r="BF57" s="354"/>
      <c r="BG57" s="354"/>
      <c r="BH57" s="354"/>
      <c r="BI57" s="354"/>
      <c r="BJ57" s="354"/>
      <c r="BK57" s="354"/>
      <c r="BL57" s="354"/>
      <c r="BM57" s="354"/>
      <c r="BN57" s="354"/>
      <c r="BO57" s="354"/>
      <c r="BP57" s="354"/>
      <c r="BQ57" s="354"/>
      <c r="BR57" s="354"/>
      <c r="BS57" s="354"/>
      <c r="BT57" s="354"/>
    </row>
    <row r="58" spans="1:72" s="312" customFormat="1">
      <c r="A58" s="410"/>
      <c r="B58" s="411"/>
      <c r="C58" s="410"/>
      <c r="D58" s="412"/>
      <c r="E58" s="410"/>
      <c r="F58" s="410"/>
      <c r="G58" s="411"/>
      <c r="H58" s="411"/>
      <c r="I58" s="411"/>
      <c r="J58" s="410"/>
      <c r="K58" s="410"/>
      <c r="L58" s="410"/>
      <c r="M58" s="410"/>
      <c r="N58" s="410"/>
      <c r="O58" s="410"/>
      <c r="P58" s="410"/>
      <c r="Q58" s="410"/>
      <c r="R58" s="413"/>
      <c r="S58" s="413"/>
      <c r="T58" s="411"/>
      <c r="U58" s="413"/>
      <c r="V58" s="413"/>
      <c r="W58" s="348"/>
      <c r="X58" s="349"/>
      <c r="Y58" s="349"/>
      <c r="Z58" s="349"/>
      <c r="AA58" s="349"/>
      <c r="AB58" s="349"/>
      <c r="AC58" s="354"/>
      <c r="AD58" s="354"/>
      <c r="AE58" s="354"/>
      <c r="AF58" s="354"/>
      <c r="AG58" s="354"/>
      <c r="AH58" s="354"/>
      <c r="AI58" s="354"/>
      <c r="AJ58" s="354"/>
      <c r="AK58" s="354"/>
      <c r="AL58" s="354"/>
      <c r="AM58" s="354"/>
      <c r="AN58" s="354"/>
      <c r="AO58" s="354"/>
      <c r="AP58" s="354"/>
      <c r="AQ58" s="354"/>
      <c r="AR58" s="354"/>
      <c r="AS58" s="354"/>
      <c r="AT58" s="354"/>
      <c r="AU58" s="354"/>
      <c r="AV58" s="354"/>
      <c r="AW58" s="354"/>
      <c r="AX58" s="354"/>
      <c r="AY58" s="354"/>
      <c r="AZ58" s="354"/>
      <c r="BA58" s="354"/>
      <c r="BB58" s="354"/>
      <c r="BC58" s="354"/>
      <c r="BD58" s="354"/>
      <c r="BE58" s="354"/>
      <c r="BF58" s="354"/>
      <c r="BG58" s="354"/>
      <c r="BH58" s="354"/>
      <c r="BI58" s="354"/>
      <c r="BJ58" s="354"/>
      <c r="BK58" s="354"/>
      <c r="BL58" s="354"/>
      <c r="BM58" s="354"/>
      <c r="BN58" s="354"/>
      <c r="BO58" s="354"/>
      <c r="BP58" s="354"/>
      <c r="BQ58" s="354"/>
      <c r="BR58" s="354"/>
      <c r="BS58" s="354"/>
      <c r="BT58" s="354"/>
    </row>
    <row r="59" spans="1:72" s="312" customFormat="1">
      <c r="A59" s="410"/>
      <c r="B59" s="411"/>
      <c r="C59" s="410"/>
      <c r="D59" s="412"/>
      <c r="E59" s="410"/>
      <c r="F59" s="410"/>
      <c r="G59" s="411"/>
      <c r="H59" s="411"/>
      <c r="I59" s="411"/>
      <c r="J59" s="410"/>
      <c r="K59" s="410"/>
      <c r="L59" s="410"/>
      <c r="M59" s="410"/>
      <c r="N59" s="410"/>
      <c r="O59" s="410"/>
      <c r="P59" s="410"/>
      <c r="Q59" s="410"/>
      <c r="R59" s="413"/>
      <c r="S59" s="413"/>
      <c r="T59" s="411"/>
      <c r="U59" s="413"/>
      <c r="V59" s="413"/>
      <c r="W59" s="348"/>
      <c r="X59" s="349"/>
      <c r="Y59" s="349"/>
      <c r="Z59" s="349"/>
      <c r="AA59" s="349"/>
      <c r="AB59" s="349"/>
      <c r="AC59" s="354"/>
      <c r="AD59" s="354"/>
      <c r="AE59" s="354"/>
      <c r="AF59" s="354"/>
      <c r="AG59" s="354"/>
      <c r="AH59" s="354"/>
      <c r="AI59" s="354"/>
      <c r="AJ59" s="354"/>
      <c r="AK59" s="354"/>
      <c r="AL59" s="354"/>
      <c r="AM59" s="354"/>
      <c r="AN59" s="354"/>
      <c r="AO59" s="354"/>
      <c r="AP59" s="354"/>
      <c r="AQ59" s="354"/>
      <c r="AR59" s="354"/>
      <c r="AS59" s="354"/>
      <c r="AT59" s="354"/>
      <c r="AU59" s="354"/>
      <c r="AV59" s="354"/>
      <c r="AW59" s="354"/>
      <c r="AX59" s="354"/>
      <c r="AY59" s="354"/>
      <c r="AZ59" s="354"/>
      <c r="BA59" s="354"/>
      <c r="BB59" s="354"/>
      <c r="BC59" s="354"/>
      <c r="BD59" s="354"/>
      <c r="BE59" s="354"/>
      <c r="BF59" s="354"/>
      <c r="BG59" s="354"/>
      <c r="BH59" s="354"/>
      <c r="BI59" s="354"/>
      <c r="BJ59" s="354"/>
      <c r="BK59" s="354"/>
      <c r="BL59" s="354"/>
      <c r="BM59" s="354"/>
      <c r="BN59" s="354"/>
      <c r="BO59" s="354"/>
      <c r="BP59" s="354"/>
      <c r="BQ59" s="354"/>
      <c r="BR59" s="354"/>
      <c r="BS59" s="354"/>
      <c r="BT59" s="354"/>
    </row>
    <row r="60" spans="1:72" s="312" customFormat="1">
      <c r="A60" s="410"/>
      <c r="B60" s="411"/>
      <c r="C60" s="410"/>
      <c r="D60" s="412"/>
      <c r="E60" s="410"/>
      <c r="F60" s="410"/>
      <c r="G60" s="411"/>
      <c r="H60" s="411"/>
      <c r="I60" s="411"/>
      <c r="J60" s="410"/>
      <c r="K60" s="410"/>
      <c r="L60" s="410"/>
      <c r="M60" s="410"/>
      <c r="N60" s="410"/>
      <c r="O60" s="410"/>
      <c r="P60" s="410"/>
      <c r="Q60" s="410"/>
      <c r="R60" s="413"/>
      <c r="S60" s="413"/>
      <c r="T60" s="411"/>
      <c r="U60" s="413"/>
      <c r="V60" s="413"/>
      <c r="W60" s="348"/>
      <c r="X60" s="349"/>
      <c r="Y60" s="349"/>
      <c r="Z60" s="349"/>
      <c r="AA60" s="349"/>
      <c r="AB60" s="349"/>
      <c r="AC60" s="354"/>
      <c r="AD60" s="354"/>
      <c r="AE60" s="354"/>
      <c r="AF60" s="354"/>
      <c r="AG60" s="354"/>
      <c r="AH60" s="354"/>
      <c r="AI60" s="354"/>
      <c r="AJ60" s="354"/>
      <c r="AK60" s="354"/>
      <c r="AL60" s="354"/>
      <c r="AM60" s="354"/>
      <c r="AN60" s="354"/>
      <c r="AO60" s="354"/>
      <c r="AP60" s="354"/>
      <c r="AQ60" s="354"/>
      <c r="AR60" s="354"/>
      <c r="AS60" s="354"/>
      <c r="AT60" s="354"/>
      <c r="AU60" s="354"/>
      <c r="AV60" s="354"/>
      <c r="AW60" s="354"/>
      <c r="AX60" s="354"/>
      <c r="AY60" s="354"/>
      <c r="AZ60" s="354"/>
      <c r="BA60" s="354"/>
      <c r="BB60" s="354"/>
      <c r="BC60" s="354"/>
      <c r="BD60" s="354"/>
      <c r="BE60" s="354"/>
      <c r="BF60" s="354"/>
      <c r="BG60" s="354"/>
      <c r="BH60" s="354"/>
      <c r="BI60" s="354"/>
      <c r="BJ60" s="354"/>
      <c r="BK60" s="354"/>
      <c r="BL60" s="354"/>
      <c r="BM60" s="354"/>
      <c r="BN60" s="354"/>
      <c r="BO60" s="354"/>
      <c r="BP60" s="354"/>
      <c r="BQ60" s="354"/>
      <c r="BR60" s="354"/>
      <c r="BS60" s="354"/>
      <c r="BT60" s="354"/>
    </row>
    <row r="61" spans="1:72" s="312" customFormat="1">
      <c r="A61" s="410"/>
      <c r="B61" s="411"/>
      <c r="C61" s="410"/>
      <c r="D61" s="412"/>
      <c r="E61" s="410"/>
      <c r="F61" s="410"/>
      <c r="G61" s="411"/>
      <c r="H61" s="411"/>
      <c r="I61" s="411"/>
      <c r="J61" s="410"/>
      <c r="K61" s="410"/>
      <c r="L61" s="410"/>
      <c r="M61" s="410"/>
      <c r="N61" s="410"/>
      <c r="O61" s="410"/>
      <c r="P61" s="410"/>
      <c r="Q61" s="410"/>
      <c r="R61" s="413"/>
      <c r="S61" s="413"/>
      <c r="T61" s="411"/>
      <c r="U61" s="413"/>
      <c r="V61" s="413"/>
      <c r="W61" s="348"/>
      <c r="X61" s="349"/>
      <c r="Y61" s="349"/>
      <c r="Z61" s="349"/>
      <c r="AA61" s="349"/>
      <c r="AB61" s="349"/>
      <c r="AC61" s="354"/>
      <c r="AD61" s="354"/>
      <c r="AE61" s="354"/>
      <c r="AF61" s="354"/>
      <c r="AG61" s="354"/>
      <c r="AH61" s="354"/>
      <c r="AI61" s="354"/>
      <c r="AJ61" s="354"/>
      <c r="AK61" s="354"/>
      <c r="AL61" s="354"/>
      <c r="AM61" s="354"/>
      <c r="AN61" s="354"/>
      <c r="AO61" s="354"/>
      <c r="AP61" s="354"/>
      <c r="AQ61" s="354"/>
      <c r="AR61" s="354"/>
      <c r="AS61" s="354"/>
      <c r="AT61" s="354"/>
      <c r="AU61" s="354"/>
      <c r="AV61" s="354"/>
      <c r="AW61" s="354"/>
      <c r="AX61" s="354"/>
      <c r="AY61" s="354"/>
      <c r="AZ61" s="354"/>
      <c r="BA61" s="354"/>
      <c r="BB61" s="354"/>
      <c r="BC61" s="354"/>
      <c r="BD61" s="354"/>
      <c r="BE61" s="354"/>
      <c r="BF61" s="354"/>
      <c r="BG61" s="354"/>
      <c r="BH61" s="354"/>
      <c r="BI61" s="354"/>
      <c r="BJ61" s="354"/>
      <c r="BK61" s="354"/>
      <c r="BL61" s="354"/>
      <c r="BM61" s="354"/>
      <c r="BN61" s="354"/>
      <c r="BO61" s="354"/>
      <c r="BP61" s="354"/>
      <c r="BQ61" s="354"/>
      <c r="BR61" s="354"/>
      <c r="BS61" s="354"/>
      <c r="BT61" s="354"/>
    </row>
    <row r="62" spans="1:72" s="312" customFormat="1">
      <c r="A62" s="410"/>
      <c r="B62" s="411"/>
      <c r="C62" s="410"/>
      <c r="D62" s="412"/>
      <c r="E62" s="410"/>
      <c r="F62" s="410"/>
      <c r="G62" s="411"/>
      <c r="H62" s="411"/>
      <c r="I62" s="411"/>
      <c r="J62" s="410"/>
      <c r="K62" s="410"/>
      <c r="L62" s="410"/>
      <c r="M62" s="410"/>
      <c r="N62" s="410"/>
      <c r="O62" s="410"/>
      <c r="P62" s="410"/>
      <c r="Q62" s="410"/>
      <c r="R62" s="413"/>
      <c r="S62" s="413"/>
      <c r="T62" s="411"/>
      <c r="U62" s="413"/>
      <c r="V62" s="413"/>
      <c r="W62" s="348"/>
      <c r="X62" s="349"/>
      <c r="Y62" s="349"/>
      <c r="Z62" s="349"/>
      <c r="AA62" s="349"/>
      <c r="AB62" s="349"/>
      <c r="AC62" s="354"/>
      <c r="AD62" s="354"/>
      <c r="AE62" s="354"/>
      <c r="AF62" s="354"/>
      <c r="AG62" s="354"/>
      <c r="AH62" s="354"/>
      <c r="AI62" s="354"/>
      <c r="AJ62" s="354"/>
      <c r="AK62" s="354"/>
      <c r="AL62" s="354"/>
      <c r="AM62" s="354"/>
      <c r="AN62" s="354"/>
      <c r="AO62" s="354"/>
      <c r="AP62" s="354"/>
      <c r="AQ62" s="354"/>
      <c r="AR62" s="354"/>
      <c r="AS62" s="354"/>
      <c r="AT62" s="354"/>
      <c r="AU62" s="354"/>
      <c r="AV62" s="354"/>
      <c r="AW62" s="354"/>
      <c r="AX62" s="354"/>
      <c r="AY62" s="354"/>
      <c r="AZ62" s="354"/>
      <c r="BA62" s="354"/>
      <c r="BB62" s="354"/>
      <c r="BC62" s="354"/>
      <c r="BD62" s="354"/>
      <c r="BE62" s="354"/>
      <c r="BF62" s="354"/>
      <c r="BG62" s="354"/>
      <c r="BH62" s="354"/>
      <c r="BI62" s="354"/>
      <c r="BJ62" s="354"/>
      <c r="BK62" s="354"/>
      <c r="BL62" s="354"/>
      <c r="BM62" s="354"/>
      <c r="BN62" s="354"/>
      <c r="BO62" s="354"/>
      <c r="BP62" s="354"/>
      <c r="BQ62" s="354"/>
      <c r="BR62" s="354"/>
      <c r="BS62" s="354"/>
      <c r="BT62" s="354"/>
    </row>
    <row r="63" spans="1:72" s="312" customFormat="1">
      <c r="A63" s="410"/>
      <c r="B63" s="411"/>
      <c r="C63" s="410"/>
      <c r="D63" s="412"/>
      <c r="E63" s="410"/>
      <c r="F63" s="410"/>
      <c r="G63" s="411"/>
      <c r="H63" s="411"/>
      <c r="I63" s="411"/>
      <c r="J63" s="410"/>
      <c r="K63" s="410"/>
      <c r="L63" s="410"/>
      <c r="M63" s="410"/>
      <c r="N63" s="410"/>
      <c r="O63" s="410"/>
      <c r="P63" s="410"/>
      <c r="Q63" s="410"/>
      <c r="R63" s="413"/>
      <c r="S63" s="413"/>
      <c r="T63" s="411"/>
      <c r="U63" s="413"/>
      <c r="V63" s="413"/>
      <c r="W63" s="348"/>
      <c r="X63" s="349"/>
      <c r="Y63" s="349"/>
      <c r="Z63" s="349"/>
      <c r="AA63" s="349"/>
      <c r="AB63" s="349"/>
      <c r="AC63" s="354"/>
      <c r="AD63" s="354"/>
      <c r="AE63" s="354"/>
      <c r="AF63" s="354"/>
      <c r="AG63" s="354"/>
      <c r="AH63" s="354"/>
      <c r="AI63" s="354"/>
      <c r="AJ63" s="354"/>
      <c r="AK63" s="354"/>
      <c r="AL63" s="354"/>
      <c r="AM63" s="354"/>
      <c r="AN63" s="354"/>
      <c r="AO63" s="354"/>
      <c r="AP63" s="354"/>
      <c r="AQ63" s="354"/>
      <c r="AR63" s="354"/>
      <c r="AS63" s="354"/>
      <c r="AT63" s="354"/>
      <c r="AU63" s="354"/>
      <c r="AV63" s="354"/>
      <c r="AW63" s="354"/>
      <c r="AX63" s="354"/>
      <c r="AY63" s="354"/>
      <c r="AZ63" s="354"/>
      <c r="BA63" s="354"/>
      <c r="BB63" s="354"/>
      <c r="BC63" s="354"/>
      <c r="BD63" s="354"/>
      <c r="BE63" s="354"/>
      <c r="BF63" s="354"/>
      <c r="BG63" s="354"/>
      <c r="BH63" s="354"/>
      <c r="BI63" s="354"/>
      <c r="BJ63" s="354"/>
      <c r="BK63" s="354"/>
      <c r="BL63" s="354"/>
      <c r="BM63" s="354"/>
      <c r="BN63" s="354"/>
      <c r="BO63" s="354"/>
      <c r="BP63" s="354"/>
      <c r="BQ63" s="354"/>
      <c r="BR63" s="354"/>
      <c r="BS63" s="354"/>
      <c r="BT63" s="354"/>
    </row>
    <row r="64" spans="1:72" s="312" customFormat="1">
      <c r="A64" s="410"/>
      <c r="B64" s="411"/>
      <c r="C64" s="410"/>
      <c r="D64" s="412"/>
      <c r="E64" s="410"/>
      <c r="F64" s="410"/>
      <c r="G64" s="411"/>
      <c r="H64" s="411"/>
      <c r="I64" s="411"/>
      <c r="J64" s="410"/>
      <c r="K64" s="410"/>
      <c r="L64" s="410"/>
      <c r="M64" s="410"/>
      <c r="N64" s="410"/>
      <c r="O64" s="410"/>
      <c r="P64" s="410"/>
      <c r="Q64" s="410"/>
      <c r="R64" s="413"/>
      <c r="S64" s="413"/>
      <c r="T64" s="411"/>
      <c r="U64" s="413"/>
      <c r="V64" s="413"/>
      <c r="W64" s="348"/>
      <c r="X64" s="349"/>
      <c r="Y64" s="349"/>
      <c r="Z64" s="349"/>
      <c r="AA64" s="349"/>
      <c r="AB64" s="349"/>
      <c r="AC64" s="354"/>
      <c r="AD64" s="354"/>
      <c r="AE64" s="354"/>
      <c r="AF64" s="354"/>
      <c r="AG64" s="354"/>
      <c r="AH64" s="354"/>
      <c r="AI64" s="354"/>
      <c r="AJ64" s="354"/>
      <c r="AK64" s="354"/>
      <c r="AL64" s="354"/>
      <c r="AM64" s="354"/>
      <c r="AN64" s="354"/>
      <c r="AO64" s="354"/>
      <c r="AP64" s="354"/>
      <c r="AQ64" s="354"/>
      <c r="AR64" s="354"/>
      <c r="AS64" s="354"/>
      <c r="AT64" s="354"/>
      <c r="AU64" s="354"/>
      <c r="AV64" s="354"/>
      <c r="AW64" s="354"/>
      <c r="AX64" s="354"/>
      <c r="AY64" s="354"/>
      <c r="AZ64" s="354"/>
      <c r="BA64" s="354"/>
      <c r="BB64" s="354"/>
      <c r="BC64" s="354"/>
      <c r="BD64" s="354"/>
      <c r="BE64" s="354"/>
      <c r="BF64" s="354"/>
      <c r="BG64" s="354"/>
      <c r="BH64" s="354"/>
      <c r="BI64" s="354"/>
      <c r="BJ64" s="354"/>
      <c r="BK64" s="354"/>
      <c r="BL64" s="354"/>
      <c r="BM64" s="354"/>
      <c r="BN64" s="354"/>
      <c r="BO64" s="354"/>
      <c r="BP64" s="354"/>
      <c r="BQ64" s="354"/>
      <c r="BR64" s="354"/>
      <c r="BS64" s="354"/>
      <c r="BT64" s="354"/>
    </row>
    <row r="65" spans="1:72" s="312" customFormat="1">
      <c r="A65" s="410"/>
      <c r="B65" s="411"/>
      <c r="C65" s="410"/>
      <c r="D65" s="412"/>
      <c r="E65" s="410"/>
      <c r="F65" s="410"/>
      <c r="G65" s="411"/>
      <c r="H65" s="411"/>
      <c r="I65" s="411"/>
      <c r="J65" s="410"/>
      <c r="K65" s="410"/>
      <c r="L65" s="410"/>
      <c r="M65" s="410"/>
      <c r="N65" s="410"/>
      <c r="O65" s="410"/>
      <c r="P65" s="410"/>
      <c r="Q65" s="410"/>
      <c r="R65" s="413"/>
      <c r="S65" s="413"/>
      <c r="T65" s="411"/>
      <c r="U65" s="413"/>
      <c r="V65" s="413"/>
      <c r="W65" s="348"/>
      <c r="X65" s="349"/>
      <c r="Y65" s="349"/>
      <c r="Z65" s="349"/>
      <c r="AA65" s="349"/>
      <c r="AB65" s="349"/>
      <c r="AC65" s="354"/>
      <c r="AD65" s="354"/>
      <c r="AE65" s="354"/>
      <c r="AF65" s="354"/>
      <c r="AG65" s="354"/>
      <c r="AH65" s="354"/>
      <c r="AI65" s="354"/>
      <c r="AJ65" s="354"/>
      <c r="AK65" s="354"/>
      <c r="AL65" s="354"/>
      <c r="AM65" s="354"/>
      <c r="AN65" s="354"/>
      <c r="AO65" s="354"/>
      <c r="AP65" s="354"/>
      <c r="AQ65" s="354"/>
      <c r="AR65" s="354"/>
      <c r="AS65" s="354"/>
      <c r="AT65" s="354"/>
      <c r="AU65" s="354"/>
      <c r="AV65" s="354"/>
      <c r="AW65" s="354"/>
      <c r="AX65" s="354"/>
      <c r="AY65" s="354"/>
      <c r="AZ65" s="354"/>
      <c r="BA65" s="354"/>
      <c r="BB65" s="354"/>
      <c r="BC65" s="354"/>
      <c r="BD65" s="354"/>
      <c r="BE65" s="354"/>
      <c r="BF65" s="354"/>
      <c r="BG65" s="354"/>
      <c r="BH65" s="354"/>
      <c r="BI65" s="354"/>
      <c r="BJ65" s="354"/>
      <c r="BK65" s="354"/>
      <c r="BL65" s="354"/>
      <c r="BM65" s="354"/>
      <c r="BN65" s="354"/>
      <c r="BO65" s="354"/>
      <c r="BP65" s="354"/>
      <c r="BQ65" s="354"/>
      <c r="BR65" s="354"/>
      <c r="BS65" s="354"/>
      <c r="BT65" s="354"/>
    </row>
    <row r="66" spans="1:72" s="312" customFormat="1">
      <c r="A66" s="410"/>
      <c r="B66" s="411"/>
      <c r="C66" s="410"/>
      <c r="D66" s="412"/>
      <c r="E66" s="410"/>
      <c r="F66" s="410"/>
      <c r="G66" s="411"/>
      <c r="H66" s="411"/>
      <c r="I66" s="411"/>
      <c r="J66" s="410"/>
      <c r="K66" s="410"/>
      <c r="L66" s="410"/>
      <c r="M66" s="410"/>
      <c r="N66" s="410"/>
      <c r="O66" s="410"/>
      <c r="P66" s="410"/>
      <c r="Q66" s="410"/>
      <c r="R66" s="413"/>
      <c r="S66" s="413"/>
      <c r="T66" s="411"/>
      <c r="U66" s="413"/>
      <c r="V66" s="413"/>
      <c r="W66" s="348"/>
      <c r="X66" s="349"/>
      <c r="Y66" s="349"/>
      <c r="Z66" s="349"/>
      <c r="AA66" s="349"/>
      <c r="AB66" s="349"/>
      <c r="AC66" s="354"/>
      <c r="AD66" s="354"/>
      <c r="AE66" s="354"/>
      <c r="AF66" s="354"/>
      <c r="AG66" s="354"/>
      <c r="AH66" s="354"/>
      <c r="AI66" s="354"/>
      <c r="AJ66" s="354"/>
      <c r="AK66" s="354"/>
      <c r="AL66" s="354"/>
      <c r="AM66" s="354"/>
      <c r="AN66" s="354"/>
      <c r="AO66" s="354"/>
      <c r="AP66" s="354"/>
      <c r="AQ66" s="354"/>
      <c r="AR66" s="354"/>
      <c r="AS66" s="354"/>
      <c r="AT66" s="354"/>
      <c r="AU66" s="354"/>
      <c r="AV66" s="354"/>
      <c r="AW66" s="354"/>
      <c r="AX66" s="354"/>
      <c r="AY66" s="354"/>
      <c r="AZ66" s="354"/>
      <c r="BA66" s="354"/>
      <c r="BB66" s="354"/>
      <c r="BC66" s="354"/>
      <c r="BD66" s="354"/>
      <c r="BE66" s="354"/>
      <c r="BF66" s="354"/>
      <c r="BG66" s="354"/>
      <c r="BH66" s="354"/>
      <c r="BI66" s="354"/>
      <c r="BJ66" s="354"/>
      <c r="BK66" s="354"/>
      <c r="BL66" s="354"/>
      <c r="BM66" s="354"/>
      <c r="BN66" s="354"/>
      <c r="BO66" s="354"/>
      <c r="BP66" s="354"/>
      <c r="BQ66" s="354"/>
      <c r="BR66" s="354"/>
      <c r="BS66" s="354"/>
      <c r="BT66" s="354"/>
    </row>
    <row r="67" spans="1:72" s="312" customFormat="1">
      <c r="A67" s="410"/>
      <c r="B67" s="411"/>
      <c r="C67" s="410"/>
      <c r="D67" s="412"/>
      <c r="E67" s="410"/>
      <c r="F67" s="410"/>
      <c r="G67" s="411"/>
      <c r="H67" s="411"/>
      <c r="I67" s="411"/>
      <c r="J67" s="410"/>
      <c r="K67" s="410"/>
      <c r="L67" s="410"/>
      <c r="M67" s="410"/>
      <c r="N67" s="410"/>
      <c r="O67" s="410"/>
      <c r="P67" s="410"/>
      <c r="Q67" s="410"/>
      <c r="R67" s="413"/>
      <c r="S67" s="413"/>
      <c r="T67" s="411"/>
      <c r="U67" s="413"/>
      <c r="V67" s="413"/>
      <c r="W67" s="348"/>
      <c r="X67" s="349"/>
      <c r="Y67" s="349"/>
      <c r="Z67" s="349"/>
      <c r="AA67" s="349"/>
      <c r="AB67" s="349"/>
      <c r="AC67" s="354"/>
      <c r="AD67" s="354"/>
      <c r="AE67" s="354"/>
      <c r="AF67" s="354"/>
      <c r="AG67" s="354"/>
      <c r="AH67" s="354"/>
      <c r="AI67" s="354"/>
      <c r="AJ67" s="354"/>
      <c r="AK67" s="354"/>
      <c r="AL67" s="354"/>
      <c r="AM67" s="354"/>
      <c r="AN67" s="354"/>
      <c r="AO67" s="354"/>
      <c r="AP67" s="354"/>
      <c r="AQ67" s="354"/>
      <c r="AR67" s="354"/>
      <c r="AS67" s="354"/>
      <c r="AT67" s="354"/>
      <c r="AU67" s="354"/>
      <c r="AV67" s="354"/>
      <c r="AW67" s="354"/>
      <c r="AX67" s="354"/>
      <c r="AY67" s="354"/>
      <c r="AZ67" s="354"/>
      <c r="BA67" s="354"/>
      <c r="BB67" s="354"/>
      <c r="BC67" s="354"/>
      <c r="BD67" s="354"/>
      <c r="BE67" s="354"/>
      <c r="BF67" s="354"/>
      <c r="BG67" s="354"/>
      <c r="BH67" s="354"/>
      <c r="BI67" s="354"/>
      <c r="BJ67" s="354"/>
      <c r="BK67" s="354"/>
      <c r="BL67" s="354"/>
      <c r="BM67" s="354"/>
      <c r="BN67" s="354"/>
      <c r="BO67" s="354"/>
      <c r="BP67" s="354"/>
      <c r="BQ67" s="354"/>
      <c r="BR67" s="354"/>
      <c r="BS67" s="354"/>
      <c r="BT67" s="354"/>
    </row>
    <row r="68" spans="1:72" s="312" customFormat="1">
      <c r="A68" s="410"/>
      <c r="B68" s="411"/>
      <c r="C68" s="410"/>
      <c r="D68" s="412"/>
      <c r="E68" s="410"/>
      <c r="F68" s="410"/>
      <c r="G68" s="411"/>
      <c r="H68" s="411"/>
      <c r="I68" s="411"/>
      <c r="J68" s="410"/>
      <c r="K68" s="410"/>
      <c r="L68" s="410"/>
      <c r="M68" s="410"/>
      <c r="N68" s="410"/>
      <c r="O68" s="410"/>
      <c r="P68" s="410"/>
      <c r="Q68" s="410"/>
      <c r="R68" s="413"/>
      <c r="S68" s="413"/>
      <c r="T68" s="411"/>
      <c r="U68" s="413"/>
      <c r="V68" s="413"/>
      <c r="W68" s="348"/>
      <c r="X68" s="349"/>
      <c r="Y68" s="349"/>
      <c r="Z68" s="349"/>
      <c r="AA68" s="349"/>
      <c r="AB68" s="349"/>
      <c r="AC68" s="354"/>
      <c r="AD68" s="354"/>
      <c r="AE68" s="354"/>
      <c r="AF68" s="354"/>
      <c r="AG68" s="354"/>
      <c r="AH68" s="354"/>
      <c r="AI68" s="354"/>
      <c r="AJ68" s="354"/>
      <c r="AK68" s="354"/>
      <c r="AL68" s="354"/>
      <c r="AM68" s="354"/>
      <c r="AN68" s="354"/>
      <c r="AO68" s="354"/>
      <c r="AP68" s="354"/>
      <c r="AQ68" s="354"/>
      <c r="AR68" s="354"/>
      <c r="AS68" s="354"/>
      <c r="AT68" s="354"/>
      <c r="AU68" s="354"/>
      <c r="AV68" s="354"/>
      <c r="AW68" s="354"/>
      <c r="AX68" s="354"/>
      <c r="AY68" s="354"/>
      <c r="AZ68" s="354"/>
      <c r="BA68" s="354"/>
      <c r="BB68" s="354"/>
      <c r="BC68" s="354"/>
      <c r="BD68" s="354"/>
      <c r="BE68" s="354"/>
      <c r="BF68" s="354"/>
      <c r="BG68" s="354"/>
      <c r="BH68" s="354"/>
      <c r="BI68" s="354"/>
      <c r="BJ68" s="354"/>
      <c r="BK68" s="354"/>
      <c r="BL68" s="354"/>
      <c r="BM68" s="354"/>
      <c r="BN68" s="354"/>
      <c r="BO68" s="354"/>
      <c r="BP68" s="354"/>
      <c r="BQ68" s="354"/>
      <c r="BR68" s="354"/>
      <c r="BS68" s="354"/>
      <c r="BT68" s="354"/>
    </row>
    <row r="69" spans="1:72" s="312" customFormat="1">
      <c r="A69" s="410"/>
      <c r="B69" s="411"/>
      <c r="C69" s="410"/>
      <c r="D69" s="412"/>
      <c r="E69" s="410"/>
      <c r="F69" s="410"/>
      <c r="G69" s="411"/>
      <c r="H69" s="411"/>
      <c r="I69" s="411"/>
      <c r="J69" s="410"/>
      <c r="K69" s="410"/>
      <c r="L69" s="410"/>
      <c r="M69" s="410"/>
      <c r="N69" s="410"/>
      <c r="O69" s="410"/>
      <c r="P69" s="410"/>
      <c r="Q69" s="410"/>
      <c r="R69" s="413"/>
      <c r="S69" s="413"/>
      <c r="T69" s="411"/>
      <c r="U69" s="413"/>
      <c r="V69" s="413"/>
      <c r="W69" s="348"/>
      <c r="X69" s="349"/>
      <c r="Y69" s="349"/>
      <c r="Z69" s="349"/>
      <c r="AA69" s="349"/>
      <c r="AB69" s="349"/>
      <c r="AC69" s="354"/>
      <c r="AD69" s="354"/>
      <c r="AE69" s="354"/>
      <c r="AF69" s="354"/>
      <c r="AG69" s="354"/>
      <c r="AH69" s="354"/>
      <c r="AI69" s="354"/>
      <c r="AJ69" s="354"/>
      <c r="AK69" s="354"/>
      <c r="AL69" s="354"/>
      <c r="AM69" s="354"/>
      <c r="AN69" s="354"/>
      <c r="AO69" s="354"/>
      <c r="AP69" s="354"/>
      <c r="AQ69" s="354"/>
      <c r="AR69" s="354"/>
      <c r="AS69" s="354"/>
      <c r="AT69" s="354"/>
      <c r="AU69" s="354"/>
      <c r="AV69" s="354"/>
      <c r="AW69" s="354"/>
      <c r="AX69" s="354"/>
      <c r="AY69" s="354"/>
      <c r="AZ69" s="354"/>
      <c r="BA69" s="354"/>
      <c r="BB69" s="354"/>
      <c r="BC69" s="354"/>
      <c r="BD69" s="354"/>
      <c r="BE69" s="354"/>
      <c r="BF69" s="354"/>
      <c r="BG69" s="354"/>
      <c r="BH69" s="354"/>
      <c r="BI69" s="354"/>
      <c r="BJ69" s="354"/>
      <c r="BK69" s="354"/>
      <c r="BL69" s="354"/>
      <c r="BM69" s="354"/>
      <c r="BN69" s="354"/>
      <c r="BO69" s="354"/>
      <c r="BP69" s="354"/>
      <c r="BQ69" s="354"/>
      <c r="BR69" s="354"/>
      <c r="BS69" s="354"/>
      <c r="BT69" s="354"/>
    </row>
    <row r="70" spans="1:72" s="312" customFormat="1">
      <c r="A70" s="410"/>
      <c r="B70" s="411"/>
      <c r="C70" s="410"/>
      <c r="D70" s="412"/>
      <c r="E70" s="410"/>
      <c r="F70" s="410"/>
      <c r="G70" s="411"/>
      <c r="H70" s="411"/>
      <c r="I70" s="411"/>
      <c r="J70" s="410"/>
      <c r="K70" s="410"/>
      <c r="L70" s="410"/>
      <c r="M70" s="410"/>
      <c r="N70" s="410"/>
      <c r="O70" s="410"/>
      <c r="P70" s="410"/>
      <c r="Q70" s="410"/>
      <c r="R70" s="413"/>
      <c r="S70" s="413"/>
      <c r="T70" s="411"/>
      <c r="U70" s="413"/>
      <c r="V70" s="413"/>
      <c r="W70" s="348"/>
      <c r="X70" s="349"/>
      <c r="Y70" s="349"/>
      <c r="Z70" s="349"/>
      <c r="AA70" s="349"/>
      <c r="AB70" s="349"/>
      <c r="AC70" s="354"/>
      <c r="AD70" s="354"/>
      <c r="AE70" s="354"/>
      <c r="AF70" s="354"/>
      <c r="AG70" s="354"/>
      <c r="AH70" s="354"/>
      <c r="AI70" s="354"/>
      <c r="AJ70" s="354"/>
      <c r="AK70" s="354"/>
      <c r="AL70" s="354"/>
      <c r="AM70" s="354"/>
      <c r="AN70" s="354"/>
      <c r="AO70" s="354"/>
      <c r="AP70" s="354"/>
      <c r="AQ70" s="354"/>
      <c r="AR70" s="354"/>
      <c r="AS70" s="354"/>
      <c r="AT70" s="354"/>
      <c r="AU70" s="354"/>
      <c r="AV70" s="354"/>
      <c r="AW70" s="354"/>
      <c r="AX70" s="354"/>
      <c r="AY70" s="354"/>
      <c r="AZ70" s="354"/>
      <c r="BA70" s="354"/>
      <c r="BB70" s="354"/>
      <c r="BC70" s="354"/>
      <c r="BD70" s="354"/>
      <c r="BE70" s="354"/>
      <c r="BF70" s="354"/>
      <c r="BG70" s="354"/>
      <c r="BH70" s="354"/>
      <c r="BI70" s="354"/>
      <c r="BJ70" s="354"/>
      <c r="BK70" s="354"/>
      <c r="BL70" s="354"/>
      <c r="BM70" s="354"/>
      <c r="BN70" s="354"/>
      <c r="BO70" s="354"/>
      <c r="BP70" s="354"/>
      <c r="BQ70" s="354"/>
      <c r="BR70" s="354"/>
      <c r="BS70" s="354"/>
      <c r="BT70" s="354"/>
    </row>
    <row r="71" spans="1:72" s="312" customFormat="1">
      <c r="A71" s="410"/>
      <c r="B71" s="411"/>
      <c r="C71" s="410"/>
      <c r="D71" s="412"/>
      <c r="E71" s="410"/>
      <c r="F71" s="410"/>
      <c r="G71" s="411"/>
      <c r="H71" s="411"/>
      <c r="I71" s="411"/>
      <c r="J71" s="410"/>
      <c r="K71" s="410"/>
      <c r="L71" s="410"/>
      <c r="M71" s="410"/>
      <c r="N71" s="410"/>
      <c r="O71" s="410"/>
      <c r="P71" s="410"/>
      <c r="Q71" s="410"/>
      <c r="R71" s="413"/>
      <c r="S71" s="413"/>
      <c r="T71" s="411"/>
      <c r="U71" s="413"/>
      <c r="V71" s="413"/>
      <c r="W71" s="348"/>
      <c r="X71" s="349"/>
      <c r="Y71" s="349"/>
      <c r="Z71" s="349"/>
      <c r="AA71" s="349"/>
      <c r="AB71" s="349"/>
      <c r="AC71" s="354"/>
      <c r="AD71" s="354"/>
      <c r="AE71" s="354"/>
      <c r="AF71" s="354"/>
      <c r="AG71" s="354"/>
      <c r="AH71" s="354"/>
      <c r="AI71" s="354"/>
      <c r="AJ71" s="354"/>
      <c r="AK71" s="354"/>
      <c r="AL71" s="354"/>
      <c r="AM71" s="354"/>
      <c r="AN71" s="354"/>
      <c r="AO71" s="354"/>
      <c r="AP71" s="354"/>
      <c r="AQ71" s="354"/>
      <c r="AR71" s="354"/>
      <c r="AS71" s="354"/>
      <c r="AT71" s="354"/>
      <c r="AU71" s="354"/>
      <c r="AV71" s="354"/>
      <c r="AW71" s="354"/>
      <c r="AX71" s="354"/>
      <c r="AY71" s="354"/>
      <c r="AZ71" s="354"/>
      <c r="BA71" s="354"/>
      <c r="BB71" s="354"/>
      <c r="BC71" s="354"/>
      <c r="BD71" s="354"/>
      <c r="BE71" s="354"/>
      <c r="BF71" s="354"/>
      <c r="BG71" s="354"/>
      <c r="BH71" s="354"/>
      <c r="BI71" s="354"/>
      <c r="BJ71" s="354"/>
      <c r="BK71" s="354"/>
      <c r="BL71" s="354"/>
      <c r="BM71" s="354"/>
      <c r="BN71" s="354"/>
      <c r="BO71" s="354"/>
      <c r="BP71" s="354"/>
      <c r="BQ71" s="354"/>
      <c r="BR71" s="354"/>
      <c r="BS71" s="354"/>
      <c r="BT71" s="354"/>
    </row>
    <row r="72" spans="1:72" s="312" customFormat="1">
      <c r="A72" s="410"/>
      <c r="B72" s="411"/>
      <c r="C72" s="410"/>
      <c r="D72" s="412"/>
      <c r="E72" s="410"/>
      <c r="F72" s="410"/>
      <c r="G72" s="411"/>
      <c r="H72" s="411"/>
      <c r="I72" s="411"/>
      <c r="J72" s="410"/>
      <c r="K72" s="410"/>
      <c r="L72" s="410"/>
      <c r="M72" s="410"/>
      <c r="N72" s="410"/>
      <c r="O72" s="410"/>
      <c r="P72" s="410"/>
      <c r="Q72" s="410"/>
      <c r="R72" s="413"/>
      <c r="S72" s="413"/>
      <c r="T72" s="411"/>
      <c r="U72" s="413"/>
      <c r="V72" s="413"/>
      <c r="W72" s="348"/>
      <c r="X72" s="349"/>
      <c r="Y72" s="349"/>
      <c r="Z72" s="349"/>
      <c r="AA72" s="349"/>
      <c r="AB72" s="349"/>
      <c r="AC72" s="354"/>
      <c r="AD72" s="354"/>
      <c r="AE72" s="354"/>
      <c r="AF72" s="354"/>
      <c r="AG72" s="354"/>
      <c r="AH72" s="354"/>
      <c r="AI72" s="354"/>
      <c r="AJ72" s="354"/>
      <c r="AK72" s="354"/>
      <c r="AL72" s="354"/>
      <c r="AM72" s="354"/>
      <c r="AN72" s="354"/>
      <c r="AO72" s="354"/>
      <c r="AP72" s="354"/>
      <c r="AQ72" s="354"/>
      <c r="AR72" s="354"/>
      <c r="AS72" s="354"/>
      <c r="AT72" s="354"/>
      <c r="AU72" s="354"/>
      <c r="AV72" s="354"/>
      <c r="AW72" s="354"/>
      <c r="AX72" s="354"/>
      <c r="AY72" s="354"/>
      <c r="AZ72" s="354"/>
      <c r="BA72" s="354"/>
      <c r="BB72" s="354"/>
      <c r="BC72" s="354"/>
      <c r="BD72" s="354"/>
      <c r="BE72" s="354"/>
      <c r="BF72" s="354"/>
      <c r="BG72" s="354"/>
      <c r="BH72" s="354"/>
      <c r="BI72" s="354"/>
      <c r="BJ72" s="354"/>
      <c r="BK72" s="354"/>
      <c r="BL72" s="354"/>
      <c r="BM72" s="354"/>
      <c r="BN72" s="354"/>
      <c r="BO72" s="354"/>
      <c r="BP72" s="354"/>
      <c r="BQ72" s="354"/>
      <c r="BR72" s="354"/>
      <c r="BS72" s="354"/>
      <c r="BT72" s="354"/>
    </row>
    <row r="73" spans="1:72" s="312" customFormat="1">
      <c r="A73" s="410"/>
      <c r="B73" s="411"/>
      <c r="C73" s="410"/>
      <c r="D73" s="412"/>
      <c r="E73" s="410"/>
      <c r="F73" s="410"/>
      <c r="G73" s="411"/>
      <c r="H73" s="411"/>
      <c r="I73" s="411"/>
      <c r="J73" s="410"/>
      <c r="K73" s="410"/>
      <c r="L73" s="410"/>
      <c r="M73" s="410"/>
      <c r="N73" s="410"/>
      <c r="O73" s="410"/>
      <c r="P73" s="410"/>
      <c r="Q73" s="410"/>
      <c r="R73" s="413"/>
      <c r="S73" s="413"/>
      <c r="T73" s="411"/>
      <c r="U73" s="413"/>
      <c r="V73" s="413"/>
      <c r="W73" s="348"/>
      <c r="X73" s="349"/>
      <c r="Y73" s="349"/>
      <c r="Z73" s="349"/>
      <c r="AA73" s="349"/>
      <c r="AB73" s="349"/>
      <c r="AC73" s="354"/>
      <c r="AD73" s="354"/>
      <c r="AE73" s="354"/>
      <c r="AF73" s="354"/>
      <c r="AG73" s="354"/>
      <c r="AH73" s="354"/>
      <c r="AI73" s="354"/>
      <c r="AJ73" s="354"/>
      <c r="AK73" s="354"/>
      <c r="AL73" s="354"/>
      <c r="AM73" s="354"/>
      <c r="AN73" s="354"/>
      <c r="AO73" s="354"/>
      <c r="AP73" s="354"/>
      <c r="AQ73" s="354"/>
      <c r="AR73" s="354"/>
      <c r="AS73" s="354"/>
      <c r="AT73" s="354"/>
      <c r="AU73" s="354"/>
      <c r="AV73" s="354"/>
      <c r="AW73" s="354"/>
      <c r="AX73" s="354"/>
      <c r="AY73" s="354"/>
      <c r="AZ73" s="354"/>
      <c r="BA73" s="354"/>
      <c r="BB73" s="354"/>
      <c r="BC73" s="354"/>
      <c r="BD73" s="354"/>
      <c r="BE73" s="354"/>
      <c r="BF73" s="354"/>
      <c r="BG73" s="354"/>
      <c r="BH73" s="354"/>
      <c r="BI73" s="354"/>
      <c r="BJ73" s="354"/>
      <c r="BK73" s="354"/>
      <c r="BL73" s="354"/>
      <c r="BM73" s="354"/>
      <c r="BN73" s="354"/>
      <c r="BO73" s="354"/>
      <c r="BP73" s="354"/>
      <c r="BQ73" s="354"/>
      <c r="BR73" s="354"/>
      <c r="BS73" s="354"/>
      <c r="BT73" s="354"/>
    </row>
    <row r="74" spans="1:72" s="312" customFormat="1">
      <c r="A74" s="410"/>
      <c r="B74" s="411"/>
      <c r="C74" s="410"/>
      <c r="D74" s="412"/>
      <c r="E74" s="410"/>
      <c r="F74" s="410"/>
      <c r="G74" s="411"/>
      <c r="H74" s="411"/>
      <c r="I74" s="411"/>
      <c r="J74" s="410"/>
      <c r="K74" s="410"/>
      <c r="L74" s="410"/>
      <c r="M74" s="410"/>
      <c r="N74" s="410"/>
      <c r="O74" s="410"/>
      <c r="P74" s="410"/>
      <c r="Q74" s="410"/>
      <c r="R74" s="413"/>
      <c r="S74" s="413"/>
      <c r="T74" s="411"/>
      <c r="U74" s="413"/>
      <c r="V74" s="413"/>
      <c r="W74" s="348"/>
      <c r="X74" s="349"/>
      <c r="Y74" s="349"/>
      <c r="Z74" s="349"/>
      <c r="AA74" s="349"/>
      <c r="AB74" s="349"/>
      <c r="AC74" s="354"/>
      <c r="AD74" s="354"/>
      <c r="AE74" s="354"/>
      <c r="AF74" s="354"/>
      <c r="AG74" s="354"/>
      <c r="AH74" s="354"/>
      <c r="AI74" s="354"/>
      <c r="AJ74" s="354"/>
      <c r="AK74" s="354"/>
      <c r="AL74" s="354"/>
      <c r="AM74" s="354"/>
      <c r="AN74" s="354"/>
      <c r="AO74" s="354"/>
      <c r="AP74" s="354"/>
      <c r="AQ74" s="354"/>
      <c r="AR74" s="354"/>
      <c r="AS74" s="354"/>
      <c r="AT74" s="354"/>
      <c r="AU74" s="354"/>
      <c r="AV74" s="354"/>
      <c r="AW74" s="354"/>
      <c r="AX74" s="354"/>
      <c r="AY74" s="354"/>
      <c r="AZ74" s="354"/>
      <c r="BA74" s="354"/>
      <c r="BB74" s="354"/>
      <c r="BC74" s="354"/>
      <c r="BD74" s="354"/>
      <c r="BE74" s="354"/>
      <c r="BF74" s="354"/>
      <c r="BG74" s="354"/>
      <c r="BH74" s="354"/>
      <c r="BI74" s="354"/>
      <c r="BJ74" s="354"/>
      <c r="BK74" s="354"/>
      <c r="BL74" s="354"/>
      <c r="BM74" s="354"/>
      <c r="BN74" s="354"/>
      <c r="BO74" s="354"/>
      <c r="BP74" s="354"/>
      <c r="BQ74" s="354"/>
      <c r="BR74" s="354"/>
      <c r="BS74" s="354"/>
      <c r="BT74" s="354"/>
    </row>
    <row r="75" spans="1:72" s="312" customFormat="1">
      <c r="A75" s="410"/>
      <c r="B75" s="411"/>
      <c r="C75" s="410"/>
      <c r="D75" s="412"/>
      <c r="E75" s="410"/>
      <c r="F75" s="410"/>
      <c r="G75" s="411"/>
      <c r="H75" s="411"/>
      <c r="I75" s="411"/>
      <c r="J75" s="410"/>
      <c r="K75" s="410"/>
      <c r="L75" s="410"/>
      <c r="M75" s="410"/>
      <c r="N75" s="410"/>
      <c r="O75" s="410"/>
      <c r="P75" s="410"/>
      <c r="Q75" s="410"/>
      <c r="R75" s="413"/>
      <c r="S75" s="413"/>
      <c r="T75" s="411"/>
      <c r="U75" s="413"/>
      <c r="V75" s="413"/>
      <c r="W75" s="348"/>
      <c r="X75" s="349"/>
      <c r="Y75" s="349"/>
      <c r="Z75" s="349"/>
      <c r="AA75" s="349"/>
      <c r="AB75" s="349"/>
      <c r="AC75" s="354"/>
      <c r="AD75" s="354"/>
      <c r="AE75" s="354"/>
      <c r="AF75" s="354"/>
      <c r="AG75" s="354"/>
      <c r="AH75" s="354"/>
      <c r="AI75" s="354"/>
      <c r="AJ75" s="354"/>
      <c r="AK75" s="354"/>
      <c r="AL75" s="354"/>
      <c r="AM75" s="354"/>
      <c r="AN75" s="354"/>
      <c r="AO75" s="354"/>
      <c r="AP75" s="354"/>
      <c r="AQ75" s="354"/>
      <c r="AR75" s="354"/>
      <c r="AS75" s="354"/>
      <c r="AT75" s="354"/>
      <c r="AU75" s="354"/>
      <c r="AV75" s="354"/>
      <c r="AW75" s="354"/>
      <c r="AX75" s="354"/>
      <c r="AY75" s="354"/>
      <c r="AZ75" s="354"/>
      <c r="BA75" s="354"/>
      <c r="BB75" s="354"/>
      <c r="BC75" s="354"/>
      <c r="BD75" s="354"/>
      <c r="BE75" s="354"/>
      <c r="BF75" s="354"/>
      <c r="BG75" s="354"/>
      <c r="BH75" s="354"/>
      <c r="BI75" s="354"/>
      <c r="BJ75" s="354"/>
      <c r="BK75" s="354"/>
      <c r="BL75" s="354"/>
      <c r="BM75" s="354"/>
      <c r="BN75" s="354"/>
      <c r="BO75" s="354"/>
      <c r="BP75" s="354"/>
      <c r="BQ75" s="354"/>
      <c r="BR75" s="354"/>
      <c r="BS75" s="354"/>
      <c r="BT75" s="354"/>
    </row>
    <row r="76" spans="1:72" s="312" customFormat="1">
      <c r="A76" s="410"/>
      <c r="B76" s="411"/>
      <c r="C76" s="410"/>
      <c r="D76" s="412"/>
      <c r="E76" s="410"/>
      <c r="F76" s="410"/>
      <c r="G76" s="411"/>
      <c r="H76" s="411"/>
      <c r="I76" s="411"/>
      <c r="J76" s="410"/>
      <c r="K76" s="410"/>
      <c r="L76" s="410"/>
      <c r="M76" s="410"/>
      <c r="N76" s="410"/>
      <c r="O76" s="410"/>
      <c r="P76" s="410"/>
      <c r="Q76" s="410"/>
      <c r="R76" s="413"/>
      <c r="S76" s="413"/>
      <c r="T76" s="411"/>
      <c r="U76" s="413"/>
      <c r="V76" s="413"/>
      <c r="W76" s="348"/>
      <c r="X76" s="349"/>
      <c r="Y76" s="349"/>
      <c r="Z76" s="349"/>
      <c r="AA76" s="349"/>
      <c r="AB76" s="349"/>
      <c r="AC76" s="354"/>
      <c r="AD76" s="354"/>
      <c r="AE76" s="354"/>
      <c r="AF76" s="354"/>
      <c r="AG76" s="354"/>
      <c r="AH76" s="354"/>
      <c r="AI76" s="354"/>
      <c r="AJ76" s="354"/>
      <c r="AK76" s="354"/>
      <c r="AL76" s="354"/>
      <c r="AM76" s="354"/>
      <c r="AN76" s="354"/>
      <c r="AO76" s="354"/>
      <c r="AP76" s="354"/>
      <c r="AQ76" s="354"/>
      <c r="AR76" s="354"/>
      <c r="AS76" s="354"/>
      <c r="AT76" s="354"/>
      <c r="AU76" s="354"/>
      <c r="AV76" s="354"/>
      <c r="AW76" s="354"/>
      <c r="AX76" s="354"/>
      <c r="AY76" s="354"/>
      <c r="AZ76" s="354"/>
      <c r="BA76" s="354"/>
      <c r="BB76" s="354"/>
      <c r="BC76" s="354"/>
      <c r="BD76" s="354"/>
      <c r="BE76" s="354"/>
      <c r="BF76" s="354"/>
      <c r="BG76" s="354"/>
      <c r="BH76" s="354"/>
      <c r="BI76" s="354"/>
      <c r="BJ76" s="354"/>
      <c r="BK76" s="354"/>
      <c r="BL76" s="354"/>
      <c r="BM76" s="354"/>
      <c r="BN76" s="354"/>
      <c r="BO76" s="354"/>
      <c r="BP76" s="354"/>
      <c r="BQ76" s="354"/>
      <c r="BR76" s="354"/>
      <c r="BS76" s="354"/>
      <c r="BT76" s="354"/>
    </row>
    <row r="77" spans="1:72" s="312" customFormat="1">
      <c r="A77" s="410"/>
      <c r="B77" s="411"/>
      <c r="C77" s="410"/>
      <c r="D77" s="412"/>
      <c r="E77" s="410"/>
      <c r="F77" s="410"/>
      <c r="G77" s="411"/>
      <c r="H77" s="411"/>
      <c r="I77" s="411"/>
      <c r="J77" s="410"/>
      <c r="K77" s="410"/>
      <c r="L77" s="410"/>
      <c r="M77" s="410"/>
      <c r="N77" s="410"/>
      <c r="O77" s="410"/>
      <c r="P77" s="410"/>
      <c r="Q77" s="410"/>
      <c r="R77" s="413"/>
      <c r="S77" s="413"/>
      <c r="T77" s="411"/>
      <c r="U77" s="413"/>
      <c r="V77" s="413"/>
      <c r="W77" s="348"/>
      <c r="X77" s="349"/>
      <c r="Y77" s="349"/>
      <c r="Z77" s="349"/>
      <c r="AA77" s="349"/>
      <c r="AB77" s="349"/>
      <c r="AC77" s="354"/>
      <c r="AD77" s="354"/>
      <c r="AE77" s="354"/>
      <c r="AF77" s="354"/>
      <c r="AG77" s="354"/>
      <c r="AH77" s="354"/>
      <c r="AI77" s="354"/>
      <c r="AJ77" s="354"/>
      <c r="AK77" s="354"/>
      <c r="AL77" s="354"/>
      <c r="AM77" s="354"/>
      <c r="AN77" s="354"/>
      <c r="AO77" s="354"/>
      <c r="AP77" s="354"/>
      <c r="AQ77" s="354"/>
      <c r="AR77" s="354"/>
      <c r="AS77" s="354"/>
      <c r="AT77" s="354"/>
      <c r="AU77" s="354"/>
      <c r="AV77" s="354"/>
      <c r="AW77" s="354"/>
      <c r="AX77" s="354"/>
      <c r="AY77" s="354"/>
      <c r="AZ77" s="354"/>
      <c r="BA77" s="354"/>
      <c r="BB77" s="354"/>
      <c r="BC77" s="354"/>
      <c r="BD77" s="354"/>
      <c r="BE77" s="354"/>
      <c r="BF77" s="354"/>
      <c r="BG77" s="354"/>
      <c r="BH77" s="354"/>
      <c r="BI77" s="354"/>
      <c r="BJ77" s="354"/>
      <c r="BK77" s="354"/>
      <c r="BL77" s="354"/>
      <c r="BM77" s="354"/>
      <c r="BN77" s="354"/>
      <c r="BO77" s="354"/>
      <c r="BP77" s="354"/>
      <c r="BQ77" s="354"/>
      <c r="BR77" s="354"/>
      <c r="BS77" s="354"/>
      <c r="BT77" s="354"/>
    </row>
    <row r="78" spans="1:72" s="312" customFormat="1">
      <c r="A78" s="410"/>
      <c r="B78" s="411"/>
      <c r="C78" s="410"/>
      <c r="D78" s="412"/>
      <c r="E78" s="410"/>
      <c r="F78" s="410"/>
      <c r="G78" s="411"/>
      <c r="H78" s="411"/>
      <c r="I78" s="411"/>
      <c r="J78" s="410"/>
      <c r="K78" s="410"/>
      <c r="L78" s="410"/>
      <c r="M78" s="410"/>
      <c r="N78" s="410"/>
      <c r="O78" s="410"/>
      <c r="P78" s="410"/>
      <c r="Q78" s="410"/>
      <c r="R78" s="413"/>
      <c r="S78" s="413"/>
      <c r="T78" s="411"/>
      <c r="U78" s="413"/>
      <c r="V78" s="413"/>
      <c r="W78" s="348"/>
      <c r="X78" s="349"/>
      <c r="Y78" s="349"/>
      <c r="Z78" s="349"/>
      <c r="AA78" s="349"/>
      <c r="AB78" s="349"/>
      <c r="AC78" s="354"/>
      <c r="AD78" s="354"/>
      <c r="AE78" s="354"/>
      <c r="AF78" s="354"/>
      <c r="AG78" s="354"/>
      <c r="AH78" s="354"/>
      <c r="AI78" s="354"/>
      <c r="AJ78" s="354"/>
      <c r="AK78" s="354"/>
      <c r="AL78" s="354"/>
      <c r="AM78" s="354"/>
      <c r="AN78" s="354"/>
      <c r="AO78" s="354"/>
      <c r="AP78" s="354"/>
      <c r="AQ78" s="354"/>
      <c r="AR78" s="354"/>
      <c r="AS78" s="354"/>
      <c r="AT78" s="354"/>
      <c r="AU78" s="354"/>
      <c r="AV78" s="354"/>
      <c r="AW78" s="354"/>
      <c r="AX78" s="354"/>
      <c r="AY78" s="354"/>
      <c r="AZ78" s="354"/>
      <c r="BA78" s="354"/>
      <c r="BB78" s="354"/>
      <c r="BC78" s="354"/>
      <c r="BD78" s="354"/>
      <c r="BE78" s="354"/>
      <c r="BF78" s="354"/>
      <c r="BG78" s="354"/>
      <c r="BH78" s="354"/>
      <c r="BI78" s="354"/>
      <c r="BJ78" s="354"/>
      <c r="BK78" s="354"/>
      <c r="BL78" s="354"/>
      <c r="BM78" s="354"/>
      <c r="BN78" s="354"/>
      <c r="BO78" s="354"/>
      <c r="BP78" s="354"/>
      <c r="BQ78" s="354"/>
      <c r="BR78" s="354"/>
      <c r="BS78" s="354"/>
      <c r="BT78" s="354"/>
    </row>
    <row r="79" spans="1:72" s="312" customFormat="1">
      <c r="A79" s="410"/>
      <c r="B79" s="411"/>
      <c r="C79" s="410"/>
      <c r="D79" s="412"/>
      <c r="E79" s="410"/>
      <c r="F79" s="410"/>
      <c r="G79" s="411"/>
      <c r="H79" s="411"/>
      <c r="I79" s="411"/>
      <c r="J79" s="410"/>
      <c r="K79" s="410"/>
      <c r="L79" s="410"/>
      <c r="M79" s="410"/>
      <c r="N79" s="410"/>
      <c r="O79" s="410"/>
      <c r="P79" s="410"/>
      <c r="Q79" s="410"/>
      <c r="R79" s="413"/>
      <c r="S79" s="413"/>
      <c r="T79" s="411"/>
      <c r="U79" s="413"/>
      <c r="V79" s="413"/>
      <c r="W79" s="348"/>
      <c r="X79" s="349"/>
      <c r="Y79" s="349"/>
      <c r="Z79" s="349"/>
      <c r="AA79" s="349"/>
      <c r="AB79" s="349"/>
      <c r="AC79" s="354"/>
      <c r="AD79" s="354"/>
      <c r="AE79" s="354"/>
      <c r="AF79" s="354"/>
      <c r="AG79" s="354"/>
      <c r="AH79" s="354"/>
      <c r="AI79" s="354"/>
      <c r="AJ79" s="354"/>
      <c r="AK79" s="354"/>
      <c r="AL79" s="354"/>
      <c r="AM79" s="354"/>
      <c r="AN79" s="354"/>
      <c r="AO79" s="354"/>
      <c r="AP79" s="354"/>
      <c r="AQ79" s="354"/>
      <c r="AR79" s="354"/>
      <c r="AS79" s="354"/>
      <c r="AT79" s="354"/>
      <c r="AU79" s="354"/>
      <c r="AV79" s="354"/>
      <c r="AW79" s="354"/>
      <c r="AX79" s="354"/>
      <c r="AY79" s="354"/>
      <c r="AZ79" s="354"/>
      <c r="BA79" s="354"/>
      <c r="BB79" s="354"/>
      <c r="BC79" s="354"/>
      <c r="BD79" s="354"/>
      <c r="BE79" s="354"/>
      <c r="BF79" s="354"/>
      <c r="BG79" s="354"/>
      <c r="BH79" s="354"/>
      <c r="BI79" s="354"/>
      <c r="BJ79" s="354"/>
      <c r="BK79" s="354"/>
      <c r="BL79" s="354"/>
      <c r="BM79" s="354"/>
      <c r="BN79" s="354"/>
      <c r="BO79" s="354"/>
      <c r="BP79" s="354"/>
      <c r="BQ79" s="354"/>
      <c r="BR79" s="354"/>
      <c r="BS79" s="354"/>
      <c r="BT79" s="354"/>
    </row>
    <row r="80" spans="1:72" s="312" customFormat="1">
      <c r="A80" s="410"/>
      <c r="B80" s="411"/>
      <c r="C80" s="410"/>
      <c r="D80" s="412"/>
      <c r="E80" s="410"/>
      <c r="F80" s="410"/>
      <c r="G80" s="411"/>
      <c r="H80" s="411"/>
      <c r="I80" s="411"/>
      <c r="J80" s="410"/>
      <c r="K80" s="410"/>
      <c r="L80" s="410"/>
      <c r="M80" s="410"/>
      <c r="N80" s="410"/>
      <c r="O80" s="410"/>
      <c r="P80" s="410"/>
      <c r="Q80" s="410"/>
      <c r="R80" s="413"/>
      <c r="S80" s="413"/>
      <c r="T80" s="411"/>
      <c r="U80" s="413"/>
      <c r="V80" s="413"/>
      <c r="W80" s="348"/>
      <c r="X80" s="349"/>
      <c r="Y80" s="349"/>
      <c r="Z80" s="349"/>
      <c r="AA80" s="349"/>
      <c r="AB80" s="349"/>
      <c r="AC80" s="354"/>
      <c r="AD80" s="354"/>
      <c r="AE80" s="354"/>
      <c r="AF80" s="354"/>
      <c r="AG80" s="354"/>
      <c r="AH80" s="354"/>
      <c r="AI80" s="354"/>
      <c r="AJ80" s="354"/>
      <c r="AK80" s="354"/>
      <c r="AL80" s="354"/>
      <c r="AM80" s="354"/>
      <c r="AN80" s="354"/>
      <c r="AO80" s="354"/>
      <c r="AP80" s="354"/>
      <c r="AQ80" s="354"/>
      <c r="AR80" s="354"/>
      <c r="AS80" s="354"/>
      <c r="AT80" s="354"/>
      <c r="AU80" s="354"/>
      <c r="AV80" s="354"/>
      <c r="AW80" s="354"/>
      <c r="AX80" s="354"/>
      <c r="AY80" s="354"/>
      <c r="AZ80" s="354"/>
      <c r="BA80" s="354"/>
      <c r="BB80" s="354"/>
      <c r="BC80" s="354"/>
      <c r="BD80" s="354"/>
      <c r="BE80" s="354"/>
      <c r="BF80" s="354"/>
      <c r="BG80" s="354"/>
      <c r="BH80" s="354"/>
      <c r="BI80" s="354"/>
      <c r="BJ80" s="354"/>
      <c r="BK80" s="354"/>
      <c r="BL80" s="354"/>
      <c r="BM80" s="354"/>
      <c r="BN80" s="354"/>
      <c r="BO80" s="354"/>
      <c r="BP80" s="354"/>
      <c r="BQ80" s="354"/>
      <c r="BR80" s="354"/>
      <c r="BS80" s="354"/>
      <c r="BT80" s="354"/>
    </row>
    <row r="81" spans="1:72" s="312" customFormat="1">
      <c r="A81" s="410"/>
      <c r="B81" s="411"/>
      <c r="C81" s="410"/>
      <c r="D81" s="412"/>
      <c r="E81" s="410"/>
      <c r="F81" s="410"/>
      <c r="G81" s="411"/>
      <c r="H81" s="411"/>
      <c r="I81" s="411"/>
      <c r="J81" s="410"/>
      <c r="K81" s="410"/>
      <c r="L81" s="410"/>
      <c r="M81" s="410"/>
      <c r="N81" s="410"/>
      <c r="O81" s="410"/>
      <c r="P81" s="410"/>
      <c r="Q81" s="410"/>
      <c r="R81" s="413"/>
      <c r="S81" s="413"/>
      <c r="T81" s="411"/>
      <c r="U81" s="413"/>
      <c r="V81" s="413"/>
      <c r="W81" s="348"/>
      <c r="X81" s="349"/>
      <c r="Y81" s="349"/>
      <c r="Z81" s="349"/>
      <c r="AA81" s="349"/>
      <c r="AB81" s="349"/>
      <c r="AC81" s="354"/>
      <c r="AD81" s="354"/>
      <c r="AE81" s="354"/>
      <c r="AF81" s="354"/>
      <c r="AG81" s="354"/>
      <c r="AH81" s="354"/>
      <c r="AI81" s="354"/>
      <c r="AJ81" s="354"/>
      <c r="AK81" s="354"/>
      <c r="AL81" s="354"/>
      <c r="AM81" s="354"/>
      <c r="AN81" s="354"/>
      <c r="AO81" s="354"/>
      <c r="AP81" s="354"/>
      <c r="AQ81" s="354"/>
      <c r="AR81" s="354"/>
      <c r="AS81" s="354"/>
      <c r="AT81" s="354"/>
      <c r="AU81" s="354"/>
      <c r="AV81" s="354"/>
      <c r="AW81" s="354"/>
      <c r="AX81" s="354"/>
      <c r="AY81" s="354"/>
      <c r="AZ81" s="354"/>
      <c r="BA81" s="354"/>
      <c r="BB81" s="354"/>
      <c r="BC81" s="354"/>
      <c r="BD81" s="354"/>
      <c r="BE81" s="354"/>
      <c r="BF81" s="354"/>
      <c r="BG81" s="354"/>
      <c r="BH81" s="354"/>
      <c r="BI81" s="354"/>
      <c r="BJ81" s="354"/>
      <c r="BK81" s="354"/>
      <c r="BL81" s="354"/>
      <c r="BM81" s="354"/>
      <c r="BN81" s="354"/>
      <c r="BO81" s="354"/>
      <c r="BP81" s="354"/>
      <c r="BQ81" s="354"/>
      <c r="BR81" s="354"/>
      <c r="BS81" s="354"/>
      <c r="BT81" s="354"/>
    </row>
    <row r="82" spans="1:72" s="312" customFormat="1">
      <c r="A82" s="410"/>
      <c r="B82" s="411"/>
      <c r="C82" s="410"/>
      <c r="D82" s="412"/>
      <c r="E82" s="410"/>
      <c r="F82" s="410"/>
      <c r="G82" s="411"/>
      <c r="H82" s="411"/>
      <c r="I82" s="411"/>
      <c r="J82" s="410"/>
      <c r="K82" s="410"/>
      <c r="L82" s="410"/>
      <c r="M82" s="410"/>
      <c r="N82" s="410"/>
      <c r="O82" s="410"/>
      <c r="P82" s="410"/>
      <c r="Q82" s="410"/>
      <c r="R82" s="413"/>
      <c r="S82" s="413"/>
      <c r="T82" s="411"/>
      <c r="U82" s="413"/>
      <c r="V82" s="413"/>
      <c r="W82" s="348"/>
      <c r="X82" s="349"/>
      <c r="Y82" s="349"/>
      <c r="Z82" s="349"/>
      <c r="AA82" s="349"/>
      <c r="AB82" s="349"/>
      <c r="AC82" s="354"/>
      <c r="AD82" s="354"/>
      <c r="AE82" s="354"/>
      <c r="AF82" s="354"/>
      <c r="AG82" s="354"/>
      <c r="AH82" s="354"/>
      <c r="AI82" s="354"/>
      <c r="AJ82" s="354"/>
      <c r="AK82" s="354"/>
      <c r="AL82" s="354"/>
      <c r="AM82" s="354"/>
      <c r="AN82" s="354"/>
      <c r="AO82" s="354"/>
      <c r="AP82" s="354"/>
      <c r="AQ82" s="354"/>
      <c r="AR82" s="354"/>
      <c r="AS82" s="354"/>
      <c r="AT82" s="354"/>
      <c r="AU82" s="354"/>
      <c r="AV82" s="354"/>
      <c r="AW82" s="354"/>
      <c r="AX82" s="354"/>
      <c r="AY82" s="354"/>
      <c r="AZ82" s="354"/>
      <c r="BA82" s="354"/>
      <c r="BB82" s="354"/>
      <c r="BC82" s="354"/>
      <c r="BD82" s="354"/>
      <c r="BE82" s="354"/>
      <c r="BF82" s="354"/>
      <c r="BG82" s="354"/>
      <c r="BH82" s="354"/>
      <c r="BI82" s="354"/>
      <c r="BJ82" s="354"/>
      <c r="BK82" s="354"/>
      <c r="BL82" s="354"/>
      <c r="BM82" s="354"/>
      <c r="BN82" s="354"/>
      <c r="BO82" s="354"/>
      <c r="BP82" s="354"/>
      <c r="BQ82" s="354"/>
      <c r="BR82" s="354"/>
      <c r="BS82" s="354"/>
      <c r="BT82" s="354"/>
    </row>
    <row r="83" spans="1:72" s="312" customFormat="1">
      <c r="A83" s="410"/>
      <c r="B83" s="411"/>
      <c r="C83" s="410"/>
      <c r="D83" s="412"/>
      <c r="E83" s="410"/>
      <c r="F83" s="410"/>
      <c r="G83" s="411"/>
      <c r="H83" s="411"/>
      <c r="I83" s="411"/>
      <c r="J83" s="410"/>
      <c r="K83" s="410"/>
      <c r="L83" s="410"/>
      <c r="M83" s="410"/>
      <c r="N83" s="410"/>
      <c r="O83" s="410"/>
      <c r="P83" s="410"/>
      <c r="Q83" s="410"/>
      <c r="R83" s="413"/>
      <c r="S83" s="413"/>
      <c r="T83" s="411"/>
      <c r="U83" s="413"/>
      <c r="V83" s="413"/>
      <c r="W83" s="348"/>
      <c r="X83" s="349"/>
      <c r="Y83" s="349"/>
      <c r="Z83" s="349"/>
      <c r="AA83" s="349"/>
      <c r="AB83" s="349"/>
      <c r="AC83" s="354"/>
      <c r="AD83" s="354"/>
      <c r="AE83" s="354"/>
      <c r="AF83" s="354"/>
      <c r="AG83" s="354"/>
      <c r="AH83" s="354"/>
      <c r="AI83" s="354"/>
      <c r="AJ83" s="354"/>
      <c r="AK83" s="354"/>
      <c r="AL83" s="354"/>
      <c r="AM83" s="354"/>
      <c r="AN83" s="354"/>
      <c r="AO83" s="354"/>
      <c r="AP83" s="354"/>
      <c r="AQ83" s="354"/>
      <c r="AR83" s="354"/>
      <c r="AS83" s="354"/>
      <c r="AT83" s="354"/>
      <c r="AU83" s="354"/>
      <c r="AV83" s="354"/>
      <c r="AW83" s="354"/>
      <c r="AX83" s="354"/>
      <c r="AY83" s="354"/>
      <c r="AZ83" s="354"/>
      <c r="BA83" s="354"/>
      <c r="BB83" s="354"/>
      <c r="BC83" s="354"/>
      <c r="BD83" s="354"/>
      <c r="BE83" s="354"/>
      <c r="BF83" s="354"/>
      <c r="BG83" s="354"/>
      <c r="BH83" s="354"/>
      <c r="BI83" s="354"/>
      <c r="BJ83" s="354"/>
      <c r="BK83" s="354"/>
      <c r="BL83" s="354"/>
      <c r="BM83" s="354"/>
      <c r="BN83" s="354"/>
      <c r="BO83" s="354"/>
      <c r="BP83" s="354"/>
      <c r="BQ83" s="354"/>
      <c r="BR83" s="354"/>
      <c r="BS83" s="354"/>
      <c r="BT83" s="354"/>
    </row>
    <row r="84" spans="1:72" s="312" customFormat="1">
      <c r="A84" s="410"/>
      <c r="B84" s="411"/>
      <c r="C84" s="410"/>
      <c r="D84" s="412"/>
      <c r="E84" s="410"/>
      <c r="F84" s="410"/>
      <c r="G84" s="411"/>
      <c r="H84" s="411"/>
      <c r="I84" s="411"/>
      <c r="J84" s="410"/>
      <c r="K84" s="410"/>
      <c r="L84" s="410"/>
      <c r="M84" s="410"/>
      <c r="N84" s="410"/>
      <c r="O84" s="410"/>
      <c r="P84" s="410"/>
      <c r="Q84" s="410"/>
      <c r="R84" s="413"/>
      <c r="S84" s="413"/>
      <c r="T84" s="411"/>
      <c r="U84" s="413"/>
      <c r="V84" s="413"/>
      <c r="W84" s="348"/>
      <c r="X84" s="349"/>
      <c r="Y84" s="349"/>
      <c r="Z84" s="349"/>
      <c r="AA84" s="349"/>
      <c r="AB84" s="349"/>
      <c r="AC84" s="354"/>
      <c r="AD84" s="354"/>
      <c r="AE84" s="354"/>
      <c r="AF84" s="354"/>
      <c r="AG84" s="354"/>
      <c r="AH84" s="354"/>
      <c r="AI84" s="354"/>
      <c r="AJ84" s="354"/>
      <c r="AK84" s="354"/>
      <c r="AL84" s="354"/>
      <c r="AM84" s="354"/>
      <c r="AN84" s="354"/>
      <c r="AO84" s="354"/>
      <c r="AP84" s="354"/>
      <c r="AQ84" s="354"/>
      <c r="AR84" s="354"/>
      <c r="AS84" s="354"/>
      <c r="AT84" s="354"/>
      <c r="AU84" s="354"/>
      <c r="AV84" s="354"/>
      <c r="AW84" s="354"/>
      <c r="AX84" s="354"/>
      <c r="AY84" s="354"/>
      <c r="AZ84" s="354"/>
      <c r="BA84" s="354"/>
      <c r="BB84" s="354"/>
      <c r="BC84" s="354"/>
      <c r="BD84" s="354"/>
      <c r="BE84" s="354"/>
      <c r="BF84" s="354"/>
      <c r="BG84" s="354"/>
      <c r="BH84" s="354"/>
      <c r="BI84" s="354"/>
      <c r="BJ84" s="354"/>
      <c r="BK84" s="354"/>
      <c r="BL84" s="354"/>
      <c r="BM84" s="354"/>
      <c r="BN84" s="354"/>
      <c r="BO84" s="354"/>
      <c r="BP84" s="354"/>
      <c r="BQ84" s="354"/>
      <c r="BR84" s="354"/>
      <c r="BS84" s="354"/>
      <c r="BT84" s="354"/>
    </row>
    <row r="85" spans="1:72" s="312" customFormat="1">
      <c r="A85" s="410"/>
      <c r="B85" s="411"/>
      <c r="C85" s="410"/>
      <c r="D85" s="412"/>
      <c r="E85" s="410"/>
      <c r="F85" s="410"/>
      <c r="G85" s="411"/>
      <c r="H85" s="411"/>
      <c r="I85" s="411"/>
      <c r="J85" s="410"/>
      <c r="K85" s="410"/>
      <c r="L85" s="410"/>
      <c r="M85" s="410"/>
      <c r="N85" s="410"/>
      <c r="O85" s="410"/>
      <c r="P85" s="410"/>
      <c r="Q85" s="410"/>
      <c r="R85" s="413"/>
      <c r="S85" s="413"/>
      <c r="T85" s="411"/>
      <c r="U85" s="413"/>
      <c r="V85" s="413"/>
      <c r="W85" s="348"/>
      <c r="X85" s="349"/>
      <c r="Y85" s="349"/>
      <c r="Z85" s="349"/>
      <c r="AA85" s="349"/>
      <c r="AB85" s="349"/>
      <c r="AC85" s="354"/>
      <c r="AD85" s="354"/>
      <c r="AE85" s="354"/>
      <c r="AF85" s="354"/>
      <c r="AG85" s="354"/>
      <c r="AH85" s="354"/>
      <c r="AI85" s="354"/>
      <c r="AJ85" s="354"/>
      <c r="AK85" s="354"/>
      <c r="AL85" s="354"/>
      <c r="AM85" s="354"/>
      <c r="AN85" s="354"/>
      <c r="AO85" s="354"/>
      <c r="AP85" s="354"/>
      <c r="AQ85" s="354"/>
      <c r="AR85" s="354"/>
      <c r="AS85" s="354"/>
      <c r="AT85" s="354"/>
      <c r="AU85" s="354"/>
      <c r="AV85" s="354"/>
      <c r="AW85" s="354"/>
      <c r="AX85" s="354"/>
      <c r="AY85" s="354"/>
      <c r="AZ85" s="354"/>
      <c r="BA85" s="354"/>
      <c r="BB85" s="354"/>
      <c r="BC85" s="354"/>
      <c r="BD85" s="354"/>
      <c r="BE85" s="354"/>
      <c r="BF85" s="354"/>
      <c r="BG85" s="354"/>
      <c r="BH85" s="354"/>
      <c r="BI85" s="354"/>
      <c r="BJ85" s="354"/>
      <c r="BK85" s="354"/>
      <c r="BL85" s="354"/>
      <c r="BM85" s="354"/>
      <c r="BN85" s="354"/>
      <c r="BO85" s="354"/>
      <c r="BP85" s="354"/>
      <c r="BQ85" s="354"/>
      <c r="BR85" s="354"/>
      <c r="BS85" s="354"/>
      <c r="BT85" s="354"/>
    </row>
    <row r="86" spans="1:72" s="312" customFormat="1">
      <c r="A86" s="410"/>
      <c r="B86" s="411"/>
      <c r="C86" s="410"/>
      <c r="D86" s="412"/>
      <c r="E86" s="410"/>
      <c r="F86" s="410"/>
      <c r="G86" s="411"/>
      <c r="H86" s="411"/>
      <c r="I86" s="411"/>
      <c r="J86" s="410"/>
      <c r="K86" s="410"/>
      <c r="L86" s="410"/>
      <c r="M86" s="410"/>
      <c r="N86" s="410"/>
      <c r="O86" s="410"/>
      <c r="P86" s="410"/>
      <c r="Q86" s="410"/>
      <c r="R86" s="413"/>
      <c r="S86" s="413"/>
      <c r="T86" s="411"/>
      <c r="U86" s="413"/>
      <c r="V86" s="413"/>
      <c r="W86" s="348"/>
      <c r="X86" s="349"/>
      <c r="Y86" s="349"/>
      <c r="Z86" s="349"/>
      <c r="AA86" s="349"/>
      <c r="AB86" s="349"/>
      <c r="AC86" s="354"/>
      <c r="AD86" s="354"/>
      <c r="AE86" s="354"/>
      <c r="AF86" s="354"/>
      <c r="AG86" s="354"/>
      <c r="AH86" s="354"/>
      <c r="AI86" s="354"/>
      <c r="AJ86" s="354"/>
      <c r="AK86" s="354"/>
      <c r="AL86" s="354"/>
      <c r="AM86" s="354"/>
      <c r="AN86" s="354"/>
      <c r="AO86" s="354"/>
      <c r="AP86" s="354"/>
      <c r="AQ86" s="354"/>
      <c r="AR86" s="354"/>
      <c r="AS86" s="354"/>
      <c r="AT86" s="354"/>
      <c r="AU86" s="354"/>
      <c r="AV86" s="354"/>
      <c r="AW86" s="354"/>
      <c r="AX86" s="354"/>
      <c r="AY86" s="354"/>
      <c r="AZ86" s="354"/>
      <c r="BA86" s="354"/>
      <c r="BB86" s="354"/>
      <c r="BC86" s="354"/>
      <c r="BD86" s="354"/>
      <c r="BE86" s="354"/>
      <c r="BF86" s="354"/>
      <c r="BG86" s="354"/>
      <c r="BH86" s="354"/>
      <c r="BI86" s="354"/>
      <c r="BJ86" s="354"/>
      <c r="BK86" s="354"/>
      <c r="BL86" s="354"/>
      <c r="BM86" s="354"/>
      <c r="BN86" s="354"/>
      <c r="BO86" s="354"/>
      <c r="BP86" s="354"/>
      <c r="BQ86" s="354"/>
      <c r="BR86" s="354"/>
      <c r="BS86" s="354"/>
      <c r="BT86" s="354"/>
    </row>
    <row r="87" spans="1:72" s="312" customFormat="1">
      <c r="A87" s="410"/>
      <c r="B87" s="411"/>
      <c r="C87" s="410"/>
      <c r="D87" s="412"/>
      <c r="E87" s="410"/>
      <c r="F87" s="410"/>
      <c r="G87" s="411"/>
      <c r="H87" s="411"/>
      <c r="I87" s="411"/>
      <c r="J87" s="410"/>
      <c r="K87" s="410"/>
      <c r="L87" s="410"/>
      <c r="M87" s="410"/>
      <c r="N87" s="410"/>
      <c r="O87" s="410"/>
      <c r="P87" s="410"/>
      <c r="Q87" s="410"/>
      <c r="R87" s="413"/>
      <c r="S87" s="413"/>
      <c r="T87" s="411"/>
      <c r="U87" s="413"/>
      <c r="V87" s="413"/>
      <c r="W87" s="348"/>
      <c r="X87" s="349"/>
      <c r="Y87" s="349"/>
      <c r="Z87" s="349"/>
      <c r="AA87" s="349"/>
      <c r="AB87" s="349"/>
      <c r="AC87" s="354"/>
      <c r="AD87" s="354"/>
      <c r="AE87" s="354"/>
      <c r="AF87" s="354"/>
      <c r="AG87" s="354"/>
      <c r="AH87" s="354"/>
      <c r="AI87" s="354"/>
      <c r="AJ87" s="354"/>
      <c r="AK87" s="354"/>
      <c r="AL87" s="354"/>
      <c r="AM87" s="354"/>
      <c r="AN87" s="354"/>
      <c r="AO87" s="354"/>
      <c r="AP87" s="354"/>
      <c r="AQ87" s="354"/>
      <c r="AR87" s="354"/>
      <c r="AS87" s="354"/>
      <c r="AT87" s="354"/>
      <c r="AU87" s="354"/>
      <c r="AV87" s="354"/>
      <c r="AW87" s="354"/>
      <c r="AX87" s="354"/>
      <c r="AY87" s="354"/>
      <c r="AZ87" s="354"/>
      <c r="BA87" s="354"/>
      <c r="BB87" s="354"/>
      <c r="BC87" s="354"/>
      <c r="BD87" s="354"/>
      <c r="BE87" s="354"/>
      <c r="BF87" s="354"/>
      <c r="BG87" s="354"/>
      <c r="BH87" s="354"/>
      <c r="BI87" s="354"/>
      <c r="BJ87" s="354"/>
      <c r="BK87" s="354"/>
      <c r="BL87" s="354"/>
      <c r="BM87" s="354"/>
      <c r="BN87" s="354"/>
      <c r="BO87" s="354"/>
      <c r="BP87" s="354"/>
      <c r="BQ87" s="354"/>
      <c r="BR87" s="354"/>
      <c r="BS87" s="354"/>
      <c r="BT87" s="354"/>
    </row>
    <row r="88" spans="1:72" s="312" customFormat="1">
      <c r="A88" s="410"/>
      <c r="B88" s="411"/>
      <c r="C88" s="410"/>
      <c r="D88" s="412"/>
      <c r="E88" s="410"/>
      <c r="F88" s="410"/>
      <c r="G88" s="411"/>
      <c r="H88" s="411"/>
      <c r="I88" s="411"/>
      <c r="J88" s="410"/>
      <c r="K88" s="410"/>
      <c r="L88" s="410"/>
      <c r="M88" s="410"/>
      <c r="N88" s="410"/>
      <c r="O88" s="410"/>
      <c r="P88" s="410"/>
      <c r="Q88" s="410"/>
      <c r="R88" s="413"/>
      <c r="S88" s="413"/>
      <c r="T88" s="411"/>
      <c r="U88" s="413"/>
      <c r="V88" s="413"/>
      <c r="W88" s="348"/>
      <c r="X88" s="349"/>
      <c r="Y88" s="349"/>
      <c r="Z88" s="349"/>
      <c r="AA88" s="349"/>
      <c r="AB88" s="349"/>
      <c r="AC88" s="354"/>
      <c r="AD88" s="354"/>
      <c r="AE88" s="354"/>
      <c r="AF88" s="354"/>
      <c r="AG88" s="354"/>
      <c r="AH88" s="354"/>
      <c r="AI88" s="354"/>
      <c r="AJ88" s="354"/>
      <c r="AK88" s="354"/>
      <c r="AL88" s="354"/>
      <c r="AM88" s="354"/>
      <c r="AN88" s="354"/>
      <c r="AO88" s="354"/>
      <c r="AP88" s="354"/>
      <c r="AQ88" s="354"/>
      <c r="AR88" s="354"/>
      <c r="AS88" s="354"/>
      <c r="AT88" s="354"/>
      <c r="AU88" s="354"/>
      <c r="AV88" s="354"/>
      <c r="AW88" s="354"/>
      <c r="AX88" s="354"/>
      <c r="AY88" s="354"/>
      <c r="AZ88" s="354"/>
      <c r="BA88" s="354"/>
      <c r="BB88" s="354"/>
      <c r="BC88" s="354"/>
      <c r="BD88" s="354"/>
      <c r="BE88" s="354"/>
      <c r="BF88" s="354"/>
      <c r="BG88" s="354"/>
      <c r="BH88" s="354"/>
      <c r="BI88" s="354"/>
      <c r="BJ88" s="354"/>
      <c r="BK88" s="354"/>
      <c r="BL88" s="354"/>
      <c r="BM88" s="354"/>
      <c r="BN88" s="354"/>
      <c r="BO88" s="354"/>
      <c r="BP88" s="354"/>
      <c r="BQ88" s="354"/>
      <c r="BR88" s="354"/>
      <c r="BS88" s="354"/>
      <c r="BT88" s="354"/>
    </row>
    <row r="89" spans="1:72" s="312" customFormat="1">
      <c r="A89" s="410"/>
      <c r="B89" s="411"/>
      <c r="C89" s="410"/>
      <c r="D89" s="412"/>
      <c r="E89" s="410"/>
      <c r="F89" s="410"/>
      <c r="G89" s="411"/>
      <c r="H89" s="411"/>
      <c r="I89" s="411"/>
      <c r="J89" s="410"/>
      <c r="K89" s="410"/>
      <c r="L89" s="410"/>
      <c r="M89" s="410"/>
      <c r="N89" s="410"/>
      <c r="O89" s="410"/>
      <c r="P89" s="410"/>
      <c r="Q89" s="410"/>
      <c r="R89" s="413"/>
      <c r="S89" s="413"/>
      <c r="T89" s="411"/>
      <c r="U89" s="413"/>
      <c r="V89" s="413"/>
      <c r="W89" s="348"/>
      <c r="X89" s="349"/>
      <c r="Y89" s="349"/>
      <c r="Z89" s="349"/>
      <c r="AA89" s="349"/>
      <c r="AB89" s="349"/>
      <c r="AC89" s="354"/>
      <c r="AD89" s="354"/>
      <c r="AE89" s="354"/>
      <c r="AF89" s="354"/>
      <c r="AG89" s="354"/>
      <c r="AH89" s="354"/>
      <c r="AI89" s="354"/>
      <c r="AJ89" s="354"/>
      <c r="AK89" s="354"/>
      <c r="AL89" s="354"/>
      <c r="AM89" s="354"/>
      <c r="AN89" s="354"/>
      <c r="AO89" s="354"/>
      <c r="AP89" s="354"/>
      <c r="AQ89" s="354"/>
      <c r="AR89" s="354"/>
      <c r="AS89" s="354"/>
      <c r="AT89" s="354"/>
      <c r="AU89" s="354"/>
      <c r="AV89" s="354"/>
      <c r="AW89" s="354"/>
      <c r="AX89" s="354"/>
      <c r="AY89" s="354"/>
      <c r="AZ89" s="354"/>
      <c r="BA89" s="354"/>
      <c r="BB89" s="354"/>
      <c r="BC89" s="354"/>
      <c r="BD89" s="354"/>
      <c r="BE89" s="354"/>
      <c r="BF89" s="354"/>
      <c r="BG89" s="354"/>
      <c r="BH89" s="354"/>
      <c r="BI89" s="354"/>
      <c r="BJ89" s="354"/>
      <c r="BK89" s="354"/>
      <c r="BL89" s="354"/>
      <c r="BM89" s="354"/>
      <c r="BN89" s="354"/>
      <c r="BO89" s="354"/>
      <c r="BP89" s="354"/>
      <c r="BQ89" s="354"/>
      <c r="BR89" s="354"/>
      <c r="BS89" s="354"/>
      <c r="BT89" s="354"/>
    </row>
    <row r="90" spans="1:72" s="312" customFormat="1">
      <c r="A90" s="410"/>
      <c r="B90" s="411"/>
      <c r="C90" s="410"/>
      <c r="D90" s="412"/>
      <c r="E90" s="410"/>
      <c r="F90" s="410"/>
      <c r="G90" s="411"/>
      <c r="H90" s="411"/>
      <c r="I90" s="411"/>
      <c r="J90" s="410"/>
      <c r="K90" s="410"/>
      <c r="L90" s="410"/>
      <c r="M90" s="410"/>
      <c r="N90" s="410"/>
      <c r="O90" s="410"/>
      <c r="P90" s="410"/>
      <c r="Q90" s="410"/>
      <c r="R90" s="413"/>
      <c r="S90" s="413"/>
      <c r="T90" s="411"/>
      <c r="U90" s="413"/>
      <c r="V90" s="413"/>
      <c r="W90" s="348"/>
      <c r="X90" s="349"/>
      <c r="Y90" s="349"/>
      <c r="Z90" s="349"/>
      <c r="AA90" s="349"/>
      <c r="AB90" s="349"/>
      <c r="AC90" s="354"/>
      <c r="AD90" s="354"/>
      <c r="AE90" s="354"/>
      <c r="AF90" s="354"/>
      <c r="AG90" s="354"/>
      <c r="AH90" s="354"/>
      <c r="AI90" s="354"/>
      <c r="AJ90" s="354"/>
      <c r="AK90" s="354"/>
      <c r="AL90" s="354"/>
      <c r="AM90" s="354"/>
      <c r="AN90" s="354"/>
      <c r="AO90" s="354"/>
      <c r="AP90" s="354"/>
      <c r="AQ90" s="354"/>
      <c r="AR90" s="354"/>
      <c r="AS90" s="354"/>
      <c r="AT90" s="354"/>
      <c r="AU90" s="354"/>
      <c r="AV90" s="354"/>
      <c r="AW90" s="354"/>
      <c r="AX90" s="354"/>
      <c r="AY90" s="354"/>
      <c r="AZ90" s="354"/>
      <c r="BA90" s="354"/>
      <c r="BB90" s="354"/>
      <c r="BC90" s="354"/>
      <c r="BD90" s="354"/>
      <c r="BE90" s="354"/>
      <c r="BF90" s="354"/>
      <c r="BG90" s="354"/>
      <c r="BH90" s="354"/>
      <c r="BI90" s="354"/>
      <c r="BJ90" s="354"/>
      <c r="BK90" s="354"/>
      <c r="BL90" s="354"/>
      <c r="BM90" s="354"/>
      <c r="BN90" s="354"/>
      <c r="BO90" s="354"/>
      <c r="BP90" s="354"/>
      <c r="BQ90" s="354"/>
      <c r="BR90" s="354"/>
      <c r="BS90" s="354"/>
      <c r="BT90" s="354"/>
    </row>
    <row r="91" spans="1:72" s="312" customFormat="1">
      <c r="A91" s="410"/>
      <c r="B91" s="411"/>
      <c r="C91" s="410"/>
      <c r="D91" s="412"/>
      <c r="E91" s="410"/>
      <c r="F91" s="410"/>
      <c r="G91" s="411"/>
      <c r="H91" s="411"/>
      <c r="I91" s="411"/>
      <c r="J91" s="410"/>
      <c r="K91" s="410"/>
      <c r="L91" s="410"/>
      <c r="M91" s="410"/>
      <c r="N91" s="410"/>
      <c r="O91" s="410"/>
      <c r="P91" s="410"/>
      <c r="Q91" s="410"/>
      <c r="R91" s="413"/>
      <c r="S91" s="413"/>
      <c r="T91" s="411"/>
      <c r="U91" s="413"/>
      <c r="V91" s="413"/>
      <c r="W91" s="348"/>
      <c r="X91" s="349"/>
      <c r="Y91" s="349"/>
      <c r="Z91" s="349"/>
      <c r="AA91" s="349"/>
      <c r="AB91" s="349"/>
      <c r="AC91" s="354"/>
      <c r="AD91" s="354"/>
      <c r="AE91" s="354"/>
      <c r="AF91" s="354"/>
      <c r="AG91" s="354"/>
      <c r="AH91" s="354"/>
      <c r="AI91" s="354"/>
      <c r="AJ91" s="354"/>
      <c r="AK91" s="354"/>
      <c r="AL91" s="354"/>
      <c r="AM91" s="354"/>
      <c r="AN91" s="354"/>
      <c r="AO91" s="354"/>
      <c r="AP91" s="354"/>
      <c r="AQ91" s="354"/>
      <c r="AR91" s="354"/>
      <c r="AS91" s="354"/>
      <c r="AT91" s="354"/>
      <c r="AU91" s="354"/>
      <c r="AV91" s="354"/>
      <c r="AW91" s="354"/>
      <c r="AX91" s="354"/>
      <c r="AY91" s="354"/>
      <c r="AZ91" s="354"/>
      <c r="BA91" s="354"/>
      <c r="BB91" s="354"/>
      <c r="BC91" s="354"/>
      <c r="BD91" s="354"/>
      <c r="BE91" s="354"/>
      <c r="BF91" s="354"/>
      <c r="BG91" s="354"/>
      <c r="BH91" s="354"/>
      <c r="BI91" s="354"/>
      <c r="BJ91" s="354"/>
      <c r="BK91" s="354"/>
      <c r="BL91" s="354"/>
      <c r="BM91" s="354"/>
      <c r="BN91" s="354"/>
      <c r="BO91" s="354"/>
      <c r="BP91" s="354"/>
      <c r="BQ91" s="354"/>
      <c r="BR91" s="354"/>
      <c r="BS91" s="354"/>
      <c r="BT91" s="354"/>
    </row>
    <row r="92" spans="1:72" s="312" customFormat="1">
      <c r="A92" s="410"/>
      <c r="B92" s="411"/>
      <c r="C92" s="410"/>
      <c r="D92" s="412"/>
      <c r="E92" s="410"/>
      <c r="F92" s="410"/>
      <c r="G92" s="411"/>
      <c r="H92" s="411"/>
      <c r="I92" s="411"/>
      <c r="J92" s="410"/>
      <c r="K92" s="410"/>
      <c r="L92" s="410"/>
      <c r="M92" s="410"/>
      <c r="N92" s="410"/>
      <c r="O92" s="410"/>
      <c r="P92" s="410"/>
      <c r="Q92" s="410"/>
      <c r="R92" s="413"/>
      <c r="S92" s="413"/>
      <c r="T92" s="411"/>
      <c r="U92" s="413"/>
      <c r="V92" s="413"/>
      <c r="W92" s="348"/>
      <c r="X92" s="349"/>
      <c r="Y92" s="349"/>
      <c r="Z92" s="349"/>
      <c r="AA92" s="349"/>
      <c r="AB92" s="349"/>
      <c r="AC92" s="354"/>
      <c r="AD92" s="354"/>
      <c r="AE92" s="354"/>
      <c r="AF92" s="354"/>
      <c r="AG92" s="354"/>
      <c r="AH92" s="354"/>
      <c r="AI92" s="354"/>
      <c r="AJ92" s="354"/>
      <c r="AK92" s="354"/>
      <c r="AL92" s="354"/>
      <c r="AM92" s="354"/>
      <c r="AN92" s="354"/>
      <c r="AO92" s="354"/>
      <c r="AP92" s="354"/>
      <c r="AQ92" s="354"/>
      <c r="AR92" s="354"/>
      <c r="AS92" s="354"/>
      <c r="AT92" s="354"/>
      <c r="AU92" s="354"/>
      <c r="AV92" s="354"/>
      <c r="AW92" s="354"/>
      <c r="AX92" s="354"/>
      <c r="AY92" s="354"/>
      <c r="AZ92" s="354"/>
      <c r="BA92" s="354"/>
      <c r="BB92" s="354"/>
      <c r="BC92" s="354"/>
      <c r="BD92" s="354"/>
      <c r="BE92" s="354"/>
      <c r="BF92" s="354"/>
      <c r="BG92" s="354"/>
      <c r="BH92" s="354"/>
      <c r="BI92" s="354"/>
      <c r="BJ92" s="354"/>
      <c r="BK92" s="354"/>
      <c r="BL92" s="354"/>
      <c r="BM92" s="354"/>
      <c r="BN92" s="354"/>
      <c r="BO92" s="354"/>
      <c r="BP92" s="354"/>
      <c r="BQ92" s="354"/>
      <c r="BR92" s="354"/>
      <c r="BS92" s="354"/>
      <c r="BT92" s="354"/>
    </row>
    <row r="93" spans="1:72" s="312" customFormat="1">
      <c r="A93" s="410"/>
      <c r="B93" s="411"/>
      <c r="C93" s="410"/>
      <c r="D93" s="412"/>
      <c r="E93" s="410"/>
      <c r="F93" s="410"/>
      <c r="G93" s="411"/>
      <c r="H93" s="411"/>
      <c r="I93" s="411"/>
      <c r="J93" s="410"/>
      <c r="K93" s="410"/>
      <c r="L93" s="410"/>
      <c r="M93" s="410"/>
      <c r="N93" s="410"/>
      <c r="O93" s="410"/>
      <c r="P93" s="410"/>
      <c r="Q93" s="410"/>
      <c r="R93" s="413"/>
      <c r="S93" s="413"/>
      <c r="T93" s="411"/>
      <c r="U93" s="413"/>
      <c r="V93" s="413"/>
      <c r="W93" s="348"/>
      <c r="X93" s="349"/>
      <c r="Y93" s="349"/>
      <c r="Z93" s="349"/>
      <c r="AA93" s="349"/>
      <c r="AB93" s="349"/>
      <c r="AC93" s="354"/>
      <c r="AD93" s="354"/>
      <c r="AE93" s="354"/>
      <c r="AF93" s="354"/>
      <c r="AG93" s="354"/>
      <c r="AH93" s="354"/>
      <c r="AI93" s="354"/>
      <c r="AJ93" s="354"/>
      <c r="AK93" s="354"/>
      <c r="AL93" s="354"/>
      <c r="AM93" s="354"/>
      <c r="AN93" s="354"/>
      <c r="AO93" s="354"/>
      <c r="AP93" s="354"/>
      <c r="AQ93" s="354"/>
      <c r="AR93" s="354"/>
      <c r="AS93" s="354"/>
      <c r="AT93" s="354"/>
      <c r="AU93" s="354"/>
      <c r="AV93" s="354"/>
      <c r="AW93" s="354"/>
      <c r="AX93" s="354"/>
      <c r="AY93" s="354"/>
      <c r="AZ93" s="354"/>
      <c r="BA93" s="354"/>
      <c r="BB93" s="354"/>
      <c r="BC93" s="354"/>
      <c r="BD93" s="354"/>
      <c r="BE93" s="354"/>
      <c r="BF93" s="354"/>
      <c r="BG93" s="354"/>
      <c r="BH93" s="354"/>
      <c r="BI93" s="354"/>
      <c r="BJ93" s="354"/>
      <c r="BK93" s="354"/>
      <c r="BL93" s="354"/>
      <c r="BM93" s="354"/>
      <c r="BN93" s="354"/>
      <c r="BO93" s="354"/>
      <c r="BP93" s="354"/>
      <c r="BQ93" s="354"/>
      <c r="BR93" s="354"/>
      <c r="BS93" s="354"/>
      <c r="BT93" s="354"/>
    </row>
    <row r="94" spans="1:72" s="312" customFormat="1">
      <c r="A94" s="410"/>
      <c r="B94" s="411"/>
      <c r="C94" s="410"/>
      <c r="D94" s="412"/>
      <c r="E94" s="410"/>
      <c r="F94" s="410"/>
      <c r="G94" s="411"/>
      <c r="H94" s="411"/>
      <c r="I94" s="411"/>
      <c r="J94" s="410"/>
      <c r="K94" s="410"/>
      <c r="L94" s="410"/>
      <c r="M94" s="410"/>
      <c r="N94" s="410"/>
      <c r="O94" s="410"/>
      <c r="P94" s="410"/>
      <c r="Q94" s="410"/>
      <c r="R94" s="413"/>
      <c r="S94" s="413"/>
      <c r="T94" s="411"/>
      <c r="U94" s="413"/>
      <c r="V94" s="413"/>
      <c r="W94" s="348"/>
      <c r="X94" s="349"/>
      <c r="Y94" s="349"/>
      <c r="Z94" s="349"/>
      <c r="AA94" s="349"/>
      <c r="AB94" s="349"/>
      <c r="AC94" s="354"/>
      <c r="AD94" s="354"/>
      <c r="AE94" s="354"/>
      <c r="AF94" s="354"/>
      <c r="AG94" s="354"/>
      <c r="AH94" s="354"/>
      <c r="AI94" s="354"/>
      <c r="AJ94" s="354"/>
      <c r="AK94" s="354"/>
      <c r="AL94" s="354"/>
      <c r="AM94" s="354"/>
      <c r="AN94" s="354"/>
      <c r="AO94" s="354"/>
      <c r="AP94" s="354"/>
      <c r="AQ94" s="354"/>
      <c r="AR94" s="354"/>
      <c r="AS94" s="354"/>
      <c r="AT94" s="354"/>
      <c r="AU94" s="354"/>
      <c r="AV94" s="354"/>
      <c r="AW94" s="354"/>
      <c r="AX94" s="354"/>
      <c r="AY94" s="354"/>
      <c r="AZ94" s="354"/>
      <c r="BA94" s="354"/>
      <c r="BB94" s="354"/>
      <c r="BC94" s="354"/>
      <c r="BD94" s="354"/>
      <c r="BE94" s="354"/>
      <c r="BF94" s="354"/>
      <c r="BG94" s="354"/>
      <c r="BH94" s="354"/>
      <c r="BI94" s="354"/>
      <c r="BJ94" s="354"/>
      <c r="BK94" s="354"/>
      <c r="BL94" s="354"/>
      <c r="BM94" s="354"/>
      <c r="BN94" s="354"/>
      <c r="BO94" s="354"/>
      <c r="BP94" s="354"/>
      <c r="BQ94" s="354"/>
      <c r="BR94" s="354"/>
      <c r="BS94" s="354"/>
      <c r="BT94" s="354"/>
    </row>
    <row r="95" spans="1:72" s="312" customFormat="1">
      <c r="A95" s="410"/>
      <c r="B95" s="411"/>
      <c r="C95" s="410"/>
      <c r="D95" s="412"/>
      <c r="E95" s="410"/>
      <c r="F95" s="410"/>
      <c r="G95" s="411"/>
      <c r="H95" s="411"/>
      <c r="I95" s="411"/>
      <c r="J95" s="410"/>
      <c r="K95" s="410"/>
      <c r="L95" s="410"/>
      <c r="M95" s="410"/>
      <c r="N95" s="410"/>
      <c r="O95" s="410"/>
      <c r="P95" s="410"/>
      <c r="Q95" s="410"/>
      <c r="R95" s="413"/>
      <c r="S95" s="413"/>
      <c r="T95" s="411"/>
      <c r="U95" s="413"/>
      <c r="V95" s="413"/>
      <c r="W95" s="348"/>
      <c r="X95" s="349"/>
      <c r="Y95" s="349"/>
      <c r="Z95" s="349"/>
      <c r="AA95" s="349"/>
      <c r="AB95" s="349"/>
      <c r="AC95" s="354"/>
      <c r="AD95" s="354"/>
      <c r="AE95" s="354"/>
      <c r="AF95" s="354"/>
      <c r="AG95" s="354"/>
      <c r="AH95" s="354"/>
      <c r="AI95" s="354"/>
      <c r="AJ95" s="354"/>
      <c r="AK95" s="354"/>
      <c r="AL95" s="354"/>
      <c r="AM95" s="354"/>
      <c r="AN95" s="354"/>
      <c r="AO95" s="354"/>
      <c r="AP95" s="354"/>
      <c r="AQ95" s="354"/>
      <c r="AR95" s="354"/>
      <c r="AS95" s="354"/>
      <c r="AT95" s="354"/>
      <c r="AU95" s="354"/>
      <c r="AV95" s="354"/>
      <c r="AW95" s="354"/>
      <c r="AX95" s="354"/>
      <c r="AY95" s="354"/>
      <c r="AZ95" s="354"/>
      <c r="BA95" s="354"/>
      <c r="BB95" s="354"/>
      <c r="BC95" s="354"/>
      <c r="BD95" s="354"/>
      <c r="BE95" s="354"/>
      <c r="BF95" s="354"/>
      <c r="BG95" s="354"/>
      <c r="BH95" s="354"/>
      <c r="BI95" s="354"/>
      <c r="BJ95" s="354"/>
      <c r="BK95" s="354"/>
      <c r="BL95" s="354"/>
      <c r="BM95" s="354"/>
      <c r="BN95" s="354"/>
      <c r="BO95" s="354"/>
      <c r="BP95" s="354"/>
      <c r="BQ95" s="354"/>
      <c r="BR95" s="354"/>
      <c r="BS95" s="354"/>
      <c r="BT95" s="354"/>
    </row>
    <row r="96" spans="1:72" s="312" customFormat="1">
      <c r="A96" s="410"/>
      <c r="B96" s="411"/>
      <c r="C96" s="410"/>
      <c r="D96" s="412"/>
      <c r="E96" s="410"/>
      <c r="F96" s="410"/>
      <c r="G96" s="411"/>
      <c r="H96" s="411"/>
      <c r="I96" s="411"/>
      <c r="J96" s="410"/>
      <c r="K96" s="410"/>
      <c r="L96" s="410"/>
      <c r="M96" s="410"/>
      <c r="N96" s="410"/>
      <c r="O96" s="410"/>
      <c r="P96" s="410"/>
      <c r="Q96" s="410"/>
      <c r="R96" s="413"/>
      <c r="S96" s="413"/>
      <c r="T96" s="411"/>
      <c r="U96" s="413"/>
      <c r="V96" s="413"/>
      <c r="W96" s="348"/>
      <c r="X96" s="349"/>
      <c r="Y96" s="349"/>
      <c r="Z96" s="349"/>
      <c r="AA96" s="349"/>
      <c r="AB96" s="349"/>
      <c r="AC96" s="354"/>
      <c r="AD96" s="354"/>
      <c r="AE96" s="354"/>
      <c r="AF96" s="354"/>
      <c r="AG96" s="354"/>
      <c r="AH96" s="354"/>
      <c r="AI96" s="354"/>
      <c r="AJ96" s="354"/>
      <c r="AK96" s="354"/>
      <c r="AL96" s="354"/>
      <c r="AM96" s="354"/>
      <c r="AN96" s="354"/>
      <c r="AO96" s="354"/>
      <c r="AP96" s="354"/>
      <c r="AQ96" s="354"/>
      <c r="AR96" s="354"/>
      <c r="AS96" s="354"/>
      <c r="AT96" s="354"/>
      <c r="AU96" s="354"/>
      <c r="AV96" s="354"/>
      <c r="AW96" s="354"/>
      <c r="AX96" s="354"/>
      <c r="AY96" s="354"/>
      <c r="AZ96" s="354"/>
      <c r="BA96" s="354"/>
      <c r="BB96" s="354"/>
      <c r="BC96" s="354"/>
      <c r="BD96" s="354"/>
      <c r="BE96" s="354"/>
      <c r="BF96" s="354"/>
      <c r="BG96" s="354"/>
      <c r="BH96" s="354"/>
      <c r="BI96" s="354"/>
      <c r="BJ96" s="354"/>
      <c r="BK96" s="354"/>
      <c r="BL96" s="354"/>
      <c r="BM96" s="354"/>
      <c r="BN96" s="354"/>
      <c r="BO96" s="354"/>
      <c r="BP96" s="354"/>
      <c r="BQ96" s="354"/>
      <c r="BR96" s="354"/>
      <c r="BS96" s="354"/>
      <c r="BT96" s="354"/>
    </row>
    <row r="97" spans="1:72" s="312" customFormat="1">
      <c r="A97" s="410"/>
      <c r="B97" s="411"/>
      <c r="C97" s="410"/>
      <c r="D97" s="412"/>
      <c r="E97" s="410"/>
      <c r="F97" s="410"/>
      <c r="G97" s="411"/>
      <c r="H97" s="411"/>
      <c r="I97" s="411"/>
      <c r="J97" s="410"/>
      <c r="K97" s="410"/>
      <c r="L97" s="410"/>
      <c r="M97" s="410"/>
      <c r="N97" s="410"/>
      <c r="O97" s="410"/>
      <c r="P97" s="410"/>
      <c r="Q97" s="410"/>
      <c r="R97" s="413"/>
      <c r="S97" s="413"/>
      <c r="T97" s="411"/>
      <c r="U97" s="413"/>
      <c r="V97" s="413"/>
      <c r="W97" s="348"/>
      <c r="X97" s="349"/>
      <c r="Y97" s="349"/>
      <c r="Z97" s="349"/>
      <c r="AA97" s="349"/>
      <c r="AB97" s="349"/>
      <c r="AC97" s="354"/>
      <c r="AD97" s="354"/>
      <c r="AE97" s="354"/>
      <c r="AF97" s="354"/>
      <c r="AG97" s="354"/>
      <c r="AH97" s="354"/>
      <c r="AI97" s="354"/>
      <c r="AJ97" s="354"/>
      <c r="AK97" s="354"/>
      <c r="AL97" s="354"/>
      <c r="AM97" s="354"/>
      <c r="AN97" s="354"/>
      <c r="AO97" s="354"/>
      <c r="AP97" s="354"/>
      <c r="AQ97" s="354"/>
      <c r="AR97" s="354"/>
      <c r="AS97" s="354"/>
      <c r="AT97" s="354"/>
      <c r="AU97" s="354"/>
      <c r="AV97" s="354"/>
      <c r="AW97" s="354"/>
      <c r="AX97" s="354"/>
      <c r="AY97" s="354"/>
      <c r="AZ97" s="354"/>
      <c r="BA97" s="354"/>
      <c r="BB97" s="354"/>
      <c r="BC97" s="354"/>
      <c r="BD97" s="354"/>
      <c r="BE97" s="354"/>
      <c r="BF97" s="354"/>
      <c r="BG97" s="354"/>
      <c r="BH97" s="354"/>
      <c r="BI97" s="354"/>
      <c r="BJ97" s="354"/>
      <c r="BK97" s="354"/>
      <c r="BL97" s="354"/>
      <c r="BM97" s="354"/>
      <c r="BN97" s="354"/>
      <c r="BO97" s="354"/>
      <c r="BP97" s="354"/>
      <c r="BQ97" s="354"/>
      <c r="BR97" s="354"/>
      <c r="BS97" s="354"/>
      <c r="BT97" s="354"/>
    </row>
    <row r="98" spans="1:72" s="312" customFormat="1">
      <c r="A98" s="410"/>
      <c r="B98" s="411"/>
      <c r="C98" s="410"/>
      <c r="D98" s="412"/>
      <c r="E98" s="410"/>
      <c r="F98" s="410"/>
      <c r="G98" s="411"/>
      <c r="H98" s="411"/>
      <c r="I98" s="411"/>
      <c r="J98" s="410"/>
      <c r="K98" s="410"/>
      <c r="L98" s="410"/>
      <c r="M98" s="410"/>
      <c r="N98" s="410"/>
      <c r="O98" s="410"/>
      <c r="P98" s="410"/>
      <c r="Q98" s="410"/>
      <c r="R98" s="413"/>
      <c r="S98" s="413"/>
      <c r="T98" s="411"/>
      <c r="U98" s="413"/>
      <c r="V98" s="413"/>
      <c r="W98" s="348"/>
      <c r="X98" s="349"/>
      <c r="Y98" s="349"/>
      <c r="Z98" s="349"/>
      <c r="AA98" s="349"/>
      <c r="AB98" s="349"/>
      <c r="AC98" s="354"/>
      <c r="AD98" s="354"/>
      <c r="AE98" s="354"/>
      <c r="AF98" s="354"/>
      <c r="AG98" s="354"/>
      <c r="AH98" s="354"/>
      <c r="AI98" s="354"/>
      <c r="AJ98" s="354"/>
      <c r="AK98" s="354"/>
      <c r="AL98" s="354"/>
      <c r="AM98" s="354"/>
      <c r="AN98" s="354"/>
      <c r="AO98" s="354"/>
      <c r="AP98" s="354"/>
      <c r="AQ98" s="354"/>
      <c r="AR98" s="354"/>
      <c r="AS98" s="354"/>
      <c r="AT98" s="354"/>
      <c r="AU98" s="354"/>
      <c r="AV98" s="354"/>
      <c r="AW98" s="354"/>
      <c r="AX98" s="354"/>
      <c r="AY98" s="354"/>
      <c r="AZ98" s="354"/>
      <c r="BA98" s="354"/>
      <c r="BB98" s="354"/>
      <c r="BC98" s="354"/>
      <c r="BD98" s="354"/>
      <c r="BE98" s="354"/>
      <c r="BF98" s="354"/>
      <c r="BG98" s="354"/>
      <c r="BH98" s="354"/>
      <c r="BI98" s="354"/>
      <c r="BJ98" s="354"/>
      <c r="BK98" s="354"/>
      <c r="BL98" s="354"/>
      <c r="BM98" s="354"/>
      <c r="BN98" s="354"/>
      <c r="BO98" s="354"/>
      <c r="BP98" s="354"/>
      <c r="BQ98" s="354"/>
      <c r="BR98" s="354"/>
      <c r="BS98" s="354"/>
      <c r="BT98" s="354"/>
    </row>
    <row r="99" spans="1:72" s="312" customFormat="1">
      <c r="A99" s="410"/>
      <c r="B99" s="411"/>
      <c r="C99" s="410"/>
      <c r="D99" s="412"/>
      <c r="E99" s="410"/>
      <c r="F99" s="410"/>
      <c r="G99" s="411"/>
      <c r="H99" s="411"/>
      <c r="I99" s="411"/>
      <c r="J99" s="410"/>
      <c r="K99" s="410"/>
      <c r="L99" s="410"/>
      <c r="M99" s="410"/>
      <c r="N99" s="410"/>
      <c r="O99" s="410"/>
      <c r="P99" s="410"/>
      <c r="Q99" s="410"/>
      <c r="R99" s="413"/>
      <c r="S99" s="413"/>
      <c r="T99" s="411"/>
      <c r="U99" s="413"/>
      <c r="V99" s="413"/>
      <c r="W99" s="348"/>
      <c r="X99" s="349"/>
      <c r="Y99" s="349"/>
      <c r="Z99" s="349"/>
      <c r="AA99" s="349"/>
      <c r="AB99" s="349"/>
      <c r="AC99" s="354"/>
      <c r="AD99" s="354"/>
      <c r="AE99" s="354"/>
      <c r="AF99" s="354"/>
      <c r="AG99" s="354"/>
      <c r="AH99" s="354"/>
      <c r="AI99" s="354"/>
      <c r="AJ99" s="354"/>
      <c r="AK99" s="354"/>
      <c r="AL99" s="354"/>
      <c r="AM99" s="354"/>
      <c r="AN99" s="354"/>
      <c r="AO99" s="354"/>
      <c r="AP99" s="354"/>
      <c r="AQ99" s="354"/>
      <c r="AR99" s="354"/>
      <c r="AS99" s="354"/>
      <c r="AT99" s="354"/>
      <c r="AU99" s="354"/>
      <c r="AV99" s="354"/>
      <c r="AW99" s="354"/>
      <c r="AX99" s="354"/>
      <c r="AY99" s="354"/>
      <c r="AZ99" s="354"/>
      <c r="BA99" s="354"/>
      <c r="BB99" s="354"/>
      <c r="BC99" s="354"/>
      <c r="BD99" s="354"/>
      <c r="BE99" s="354"/>
      <c r="BF99" s="354"/>
      <c r="BG99" s="354"/>
      <c r="BH99" s="354"/>
      <c r="BI99" s="354"/>
      <c r="BJ99" s="354"/>
      <c r="BK99" s="354"/>
      <c r="BL99" s="354"/>
      <c r="BM99" s="354"/>
      <c r="BN99" s="354"/>
      <c r="BO99" s="354"/>
      <c r="BP99" s="354"/>
      <c r="BQ99" s="354"/>
      <c r="BR99" s="354"/>
      <c r="BS99" s="354"/>
      <c r="BT99" s="354"/>
    </row>
    <row r="100" spans="1:72" s="312" customFormat="1">
      <c r="A100" s="410"/>
      <c r="B100" s="411"/>
      <c r="C100" s="410"/>
      <c r="D100" s="412"/>
      <c r="E100" s="410"/>
      <c r="F100" s="410"/>
      <c r="G100" s="411"/>
      <c r="H100" s="411"/>
      <c r="I100" s="411"/>
      <c r="J100" s="410"/>
      <c r="K100" s="410"/>
      <c r="L100" s="410"/>
      <c r="M100" s="410"/>
      <c r="N100" s="410"/>
      <c r="O100" s="410"/>
      <c r="P100" s="410"/>
      <c r="Q100" s="410"/>
      <c r="R100" s="413"/>
      <c r="S100" s="413"/>
      <c r="T100" s="411"/>
      <c r="U100" s="413"/>
      <c r="V100" s="413"/>
      <c r="W100" s="348"/>
      <c r="X100" s="349"/>
      <c r="Y100" s="349"/>
      <c r="Z100" s="349"/>
      <c r="AA100" s="349"/>
      <c r="AB100" s="349"/>
      <c r="AC100" s="354"/>
      <c r="AD100" s="354"/>
      <c r="AE100" s="354"/>
      <c r="AF100" s="354"/>
      <c r="AG100" s="354"/>
      <c r="AH100" s="354"/>
      <c r="AI100" s="354"/>
      <c r="AJ100" s="354"/>
      <c r="AK100" s="354"/>
      <c r="AL100" s="354"/>
      <c r="AM100" s="354"/>
      <c r="AN100" s="354"/>
      <c r="AO100" s="354"/>
      <c r="AP100" s="354"/>
      <c r="AQ100" s="354"/>
      <c r="AR100" s="354"/>
      <c r="AS100" s="354"/>
      <c r="AT100" s="354"/>
      <c r="AU100" s="354"/>
      <c r="AV100" s="354"/>
      <c r="AW100" s="354"/>
      <c r="AX100" s="354"/>
      <c r="AY100" s="354"/>
      <c r="AZ100" s="354"/>
      <c r="BA100" s="354"/>
      <c r="BB100" s="354"/>
      <c r="BC100" s="354"/>
      <c r="BD100" s="354"/>
      <c r="BE100" s="354"/>
      <c r="BF100" s="354"/>
      <c r="BG100" s="354"/>
      <c r="BH100" s="354"/>
      <c r="BI100" s="354"/>
      <c r="BJ100" s="354"/>
      <c r="BK100" s="354"/>
      <c r="BL100" s="354"/>
      <c r="BM100" s="354"/>
      <c r="BN100" s="354"/>
      <c r="BO100" s="354"/>
      <c r="BP100" s="354"/>
      <c r="BQ100" s="354"/>
      <c r="BR100" s="354"/>
      <c r="BS100" s="354"/>
      <c r="BT100" s="354"/>
    </row>
    <row r="101" spans="1:72" s="312" customFormat="1">
      <c r="A101" s="410"/>
      <c r="B101" s="411"/>
      <c r="C101" s="410"/>
      <c r="D101" s="412"/>
      <c r="E101" s="410"/>
      <c r="F101" s="410"/>
      <c r="G101" s="411"/>
      <c r="H101" s="411"/>
      <c r="I101" s="411"/>
      <c r="J101" s="410"/>
      <c r="K101" s="410"/>
      <c r="L101" s="410"/>
      <c r="M101" s="410"/>
      <c r="N101" s="410"/>
      <c r="O101" s="410"/>
      <c r="P101" s="410"/>
      <c r="Q101" s="410"/>
      <c r="R101" s="413"/>
      <c r="S101" s="413"/>
      <c r="T101" s="411"/>
      <c r="U101" s="413"/>
      <c r="V101" s="413"/>
      <c r="W101" s="348"/>
      <c r="X101" s="349"/>
      <c r="Y101" s="349"/>
      <c r="Z101" s="349"/>
      <c r="AA101" s="349"/>
      <c r="AB101" s="349"/>
      <c r="AC101" s="354"/>
      <c r="AD101" s="354"/>
      <c r="AE101" s="354"/>
      <c r="AF101" s="354"/>
      <c r="AG101" s="354"/>
      <c r="AH101" s="354"/>
      <c r="AI101" s="354"/>
      <c r="AJ101" s="354"/>
      <c r="AK101" s="354"/>
      <c r="AL101" s="354"/>
      <c r="AM101" s="354"/>
      <c r="AN101" s="354"/>
      <c r="AO101" s="354"/>
      <c r="AP101" s="354"/>
      <c r="AQ101" s="354"/>
      <c r="AR101" s="354"/>
      <c r="AS101" s="354"/>
      <c r="AT101" s="354"/>
      <c r="AU101" s="354"/>
      <c r="AV101" s="354"/>
      <c r="AW101" s="354"/>
      <c r="AX101" s="354"/>
      <c r="AY101" s="354"/>
      <c r="AZ101" s="354"/>
      <c r="BA101" s="354"/>
      <c r="BB101" s="354"/>
      <c r="BC101" s="354"/>
      <c r="BD101" s="354"/>
      <c r="BE101" s="354"/>
      <c r="BF101" s="354"/>
      <c r="BG101" s="354"/>
      <c r="BH101" s="354"/>
      <c r="BI101" s="354"/>
      <c r="BJ101" s="354"/>
      <c r="BK101" s="354"/>
      <c r="BL101" s="354"/>
      <c r="BM101" s="354"/>
      <c r="BN101" s="354"/>
      <c r="BO101" s="354"/>
      <c r="BP101" s="354"/>
      <c r="BQ101" s="354"/>
      <c r="BR101" s="354"/>
      <c r="BS101" s="354"/>
      <c r="BT101" s="354"/>
    </row>
    <row r="102" spans="1:72" s="312" customFormat="1">
      <c r="A102" s="410"/>
      <c r="B102" s="411"/>
      <c r="C102" s="410"/>
      <c r="D102" s="412"/>
      <c r="E102" s="410"/>
      <c r="F102" s="410"/>
      <c r="G102" s="411"/>
      <c r="H102" s="411"/>
      <c r="I102" s="411"/>
      <c r="J102" s="410"/>
      <c r="K102" s="410"/>
      <c r="L102" s="410"/>
      <c r="M102" s="410"/>
      <c r="N102" s="410"/>
      <c r="O102" s="410"/>
      <c r="P102" s="410"/>
      <c r="Q102" s="410"/>
      <c r="R102" s="413"/>
      <c r="S102" s="413"/>
      <c r="T102" s="411"/>
      <c r="U102" s="413"/>
      <c r="V102" s="413"/>
      <c r="W102" s="348"/>
      <c r="X102" s="349"/>
      <c r="Y102" s="349"/>
      <c r="Z102" s="349"/>
      <c r="AA102" s="349"/>
      <c r="AB102" s="349"/>
      <c r="AC102" s="354"/>
      <c r="AD102" s="354"/>
      <c r="AE102" s="354"/>
      <c r="AF102" s="354"/>
      <c r="AG102" s="354"/>
      <c r="AH102" s="354"/>
      <c r="AI102" s="354"/>
      <c r="AJ102" s="354"/>
      <c r="AK102" s="354"/>
      <c r="AL102" s="354"/>
      <c r="AM102" s="354"/>
      <c r="AN102" s="354"/>
      <c r="AO102" s="354"/>
      <c r="AP102" s="354"/>
      <c r="AQ102" s="354"/>
      <c r="AR102" s="354"/>
      <c r="AS102" s="354"/>
      <c r="AT102" s="354"/>
      <c r="AU102" s="354"/>
      <c r="AV102" s="354"/>
      <c r="AW102" s="354"/>
      <c r="AX102" s="354"/>
      <c r="AY102" s="354"/>
      <c r="AZ102" s="354"/>
      <c r="BA102" s="354"/>
      <c r="BB102" s="354"/>
      <c r="BC102" s="354"/>
      <c r="BD102" s="354"/>
      <c r="BE102" s="354"/>
      <c r="BF102" s="354"/>
      <c r="BG102" s="354"/>
      <c r="BH102" s="354"/>
      <c r="BI102" s="354"/>
      <c r="BJ102" s="354"/>
      <c r="BK102" s="354"/>
      <c r="BL102" s="354"/>
      <c r="BM102" s="354"/>
      <c r="BN102" s="354"/>
      <c r="BO102" s="354"/>
      <c r="BP102" s="354"/>
      <c r="BQ102" s="354"/>
      <c r="BR102" s="354"/>
      <c r="BS102" s="354"/>
      <c r="BT102" s="354"/>
    </row>
    <row r="103" spans="1:72" s="312" customFormat="1">
      <c r="A103" s="410"/>
      <c r="B103" s="411"/>
      <c r="C103" s="410"/>
      <c r="D103" s="412"/>
      <c r="E103" s="410"/>
      <c r="F103" s="410"/>
      <c r="G103" s="411"/>
      <c r="H103" s="411"/>
      <c r="I103" s="411"/>
      <c r="J103" s="410"/>
      <c r="K103" s="410"/>
      <c r="L103" s="410"/>
      <c r="M103" s="410"/>
      <c r="N103" s="410"/>
      <c r="O103" s="410"/>
      <c r="P103" s="410"/>
      <c r="Q103" s="410"/>
      <c r="R103" s="413"/>
      <c r="S103" s="413"/>
      <c r="T103" s="411"/>
      <c r="U103" s="413"/>
      <c r="V103" s="413"/>
      <c r="W103" s="348"/>
      <c r="X103" s="349"/>
      <c r="Y103" s="349"/>
      <c r="Z103" s="349"/>
      <c r="AA103" s="349"/>
      <c r="AB103" s="349"/>
      <c r="AC103" s="354"/>
      <c r="AD103" s="354"/>
      <c r="AE103" s="354"/>
      <c r="AF103" s="354"/>
      <c r="AG103" s="354"/>
      <c r="AH103" s="354"/>
      <c r="AI103" s="354"/>
      <c r="AJ103" s="354"/>
      <c r="AK103" s="354"/>
      <c r="AL103" s="354"/>
      <c r="AM103" s="354"/>
      <c r="AN103" s="354"/>
      <c r="AO103" s="354"/>
      <c r="AP103" s="354"/>
      <c r="AQ103" s="354"/>
      <c r="AR103" s="354"/>
      <c r="AS103" s="354"/>
      <c r="AT103" s="354"/>
      <c r="AU103" s="354"/>
      <c r="AV103" s="354"/>
      <c r="AW103" s="354"/>
      <c r="AX103" s="354"/>
      <c r="AY103" s="354"/>
      <c r="AZ103" s="354"/>
      <c r="BA103" s="354"/>
      <c r="BB103" s="354"/>
      <c r="BC103" s="354"/>
      <c r="BD103" s="354"/>
      <c r="BE103" s="354"/>
      <c r="BF103" s="354"/>
      <c r="BG103" s="354"/>
      <c r="BH103" s="354"/>
      <c r="BI103" s="354"/>
      <c r="BJ103" s="354"/>
      <c r="BK103" s="354"/>
      <c r="BL103" s="354"/>
      <c r="BM103" s="354"/>
      <c r="BN103" s="354"/>
      <c r="BO103" s="354"/>
      <c r="BP103" s="354"/>
      <c r="BQ103" s="354"/>
      <c r="BR103" s="354"/>
      <c r="BS103" s="354"/>
      <c r="BT103" s="354"/>
    </row>
    <row r="104" spans="1:72" s="312" customFormat="1">
      <c r="A104" s="410"/>
      <c r="B104" s="411"/>
      <c r="C104" s="410"/>
      <c r="D104" s="412"/>
      <c r="E104" s="410"/>
      <c r="F104" s="410"/>
      <c r="G104" s="411"/>
      <c r="H104" s="411"/>
      <c r="I104" s="411"/>
      <c r="J104" s="410"/>
      <c r="K104" s="410"/>
      <c r="L104" s="410"/>
      <c r="M104" s="410"/>
      <c r="N104" s="410"/>
      <c r="O104" s="410"/>
      <c r="P104" s="410"/>
      <c r="Q104" s="410"/>
      <c r="R104" s="413"/>
      <c r="S104" s="413"/>
      <c r="T104" s="411"/>
      <c r="U104" s="413"/>
      <c r="V104" s="413"/>
      <c r="W104" s="348"/>
      <c r="X104" s="349"/>
      <c r="Y104" s="349"/>
      <c r="Z104" s="349"/>
      <c r="AA104" s="349"/>
      <c r="AB104" s="349"/>
      <c r="AC104" s="354"/>
      <c r="AD104" s="354"/>
      <c r="AE104" s="354"/>
      <c r="AF104" s="354"/>
      <c r="AG104" s="354"/>
      <c r="AH104" s="354"/>
      <c r="AI104" s="354"/>
      <c r="AJ104" s="354"/>
      <c r="AK104" s="354"/>
      <c r="AL104" s="354"/>
      <c r="AM104" s="354"/>
      <c r="AN104" s="354"/>
      <c r="AO104" s="354"/>
      <c r="AP104" s="354"/>
      <c r="AQ104" s="354"/>
      <c r="AR104" s="354"/>
      <c r="AS104" s="354"/>
      <c r="AT104" s="354"/>
      <c r="AU104" s="354"/>
      <c r="AV104" s="354"/>
      <c r="AW104" s="354"/>
      <c r="AX104" s="354"/>
      <c r="AY104" s="354"/>
      <c r="AZ104" s="354"/>
      <c r="BA104" s="354"/>
      <c r="BB104" s="354"/>
      <c r="BC104" s="354"/>
      <c r="BD104" s="354"/>
      <c r="BE104" s="354"/>
      <c r="BF104" s="354"/>
      <c r="BG104" s="354"/>
      <c r="BH104" s="354"/>
      <c r="BI104" s="354"/>
      <c r="BJ104" s="354"/>
      <c r="BK104" s="354"/>
      <c r="BL104" s="354"/>
      <c r="BM104" s="354"/>
      <c r="BN104" s="354"/>
      <c r="BO104" s="354"/>
      <c r="BP104" s="354"/>
      <c r="BQ104" s="354"/>
      <c r="BR104" s="354"/>
      <c r="BS104" s="354"/>
      <c r="BT104" s="354"/>
    </row>
    <row r="105" spans="1:72" s="312" customFormat="1">
      <c r="A105" s="410"/>
      <c r="B105" s="411"/>
      <c r="C105" s="410"/>
      <c r="D105" s="412"/>
      <c r="E105" s="410"/>
      <c r="F105" s="410"/>
      <c r="G105" s="411"/>
      <c r="H105" s="411"/>
      <c r="I105" s="411"/>
      <c r="J105" s="410"/>
      <c r="K105" s="410"/>
      <c r="L105" s="410"/>
      <c r="M105" s="410"/>
      <c r="N105" s="410"/>
      <c r="O105" s="410"/>
      <c r="P105" s="410"/>
      <c r="Q105" s="410"/>
      <c r="R105" s="413"/>
      <c r="S105" s="413"/>
      <c r="T105" s="411"/>
      <c r="U105" s="413"/>
      <c r="V105" s="413"/>
      <c r="W105" s="348"/>
      <c r="X105" s="349"/>
      <c r="Y105" s="349"/>
      <c r="Z105" s="349"/>
      <c r="AA105" s="349"/>
      <c r="AB105" s="349"/>
      <c r="AC105" s="354"/>
      <c r="AD105" s="354"/>
      <c r="AE105" s="354"/>
      <c r="AF105" s="354"/>
      <c r="AG105" s="354"/>
      <c r="AH105" s="354"/>
      <c r="AI105" s="354"/>
      <c r="AJ105" s="354"/>
      <c r="AK105" s="354"/>
      <c r="AL105" s="354"/>
      <c r="AM105" s="354"/>
      <c r="AN105" s="354"/>
      <c r="AO105" s="354"/>
      <c r="AP105" s="354"/>
      <c r="AQ105" s="354"/>
      <c r="AR105" s="354"/>
      <c r="AS105" s="354"/>
      <c r="AT105" s="354"/>
      <c r="AU105" s="354"/>
      <c r="AV105" s="354"/>
      <c r="AW105" s="354"/>
      <c r="AX105" s="354"/>
      <c r="AY105" s="354"/>
      <c r="AZ105" s="354"/>
      <c r="BA105" s="354"/>
      <c r="BB105" s="354"/>
      <c r="BC105" s="354"/>
      <c r="BD105" s="354"/>
      <c r="BE105" s="354"/>
      <c r="BF105" s="354"/>
      <c r="BG105" s="354"/>
      <c r="BH105" s="354"/>
      <c r="BI105" s="354"/>
      <c r="BJ105" s="354"/>
      <c r="BK105" s="354"/>
      <c r="BL105" s="354"/>
      <c r="BM105" s="354"/>
      <c r="BN105" s="354"/>
      <c r="BO105" s="354"/>
      <c r="BP105" s="354"/>
      <c r="BQ105" s="354"/>
      <c r="BR105" s="354"/>
      <c r="BS105" s="354"/>
      <c r="BT105" s="354"/>
    </row>
    <row r="106" spans="1:72" s="312" customFormat="1">
      <c r="A106" s="410"/>
      <c r="B106" s="411"/>
      <c r="C106" s="410"/>
      <c r="D106" s="412"/>
      <c r="E106" s="410"/>
      <c r="F106" s="410"/>
      <c r="G106" s="411"/>
      <c r="H106" s="411"/>
      <c r="I106" s="411"/>
      <c r="J106" s="410"/>
      <c r="K106" s="410"/>
      <c r="L106" s="410"/>
      <c r="M106" s="410"/>
      <c r="N106" s="410"/>
      <c r="O106" s="410"/>
      <c r="P106" s="410"/>
      <c r="Q106" s="410"/>
      <c r="R106" s="413"/>
      <c r="S106" s="413"/>
      <c r="T106" s="411"/>
      <c r="U106" s="413"/>
      <c r="V106" s="413"/>
      <c r="W106" s="348"/>
      <c r="X106" s="349"/>
      <c r="Y106" s="349"/>
      <c r="Z106" s="349"/>
      <c r="AA106" s="349"/>
      <c r="AB106" s="349"/>
      <c r="AC106" s="354"/>
      <c r="AD106" s="354"/>
      <c r="AE106" s="354"/>
      <c r="AF106" s="354"/>
      <c r="AG106" s="354"/>
      <c r="AH106" s="354"/>
      <c r="AI106" s="354"/>
      <c r="AJ106" s="354"/>
      <c r="AK106" s="354"/>
      <c r="AL106" s="354"/>
      <c r="AM106" s="354"/>
      <c r="AN106" s="354"/>
      <c r="AO106" s="354"/>
      <c r="AP106" s="354"/>
      <c r="AQ106" s="354"/>
      <c r="AR106" s="354"/>
      <c r="AS106" s="354"/>
      <c r="AT106" s="354"/>
      <c r="AU106" s="354"/>
      <c r="AV106" s="354"/>
      <c r="AW106" s="354"/>
      <c r="AX106" s="354"/>
      <c r="AY106" s="354"/>
      <c r="AZ106" s="354"/>
      <c r="BA106" s="354"/>
      <c r="BB106" s="354"/>
      <c r="BC106" s="354"/>
      <c r="BD106" s="354"/>
      <c r="BE106" s="354"/>
      <c r="BF106" s="354"/>
      <c r="BG106" s="354"/>
      <c r="BH106" s="354"/>
      <c r="BI106" s="354"/>
      <c r="BJ106" s="354"/>
      <c r="BK106" s="354"/>
      <c r="BL106" s="354"/>
      <c r="BM106" s="354"/>
      <c r="BN106" s="354"/>
      <c r="BO106" s="354"/>
      <c r="BP106" s="354"/>
      <c r="BQ106" s="354"/>
      <c r="BR106" s="354"/>
      <c r="BS106" s="354"/>
      <c r="BT106" s="354"/>
    </row>
    <row r="107" spans="1:72" s="312" customFormat="1">
      <c r="A107" s="410"/>
      <c r="B107" s="411"/>
      <c r="C107" s="410"/>
      <c r="D107" s="412"/>
      <c r="E107" s="410"/>
      <c r="F107" s="410"/>
      <c r="G107" s="411"/>
      <c r="H107" s="411"/>
      <c r="I107" s="411"/>
      <c r="J107" s="410"/>
      <c r="K107" s="410"/>
      <c r="L107" s="410"/>
      <c r="M107" s="410"/>
      <c r="N107" s="410"/>
      <c r="O107" s="410"/>
      <c r="P107" s="410"/>
      <c r="Q107" s="410"/>
      <c r="R107" s="413"/>
      <c r="S107" s="413"/>
      <c r="T107" s="411"/>
      <c r="U107" s="413"/>
      <c r="V107" s="413"/>
      <c r="W107" s="348"/>
      <c r="X107" s="349"/>
      <c r="Y107" s="349"/>
      <c r="Z107" s="349"/>
      <c r="AA107" s="349"/>
      <c r="AB107" s="349"/>
      <c r="AC107" s="354"/>
      <c r="AD107" s="354"/>
      <c r="AE107" s="354"/>
      <c r="AF107" s="354"/>
      <c r="AG107" s="354"/>
      <c r="AH107" s="354"/>
      <c r="AI107" s="354"/>
      <c r="AJ107" s="354"/>
      <c r="AK107" s="354"/>
      <c r="AL107" s="354"/>
      <c r="AM107" s="354"/>
      <c r="AN107" s="354"/>
      <c r="AO107" s="354"/>
      <c r="AP107" s="354"/>
      <c r="AQ107" s="354"/>
      <c r="AR107" s="354"/>
      <c r="AS107" s="354"/>
      <c r="AT107" s="354"/>
      <c r="AU107" s="354"/>
      <c r="AV107" s="354"/>
      <c r="AW107" s="354"/>
      <c r="AX107" s="354"/>
      <c r="AY107" s="354"/>
      <c r="AZ107" s="354"/>
      <c r="BA107" s="354"/>
      <c r="BB107" s="354"/>
      <c r="BC107" s="354"/>
      <c r="BD107" s="354"/>
      <c r="BE107" s="354"/>
      <c r="BF107" s="354"/>
      <c r="BG107" s="354"/>
      <c r="BH107" s="354"/>
      <c r="BI107" s="354"/>
      <c r="BJ107" s="354"/>
      <c r="BK107" s="354"/>
      <c r="BL107" s="354"/>
      <c r="BM107" s="354"/>
      <c r="BN107" s="354"/>
      <c r="BO107" s="354"/>
      <c r="BP107" s="354"/>
      <c r="BQ107" s="354"/>
      <c r="BR107" s="354"/>
      <c r="BS107" s="354"/>
      <c r="BT107" s="354"/>
    </row>
    <row r="108" spans="1:72" s="312" customFormat="1">
      <c r="A108" s="410"/>
      <c r="B108" s="411"/>
      <c r="C108" s="410"/>
      <c r="D108" s="412"/>
      <c r="E108" s="410"/>
      <c r="F108" s="410"/>
      <c r="G108" s="411"/>
      <c r="H108" s="411"/>
      <c r="I108" s="411"/>
      <c r="J108" s="410"/>
      <c r="K108" s="410"/>
      <c r="L108" s="410"/>
      <c r="M108" s="410"/>
      <c r="N108" s="410"/>
      <c r="O108" s="410"/>
      <c r="P108" s="410"/>
      <c r="Q108" s="410"/>
      <c r="R108" s="413"/>
      <c r="S108" s="413"/>
      <c r="T108" s="411"/>
      <c r="U108" s="413"/>
      <c r="V108" s="413"/>
      <c r="W108" s="348"/>
      <c r="X108" s="349"/>
      <c r="Y108" s="349"/>
      <c r="Z108" s="349"/>
      <c r="AA108" s="349"/>
      <c r="AB108" s="349"/>
      <c r="AC108" s="354"/>
      <c r="AD108" s="354"/>
      <c r="AE108" s="354"/>
      <c r="AF108" s="354"/>
      <c r="AG108" s="354"/>
      <c r="AH108" s="354"/>
      <c r="AI108" s="354"/>
      <c r="AJ108" s="354"/>
      <c r="AK108" s="354"/>
      <c r="AL108" s="354"/>
      <c r="AM108" s="354"/>
      <c r="AN108" s="354"/>
      <c r="AO108" s="354"/>
      <c r="AP108" s="354"/>
      <c r="AQ108" s="354"/>
      <c r="AR108" s="354"/>
      <c r="AS108" s="354"/>
      <c r="AT108" s="354"/>
      <c r="AU108" s="354"/>
      <c r="AV108" s="354"/>
      <c r="AW108" s="354"/>
      <c r="AX108" s="354"/>
      <c r="AY108" s="354"/>
      <c r="AZ108" s="354"/>
      <c r="BA108" s="354"/>
      <c r="BB108" s="354"/>
      <c r="BC108" s="354"/>
      <c r="BD108" s="354"/>
      <c r="BE108" s="354"/>
      <c r="BF108" s="354"/>
      <c r="BG108" s="354"/>
      <c r="BH108" s="354"/>
      <c r="BI108" s="354"/>
      <c r="BJ108" s="354"/>
      <c r="BK108" s="354"/>
      <c r="BL108" s="354"/>
      <c r="BM108" s="354"/>
      <c r="BN108" s="354"/>
      <c r="BO108" s="354"/>
      <c r="BP108" s="354"/>
      <c r="BQ108" s="354"/>
      <c r="BR108" s="354"/>
      <c r="BS108" s="354"/>
      <c r="BT108" s="354"/>
    </row>
    <row r="109" spans="1:72" s="312" customFormat="1">
      <c r="A109" s="410"/>
      <c r="B109" s="411"/>
      <c r="C109" s="410"/>
      <c r="D109" s="412"/>
      <c r="E109" s="410"/>
      <c r="F109" s="410"/>
      <c r="G109" s="411"/>
      <c r="H109" s="411"/>
      <c r="I109" s="411"/>
      <c r="J109" s="410"/>
      <c r="K109" s="410"/>
      <c r="L109" s="410"/>
      <c r="M109" s="410"/>
      <c r="N109" s="410"/>
      <c r="O109" s="410"/>
      <c r="P109" s="410"/>
      <c r="Q109" s="410"/>
      <c r="R109" s="413"/>
      <c r="S109" s="413"/>
      <c r="T109" s="411"/>
      <c r="U109" s="413"/>
      <c r="V109" s="413"/>
      <c r="W109" s="348"/>
      <c r="X109" s="349"/>
      <c r="Y109" s="349"/>
      <c r="Z109" s="349"/>
      <c r="AA109" s="349"/>
      <c r="AB109" s="349"/>
      <c r="AC109" s="354"/>
      <c r="AD109" s="354"/>
      <c r="AE109" s="354"/>
      <c r="AF109" s="354"/>
      <c r="AG109" s="354"/>
      <c r="AH109" s="354"/>
      <c r="AI109" s="354"/>
      <c r="AJ109" s="354"/>
      <c r="AK109" s="354"/>
      <c r="AL109" s="354"/>
      <c r="AM109" s="354"/>
      <c r="AN109" s="354"/>
      <c r="AO109" s="354"/>
      <c r="AP109" s="354"/>
      <c r="AQ109" s="354"/>
      <c r="AR109" s="354"/>
      <c r="AS109" s="354"/>
      <c r="AT109" s="354"/>
      <c r="AU109" s="354"/>
      <c r="AV109" s="354"/>
      <c r="AW109" s="354"/>
      <c r="AX109" s="354"/>
      <c r="AY109" s="354"/>
      <c r="AZ109" s="354"/>
      <c r="BA109" s="354"/>
      <c r="BB109" s="354"/>
      <c r="BC109" s="354"/>
      <c r="BD109" s="354"/>
      <c r="BE109" s="354"/>
      <c r="BF109" s="354"/>
      <c r="BG109" s="354"/>
      <c r="BH109" s="354"/>
      <c r="BI109" s="354"/>
      <c r="BJ109" s="354"/>
      <c r="BK109" s="354"/>
      <c r="BL109" s="354"/>
      <c r="BM109" s="354"/>
      <c r="BN109" s="354"/>
      <c r="BO109" s="354"/>
      <c r="BP109" s="354"/>
      <c r="BQ109" s="354"/>
      <c r="BR109" s="354"/>
      <c r="BS109" s="354"/>
      <c r="BT109" s="354"/>
    </row>
    <row r="110" spans="1:72" s="312" customFormat="1">
      <c r="A110" s="410"/>
      <c r="B110" s="411"/>
      <c r="C110" s="410"/>
      <c r="D110" s="412"/>
      <c r="E110" s="410"/>
      <c r="F110" s="410"/>
      <c r="G110" s="411"/>
      <c r="H110" s="411"/>
      <c r="I110" s="411"/>
      <c r="J110" s="410"/>
      <c r="K110" s="410"/>
      <c r="L110" s="410"/>
      <c r="M110" s="410"/>
      <c r="N110" s="410"/>
      <c r="O110" s="410"/>
      <c r="P110" s="410"/>
      <c r="Q110" s="410"/>
      <c r="R110" s="413"/>
      <c r="S110" s="413"/>
      <c r="T110" s="411"/>
      <c r="U110" s="413"/>
      <c r="V110" s="413"/>
      <c r="W110" s="348"/>
      <c r="X110" s="349"/>
      <c r="Y110" s="349"/>
      <c r="Z110" s="349"/>
      <c r="AA110" s="349"/>
      <c r="AB110" s="349"/>
      <c r="AC110" s="354"/>
      <c r="AD110" s="354"/>
      <c r="AE110" s="354"/>
      <c r="AF110" s="354"/>
      <c r="AG110" s="354"/>
      <c r="AH110" s="354"/>
      <c r="AI110" s="354"/>
      <c r="AJ110" s="354"/>
      <c r="AK110" s="354"/>
      <c r="AL110" s="354"/>
      <c r="AM110" s="354"/>
      <c r="AN110" s="354"/>
      <c r="AO110" s="354"/>
      <c r="AP110" s="354"/>
      <c r="AQ110" s="354"/>
      <c r="AR110" s="354"/>
      <c r="AS110" s="354"/>
      <c r="AT110" s="354"/>
      <c r="AU110" s="354"/>
      <c r="AV110" s="354"/>
      <c r="AW110" s="354"/>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c r="BR110" s="354"/>
      <c r="BS110" s="354"/>
      <c r="BT110" s="354"/>
    </row>
    <row r="111" spans="1:72" s="312" customFormat="1">
      <c r="A111" s="410"/>
      <c r="B111" s="411"/>
      <c r="C111" s="410"/>
      <c r="D111" s="412"/>
      <c r="E111" s="410"/>
      <c r="F111" s="410"/>
      <c r="G111" s="411"/>
      <c r="H111" s="411"/>
      <c r="I111" s="411"/>
      <c r="J111" s="410"/>
      <c r="K111" s="410"/>
      <c r="L111" s="410"/>
      <c r="M111" s="410"/>
      <c r="N111" s="410"/>
      <c r="O111" s="410"/>
      <c r="P111" s="410"/>
      <c r="Q111" s="410"/>
      <c r="R111" s="413"/>
      <c r="S111" s="413"/>
      <c r="T111" s="411"/>
      <c r="U111" s="413"/>
      <c r="V111" s="413"/>
      <c r="W111" s="348"/>
      <c r="X111" s="349"/>
      <c r="Y111" s="349"/>
      <c r="Z111" s="349"/>
      <c r="AA111" s="349"/>
      <c r="AB111" s="349"/>
      <c r="AC111" s="354"/>
      <c r="AD111" s="354"/>
      <c r="AE111" s="354"/>
      <c r="AF111" s="354"/>
      <c r="AG111" s="354"/>
      <c r="AH111" s="354"/>
      <c r="AI111" s="354"/>
      <c r="AJ111" s="354"/>
      <c r="AK111" s="354"/>
      <c r="AL111" s="354"/>
      <c r="AM111" s="354"/>
      <c r="AN111" s="354"/>
      <c r="AO111" s="354"/>
      <c r="AP111" s="354"/>
      <c r="AQ111" s="354"/>
      <c r="AR111" s="354"/>
      <c r="AS111" s="354"/>
      <c r="AT111" s="354"/>
      <c r="AU111" s="354"/>
      <c r="AV111" s="354"/>
      <c r="AW111" s="354"/>
      <c r="AX111" s="354"/>
      <c r="AY111" s="354"/>
      <c r="AZ111" s="354"/>
      <c r="BA111" s="354"/>
      <c r="BB111" s="354"/>
      <c r="BC111" s="354"/>
      <c r="BD111" s="354"/>
      <c r="BE111" s="354"/>
      <c r="BF111" s="354"/>
      <c r="BG111" s="354"/>
      <c r="BH111" s="354"/>
      <c r="BI111" s="354"/>
      <c r="BJ111" s="354"/>
      <c r="BK111" s="354"/>
      <c r="BL111" s="354"/>
      <c r="BM111" s="354"/>
      <c r="BN111" s="354"/>
      <c r="BO111" s="354"/>
      <c r="BP111" s="354"/>
      <c r="BQ111" s="354"/>
      <c r="BR111" s="354"/>
      <c r="BS111" s="354"/>
      <c r="BT111" s="354"/>
    </row>
    <row r="112" spans="1:72" s="312" customFormat="1">
      <c r="A112" s="410"/>
      <c r="B112" s="411"/>
      <c r="C112" s="410"/>
      <c r="D112" s="412"/>
      <c r="E112" s="410"/>
      <c r="F112" s="410"/>
      <c r="G112" s="411"/>
      <c r="H112" s="411"/>
      <c r="I112" s="411"/>
      <c r="J112" s="410"/>
      <c r="K112" s="410"/>
      <c r="L112" s="410"/>
      <c r="M112" s="410"/>
      <c r="N112" s="410"/>
      <c r="O112" s="410"/>
      <c r="P112" s="410"/>
      <c r="Q112" s="410"/>
      <c r="R112" s="413"/>
      <c r="S112" s="413"/>
      <c r="T112" s="411"/>
      <c r="U112" s="413"/>
      <c r="V112" s="413"/>
      <c r="W112" s="348"/>
      <c r="X112" s="349"/>
      <c r="Y112" s="349"/>
      <c r="Z112" s="349"/>
      <c r="AA112" s="349"/>
      <c r="AB112" s="349"/>
      <c r="AC112" s="354"/>
      <c r="AD112" s="354"/>
      <c r="AE112" s="354"/>
      <c r="AF112" s="354"/>
      <c r="AG112" s="354"/>
      <c r="AH112" s="354"/>
      <c r="AI112" s="354"/>
      <c r="AJ112" s="354"/>
      <c r="AK112" s="354"/>
      <c r="AL112" s="354"/>
      <c r="AM112" s="354"/>
      <c r="AN112" s="354"/>
      <c r="AO112" s="354"/>
      <c r="AP112" s="354"/>
      <c r="AQ112" s="354"/>
      <c r="AR112" s="354"/>
      <c r="AS112" s="354"/>
      <c r="AT112" s="354"/>
      <c r="AU112" s="354"/>
      <c r="AV112" s="354"/>
      <c r="AW112" s="354"/>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4"/>
      <c r="BT112" s="354"/>
    </row>
    <row r="113" spans="1:72" s="312" customFormat="1">
      <c r="A113" s="410"/>
      <c r="B113" s="411"/>
      <c r="C113" s="410"/>
      <c r="D113" s="412"/>
      <c r="E113" s="410"/>
      <c r="F113" s="410"/>
      <c r="G113" s="411"/>
      <c r="H113" s="411"/>
      <c r="I113" s="411"/>
      <c r="J113" s="410"/>
      <c r="K113" s="410"/>
      <c r="L113" s="410"/>
      <c r="M113" s="410"/>
      <c r="N113" s="410"/>
      <c r="O113" s="410"/>
      <c r="P113" s="410"/>
      <c r="Q113" s="410"/>
      <c r="R113" s="413"/>
      <c r="S113" s="413"/>
      <c r="T113" s="411"/>
      <c r="U113" s="413"/>
      <c r="V113" s="413"/>
      <c r="W113" s="348"/>
      <c r="X113" s="349"/>
      <c r="Y113" s="349"/>
      <c r="Z113" s="349"/>
      <c r="AA113" s="349"/>
      <c r="AB113" s="349"/>
      <c r="AC113" s="354"/>
      <c r="AD113" s="354"/>
      <c r="AE113" s="354"/>
      <c r="AF113" s="354"/>
      <c r="AG113" s="354"/>
      <c r="AH113" s="354"/>
      <c r="AI113" s="354"/>
      <c r="AJ113" s="354"/>
      <c r="AK113" s="354"/>
      <c r="AL113" s="354"/>
      <c r="AM113" s="354"/>
      <c r="AN113" s="354"/>
      <c r="AO113" s="354"/>
      <c r="AP113" s="354"/>
      <c r="AQ113" s="354"/>
      <c r="AR113" s="354"/>
      <c r="AS113" s="354"/>
      <c r="AT113" s="354"/>
      <c r="AU113" s="354"/>
      <c r="AV113" s="354"/>
      <c r="AW113" s="354"/>
      <c r="AX113" s="354"/>
      <c r="AY113" s="354"/>
      <c r="AZ113" s="354"/>
      <c r="BA113" s="354"/>
      <c r="BB113" s="354"/>
      <c r="BC113" s="354"/>
      <c r="BD113" s="354"/>
      <c r="BE113" s="354"/>
      <c r="BF113" s="354"/>
      <c r="BG113" s="354"/>
      <c r="BH113" s="354"/>
      <c r="BI113" s="354"/>
      <c r="BJ113" s="354"/>
      <c r="BK113" s="354"/>
      <c r="BL113" s="354"/>
      <c r="BM113" s="354"/>
      <c r="BN113" s="354"/>
      <c r="BO113" s="354"/>
      <c r="BP113" s="354"/>
      <c r="BQ113" s="354"/>
      <c r="BR113" s="354"/>
      <c r="BS113" s="354"/>
      <c r="BT113" s="354"/>
    </row>
    <row r="114" spans="1:72" s="312" customFormat="1">
      <c r="A114" s="410"/>
      <c r="B114" s="411"/>
      <c r="C114" s="410"/>
      <c r="D114" s="412"/>
      <c r="E114" s="410"/>
      <c r="F114" s="410"/>
      <c r="G114" s="411"/>
      <c r="H114" s="411"/>
      <c r="I114" s="411"/>
      <c r="J114" s="410"/>
      <c r="K114" s="410"/>
      <c r="L114" s="410"/>
      <c r="M114" s="410"/>
      <c r="N114" s="410"/>
      <c r="O114" s="410"/>
      <c r="P114" s="410"/>
      <c r="Q114" s="410"/>
      <c r="R114" s="413"/>
      <c r="S114" s="413"/>
      <c r="T114" s="411"/>
      <c r="U114" s="413"/>
      <c r="V114" s="413"/>
      <c r="W114" s="348"/>
      <c r="X114" s="349"/>
      <c r="Y114" s="349"/>
      <c r="Z114" s="349"/>
      <c r="AA114" s="349"/>
      <c r="AB114" s="349"/>
      <c r="AC114" s="354"/>
      <c r="AD114" s="354"/>
      <c r="AE114" s="354"/>
      <c r="AF114" s="354"/>
      <c r="AG114" s="354"/>
      <c r="AH114" s="354"/>
      <c r="AI114" s="354"/>
      <c r="AJ114" s="354"/>
      <c r="AK114" s="354"/>
      <c r="AL114" s="354"/>
      <c r="AM114" s="354"/>
      <c r="AN114" s="354"/>
      <c r="AO114" s="354"/>
      <c r="AP114" s="354"/>
      <c r="AQ114" s="354"/>
      <c r="AR114" s="354"/>
      <c r="AS114" s="354"/>
      <c r="AT114" s="354"/>
      <c r="AU114" s="354"/>
      <c r="AV114" s="354"/>
      <c r="AW114" s="354"/>
      <c r="AX114" s="354"/>
      <c r="AY114" s="354"/>
      <c r="AZ114" s="354"/>
      <c r="BA114" s="354"/>
      <c r="BB114" s="354"/>
      <c r="BC114" s="354"/>
      <c r="BD114" s="354"/>
      <c r="BE114" s="354"/>
      <c r="BF114" s="354"/>
      <c r="BG114" s="354"/>
      <c r="BH114" s="354"/>
      <c r="BI114" s="354"/>
      <c r="BJ114" s="354"/>
      <c r="BK114" s="354"/>
      <c r="BL114" s="354"/>
      <c r="BM114" s="354"/>
      <c r="BN114" s="354"/>
      <c r="BO114" s="354"/>
      <c r="BP114" s="354"/>
      <c r="BQ114" s="354"/>
      <c r="BR114" s="354"/>
      <c r="BS114" s="354"/>
      <c r="BT114" s="354"/>
    </row>
    <row r="115" spans="1:72" s="312" customFormat="1">
      <c r="A115" s="410"/>
      <c r="B115" s="411"/>
      <c r="C115" s="410"/>
      <c r="D115" s="412"/>
      <c r="E115" s="410"/>
      <c r="F115" s="410"/>
      <c r="G115" s="411"/>
      <c r="H115" s="411"/>
      <c r="I115" s="411"/>
      <c r="J115" s="410"/>
      <c r="K115" s="410"/>
      <c r="L115" s="410"/>
      <c r="M115" s="410"/>
      <c r="N115" s="410"/>
      <c r="O115" s="410"/>
      <c r="P115" s="410"/>
      <c r="Q115" s="410"/>
      <c r="R115" s="413"/>
      <c r="S115" s="413"/>
      <c r="T115" s="411"/>
      <c r="U115" s="413"/>
      <c r="V115" s="413"/>
      <c r="W115" s="348"/>
      <c r="X115" s="349"/>
      <c r="Y115" s="349"/>
      <c r="Z115" s="349"/>
      <c r="AA115" s="349"/>
      <c r="AB115" s="349"/>
      <c r="AC115" s="354"/>
      <c r="AD115" s="354"/>
      <c r="AE115" s="354"/>
      <c r="AF115" s="354"/>
      <c r="AG115" s="354"/>
      <c r="AH115" s="354"/>
      <c r="AI115" s="354"/>
      <c r="AJ115" s="354"/>
      <c r="AK115" s="354"/>
      <c r="AL115" s="354"/>
      <c r="AM115" s="354"/>
      <c r="AN115" s="354"/>
      <c r="AO115" s="354"/>
      <c r="AP115" s="354"/>
      <c r="AQ115" s="354"/>
      <c r="AR115" s="354"/>
      <c r="AS115" s="354"/>
      <c r="AT115" s="354"/>
      <c r="AU115" s="354"/>
      <c r="AV115" s="354"/>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row>
    <row r="116" spans="1:72" s="312" customFormat="1">
      <c r="A116" s="410"/>
      <c r="B116" s="411"/>
      <c r="C116" s="410"/>
      <c r="D116" s="412"/>
      <c r="E116" s="410"/>
      <c r="F116" s="410"/>
      <c r="G116" s="411"/>
      <c r="H116" s="411"/>
      <c r="I116" s="411"/>
      <c r="J116" s="410"/>
      <c r="K116" s="410"/>
      <c r="L116" s="410"/>
      <c r="M116" s="410"/>
      <c r="N116" s="410"/>
      <c r="O116" s="410"/>
      <c r="P116" s="410"/>
      <c r="Q116" s="410"/>
      <c r="R116" s="413"/>
      <c r="S116" s="413"/>
      <c r="T116" s="411"/>
      <c r="U116" s="413"/>
      <c r="V116" s="413"/>
      <c r="W116" s="348"/>
      <c r="X116" s="349"/>
      <c r="Y116" s="349"/>
      <c r="Z116" s="349"/>
      <c r="AA116" s="349"/>
      <c r="AB116" s="349"/>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4"/>
      <c r="BC116" s="354"/>
      <c r="BD116" s="354"/>
      <c r="BE116" s="354"/>
      <c r="BF116" s="354"/>
      <c r="BG116" s="354"/>
      <c r="BH116" s="354"/>
      <c r="BI116" s="354"/>
      <c r="BJ116" s="354"/>
      <c r="BK116" s="354"/>
      <c r="BL116" s="354"/>
      <c r="BM116" s="354"/>
      <c r="BN116" s="354"/>
      <c r="BO116" s="354"/>
      <c r="BP116" s="354"/>
      <c r="BQ116" s="354"/>
      <c r="BR116" s="354"/>
      <c r="BS116" s="354"/>
      <c r="BT116" s="354"/>
    </row>
    <row r="117" spans="1:72" s="312" customFormat="1">
      <c r="A117" s="410"/>
      <c r="B117" s="411"/>
      <c r="C117" s="410"/>
      <c r="D117" s="412"/>
      <c r="E117" s="410"/>
      <c r="F117" s="410"/>
      <c r="G117" s="411"/>
      <c r="H117" s="411"/>
      <c r="I117" s="411"/>
      <c r="J117" s="410"/>
      <c r="K117" s="410"/>
      <c r="L117" s="410"/>
      <c r="M117" s="410"/>
      <c r="N117" s="410"/>
      <c r="O117" s="410"/>
      <c r="P117" s="410"/>
      <c r="Q117" s="410"/>
      <c r="R117" s="413"/>
      <c r="S117" s="413"/>
      <c r="T117" s="411"/>
      <c r="U117" s="413"/>
      <c r="V117" s="413"/>
      <c r="W117" s="348"/>
      <c r="X117" s="349"/>
      <c r="Y117" s="349"/>
      <c r="Z117" s="349"/>
      <c r="AA117" s="349"/>
      <c r="AB117" s="349"/>
      <c r="AC117" s="354"/>
      <c r="AD117" s="354"/>
      <c r="AE117" s="354"/>
      <c r="AF117" s="354"/>
      <c r="AG117" s="354"/>
      <c r="AH117" s="354"/>
      <c r="AI117" s="354"/>
      <c r="AJ117" s="354"/>
      <c r="AK117" s="354"/>
      <c r="AL117" s="354"/>
      <c r="AM117" s="354"/>
      <c r="AN117" s="354"/>
      <c r="AO117" s="354"/>
      <c r="AP117" s="354"/>
      <c r="AQ117" s="354"/>
      <c r="AR117" s="354"/>
      <c r="AS117" s="354"/>
      <c r="AT117" s="354"/>
      <c r="AU117" s="354"/>
      <c r="AV117" s="354"/>
      <c r="AW117" s="354"/>
      <c r="AX117" s="354"/>
      <c r="AY117" s="354"/>
      <c r="AZ117" s="354"/>
      <c r="BA117" s="354"/>
      <c r="BB117" s="354"/>
      <c r="BC117" s="354"/>
      <c r="BD117" s="354"/>
      <c r="BE117" s="354"/>
      <c r="BF117" s="354"/>
      <c r="BG117" s="354"/>
      <c r="BH117" s="354"/>
      <c r="BI117" s="354"/>
      <c r="BJ117" s="354"/>
      <c r="BK117" s="354"/>
      <c r="BL117" s="354"/>
      <c r="BM117" s="354"/>
      <c r="BN117" s="354"/>
      <c r="BO117" s="354"/>
      <c r="BP117" s="354"/>
      <c r="BQ117" s="354"/>
      <c r="BR117" s="354"/>
      <c r="BS117" s="354"/>
      <c r="BT117" s="354"/>
    </row>
    <row r="118" spans="1:72" s="312" customFormat="1">
      <c r="A118" s="410"/>
      <c r="B118" s="411"/>
      <c r="C118" s="410"/>
      <c r="D118" s="412"/>
      <c r="E118" s="410"/>
      <c r="F118" s="410"/>
      <c r="G118" s="411"/>
      <c r="H118" s="411"/>
      <c r="I118" s="411"/>
      <c r="J118" s="410"/>
      <c r="K118" s="410"/>
      <c r="L118" s="410"/>
      <c r="M118" s="410"/>
      <c r="N118" s="410"/>
      <c r="O118" s="410"/>
      <c r="P118" s="410"/>
      <c r="Q118" s="410"/>
      <c r="R118" s="413"/>
      <c r="S118" s="413"/>
      <c r="T118" s="411"/>
      <c r="U118" s="413"/>
      <c r="V118" s="413"/>
      <c r="W118" s="348"/>
      <c r="X118" s="349"/>
      <c r="Y118" s="349"/>
      <c r="Z118" s="349"/>
      <c r="AA118" s="349"/>
      <c r="AB118" s="349"/>
      <c r="AC118" s="354"/>
      <c r="AD118" s="354"/>
      <c r="AE118" s="354"/>
      <c r="AF118" s="354"/>
      <c r="AG118" s="354"/>
      <c r="AH118" s="354"/>
      <c r="AI118" s="354"/>
      <c r="AJ118" s="354"/>
      <c r="AK118" s="354"/>
      <c r="AL118" s="354"/>
      <c r="AM118" s="354"/>
      <c r="AN118" s="354"/>
      <c r="AO118" s="354"/>
      <c r="AP118" s="354"/>
      <c r="AQ118" s="354"/>
      <c r="AR118" s="354"/>
      <c r="AS118" s="354"/>
      <c r="AT118" s="354"/>
      <c r="AU118" s="354"/>
      <c r="AV118" s="354"/>
      <c r="AW118" s="354"/>
      <c r="AX118" s="354"/>
      <c r="AY118" s="354"/>
      <c r="AZ118" s="354"/>
      <c r="BA118" s="354"/>
      <c r="BB118" s="354"/>
      <c r="BC118" s="354"/>
      <c r="BD118" s="354"/>
      <c r="BE118" s="354"/>
      <c r="BF118" s="354"/>
      <c r="BG118" s="354"/>
      <c r="BH118" s="354"/>
      <c r="BI118" s="354"/>
      <c r="BJ118" s="354"/>
      <c r="BK118" s="354"/>
      <c r="BL118" s="354"/>
      <c r="BM118" s="354"/>
      <c r="BN118" s="354"/>
      <c r="BO118" s="354"/>
      <c r="BP118" s="354"/>
      <c r="BQ118" s="354"/>
      <c r="BR118" s="354"/>
      <c r="BS118" s="354"/>
      <c r="BT118" s="354"/>
    </row>
    <row r="119" spans="1:72" s="312" customFormat="1">
      <c r="A119" s="410"/>
      <c r="B119" s="411"/>
      <c r="C119" s="410"/>
      <c r="D119" s="412"/>
      <c r="E119" s="410"/>
      <c r="F119" s="410"/>
      <c r="G119" s="411"/>
      <c r="H119" s="411"/>
      <c r="I119" s="411"/>
      <c r="J119" s="410"/>
      <c r="K119" s="410"/>
      <c r="L119" s="410"/>
      <c r="M119" s="410"/>
      <c r="N119" s="410"/>
      <c r="O119" s="410"/>
      <c r="P119" s="410"/>
      <c r="Q119" s="410"/>
      <c r="R119" s="413"/>
      <c r="S119" s="413"/>
      <c r="T119" s="411"/>
      <c r="U119" s="413"/>
      <c r="V119" s="413"/>
      <c r="W119" s="348"/>
      <c r="X119" s="349"/>
      <c r="Y119" s="349"/>
      <c r="Z119" s="349"/>
      <c r="AA119" s="349"/>
      <c r="AB119" s="349"/>
      <c r="AC119" s="354"/>
      <c r="AD119" s="354"/>
      <c r="AE119" s="354"/>
      <c r="AF119" s="354"/>
      <c r="AG119" s="354"/>
      <c r="AH119" s="354"/>
      <c r="AI119" s="354"/>
      <c r="AJ119" s="354"/>
      <c r="AK119" s="354"/>
      <c r="AL119" s="354"/>
      <c r="AM119" s="354"/>
      <c r="AN119" s="354"/>
      <c r="AO119" s="354"/>
      <c r="AP119" s="354"/>
      <c r="AQ119" s="354"/>
      <c r="AR119" s="354"/>
      <c r="AS119" s="354"/>
      <c r="AT119" s="354"/>
      <c r="AU119" s="354"/>
      <c r="AV119" s="354"/>
      <c r="AW119" s="354"/>
      <c r="AX119" s="354"/>
      <c r="AY119" s="354"/>
      <c r="AZ119" s="354"/>
      <c r="BA119" s="354"/>
      <c r="BB119" s="354"/>
      <c r="BC119" s="354"/>
      <c r="BD119" s="354"/>
      <c r="BE119" s="354"/>
      <c r="BF119" s="354"/>
      <c r="BG119" s="354"/>
      <c r="BH119" s="354"/>
      <c r="BI119" s="354"/>
      <c r="BJ119" s="354"/>
      <c r="BK119" s="354"/>
      <c r="BL119" s="354"/>
      <c r="BM119" s="354"/>
      <c r="BN119" s="354"/>
      <c r="BO119" s="354"/>
      <c r="BP119" s="354"/>
      <c r="BQ119" s="354"/>
      <c r="BR119" s="354"/>
      <c r="BS119" s="354"/>
      <c r="BT119" s="354"/>
    </row>
    <row r="120" spans="1:72" s="312" customFormat="1">
      <c r="A120" s="410"/>
      <c r="B120" s="411"/>
      <c r="C120" s="410"/>
      <c r="D120" s="412"/>
      <c r="E120" s="410"/>
      <c r="F120" s="410"/>
      <c r="G120" s="411"/>
      <c r="H120" s="411"/>
      <c r="I120" s="411"/>
      <c r="J120" s="410"/>
      <c r="K120" s="410"/>
      <c r="L120" s="410"/>
      <c r="M120" s="410"/>
      <c r="N120" s="410"/>
      <c r="O120" s="410"/>
      <c r="P120" s="410"/>
      <c r="Q120" s="410"/>
      <c r="R120" s="413"/>
      <c r="S120" s="413"/>
      <c r="T120" s="411"/>
      <c r="U120" s="413"/>
      <c r="V120" s="413"/>
      <c r="W120" s="348"/>
      <c r="X120" s="349"/>
      <c r="Y120" s="349"/>
      <c r="Z120" s="349"/>
      <c r="AA120" s="349"/>
      <c r="AB120" s="349"/>
      <c r="AC120" s="354"/>
      <c r="AD120" s="354"/>
      <c r="AE120" s="354"/>
      <c r="AF120" s="354"/>
      <c r="AG120" s="354"/>
      <c r="AH120" s="354"/>
      <c r="AI120" s="354"/>
      <c r="AJ120" s="354"/>
      <c r="AK120" s="354"/>
      <c r="AL120" s="354"/>
      <c r="AM120" s="354"/>
      <c r="AN120" s="354"/>
      <c r="AO120" s="354"/>
      <c r="AP120" s="354"/>
      <c r="AQ120" s="354"/>
      <c r="AR120" s="354"/>
      <c r="AS120" s="354"/>
      <c r="AT120" s="354"/>
      <c r="AU120" s="354"/>
      <c r="AV120" s="354"/>
      <c r="AW120" s="354"/>
      <c r="AX120" s="354"/>
      <c r="AY120" s="354"/>
      <c r="AZ120" s="354"/>
      <c r="BA120" s="354"/>
      <c r="BB120" s="354"/>
      <c r="BC120" s="354"/>
      <c r="BD120" s="354"/>
      <c r="BE120" s="354"/>
      <c r="BF120" s="354"/>
      <c r="BG120" s="354"/>
      <c r="BH120" s="354"/>
      <c r="BI120" s="354"/>
      <c r="BJ120" s="354"/>
      <c r="BK120" s="354"/>
      <c r="BL120" s="354"/>
      <c r="BM120" s="354"/>
      <c r="BN120" s="354"/>
      <c r="BO120" s="354"/>
      <c r="BP120" s="354"/>
      <c r="BQ120" s="354"/>
      <c r="BR120" s="354"/>
      <c r="BS120" s="354"/>
      <c r="BT120" s="354"/>
    </row>
    <row r="121" spans="1:72" s="312" customFormat="1">
      <c r="A121" s="410"/>
      <c r="B121" s="411"/>
      <c r="C121" s="410"/>
      <c r="D121" s="412"/>
      <c r="E121" s="410"/>
      <c r="F121" s="410"/>
      <c r="G121" s="411"/>
      <c r="H121" s="411"/>
      <c r="I121" s="411"/>
      <c r="J121" s="410"/>
      <c r="K121" s="410"/>
      <c r="L121" s="410"/>
      <c r="M121" s="410"/>
      <c r="N121" s="410"/>
      <c r="O121" s="410"/>
      <c r="P121" s="410"/>
      <c r="Q121" s="410"/>
      <c r="R121" s="413"/>
      <c r="S121" s="413"/>
      <c r="T121" s="411"/>
      <c r="U121" s="413"/>
      <c r="V121" s="413"/>
      <c r="W121" s="348"/>
      <c r="X121" s="349"/>
      <c r="Y121" s="349"/>
      <c r="Z121" s="349"/>
      <c r="AA121" s="349"/>
      <c r="AB121" s="349"/>
      <c r="AC121" s="354"/>
      <c r="AD121" s="354"/>
      <c r="AE121" s="354"/>
      <c r="AF121" s="354"/>
      <c r="AG121" s="354"/>
      <c r="AH121" s="354"/>
      <c r="AI121" s="354"/>
      <c r="AJ121" s="354"/>
      <c r="AK121" s="354"/>
      <c r="AL121" s="354"/>
      <c r="AM121" s="354"/>
      <c r="AN121" s="354"/>
      <c r="AO121" s="354"/>
      <c r="AP121" s="354"/>
      <c r="AQ121" s="354"/>
      <c r="AR121" s="354"/>
      <c r="AS121" s="354"/>
      <c r="AT121" s="354"/>
      <c r="AU121" s="354"/>
      <c r="AV121" s="354"/>
      <c r="AW121" s="354"/>
      <c r="AX121" s="354"/>
      <c r="AY121" s="354"/>
      <c r="AZ121" s="354"/>
      <c r="BA121" s="354"/>
      <c r="BB121" s="354"/>
      <c r="BC121" s="354"/>
      <c r="BD121" s="354"/>
      <c r="BE121" s="354"/>
      <c r="BF121" s="354"/>
      <c r="BG121" s="354"/>
      <c r="BH121" s="354"/>
      <c r="BI121" s="354"/>
      <c r="BJ121" s="354"/>
      <c r="BK121" s="354"/>
      <c r="BL121" s="354"/>
      <c r="BM121" s="354"/>
      <c r="BN121" s="354"/>
      <c r="BO121" s="354"/>
      <c r="BP121" s="354"/>
      <c r="BQ121" s="354"/>
      <c r="BR121" s="354"/>
      <c r="BS121" s="354"/>
      <c r="BT121" s="354"/>
    </row>
    <row r="122" spans="1:72" s="312" customFormat="1">
      <c r="A122" s="410"/>
      <c r="B122" s="411"/>
      <c r="C122" s="410"/>
      <c r="D122" s="412"/>
      <c r="E122" s="410"/>
      <c r="F122" s="410"/>
      <c r="G122" s="411"/>
      <c r="H122" s="411"/>
      <c r="I122" s="411"/>
      <c r="J122" s="410"/>
      <c r="K122" s="410"/>
      <c r="L122" s="410"/>
      <c r="M122" s="410"/>
      <c r="N122" s="410"/>
      <c r="O122" s="410"/>
      <c r="P122" s="410"/>
      <c r="Q122" s="410"/>
      <c r="R122" s="413"/>
      <c r="S122" s="413"/>
      <c r="T122" s="411"/>
      <c r="U122" s="413"/>
      <c r="V122" s="413"/>
      <c r="W122" s="348"/>
      <c r="X122" s="349"/>
      <c r="Y122" s="349"/>
      <c r="Z122" s="349"/>
      <c r="AA122" s="349"/>
      <c r="AB122" s="349"/>
      <c r="AC122" s="354"/>
      <c r="AD122" s="354"/>
      <c r="AE122" s="354"/>
      <c r="AF122" s="354"/>
      <c r="AG122" s="354"/>
      <c r="AH122" s="354"/>
      <c r="AI122" s="354"/>
      <c r="AJ122" s="354"/>
      <c r="AK122" s="354"/>
      <c r="AL122" s="354"/>
      <c r="AM122" s="354"/>
      <c r="AN122" s="354"/>
      <c r="AO122" s="354"/>
      <c r="AP122" s="354"/>
      <c r="AQ122" s="354"/>
      <c r="AR122" s="354"/>
      <c r="AS122" s="354"/>
      <c r="AT122" s="354"/>
      <c r="AU122" s="354"/>
      <c r="AV122" s="354"/>
      <c r="AW122" s="354"/>
      <c r="AX122" s="354"/>
      <c r="AY122" s="354"/>
      <c r="AZ122" s="354"/>
      <c r="BA122" s="354"/>
      <c r="BB122" s="354"/>
      <c r="BC122" s="354"/>
      <c r="BD122" s="354"/>
      <c r="BE122" s="354"/>
      <c r="BF122" s="354"/>
      <c r="BG122" s="354"/>
      <c r="BH122" s="354"/>
      <c r="BI122" s="354"/>
      <c r="BJ122" s="354"/>
      <c r="BK122" s="354"/>
      <c r="BL122" s="354"/>
      <c r="BM122" s="354"/>
      <c r="BN122" s="354"/>
      <c r="BO122" s="354"/>
      <c r="BP122" s="354"/>
      <c r="BQ122" s="354"/>
      <c r="BR122" s="354"/>
      <c r="BS122" s="354"/>
      <c r="BT122" s="354"/>
    </row>
    <row r="123" spans="1:72" s="312" customFormat="1">
      <c r="A123" s="410"/>
      <c r="B123" s="411"/>
      <c r="C123" s="410"/>
      <c r="D123" s="412"/>
      <c r="E123" s="410"/>
      <c r="F123" s="410"/>
      <c r="G123" s="411"/>
      <c r="H123" s="411"/>
      <c r="I123" s="411"/>
      <c r="J123" s="410"/>
      <c r="K123" s="410"/>
      <c r="L123" s="410"/>
      <c r="M123" s="410"/>
      <c r="N123" s="410"/>
      <c r="O123" s="410"/>
      <c r="P123" s="410"/>
      <c r="Q123" s="410"/>
      <c r="R123" s="413"/>
      <c r="S123" s="413"/>
      <c r="T123" s="411"/>
      <c r="U123" s="413"/>
      <c r="V123" s="413"/>
      <c r="W123" s="348"/>
      <c r="X123" s="349"/>
      <c r="Y123" s="349"/>
      <c r="Z123" s="349"/>
      <c r="AA123" s="349"/>
      <c r="AB123" s="349"/>
      <c r="AC123" s="354"/>
      <c r="AD123" s="354"/>
      <c r="AE123" s="354"/>
      <c r="AF123" s="354"/>
      <c r="AG123" s="354"/>
      <c r="AH123" s="354"/>
      <c r="AI123" s="354"/>
      <c r="AJ123" s="354"/>
      <c r="AK123" s="354"/>
      <c r="AL123" s="354"/>
      <c r="AM123" s="354"/>
      <c r="AN123" s="354"/>
      <c r="AO123" s="354"/>
      <c r="AP123" s="354"/>
      <c r="AQ123" s="354"/>
      <c r="AR123" s="354"/>
      <c r="AS123" s="354"/>
      <c r="AT123" s="354"/>
      <c r="AU123" s="354"/>
      <c r="AV123" s="354"/>
      <c r="AW123" s="354"/>
      <c r="AX123" s="354"/>
      <c r="AY123" s="354"/>
      <c r="AZ123" s="354"/>
      <c r="BA123" s="354"/>
      <c r="BB123" s="354"/>
      <c r="BC123" s="354"/>
      <c r="BD123" s="354"/>
      <c r="BE123" s="354"/>
      <c r="BF123" s="354"/>
      <c r="BG123" s="354"/>
      <c r="BH123" s="354"/>
      <c r="BI123" s="354"/>
      <c r="BJ123" s="354"/>
      <c r="BK123" s="354"/>
      <c r="BL123" s="354"/>
      <c r="BM123" s="354"/>
      <c r="BN123" s="354"/>
      <c r="BO123" s="354"/>
      <c r="BP123" s="354"/>
      <c r="BQ123" s="354"/>
      <c r="BR123" s="354"/>
      <c r="BS123" s="354"/>
      <c r="BT123" s="354"/>
    </row>
    <row r="124" spans="1:72" s="312" customFormat="1">
      <c r="A124" s="410"/>
      <c r="B124" s="411"/>
      <c r="C124" s="410"/>
      <c r="D124" s="412"/>
      <c r="E124" s="410"/>
      <c r="F124" s="410"/>
      <c r="G124" s="411"/>
      <c r="H124" s="411"/>
      <c r="I124" s="411"/>
      <c r="J124" s="410"/>
      <c r="K124" s="410"/>
      <c r="L124" s="410"/>
      <c r="M124" s="410"/>
      <c r="N124" s="410"/>
      <c r="O124" s="410"/>
      <c r="P124" s="410"/>
      <c r="Q124" s="410"/>
      <c r="R124" s="413"/>
      <c r="S124" s="413"/>
      <c r="T124" s="411"/>
      <c r="U124" s="413"/>
      <c r="V124" s="413"/>
      <c r="W124" s="348"/>
      <c r="X124" s="349"/>
      <c r="Y124" s="349"/>
      <c r="Z124" s="349"/>
      <c r="AA124" s="349"/>
      <c r="AB124" s="349"/>
      <c r="AC124" s="354"/>
      <c r="AD124" s="354"/>
      <c r="AE124" s="354"/>
      <c r="AF124" s="354"/>
      <c r="AG124" s="354"/>
      <c r="AH124" s="354"/>
      <c r="AI124" s="354"/>
      <c r="AJ124" s="354"/>
      <c r="AK124" s="354"/>
      <c r="AL124" s="354"/>
      <c r="AM124" s="354"/>
      <c r="AN124" s="354"/>
      <c r="AO124" s="354"/>
      <c r="AP124" s="354"/>
      <c r="AQ124" s="354"/>
      <c r="AR124" s="354"/>
      <c r="AS124" s="354"/>
      <c r="AT124" s="354"/>
      <c r="AU124" s="354"/>
      <c r="AV124" s="354"/>
      <c r="AW124" s="354"/>
      <c r="AX124" s="354"/>
      <c r="AY124" s="354"/>
      <c r="AZ124" s="354"/>
      <c r="BA124" s="354"/>
      <c r="BB124" s="354"/>
      <c r="BC124" s="354"/>
      <c r="BD124" s="354"/>
      <c r="BE124" s="354"/>
      <c r="BF124" s="354"/>
      <c r="BG124" s="354"/>
      <c r="BH124" s="354"/>
      <c r="BI124" s="354"/>
      <c r="BJ124" s="354"/>
      <c r="BK124" s="354"/>
      <c r="BL124" s="354"/>
      <c r="BM124" s="354"/>
      <c r="BN124" s="354"/>
      <c r="BO124" s="354"/>
      <c r="BP124" s="354"/>
      <c r="BQ124" s="354"/>
      <c r="BR124" s="354"/>
      <c r="BS124" s="354"/>
      <c r="BT124" s="354"/>
    </row>
    <row r="125" spans="1:72" s="312" customFormat="1">
      <c r="A125" s="410"/>
      <c r="B125" s="411"/>
      <c r="C125" s="410"/>
      <c r="D125" s="412"/>
      <c r="E125" s="410"/>
      <c r="F125" s="410"/>
      <c r="G125" s="411"/>
      <c r="H125" s="411"/>
      <c r="I125" s="411"/>
      <c r="J125" s="410"/>
      <c r="K125" s="410"/>
      <c r="L125" s="410"/>
      <c r="M125" s="410"/>
      <c r="N125" s="410"/>
      <c r="O125" s="410"/>
      <c r="P125" s="410"/>
      <c r="Q125" s="410"/>
      <c r="R125" s="413"/>
      <c r="S125" s="413"/>
      <c r="T125" s="411"/>
      <c r="U125" s="413"/>
      <c r="V125" s="413"/>
      <c r="W125" s="348"/>
      <c r="X125" s="349"/>
      <c r="Y125" s="349"/>
      <c r="Z125" s="349"/>
      <c r="AA125" s="349"/>
      <c r="AB125" s="349"/>
      <c r="AC125" s="354"/>
      <c r="AD125" s="354"/>
      <c r="AE125" s="354"/>
      <c r="AF125" s="354"/>
      <c r="AG125" s="354"/>
      <c r="AH125" s="354"/>
      <c r="AI125" s="354"/>
      <c r="AJ125" s="354"/>
      <c r="AK125" s="354"/>
      <c r="AL125" s="354"/>
      <c r="AM125" s="354"/>
      <c r="AN125" s="354"/>
      <c r="AO125" s="354"/>
      <c r="AP125" s="354"/>
      <c r="AQ125" s="354"/>
      <c r="AR125" s="354"/>
      <c r="AS125" s="354"/>
      <c r="AT125" s="354"/>
      <c r="AU125" s="354"/>
      <c r="AV125" s="354"/>
      <c r="AW125" s="354"/>
      <c r="AX125" s="354"/>
      <c r="AY125" s="354"/>
      <c r="AZ125" s="354"/>
      <c r="BA125" s="354"/>
      <c r="BB125" s="354"/>
      <c r="BC125" s="354"/>
      <c r="BD125" s="354"/>
      <c r="BE125" s="354"/>
      <c r="BF125" s="354"/>
      <c r="BG125" s="354"/>
      <c r="BH125" s="354"/>
      <c r="BI125" s="354"/>
      <c r="BJ125" s="354"/>
      <c r="BK125" s="354"/>
      <c r="BL125" s="354"/>
      <c r="BM125" s="354"/>
      <c r="BN125" s="354"/>
      <c r="BO125" s="354"/>
      <c r="BP125" s="354"/>
      <c r="BQ125" s="354"/>
      <c r="BR125" s="354"/>
      <c r="BS125" s="354"/>
      <c r="BT125" s="354"/>
    </row>
    <row r="126" spans="1:72" s="312" customFormat="1">
      <c r="A126" s="410"/>
      <c r="B126" s="411"/>
      <c r="C126" s="410"/>
      <c r="D126" s="412"/>
      <c r="E126" s="410"/>
      <c r="F126" s="410"/>
      <c r="G126" s="411"/>
      <c r="H126" s="411"/>
      <c r="I126" s="411"/>
      <c r="J126" s="410"/>
      <c r="K126" s="410"/>
      <c r="L126" s="410"/>
      <c r="M126" s="410"/>
      <c r="N126" s="410"/>
      <c r="O126" s="410"/>
      <c r="P126" s="410"/>
      <c r="Q126" s="410"/>
      <c r="R126" s="413"/>
      <c r="S126" s="413"/>
      <c r="T126" s="411"/>
      <c r="U126" s="413"/>
      <c r="V126" s="413"/>
      <c r="W126" s="348"/>
      <c r="X126" s="349"/>
      <c r="Y126" s="349"/>
      <c r="Z126" s="349"/>
      <c r="AA126" s="349"/>
      <c r="AB126" s="349"/>
      <c r="AC126" s="354"/>
      <c r="AD126" s="354"/>
      <c r="AE126" s="354"/>
      <c r="AF126" s="354"/>
      <c r="AG126" s="354"/>
      <c r="AH126" s="354"/>
      <c r="AI126" s="354"/>
      <c r="AJ126" s="354"/>
      <c r="AK126" s="354"/>
      <c r="AL126" s="354"/>
      <c r="AM126" s="354"/>
      <c r="AN126" s="354"/>
      <c r="AO126" s="354"/>
      <c r="AP126" s="354"/>
      <c r="AQ126" s="354"/>
      <c r="AR126" s="354"/>
      <c r="AS126" s="354"/>
      <c r="AT126" s="354"/>
      <c r="AU126" s="354"/>
      <c r="AV126" s="354"/>
      <c r="AW126" s="354"/>
      <c r="AX126" s="354"/>
      <c r="AY126" s="354"/>
      <c r="AZ126" s="354"/>
      <c r="BA126" s="354"/>
      <c r="BB126" s="354"/>
      <c r="BC126" s="354"/>
      <c r="BD126" s="354"/>
      <c r="BE126" s="354"/>
      <c r="BF126" s="354"/>
      <c r="BG126" s="354"/>
      <c r="BH126" s="354"/>
      <c r="BI126" s="354"/>
      <c r="BJ126" s="354"/>
      <c r="BK126" s="354"/>
      <c r="BL126" s="354"/>
      <c r="BM126" s="354"/>
      <c r="BN126" s="354"/>
      <c r="BO126" s="354"/>
      <c r="BP126" s="354"/>
      <c r="BQ126" s="354"/>
      <c r="BR126" s="354"/>
      <c r="BS126" s="354"/>
      <c r="BT126" s="354"/>
    </row>
    <row r="127" spans="1:72" s="312" customFormat="1">
      <c r="A127" s="410"/>
      <c r="B127" s="411"/>
      <c r="C127" s="410"/>
      <c r="D127" s="412"/>
      <c r="E127" s="410"/>
      <c r="F127" s="410"/>
      <c r="G127" s="411"/>
      <c r="H127" s="411"/>
      <c r="I127" s="411"/>
      <c r="J127" s="410"/>
      <c r="K127" s="410"/>
      <c r="L127" s="410"/>
      <c r="M127" s="410"/>
      <c r="N127" s="410"/>
      <c r="O127" s="410"/>
      <c r="P127" s="410"/>
      <c r="Q127" s="410"/>
      <c r="R127" s="413"/>
      <c r="S127" s="413"/>
      <c r="T127" s="411"/>
      <c r="U127" s="413"/>
      <c r="V127" s="413"/>
      <c r="W127" s="348"/>
      <c r="X127" s="349"/>
      <c r="Y127" s="349"/>
      <c r="Z127" s="349"/>
      <c r="AA127" s="349"/>
      <c r="AB127" s="349"/>
      <c r="AC127" s="354"/>
      <c r="AD127" s="354"/>
      <c r="AE127" s="354"/>
      <c r="AF127" s="354"/>
      <c r="AG127" s="354"/>
      <c r="AH127" s="354"/>
      <c r="AI127" s="354"/>
      <c r="AJ127" s="354"/>
      <c r="AK127" s="354"/>
      <c r="AL127" s="354"/>
      <c r="AM127" s="354"/>
      <c r="AN127" s="354"/>
      <c r="AO127" s="354"/>
      <c r="AP127" s="354"/>
      <c r="AQ127" s="354"/>
      <c r="AR127" s="354"/>
      <c r="AS127" s="354"/>
      <c r="AT127" s="354"/>
      <c r="AU127" s="354"/>
      <c r="AV127" s="354"/>
      <c r="AW127" s="354"/>
      <c r="AX127" s="354"/>
      <c r="AY127" s="354"/>
      <c r="AZ127" s="354"/>
      <c r="BA127" s="354"/>
      <c r="BB127" s="354"/>
      <c r="BC127" s="354"/>
      <c r="BD127" s="354"/>
      <c r="BE127" s="354"/>
      <c r="BF127" s="354"/>
      <c r="BG127" s="354"/>
      <c r="BH127" s="354"/>
      <c r="BI127" s="354"/>
      <c r="BJ127" s="354"/>
      <c r="BK127" s="354"/>
      <c r="BL127" s="354"/>
      <c r="BM127" s="354"/>
      <c r="BN127" s="354"/>
      <c r="BO127" s="354"/>
      <c r="BP127" s="354"/>
      <c r="BQ127" s="354"/>
      <c r="BR127" s="354"/>
      <c r="BS127" s="354"/>
      <c r="BT127" s="354"/>
    </row>
    <row r="128" spans="1:72" s="312" customFormat="1">
      <c r="A128" s="410"/>
      <c r="B128" s="411"/>
      <c r="C128" s="410"/>
      <c r="D128" s="412"/>
      <c r="E128" s="410"/>
      <c r="F128" s="410"/>
      <c r="G128" s="411"/>
      <c r="H128" s="411"/>
      <c r="I128" s="411"/>
      <c r="J128" s="410"/>
      <c r="K128" s="410"/>
      <c r="L128" s="410"/>
      <c r="M128" s="410"/>
      <c r="N128" s="410"/>
      <c r="O128" s="410"/>
      <c r="P128" s="410"/>
      <c r="Q128" s="410"/>
      <c r="R128" s="413"/>
      <c r="S128" s="413"/>
      <c r="T128" s="411"/>
      <c r="U128" s="413"/>
      <c r="V128" s="413"/>
      <c r="W128" s="348"/>
      <c r="X128" s="349"/>
      <c r="Y128" s="349"/>
      <c r="Z128" s="349"/>
      <c r="AA128" s="349"/>
      <c r="AB128" s="349"/>
      <c r="AC128" s="354"/>
      <c r="AD128" s="354"/>
      <c r="AE128" s="354"/>
      <c r="AF128" s="354"/>
      <c r="AG128" s="354"/>
      <c r="AH128" s="354"/>
      <c r="AI128" s="354"/>
      <c r="AJ128" s="354"/>
      <c r="AK128" s="354"/>
      <c r="AL128" s="354"/>
      <c r="AM128" s="354"/>
      <c r="AN128" s="354"/>
      <c r="AO128" s="354"/>
      <c r="AP128" s="354"/>
      <c r="AQ128" s="354"/>
      <c r="AR128" s="354"/>
      <c r="AS128" s="354"/>
      <c r="AT128" s="354"/>
      <c r="AU128" s="354"/>
      <c r="AV128" s="354"/>
      <c r="AW128" s="354"/>
      <c r="AX128" s="354"/>
      <c r="AY128" s="354"/>
      <c r="AZ128" s="354"/>
      <c r="BA128" s="354"/>
      <c r="BB128" s="354"/>
      <c r="BC128" s="354"/>
      <c r="BD128" s="354"/>
      <c r="BE128" s="354"/>
      <c r="BF128" s="354"/>
      <c r="BG128" s="354"/>
      <c r="BH128" s="354"/>
      <c r="BI128" s="354"/>
      <c r="BJ128" s="354"/>
      <c r="BK128" s="354"/>
      <c r="BL128" s="354"/>
      <c r="BM128" s="354"/>
      <c r="BN128" s="354"/>
      <c r="BO128" s="354"/>
      <c r="BP128" s="354"/>
      <c r="BQ128" s="354"/>
      <c r="BR128" s="354"/>
      <c r="BS128" s="354"/>
      <c r="BT128" s="354"/>
    </row>
    <row r="129" spans="1:72" s="312" customFormat="1">
      <c r="A129" s="410"/>
      <c r="B129" s="411"/>
      <c r="C129" s="410"/>
      <c r="D129" s="412"/>
      <c r="E129" s="410"/>
      <c r="F129" s="410"/>
      <c r="G129" s="411"/>
      <c r="H129" s="411"/>
      <c r="I129" s="411"/>
      <c r="J129" s="410"/>
      <c r="K129" s="410"/>
      <c r="L129" s="410"/>
      <c r="M129" s="410"/>
      <c r="N129" s="410"/>
      <c r="O129" s="410"/>
      <c r="P129" s="410"/>
      <c r="Q129" s="410"/>
      <c r="R129" s="413"/>
      <c r="S129" s="413"/>
      <c r="T129" s="411"/>
      <c r="U129" s="413"/>
      <c r="V129" s="413"/>
      <c r="W129" s="348"/>
      <c r="X129" s="349"/>
      <c r="Y129" s="349"/>
      <c r="Z129" s="349"/>
      <c r="AA129" s="349"/>
      <c r="AB129" s="349"/>
      <c r="AC129" s="354"/>
      <c r="AD129" s="354"/>
      <c r="AE129" s="354"/>
      <c r="AF129" s="354"/>
      <c r="AG129" s="354"/>
      <c r="AH129" s="354"/>
      <c r="AI129" s="354"/>
      <c r="AJ129" s="354"/>
      <c r="AK129" s="354"/>
      <c r="AL129" s="354"/>
      <c r="AM129" s="354"/>
      <c r="AN129" s="354"/>
      <c r="AO129" s="354"/>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354"/>
      <c r="BM129" s="354"/>
      <c r="BN129" s="354"/>
      <c r="BO129" s="354"/>
      <c r="BP129" s="354"/>
      <c r="BQ129" s="354"/>
      <c r="BR129" s="354"/>
      <c r="BS129" s="354"/>
      <c r="BT129" s="354"/>
    </row>
    <row r="130" spans="1:72" s="312" customFormat="1">
      <c r="A130" s="410"/>
      <c r="B130" s="411"/>
      <c r="C130" s="410"/>
      <c r="D130" s="412"/>
      <c r="E130" s="410"/>
      <c r="F130" s="410"/>
      <c r="G130" s="411"/>
      <c r="H130" s="411"/>
      <c r="I130" s="411"/>
      <c r="J130" s="410"/>
      <c r="K130" s="410"/>
      <c r="L130" s="410"/>
      <c r="M130" s="410"/>
      <c r="N130" s="410"/>
      <c r="O130" s="410"/>
      <c r="P130" s="410"/>
      <c r="Q130" s="410"/>
      <c r="R130" s="413"/>
      <c r="S130" s="413"/>
      <c r="T130" s="411"/>
      <c r="U130" s="413"/>
      <c r="V130" s="413"/>
      <c r="W130" s="348"/>
      <c r="X130" s="349"/>
      <c r="Y130" s="349"/>
      <c r="Z130" s="349"/>
      <c r="AA130" s="349"/>
      <c r="AB130" s="349"/>
      <c r="AC130" s="354"/>
      <c r="AD130" s="354"/>
      <c r="AE130" s="354"/>
      <c r="AF130" s="354"/>
      <c r="AG130" s="354"/>
      <c r="AH130" s="354"/>
      <c r="AI130" s="354"/>
      <c r="AJ130" s="354"/>
      <c r="AK130" s="354"/>
      <c r="AL130" s="354"/>
      <c r="AM130" s="354"/>
      <c r="AN130" s="354"/>
      <c r="AO130" s="354"/>
      <c r="AP130" s="354"/>
      <c r="AQ130" s="354"/>
      <c r="AR130" s="354"/>
      <c r="AS130" s="354"/>
      <c r="AT130" s="354"/>
      <c r="AU130" s="354"/>
      <c r="AV130" s="354"/>
      <c r="AW130" s="354"/>
      <c r="AX130" s="354"/>
      <c r="AY130" s="354"/>
      <c r="AZ130" s="354"/>
      <c r="BA130" s="354"/>
      <c r="BB130" s="354"/>
      <c r="BC130" s="354"/>
      <c r="BD130" s="354"/>
      <c r="BE130" s="354"/>
      <c r="BF130" s="354"/>
      <c r="BG130" s="354"/>
      <c r="BH130" s="354"/>
      <c r="BI130" s="354"/>
      <c r="BJ130" s="354"/>
      <c r="BK130" s="354"/>
      <c r="BL130" s="354"/>
      <c r="BM130" s="354"/>
      <c r="BN130" s="354"/>
      <c r="BO130" s="354"/>
      <c r="BP130" s="354"/>
      <c r="BQ130" s="354"/>
      <c r="BR130" s="354"/>
      <c r="BS130" s="354"/>
      <c r="BT130" s="354"/>
    </row>
    <row r="131" spans="1:72" s="312" customFormat="1">
      <c r="A131" s="410"/>
      <c r="B131" s="411"/>
      <c r="C131" s="410"/>
      <c r="D131" s="412"/>
      <c r="E131" s="410"/>
      <c r="F131" s="410"/>
      <c r="G131" s="411"/>
      <c r="H131" s="411"/>
      <c r="I131" s="411"/>
      <c r="J131" s="410"/>
      <c r="K131" s="410"/>
      <c r="L131" s="410"/>
      <c r="M131" s="410"/>
      <c r="N131" s="410"/>
      <c r="O131" s="410"/>
      <c r="P131" s="410"/>
      <c r="Q131" s="410"/>
      <c r="R131" s="413"/>
      <c r="S131" s="413"/>
      <c r="T131" s="411"/>
      <c r="U131" s="413"/>
      <c r="V131" s="413"/>
      <c r="W131" s="348"/>
      <c r="X131" s="349"/>
      <c r="Y131" s="349"/>
      <c r="Z131" s="349"/>
      <c r="AA131" s="349"/>
      <c r="AB131" s="349"/>
      <c r="AC131" s="354"/>
      <c r="AD131" s="354"/>
      <c r="AE131" s="354"/>
      <c r="AF131" s="354"/>
      <c r="AG131" s="354"/>
      <c r="AH131" s="354"/>
      <c r="AI131" s="354"/>
      <c r="AJ131" s="354"/>
      <c r="AK131" s="354"/>
      <c r="AL131" s="354"/>
      <c r="AM131" s="354"/>
      <c r="AN131" s="354"/>
      <c r="AO131" s="354"/>
      <c r="AP131" s="354"/>
      <c r="AQ131" s="354"/>
      <c r="AR131" s="354"/>
      <c r="AS131" s="354"/>
      <c r="AT131" s="354"/>
      <c r="AU131" s="354"/>
      <c r="AV131" s="354"/>
      <c r="AW131" s="354"/>
      <c r="AX131" s="354"/>
      <c r="AY131" s="354"/>
      <c r="AZ131" s="354"/>
      <c r="BA131" s="354"/>
      <c r="BB131" s="354"/>
      <c r="BC131" s="354"/>
      <c r="BD131" s="354"/>
      <c r="BE131" s="354"/>
      <c r="BF131" s="354"/>
      <c r="BG131" s="354"/>
      <c r="BH131" s="354"/>
      <c r="BI131" s="354"/>
      <c r="BJ131" s="354"/>
      <c r="BK131" s="354"/>
      <c r="BL131" s="354"/>
      <c r="BM131" s="354"/>
      <c r="BN131" s="354"/>
      <c r="BO131" s="354"/>
      <c r="BP131" s="354"/>
      <c r="BQ131" s="354"/>
      <c r="BR131" s="354"/>
      <c r="BS131" s="354"/>
      <c r="BT131" s="354"/>
    </row>
    <row r="132" spans="1:72" s="312" customFormat="1">
      <c r="A132" s="410"/>
      <c r="B132" s="411"/>
      <c r="C132" s="410"/>
      <c r="D132" s="412"/>
      <c r="E132" s="410"/>
      <c r="F132" s="410"/>
      <c r="G132" s="411"/>
      <c r="H132" s="411"/>
      <c r="I132" s="411"/>
      <c r="J132" s="410"/>
      <c r="K132" s="410"/>
      <c r="L132" s="410"/>
      <c r="M132" s="410"/>
      <c r="N132" s="410"/>
      <c r="O132" s="410"/>
      <c r="P132" s="410"/>
      <c r="Q132" s="410"/>
      <c r="R132" s="413"/>
      <c r="S132" s="413"/>
      <c r="T132" s="411"/>
      <c r="U132" s="413"/>
      <c r="V132" s="413"/>
      <c r="W132" s="348"/>
      <c r="X132" s="349"/>
      <c r="Y132" s="349"/>
      <c r="Z132" s="349"/>
      <c r="AA132" s="349"/>
      <c r="AB132" s="349"/>
      <c r="AC132" s="354"/>
      <c r="AD132" s="354"/>
      <c r="AE132" s="354"/>
      <c r="AF132" s="354"/>
      <c r="AG132" s="354"/>
      <c r="AH132" s="354"/>
      <c r="AI132" s="354"/>
      <c r="AJ132" s="354"/>
      <c r="AK132" s="354"/>
      <c r="AL132" s="354"/>
      <c r="AM132" s="354"/>
      <c r="AN132" s="354"/>
      <c r="AO132" s="354"/>
      <c r="AP132" s="354"/>
      <c r="AQ132" s="354"/>
      <c r="AR132" s="354"/>
      <c r="AS132" s="354"/>
      <c r="AT132" s="354"/>
      <c r="AU132" s="354"/>
      <c r="AV132" s="354"/>
      <c r="AW132" s="354"/>
      <c r="AX132" s="354"/>
      <c r="AY132" s="354"/>
      <c r="AZ132" s="354"/>
      <c r="BA132" s="354"/>
      <c r="BB132" s="354"/>
      <c r="BC132" s="354"/>
      <c r="BD132" s="354"/>
      <c r="BE132" s="354"/>
      <c r="BF132" s="354"/>
      <c r="BG132" s="354"/>
      <c r="BH132" s="354"/>
      <c r="BI132" s="354"/>
      <c r="BJ132" s="354"/>
      <c r="BK132" s="354"/>
      <c r="BL132" s="354"/>
      <c r="BM132" s="354"/>
      <c r="BN132" s="354"/>
      <c r="BO132" s="354"/>
      <c r="BP132" s="354"/>
      <c r="BQ132" s="354"/>
      <c r="BR132" s="354"/>
      <c r="BS132" s="354"/>
      <c r="BT132" s="354"/>
    </row>
    <row r="133" spans="1:72" s="312" customFormat="1">
      <c r="A133" s="410"/>
      <c r="B133" s="411"/>
      <c r="C133" s="410"/>
      <c r="D133" s="412"/>
      <c r="E133" s="410"/>
      <c r="F133" s="410"/>
      <c r="G133" s="411"/>
      <c r="H133" s="411"/>
      <c r="I133" s="411"/>
      <c r="J133" s="410"/>
      <c r="K133" s="410"/>
      <c r="L133" s="410"/>
      <c r="M133" s="410"/>
      <c r="N133" s="410"/>
      <c r="O133" s="410"/>
      <c r="P133" s="410"/>
      <c r="Q133" s="410"/>
      <c r="R133" s="413"/>
      <c r="S133" s="413"/>
      <c r="T133" s="411"/>
      <c r="U133" s="413"/>
      <c r="V133" s="413"/>
      <c r="W133" s="348"/>
      <c r="X133" s="349"/>
      <c r="Y133" s="349"/>
      <c r="Z133" s="349"/>
      <c r="AA133" s="349"/>
      <c r="AB133" s="349"/>
      <c r="AC133" s="354"/>
      <c r="AD133" s="354"/>
      <c r="AE133" s="354"/>
      <c r="AF133" s="354"/>
      <c r="AG133" s="354"/>
      <c r="AH133" s="354"/>
      <c r="AI133" s="354"/>
      <c r="AJ133" s="354"/>
      <c r="AK133" s="354"/>
      <c r="AL133" s="354"/>
      <c r="AM133" s="354"/>
      <c r="AN133" s="354"/>
      <c r="AO133" s="354"/>
      <c r="AP133" s="354"/>
      <c r="AQ133" s="354"/>
      <c r="AR133" s="354"/>
      <c r="AS133" s="354"/>
      <c r="AT133" s="354"/>
      <c r="AU133" s="354"/>
      <c r="AV133" s="354"/>
      <c r="AW133" s="354"/>
      <c r="AX133" s="354"/>
      <c r="AY133" s="354"/>
      <c r="AZ133" s="354"/>
      <c r="BA133" s="354"/>
      <c r="BB133" s="354"/>
      <c r="BC133" s="354"/>
      <c r="BD133" s="354"/>
      <c r="BE133" s="354"/>
      <c r="BF133" s="354"/>
      <c r="BG133" s="354"/>
      <c r="BH133" s="354"/>
      <c r="BI133" s="354"/>
      <c r="BJ133" s="354"/>
      <c r="BK133" s="354"/>
      <c r="BL133" s="354"/>
      <c r="BM133" s="354"/>
      <c r="BN133" s="354"/>
      <c r="BO133" s="354"/>
      <c r="BP133" s="354"/>
      <c r="BQ133" s="354"/>
      <c r="BR133" s="354"/>
      <c r="BS133" s="354"/>
      <c r="BT133" s="354"/>
    </row>
    <row r="134" spans="1:72" s="312" customFormat="1">
      <c r="A134" s="410"/>
      <c r="B134" s="411"/>
      <c r="C134" s="410"/>
      <c r="D134" s="412"/>
      <c r="E134" s="410"/>
      <c r="F134" s="410"/>
      <c r="G134" s="411"/>
      <c r="H134" s="411"/>
      <c r="I134" s="411"/>
      <c r="J134" s="410"/>
      <c r="K134" s="410"/>
      <c r="L134" s="410"/>
      <c r="M134" s="410"/>
      <c r="N134" s="410"/>
      <c r="O134" s="410"/>
      <c r="P134" s="410"/>
      <c r="Q134" s="410"/>
      <c r="R134" s="413"/>
      <c r="S134" s="413"/>
      <c r="T134" s="411"/>
      <c r="U134" s="413"/>
      <c r="V134" s="413"/>
      <c r="W134" s="348"/>
      <c r="X134" s="349"/>
      <c r="Y134" s="349"/>
      <c r="Z134" s="349"/>
      <c r="AA134" s="349"/>
      <c r="AB134" s="349"/>
      <c r="AC134" s="354"/>
      <c r="AD134" s="354"/>
      <c r="AE134" s="354"/>
      <c r="AF134" s="354"/>
      <c r="AG134" s="354"/>
      <c r="AH134" s="354"/>
      <c r="AI134" s="354"/>
      <c r="AJ134" s="354"/>
      <c r="AK134" s="354"/>
      <c r="AL134" s="354"/>
      <c r="AM134" s="354"/>
      <c r="AN134" s="354"/>
      <c r="AO134" s="354"/>
      <c r="AP134" s="354"/>
      <c r="AQ134" s="354"/>
      <c r="AR134" s="354"/>
      <c r="AS134" s="354"/>
      <c r="AT134" s="354"/>
      <c r="AU134" s="354"/>
      <c r="AV134" s="354"/>
      <c r="AW134" s="354"/>
      <c r="AX134" s="354"/>
      <c r="AY134" s="354"/>
      <c r="AZ134" s="354"/>
      <c r="BA134" s="354"/>
      <c r="BB134" s="354"/>
      <c r="BC134" s="354"/>
      <c r="BD134" s="354"/>
      <c r="BE134" s="354"/>
      <c r="BF134" s="354"/>
      <c r="BG134" s="354"/>
      <c r="BH134" s="354"/>
      <c r="BI134" s="354"/>
      <c r="BJ134" s="354"/>
      <c r="BK134" s="354"/>
      <c r="BL134" s="354"/>
      <c r="BM134" s="354"/>
      <c r="BN134" s="354"/>
      <c r="BO134" s="354"/>
      <c r="BP134" s="354"/>
      <c r="BQ134" s="354"/>
      <c r="BR134" s="354"/>
      <c r="BS134" s="354"/>
      <c r="BT134" s="354"/>
    </row>
    <row r="135" spans="1:72" s="312" customFormat="1">
      <c r="A135" s="410"/>
      <c r="B135" s="411"/>
      <c r="C135" s="410"/>
      <c r="D135" s="412"/>
      <c r="E135" s="410"/>
      <c r="F135" s="410"/>
      <c r="G135" s="411"/>
      <c r="H135" s="411"/>
      <c r="I135" s="411"/>
      <c r="J135" s="410"/>
      <c r="K135" s="410"/>
      <c r="L135" s="410"/>
      <c r="M135" s="410"/>
      <c r="N135" s="410"/>
      <c r="O135" s="410"/>
      <c r="P135" s="410"/>
      <c r="Q135" s="410"/>
      <c r="R135" s="413"/>
      <c r="S135" s="413"/>
      <c r="T135" s="411"/>
      <c r="U135" s="413"/>
      <c r="V135" s="413"/>
      <c r="W135" s="348"/>
      <c r="X135" s="349"/>
      <c r="Y135" s="349"/>
      <c r="Z135" s="349"/>
      <c r="AA135" s="349"/>
      <c r="AB135" s="349"/>
      <c r="AC135" s="354"/>
      <c r="AD135" s="354"/>
      <c r="AE135" s="354"/>
      <c r="AF135" s="354"/>
      <c r="AG135" s="354"/>
      <c r="AH135" s="354"/>
      <c r="AI135" s="354"/>
      <c r="AJ135" s="354"/>
      <c r="AK135" s="354"/>
      <c r="AL135" s="354"/>
      <c r="AM135" s="354"/>
      <c r="AN135" s="354"/>
      <c r="AO135" s="354"/>
      <c r="AP135" s="354"/>
      <c r="AQ135" s="354"/>
      <c r="AR135" s="354"/>
      <c r="AS135" s="354"/>
      <c r="AT135" s="354"/>
      <c r="AU135" s="354"/>
      <c r="AV135" s="354"/>
      <c r="AW135" s="354"/>
      <c r="AX135" s="354"/>
      <c r="AY135" s="354"/>
      <c r="AZ135" s="354"/>
      <c r="BA135" s="354"/>
      <c r="BB135" s="354"/>
      <c r="BC135" s="354"/>
      <c r="BD135" s="354"/>
      <c r="BE135" s="354"/>
      <c r="BF135" s="354"/>
      <c r="BG135" s="354"/>
      <c r="BH135" s="354"/>
      <c r="BI135" s="354"/>
      <c r="BJ135" s="354"/>
      <c r="BK135" s="354"/>
      <c r="BL135" s="354"/>
      <c r="BM135" s="354"/>
      <c r="BN135" s="354"/>
      <c r="BO135" s="354"/>
      <c r="BP135" s="354"/>
      <c r="BQ135" s="354"/>
      <c r="BR135" s="354"/>
      <c r="BS135" s="354"/>
      <c r="BT135" s="354"/>
    </row>
    <row r="136" spans="1:72" s="312" customFormat="1">
      <c r="A136" s="410"/>
      <c r="B136" s="411"/>
      <c r="C136" s="410"/>
      <c r="D136" s="412"/>
      <c r="E136" s="410"/>
      <c r="F136" s="410"/>
      <c r="G136" s="411"/>
      <c r="H136" s="411"/>
      <c r="I136" s="411"/>
      <c r="J136" s="410"/>
      <c r="K136" s="410"/>
      <c r="L136" s="410"/>
      <c r="M136" s="410"/>
      <c r="N136" s="410"/>
      <c r="O136" s="410"/>
      <c r="P136" s="410"/>
      <c r="Q136" s="410"/>
      <c r="R136" s="413"/>
      <c r="S136" s="413"/>
      <c r="T136" s="411"/>
      <c r="U136" s="413"/>
      <c r="V136" s="413"/>
      <c r="W136" s="348"/>
      <c r="X136" s="349"/>
      <c r="Y136" s="349"/>
      <c r="Z136" s="349"/>
      <c r="AA136" s="349"/>
      <c r="AB136" s="349"/>
      <c r="AC136" s="354"/>
      <c r="AD136" s="354"/>
      <c r="AE136" s="354"/>
      <c r="AF136" s="354"/>
      <c r="AG136" s="354"/>
      <c r="AH136" s="354"/>
      <c r="AI136" s="354"/>
      <c r="AJ136" s="354"/>
      <c r="AK136" s="354"/>
      <c r="AL136" s="354"/>
      <c r="AM136" s="354"/>
      <c r="AN136" s="354"/>
      <c r="AO136" s="354"/>
      <c r="AP136" s="354"/>
      <c r="AQ136" s="354"/>
      <c r="AR136" s="354"/>
      <c r="AS136" s="354"/>
      <c r="AT136" s="354"/>
      <c r="AU136" s="354"/>
      <c r="AV136" s="354"/>
      <c r="AW136" s="354"/>
      <c r="AX136" s="354"/>
      <c r="AY136" s="354"/>
      <c r="AZ136" s="354"/>
      <c r="BA136" s="354"/>
      <c r="BB136" s="354"/>
      <c r="BC136" s="354"/>
      <c r="BD136" s="354"/>
      <c r="BE136" s="354"/>
      <c r="BF136" s="354"/>
      <c r="BG136" s="354"/>
      <c r="BH136" s="354"/>
      <c r="BI136" s="354"/>
      <c r="BJ136" s="354"/>
      <c r="BK136" s="354"/>
      <c r="BL136" s="354"/>
      <c r="BM136" s="354"/>
      <c r="BN136" s="354"/>
      <c r="BO136" s="354"/>
      <c r="BP136" s="354"/>
      <c r="BQ136" s="354"/>
      <c r="BR136" s="354"/>
      <c r="BS136" s="354"/>
      <c r="BT136" s="354"/>
    </row>
    <row r="137" spans="1:72" s="312" customFormat="1">
      <c r="A137" s="410"/>
      <c r="B137" s="411"/>
      <c r="C137" s="410"/>
      <c r="D137" s="412"/>
      <c r="E137" s="410"/>
      <c r="F137" s="410"/>
      <c r="G137" s="411"/>
      <c r="H137" s="411"/>
      <c r="I137" s="411"/>
      <c r="J137" s="410"/>
      <c r="K137" s="410"/>
      <c r="L137" s="410"/>
      <c r="M137" s="410"/>
      <c r="N137" s="410"/>
      <c r="O137" s="410"/>
      <c r="P137" s="410"/>
      <c r="Q137" s="410"/>
      <c r="R137" s="413"/>
      <c r="S137" s="413"/>
      <c r="T137" s="411"/>
      <c r="U137" s="413"/>
      <c r="V137" s="413"/>
      <c r="W137" s="348"/>
      <c r="X137" s="349"/>
      <c r="Y137" s="349"/>
      <c r="Z137" s="349"/>
      <c r="AA137" s="349"/>
      <c r="AB137" s="349"/>
      <c r="AC137" s="354"/>
      <c r="AD137" s="354"/>
      <c r="AE137" s="354"/>
      <c r="AF137" s="354"/>
      <c r="AG137" s="354"/>
      <c r="AH137" s="354"/>
      <c r="AI137" s="354"/>
      <c r="AJ137" s="354"/>
      <c r="AK137" s="354"/>
      <c r="AL137" s="354"/>
      <c r="AM137" s="354"/>
      <c r="AN137" s="354"/>
      <c r="AO137" s="354"/>
      <c r="AP137" s="354"/>
      <c r="AQ137" s="354"/>
      <c r="AR137" s="354"/>
      <c r="AS137" s="354"/>
      <c r="AT137" s="354"/>
      <c r="AU137" s="354"/>
      <c r="AV137" s="354"/>
      <c r="AW137" s="354"/>
      <c r="AX137" s="354"/>
      <c r="AY137" s="354"/>
      <c r="AZ137" s="354"/>
      <c r="BA137" s="354"/>
      <c r="BB137" s="354"/>
      <c r="BC137" s="354"/>
      <c r="BD137" s="354"/>
      <c r="BE137" s="354"/>
      <c r="BF137" s="354"/>
      <c r="BG137" s="354"/>
      <c r="BH137" s="354"/>
      <c r="BI137" s="354"/>
      <c r="BJ137" s="354"/>
      <c r="BK137" s="354"/>
      <c r="BL137" s="354"/>
      <c r="BM137" s="354"/>
      <c r="BN137" s="354"/>
      <c r="BO137" s="354"/>
      <c r="BP137" s="354"/>
      <c r="BQ137" s="354"/>
      <c r="BR137" s="354"/>
      <c r="BS137" s="354"/>
      <c r="BT137" s="354"/>
    </row>
    <row r="138" spans="1:72" s="312" customFormat="1">
      <c r="A138" s="410"/>
      <c r="B138" s="411"/>
      <c r="C138" s="410"/>
      <c r="D138" s="412"/>
      <c r="E138" s="410"/>
      <c r="F138" s="410"/>
      <c r="G138" s="411"/>
      <c r="H138" s="411"/>
      <c r="I138" s="411"/>
      <c r="J138" s="410"/>
      <c r="K138" s="410"/>
      <c r="L138" s="410"/>
      <c r="M138" s="410"/>
      <c r="N138" s="410"/>
      <c r="O138" s="410"/>
      <c r="P138" s="410"/>
      <c r="Q138" s="410"/>
      <c r="R138" s="413"/>
      <c r="S138" s="413"/>
      <c r="T138" s="411"/>
      <c r="U138" s="413"/>
      <c r="V138" s="413"/>
      <c r="W138" s="348"/>
      <c r="X138" s="349"/>
      <c r="Y138" s="349"/>
      <c r="Z138" s="349"/>
      <c r="AA138" s="349"/>
      <c r="AB138" s="349"/>
      <c r="AC138" s="354"/>
      <c r="AD138" s="354"/>
      <c r="AE138" s="354"/>
      <c r="AF138" s="354"/>
      <c r="AG138" s="354"/>
      <c r="AH138" s="354"/>
      <c r="AI138" s="354"/>
      <c r="AJ138" s="354"/>
      <c r="AK138" s="354"/>
      <c r="AL138" s="354"/>
      <c r="AM138" s="354"/>
      <c r="AN138" s="354"/>
      <c r="AO138" s="354"/>
      <c r="AP138" s="354"/>
      <c r="AQ138" s="354"/>
      <c r="AR138" s="354"/>
      <c r="AS138" s="354"/>
      <c r="AT138" s="354"/>
      <c r="AU138" s="354"/>
      <c r="AV138" s="354"/>
      <c r="AW138" s="354"/>
      <c r="AX138" s="354"/>
      <c r="AY138" s="354"/>
      <c r="AZ138" s="354"/>
      <c r="BA138" s="354"/>
      <c r="BB138" s="354"/>
      <c r="BC138" s="354"/>
      <c r="BD138" s="354"/>
      <c r="BE138" s="354"/>
      <c r="BF138" s="354"/>
      <c r="BG138" s="354"/>
      <c r="BH138" s="354"/>
      <c r="BI138" s="354"/>
      <c r="BJ138" s="354"/>
      <c r="BK138" s="354"/>
      <c r="BL138" s="354"/>
      <c r="BM138" s="354"/>
      <c r="BN138" s="354"/>
      <c r="BO138" s="354"/>
      <c r="BP138" s="354"/>
      <c r="BQ138" s="354"/>
      <c r="BR138" s="354"/>
      <c r="BS138" s="354"/>
      <c r="BT138" s="354"/>
    </row>
    <row r="139" spans="1:72" s="312" customFormat="1">
      <c r="A139" s="410"/>
      <c r="B139" s="411"/>
      <c r="C139" s="410"/>
      <c r="D139" s="412"/>
      <c r="E139" s="410"/>
      <c r="F139" s="410"/>
      <c r="G139" s="411"/>
      <c r="H139" s="411"/>
      <c r="I139" s="411"/>
      <c r="J139" s="410"/>
      <c r="K139" s="410"/>
      <c r="L139" s="410"/>
      <c r="M139" s="410"/>
      <c r="N139" s="410"/>
      <c r="O139" s="410"/>
      <c r="P139" s="410"/>
      <c r="Q139" s="410"/>
      <c r="R139" s="413"/>
      <c r="S139" s="413"/>
      <c r="T139" s="411"/>
      <c r="U139" s="413"/>
      <c r="V139" s="413"/>
      <c r="W139" s="348"/>
      <c r="X139" s="349"/>
      <c r="Y139" s="349"/>
      <c r="Z139" s="349"/>
      <c r="AA139" s="349"/>
      <c r="AB139" s="349"/>
      <c r="AC139" s="354"/>
      <c r="AD139" s="354"/>
      <c r="AE139" s="354"/>
      <c r="AF139" s="354"/>
      <c r="AG139" s="354"/>
      <c r="AH139" s="354"/>
      <c r="AI139" s="354"/>
      <c r="AJ139" s="354"/>
      <c r="AK139" s="354"/>
      <c r="AL139" s="354"/>
      <c r="AM139" s="354"/>
      <c r="AN139" s="354"/>
      <c r="AO139" s="354"/>
      <c r="AP139" s="354"/>
      <c r="AQ139" s="354"/>
      <c r="AR139" s="354"/>
      <c r="AS139" s="354"/>
      <c r="AT139" s="354"/>
      <c r="AU139" s="354"/>
      <c r="AV139" s="354"/>
      <c r="AW139" s="354"/>
      <c r="AX139" s="354"/>
      <c r="AY139" s="354"/>
      <c r="AZ139" s="354"/>
      <c r="BA139" s="354"/>
      <c r="BB139" s="354"/>
      <c r="BC139" s="354"/>
      <c r="BD139" s="354"/>
      <c r="BE139" s="354"/>
      <c r="BF139" s="354"/>
      <c r="BG139" s="354"/>
      <c r="BH139" s="354"/>
      <c r="BI139" s="354"/>
      <c r="BJ139" s="354"/>
      <c r="BK139" s="354"/>
      <c r="BL139" s="354"/>
      <c r="BM139" s="354"/>
      <c r="BN139" s="354"/>
      <c r="BO139" s="354"/>
      <c r="BP139" s="354"/>
      <c r="BQ139" s="354"/>
      <c r="BR139" s="354"/>
      <c r="BS139" s="354"/>
      <c r="BT139" s="354"/>
    </row>
    <row r="140" spans="1:72" s="312" customFormat="1">
      <c r="A140" s="410"/>
      <c r="B140" s="411"/>
      <c r="C140" s="410"/>
      <c r="D140" s="412"/>
      <c r="E140" s="410"/>
      <c r="F140" s="410"/>
      <c r="G140" s="411"/>
      <c r="H140" s="411"/>
      <c r="I140" s="411"/>
      <c r="J140" s="410"/>
      <c r="K140" s="410"/>
      <c r="L140" s="410"/>
      <c r="M140" s="410"/>
      <c r="N140" s="410"/>
      <c r="O140" s="410"/>
      <c r="P140" s="410"/>
      <c r="Q140" s="410"/>
      <c r="R140" s="413"/>
      <c r="S140" s="413"/>
      <c r="T140" s="411"/>
      <c r="U140" s="413"/>
      <c r="V140" s="413"/>
      <c r="W140" s="348"/>
      <c r="X140" s="349"/>
      <c r="Y140" s="349"/>
      <c r="Z140" s="349"/>
      <c r="AA140" s="349"/>
      <c r="AB140" s="349"/>
      <c r="AC140" s="354"/>
      <c r="AD140" s="354"/>
      <c r="AE140" s="354"/>
      <c r="AF140" s="354"/>
      <c r="AG140" s="354"/>
      <c r="AH140" s="354"/>
      <c r="AI140" s="354"/>
      <c r="AJ140" s="354"/>
      <c r="AK140" s="354"/>
      <c r="AL140" s="354"/>
      <c r="AM140" s="354"/>
      <c r="AN140" s="354"/>
      <c r="AO140" s="354"/>
      <c r="AP140" s="354"/>
      <c r="AQ140" s="354"/>
      <c r="AR140" s="354"/>
      <c r="AS140" s="354"/>
      <c r="AT140" s="354"/>
      <c r="AU140" s="354"/>
      <c r="AV140" s="354"/>
      <c r="AW140" s="354"/>
      <c r="AX140" s="354"/>
      <c r="AY140" s="354"/>
      <c r="AZ140" s="354"/>
      <c r="BA140" s="354"/>
      <c r="BB140" s="354"/>
      <c r="BC140" s="354"/>
      <c r="BD140" s="354"/>
      <c r="BE140" s="354"/>
      <c r="BF140" s="354"/>
      <c r="BG140" s="354"/>
      <c r="BH140" s="354"/>
      <c r="BI140" s="354"/>
      <c r="BJ140" s="354"/>
      <c r="BK140" s="354"/>
      <c r="BL140" s="354"/>
      <c r="BM140" s="354"/>
      <c r="BN140" s="354"/>
      <c r="BO140" s="354"/>
      <c r="BP140" s="354"/>
      <c r="BQ140" s="354"/>
      <c r="BR140" s="354"/>
      <c r="BS140" s="354"/>
      <c r="BT140" s="354"/>
    </row>
    <row r="141" spans="1:72" s="312" customFormat="1">
      <c r="A141" s="410"/>
      <c r="B141" s="411"/>
      <c r="C141" s="410"/>
      <c r="D141" s="412"/>
      <c r="E141" s="410"/>
      <c r="F141" s="410"/>
      <c r="G141" s="411"/>
      <c r="H141" s="411"/>
      <c r="I141" s="411"/>
      <c r="J141" s="410"/>
      <c r="K141" s="410"/>
      <c r="L141" s="410"/>
      <c r="M141" s="410"/>
      <c r="N141" s="410"/>
      <c r="O141" s="410"/>
      <c r="P141" s="410"/>
      <c r="Q141" s="410"/>
      <c r="R141" s="413"/>
      <c r="S141" s="413"/>
      <c r="T141" s="411"/>
      <c r="U141" s="413"/>
      <c r="V141" s="413"/>
      <c r="W141" s="348"/>
      <c r="X141" s="349"/>
      <c r="Y141" s="349"/>
      <c r="Z141" s="349"/>
      <c r="AA141" s="349"/>
      <c r="AB141" s="349"/>
      <c r="AC141" s="354"/>
      <c r="AD141" s="354"/>
      <c r="AE141" s="354"/>
      <c r="AF141" s="354"/>
      <c r="AG141" s="354"/>
      <c r="AH141" s="354"/>
      <c r="AI141" s="354"/>
      <c r="AJ141" s="354"/>
      <c r="AK141" s="354"/>
      <c r="AL141" s="354"/>
      <c r="AM141" s="354"/>
      <c r="AN141" s="354"/>
      <c r="AO141" s="354"/>
      <c r="AP141" s="354"/>
      <c r="AQ141" s="354"/>
      <c r="AR141" s="354"/>
      <c r="AS141" s="354"/>
      <c r="AT141" s="354"/>
      <c r="AU141" s="354"/>
      <c r="AV141" s="354"/>
      <c r="AW141" s="354"/>
      <c r="AX141" s="354"/>
      <c r="AY141" s="354"/>
      <c r="AZ141" s="354"/>
      <c r="BA141" s="354"/>
      <c r="BB141" s="354"/>
      <c r="BC141" s="354"/>
      <c r="BD141" s="354"/>
      <c r="BE141" s="354"/>
      <c r="BF141" s="354"/>
      <c r="BG141" s="354"/>
      <c r="BH141" s="354"/>
      <c r="BI141" s="354"/>
      <c r="BJ141" s="354"/>
      <c r="BK141" s="354"/>
      <c r="BL141" s="354"/>
      <c r="BM141" s="354"/>
      <c r="BN141" s="354"/>
      <c r="BO141" s="354"/>
      <c r="BP141" s="354"/>
      <c r="BQ141" s="354"/>
      <c r="BR141" s="354"/>
      <c r="BS141" s="354"/>
      <c r="BT141" s="354"/>
    </row>
    <row r="142" spans="1:72" s="312" customFormat="1">
      <c r="A142" s="410"/>
      <c r="B142" s="411"/>
      <c r="C142" s="410"/>
      <c r="D142" s="412"/>
      <c r="E142" s="410"/>
      <c r="F142" s="410"/>
      <c r="G142" s="411"/>
      <c r="H142" s="411"/>
      <c r="I142" s="411"/>
      <c r="J142" s="410"/>
      <c r="K142" s="410"/>
      <c r="L142" s="410"/>
      <c r="M142" s="410"/>
      <c r="N142" s="410"/>
      <c r="O142" s="410"/>
      <c r="P142" s="410"/>
      <c r="Q142" s="410"/>
      <c r="R142" s="413"/>
      <c r="S142" s="413"/>
      <c r="T142" s="411"/>
      <c r="U142" s="413"/>
      <c r="V142" s="413"/>
      <c r="W142" s="348"/>
      <c r="X142" s="349"/>
      <c r="Y142" s="349"/>
      <c r="Z142" s="349"/>
      <c r="AA142" s="349"/>
      <c r="AB142" s="349"/>
      <c r="AC142" s="354"/>
      <c r="AD142" s="354"/>
      <c r="AE142" s="354"/>
      <c r="AF142" s="354"/>
      <c r="AG142" s="354"/>
      <c r="AH142" s="354"/>
      <c r="AI142" s="354"/>
      <c r="AJ142" s="354"/>
      <c r="AK142" s="354"/>
      <c r="AL142" s="354"/>
      <c r="AM142" s="354"/>
      <c r="AN142" s="354"/>
      <c r="AO142" s="354"/>
      <c r="AP142" s="354"/>
      <c r="AQ142" s="354"/>
      <c r="AR142" s="354"/>
      <c r="AS142" s="354"/>
      <c r="AT142" s="354"/>
      <c r="AU142" s="354"/>
      <c r="AV142" s="354"/>
      <c r="AW142" s="354"/>
      <c r="AX142" s="354"/>
      <c r="AY142" s="354"/>
      <c r="AZ142" s="354"/>
      <c r="BA142" s="354"/>
      <c r="BB142" s="354"/>
      <c r="BC142" s="354"/>
      <c r="BD142" s="354"/>
      <c r="BE142" s="354"/>
      <c r="BF142" s="354"/>
      <c r="BG142" s="354"/>
      <c r="BH142" s="354"/>
      <c r="BI142" s="354"/>
      <c r="BJ142" s="354"/>
      <c r="BK142" s="354"/>
      <c r="BL142" s="354"/>
      <c r="BM142" s="354"/>
      <c r="BN142" s="354"/>
      <c r="BO142" s="354"/>
      <c r="BP142" s="354"/>
      <c r="BQ142" s="354"/>
      <c r="BR142" s="354"/>
      <c r="BS142" s="354"/>
      <c r="BT142" s="354"/>
    </row>
    <row r="143" spans="1:72" s="312" customFormat="1">
      <c r="A143" s="410"/>
      <c r="B143" s="411"/>
      <c r="C143" s="410"/>
      <c r="D143" s="412"/>
      <c r="E143" s="410"/>
      <c r="F143" s="410"/>
      <c r="G143" s="411"/>
      <c r="H143" s="411"/>
      <c r="I143" s="411"/>
      <c r="J143" s="410"/>
      <c r="K143" s="410"/>
      <c r="L143" s="410"/>
      <c r="M143" s="410"/>
      <c r="N143" s="410"/>
      <c r="O143" s="410"/>
      <c r="P143" s="410"/>
      <c r="Q143" s="410"/>
      <c r="R143" s="413"/>
      <c r="S143" s="413"/>
      <c r="T143" s="411"/>
      <c r="U143" s="413"/>
      <c r="V143" s="413"/>
      <c r="W143" s="348"/>
      <c r="X143" s="349"/>
      <c r="Y143" s="349"/>
      <c r="Z143" s="349"/>
      <c r="AA143" s="349"/>
      <c r="AB143" s="349"/>
      <c r="AC143" s="354"/>
      <c r="AD143" s="354"/>
      <c r="AE143" s="354"/>
      <c r="AF143" s="354"/>
      <c r="AG143" s="354"/>
      <c r="AH143" s="354"/>
      <c r="AI143" s="354"/>
      <c r="AJ143" s="354"/>
      <c r="AK143" s="354"/>
      <c r="AL143" s="354"/>
      <c r="AM143" s="354"/>
      <c r="AN143" s="354"/>
      <c r="AO143" s="354"/>
      <c r="AP143" s="354"/>
      <c r="AQ143" s="354"/>
      <c r="AR143" s="354"/>
      <c r="AS143" s="354"/>
      <c r="AT143" s="354"/>
      <c r="AU143" s="354"/>
      <c r="AV143" s="354"/>
      <c r="AW143" s="354"/>
      <c r="AX143" s="354"/>
      <c r="AY143" s="354"/>
      <c r="AZ143" s="354"/>
      <c r="BA143" s="354"/>
      <c r="BB143" s="354"/>
      <c r="BC143" s="354"/>
      <c r="BD143" s="354"/>
      <c r="BE143" s="354"/>
      <c r="BF143" s="354"/>
      <c r="BG143" s="354"/>
      <c r="BH143" s="354"/>
      <c r="BI143" s="354"/>
      <c r="BJ143" s="354"/>
      <c r="BK143" s="354"/>
      <c r="BL143" s="354"/>
      <c r="BM143" s="354"/>
      <c r="BN143" s="354"/>
      <c r="BO143" s="354"/>
      <c r="BP143" s="354"/>
      <c r="BQ143" s="354"/>
      <c r="BR143" s="354"/>
      <c r="BS143" s="354"/>
      <c r="BT143" s="354"/>
    </row>
    <row r="144" spans="1:72" s="312" customFormat="1">
      <c r="A144" s="410"/>
      <c r="B144" s="411"/>
      <c r="C144" s="410"/>
      <c r="D144" s="412"/>
      <c r="E144" s="410"/>
      <c r="F144" s="410"/>
      <c r="G144" s="411"/>
      <c r="H144" s="411"/>
      <c r="I144" s="411"/>
      <c r="J144" s="410"/>
      <c r="K144" s="410"/>
      <c r="L144" s="410"/>
      <c r="M144" s="410"/>
      <c r="N144" s="410"/>
      <c r="O144" s="410"/>
      <c r="P144" s="410"/>
      <c r="Q144" s="410"/>
      <c r="R144" s="413"/>
      <c r="S144" s="413"/>
      <c r="T144" s="411"/>
      <c r="U144" s="413"/>
      <c r="V144" s="413"/>
      <c r="W144" s="348"/>
      <c r="X144" s="349"/>
      <c r="Y144" s="349"/>
      <c r="Z144" s="349"/>
      <c r="AA144" s="349"/>
      <c r="AB144" s="349"/>
      <c r="AC144" s="354"/>
      <c r="AD144" s="354"/>
      <c r="AE144" s="354"/>
      <c r="AF144" s="354"/>
      <c r="AG144" s="354"/>
      <c r="AH144" s="354"/>
      <c r="AI144" s="354"/>
      <c r="AJ144" s="354"/>
      <c r="AK144" s="354"/>
      <c r="AL144" s="354"/>
      <c r="AM144" s="354"/>
      <c r="AN144" s="354"/>
      <c r="AO144" s="354"/>
      <c r="AP144" s="354"/>
      <c r="AQ144" s="354"/>
      <c r="AR144" s="354"/>
      <c r="AS144" s="354"/>
      <c r="AT144" s="354"/>
      <c r="AU144" s="354"/>
      <c r="AV144" s="354"/>
      <c r="AW144" s="354"/>
      <c r="AX144" s="354"/>
      <c r="AY144" s="354"/>
      <c r="AZ144" s="354"/>
      <c r="BA144" s="354"/>
      <c r="BB144" s="354"/>
      <c r="BC144" s="354"/>
      <c r="BD144" s="354"/>
      <c r="BE144" s="354"/>
      <c r="BF144" s="354"/>
      <c r="BG144" s="354"/>
      <c r="BH144" s="354"/>
      <c r="BI144" s="354"/>
      <c r="BJ144" s="354"/>
      <c r="BK144" s="354"/>
      <c r="BL144" s="354"/>
      <c r="BM144" s="354"/>
      <c r="BN144" s="354"/>
      <c r="BO144" s="354"/>
      <c r="BP144" s="354"/>
      <c r="BQ144" s="354"/>
      <c r="BR144" s="354"/>
      <c r="BS144" s="354"/>
      <c r="BT144" s="354"/>
    </row>
    <row r="145" spans="1:72" s="312" customFormat="1">
      <c r="A145" s="410"/>
      <c r="B145" s="411"/>
      <c r="C145" s="410"/>
      <c r="D145" s="412"/>
      <c r="E145" s="410"/>
      <c r="F145" s="410"/>
      <c r="G145" s="411"/>
      <c r="H145" s="411"/>
      <c r="I145" s="411"/>
      <c r="J145" s="410"/>
      <c r="K145" s="410"/>
      <c r="L145" s="410"/>
      <c r="M145" s="410"/>
      <c r="N145" s="410"/>
      <c r="O145" s="410"/>
      <c r="P145" s="410"/>
      <c r="Q145" s="410"/>
      <c r="R145" s="413"/>
      <c r="S145" s="413"/>
      <c r="T145" s="411"/>
      <c r="U145" s="413"/>
      <c r="V145" s="413"/>
      <c r="W145" s="348"/>
      <c r="X145" s="349"/>
      <c r="Y145" s="349"/>
      <c r="Z145" s="349"/>
      <c r="AA145" s="349"/>
      <c r="AB145" s="349"/>
      <c r="AC145" s="354"/>
      <c r="AD145" s="354"/>
      <c r="AE145" s="354"/>
      <c r="AF145" s="354"/>
      <c r="AG145" s="354"/>
      <c r="AH145" s="354"/>
      <c r="AI145" s="354"/>
      <c r="AJ145" s="354"/>
      <c r="AK145" s="354"/>
      <c r="AL145" s="354"/>
      <c r="AM145" s="354"/>
      <c r="AN145" s="354"/>
      <c r="AO145" s="354"/>
      <c r="AP145" s="354"/>
      <c r="AQ145" s="354"/>
      <c r="AR145" s="354"/>
      <c r="AS145" s="354"/>
      <c r="AT145" s="354"/>
      <c r="AU145" s="354"/>
      <c r="AV145" s="354"/>
      <c r="AW145" s="354"/>
      <c r="AX145" s="354"/>
      <c r="AY145" s="354"/>
      <c r="AZ145" s="354"/>
      <c r="BA145" s="354"/>
      <c r="BB145" s="354"/>
      <c r="BC145" s="354"/>
      <c r="BD145" s="354"/>
      <c r="BE145" s="354"/>
      <c r="BF145" s="354"/>
      <c r="BG145" s="354"/>
      <c r="BH145" s="354"/>
      <c r="BI145" s="354"/>
      <c r="BJ145" s="354"/>
      <c r="BK145" s="354"/>
      <c r="BL145" s="354"/>
      <c r="BM145" s="354"/>
      <c r="BN145" s="354"/>
      <c r="BO145" s="354"/>
      <c r="BP145" s="354"/>
      <c r="BQ145" s="354"/>
      <c r="BR145" s="354"/>
      <c r="BS145" s="354"/>
      <c r="BT145" s="354"/>
    </row>
    <row r="146" spans="1:72" s="312" customFormat="1">
      <c r="A146" s="410"/>
      <c r="B146" s="411"/>
      <c r="C146" s="410"/>
      <c r="D146" s="412"/>
      <c r="E146" s="410"/>
      <c r="F146" s="410"/>
      <c r="G146" s="411"/>
      <c r="H146" s="411"/>
      <c r="I146" s="411"/>
      <c r="J146" s="410"/>
      <c r="K146" s="410"/>
      <c r="L146" s="410"/>
      <c r="M146" s="410"/>
      <c r="N146" s="410"/>
      <c r="O146" s="410"/>
      <c r="P146" s="410"/>
      <c r="Q146" s="410"/>
      <c r="R146" s="413"/>
      <c r="S146" s="413"/>
      <c r="T146" s="411"/>
      <c r="U146" s="413"/>
      <c r="V146" s="413"/>
      <c r="W146" s="348"/>
      <c r="X146" s="349"/>
      <c r="Y146" s="349"/>
      <c r="Z146" s="349"/>
      <c r="AA146" s="349"/>
      <c r="AB146" s="349"/>
      <c r="AC146" s="354"/>
      <c r="AD146" s="354"/>
      <c r="AE146" s="354"/>
      <c r="AF146" s="354"/>
      <c r="AG146" s="354"/>
      <c r="AH146" s="354"/>
      <c r="AI146" s="354"/>
      <c r="AJ146" s="354"/>
      <c r="AK146" s="354"/>
      <c r="AL146" s="354"/>
      <c r="AM146" s="354"/>
      <c r="AN146" s="354"/>
      <c r="AO146" s="354"/>
      <c r="AP146" s="354"/>
      <c r="AQ146" s="354"/>
      <c r="AR146" s="354"/>
      <c r="AS146" s="354"/>
      <c r="AT146" s="354"/>
      <c r="AU146" s="354"/>
      <c r="AV146" s="354"/>
      <c r="AW146" s="354"/>
      <c r="AX146" s="354"/>
      <c r="AY146" s="354"/>
      <c r="AZ146" s="354"/>
      <c r="BA146" s="354"/>
      <c r="BB146" s="354"/>
      <c r="BC146" s="354"/>
      <c r="BD146" s="354"/>
      <c r="BE146" s="354"/>
      <c r="BF146" s="354"/>
      <c r="BG146" s="354"/>
      <c r="BH146" s="354"/>
      <c r="BI146" s="354"/>
      <c r="BJ146" s="354"/>
      <c r="BK146" s="354"/>
      <c r="BL146" s="354"/>
      <c r="BM146" s="354"/>
      <c r="BN146" s="354"/>
      <c r="BO146" s="354"/>
      <c r="BP146" s="354"/>
      <c r="BQ146" s="354"/>
      <c r="BR146" s="354"/>
      <c r="BS146" s="354"/>
      <c r="BT146" s="354"/>
    </row>
    <row r="147" spans="1:72" s="312" customFormat="1">
      <c r="A147" s="410"/>
      <c r="B147" s="411"/>
      <c r="C147" s="410"/>
      <c r="D147" s="412"/>
      <c r="E147" s="410"/>
      <c r="F147" s="410"/>
      <c r="G147" s="411"/>
      <c r="H147" s="411"/>
      <c r="I147" s="411"/>
      <c r="J147" s="410"/>
      <c r="K147" s="410"/>
      <c r="L147" s="410"/>
      <c r="M147" s="410"/>
      <c r="N147" s="410"/>
      <c r="O147" s="410"/>
      <c r="P147" s="410"/>
      <c r="Q147" s="410"/>
      <c r="R147" s="413"/>
      <c r="S147" s="413"/>
      <c r="T147" s="411"/>
      <c r="U147" s="413"/>
      <c r="V147" s="413"/>
      <c r="W147" s="348"/>
      <c r="X147" s="349"/>
      <c r="Y147" s="349"/>
      <c r="Z147" s="349"/>
      <c r="AA147" s="349"/>
      <c r="AB147" s="349"/>
      <c r="AC147" s="354"/>
      <c r="AD147" s="354"/>
      <c r="AE147" s="354"/>
      <c r="AF147" s="354"/>
      <c r="AG147" s="354"/>
      <c r="AH147" s="354"/>
      <c r="AI147" s="354"/>
      <c r="AJ147" s="354"/>
      <c r="AK147" s="354"/>
      <c r="AL147" s="354"/>
      <c r="AM147" s="354"/>
      <c r="AN147" s="354"/>
      <c r="AO147" s="354"/>
      <c r="AP147" s="354"/>
      <c r="AQ147" s="354"/>
      <c r="AR147" s="354"/>
      <c r="AS147" s="354"/>
      <c r="AT147" s="354"/>
      <c r="AU147" s="354"/>
      <c r="AV147" s="354"/>
      <c r="AW147" s="354"/>
      <c r="AX147" s="354"/>
      <c r="AY147" s="354"/>
      <c r="AZ147" s="354"/>
      <c r="BA147" s="354"/>
      <c r="BB147" s="354"/>
      <c r="BC147" s="354"/>
      <c r="BD147" s="354"/>
      <c r="BE147" s="354"/>
      <c r="BF147" s="354"/>
      <c r="BG147" s="354"/>
      <c r="BH147" s="354"/>
      <c r="BI147" s="354"/>
      <c r="BJ147" s="354"/>
      <c r="BK147" s="354"/>
      <c r="BL147" s="354"/>
      <c r="BM147" s="354"/>
      <c r="BN147" s="354"/>
      <c r="BO147" s="354"/>
      <c r="BP147" s="354"/>
      <c r="BQ147" s="354"/>
      <c r="BR147" s="354"/>
      <c r="BS147" s="354"/>
      <c r="BT147" s="354"/>
    </row>
    <row r="148" spans="1:72" s="312" customFormat="1">
      <c r="A148" s="410"/>
      <c r="B148" s="411"/>
      <c r="C148" s="410"/>
      <c r="D148" s="412"/>
      <c r="E148" s="410"/>
      <c r="F148" s="410"/>
      <c r="G148" s="411"/>
      <c r="H148" s="411"/>
      <c r="I148" s="411"/>
      <c r="J148" s="410"/>
      <c r="K148" s="410"/>
      <c r="L148" s="410"/>
      <c r="M148" s="410"/>
      <c r="N148" s="410"/>
      <c r="O148" s="410"/>
      <c r="P148" s="410"/>
      <c r="Q148" s="410"/>
      <c r="R148" s="413"/>
      <c r="S148" s="413"/>
      <c r="T148" s="411"/>
      <c r="U148" s="413"/>
      <c r="V148" s="413"/>
      <c r="W148" s="348"/>
      <c r="X148" s="349"/>
      <c r="Y148" s="349"/>
      <c r="Z148" s="349"/>
      <c r="AA148" s="349"/>
      <c r="AB148" s="349"/>
      <c r="AC148" s="354"/>
      <c r="AD148" s="354"/>
      <c r="AE148" s="354"/>
      <c r="AF148" s="354"/>
      <c r="AG148" s="354"/>
      <c r="AH148" s="354"/>
      <c r="AI148" s="354"/>
      <c r="AJ148" s="354"/>
      <c r="AK148" s="354"/>
      <c r="AL148" s="354"/>
      <c r="AM148" s="354"/>
      <c r="AN148" s="354"/>
      <c r="AO148" s="354"/>
      <c r="AP148" s="354"/>
      <c r="AQ148" s="354"/>
      <c r="AR148" s="354"/>
      <c r="AS148" s="354"/>
      <c r="AT148" s="354"/>
      <c r="AU148" s="354"/>
      <c r="AV148" s="354"/>
      <c r="AW148" s="354"/>
      <c r="AX148" s="354"/>
      <c r="AY148" s="354"/>
      <c r="AZ148" s="354"/>
      <c r="BA148" s="354"/>
      <c r="BB148" s="354"/>
      <c r="BC148" s="354"/>
      <c r="BD148" s="354"/>
      <c r="BE148" s="354"/>
      <c r="BF148" s="354"/>
      <c r="BG148" s="354"/>
      <c r="BH148" s="354"/>
      <c r="BI148" s="354"/>
      <c r="BJ148" s="354"/>
      <c r="BK148" s="354"/>
      <c r="BL148" s="354"/>
      <c r="BM148" s="354"/>
      <c r="BN148" s="354"/>
      <c r="BO148" s="354"/>
      <c r="BP148" s="354"/>
      <c r="BQ148" s="354"/>
      <c r="BR148" s="354"/>
      <c r="BS148" s="354"/>
      <c r="BT148" s="354"/>
    </row>
    <row r="149" spans="1:72" s="312" customFormat="1">
      <c r="A149" s="410"/>
      <c r="B149" s="411"/>
      <c r="C149" s="410"/>
      <c r="D149" s="412"/>
      <c r="E149" s="410"/>
      <c r="F149" s="410"/>
      <c r="G149" s="411"/>
      <c r="H149" s="411"/>
      <c r="I149" s="411"/>
      <c r="J149" s="410"/>
      <c r="K149" s="410"/>
      <c r="L149" s="410"/>
      <c r="M149" s="410"/>
      <c r="N149" s="410"/>
      <c r="O149" s="410"/>
      <c r="P149" s="410"/>
      <c r="Q149" s="410"/>
      <c r="R149" s="413"/>
      <c r="S149" s="413"/>
      <c r="T149" s="411"/>
      <c r="U149" s="413"/>
      <c r="V149" s="413"/>
      <c r="W149" s="348"/>
      <c r="X149" s="349"/>
      <c r="Y149" s="349"/>
      <c r="Z149" s="349"/>
      <c r="AA149" s="349"/>
      <c r="AB149" s="349"/>
      <c r="AC149" s="354"/>
      <c r="AD149" s="354"/>
      <c r="AE149" s="354"/>
      <c r="AF149" s="354"/>
      <c r="AG149" s="354"/>
      <c r="AH149" s="354"/>
      <c r="AI149" s="354"/>
      <c r="AJ149" s="354"/>
      <c r="AK149" s="354"/>
      <c r="AL149" s="354"/>
      <c r="AM149" s="354"/>
      <c r="AN149" s="354"/>
      <c r="AO149" s="354"/>
      <c r="AP149" s="354"/>
      <c r="AQ149" s="354"/>
      <c r="AR149" s="354"/>
      <c r="AS149" s="354"/>
      <c r="AT149" s="354"/>
      <c r="AU149" s="354"/>
      <c r="AV149" s="354"/>
      <c r="AW149" s="354"/>
      <c r="AX149" s="354"/>
      <c r="AY149" s="354"/>
      <c r="AZ149" s="354"/>
      <c r="BA149" s="354"/>
      <c r="BB149" s="354"/>
      <c r="BC149" s="354"/>
      <c r="BD149" s="354"/>
      <c r="BE149" s="354"/>
      <c r="BF149" s="354"/>
      <c r="BG149" s="354"/>
      <c r="BH149" s="354"/>
      <c r="BI149" s="354"/>
      <c r="BJ149" s="354"/>
      <c r="BK149" s="354"/>
      <c r="BL149" s="354"/>
      <c r="BM149" s="354"/>
      <c r="BN149" s="354"/>
      <c r="BO149" s="354"/>
      <c r="BP149" s="354"/>
      <c r="BQ149" s="354"/>
      <c r="BR149" s="354"/>
      <c r="BS149" s="354"/>
      <c r="BT149" s="354"/>
    </row>
    <row r="150" spans="1:72" s="312" customFormat="1">
      <c r="A150" s="410"/>
      <c r="B150" s="411"/>
      <c r="C150" s="410"/>
      <c r="D150" s="412"/>
      <c r="E150" s="410"/>
      <c r="F150" s="410"/>
      <c r="G150" s="411"/>
      <c r="H150" s="411"/>
      <c r="I150" s="411"/>
      <c r="J150" s="410"/>
      <c r="K150" s="410"/>
      <c r="L150" s="410"/>
      <c r="M150" s="410"/>
      <c r="N150" s="410"/>
      <c r="O150" s="410"/>
      <c r="P150" s="410"/>
      <c r="Q150" s="410"/>
      <c r="R150" s="413"/>
      <c r="S150" s="413"/>
      <c r="T150" s="411"/>
      <c r="U150" s="413"/>
      <c r="V150" s="413"/>
      <c r="W150" s="348"/>
      <c r="X150" s="349"/>
      <c r="Y150" s="349"/>
      <c r="Z150" s="349"/>
      <c r="AA150" s="349"/>
      <c r="AB150" s="349"/>
      <c r="AC150" s="354"/>
      <c r="AD150" s="354"/>
      <c r="AE150" s="354"/>
      <c r="AF150" s="354"/>
      <c r="AG150" s="354"/>
      <c r="AH150" s="354"/>
      <c r="AI150" s="354"/>
      <c r="AJ150" s="354"/>
      <c r="AK150" s="354"/>
      <c r="AL150" s="354"/>
      <c r="AM150" s="354"/>
      <c r="AN150" s="354"/>
      <c r="AO150" s="354"/>
      <c r="AP150" s="354"/>
      <c r="AQ150" s="354"/>
      <c r="AR150" s="354"/>
      <c r="AS150" s="354"/>
      <c r="AT150" s="354"/>
      <c r="AU150" s="354"/>
      <c r="AV150" s="354"/>
      <c r="AW150" s="354"/>
      <c r="AX150" s="354"/>
      <c r="AY150" s="354"/>
      <c r="AZ150" s="354"/>
      <c r="BA150" s="354"/>
      <c r="BB150" s="354"/>
      <c r="BC150" s="354"/>
      <c r="BD150" s="354"/>
      <c r="BE150" s="354"/>
      <c r="BF150" s="354"/>
      <c r="BG150" s="354"/>
      <c r="BH150" s="354"/>
      <c r="BI150" s="354"/>
      <c r="BJ150" s="354"/>
      <c r="BK150" s="354"/>
      <c r="BL150" s="354"/>
      <c r="BM150" s="354"/>
      <c r="BN150" s="354"/>
      <c r="BO150" s="354"/>
      <c r="BP150" s="354"/>
      <c r="BQ150" s="354"/>
      <c r="BR150" s="354"/>
      <c r="BS150" s="354"/>
      <c r="BT150" s="354"/>
    </row>
    <row r="151" spans="1:72" s="312" customFormat="1">
      <c r="A151" s="410"/>
      <c r="B151" s="411"/>
      <c r="C151" s="410"/>
      <c r="D151" s="412"/>
      <c r="E151" s="410"/>
      <c r="F151" s="410"/>
      <c r="G151" s="411"/>
      <c r="H151" s="411"/>
      <c r="I151" s="411"/>
      <c r="J151" s="410"/>
      <c r="K151" s="410"/>
      <c r="L151" s="410"/>
      <c r="M151" s="410"/>
      <c r="N151" s="410"/>
      <c r="O151" s="410"/>
      <c r="P151" s="410"/>
      <c r="Q151" s="410"/>
      <c r="R151" s="413"/>
      <c r="S151" s="413"/>
      <c r="T151" s="411"/>
      <c r="U151" s="413"/>
      <c r="V151" s="413"/>
      <c r="W151" s="348"/>
      <c r="X151" s="349"/>
      <c r="Y151" s="349"/>
      <c r="Z151" s="349"/>
      <c r="AA151" s="349"/>
      <c r="AB151" s="349"/>
      <c r="AC151" s="354"/>
      <c r="AD151" s="354"/>
      <c r="AE151" s="354"/>
      <c r="AF151" s="354"/>
      <c r="AG151" s="354"/>
      <c r="AH151" s="354"/>
      <c r="AI151" s="354"/>
      <c r="AJ151" s="354"/>
      <c r="AK151" s="354"/>
      <c r="AL151" s="354"/>
      <c r="AM151" s="354"/>
      <c r="AN151" s="354"/>
      <c r="AO151" s="354"/>
      <c r="AP151" s="354"/>
      <c r="AQ151" s="354"/>
      <c r="AR151" s="354"/>
      <c r="AS151" s="354"/>
      <c r="AT151" s="354"/>
      <c r="AU151" s="354"/>
      <c r="AV151" s="354"/>
      <c r="AW151" s="354"/>
      <c r="AX151" s="354"/>
      <c r="AY151" s="354"/>
      <c r="AZ151" s="354"/>
      <c r="BA151" s="354"/>
      <c r="BB151" s="354"/>
      <c r="BC151" s="354"/>
      <c r="BD151" s="354"/>
      <c r="BE151" s="354"/>
      <c r="BF151" s="354"/>
      <c r="BG151" s="354"/>
      <c r="BH151" s="354"/>
      <c r="BI151" s="354"/>
      <c r="BJ151" s="354"/>
      <c r="BK151" s="354"/>
      <c r="BL151" s="354"/>
      <c r="BM151" s="354"/>
      <c r="BN151" s="354"/>
      <c r="BO151" s="354"/>
      <c r="BP151" s="354"/>
      <c r="BQ151" s="354"/>
      <c r="BR151" s="354"/>
      <c r="BS151" s="354"/>
      <c r="BT151" s="354"/>
    </row>
    <row r="152" spans="1:72" s="312" customFormat="1">
      <c r="A152" s="410"/>
      <c r="B152" s="411"/>
      <c r="C152" s="410"/>
      <c r="D152" s="412"/>
      <c r="E152" s="410"/>
      <c r="F152" s="410"/>
      <c r="G152" s="411"/>
      <c r="H152" s="411"/>
      <c r="I152" s="411"/>
      <c r="J152" s="410"/>
      <c r="K152" s="410"/>
      <c r="L152" s="410"/>
      <c r="M152" s="410"/>
      <c r="N152" s="410"/>
      <c r="O152" s="410"/>
      <c r="P152" s="410"/>
      <c r="Q152" s="410"/>
      <c r="R152" s="413"/>
      <c r="S152" s="413"/>
      <c r="T152" s="411"/>
      <c r="U152" s="413"/>
      <c r="V152" s="413"/>
      <c r="W152" s="348"/>
      <c r="X152" s="349"/>
      <c r="Y152" s="349"/>
      <c r="Z152" s="349"/>
      <c r="AA152" s="349"/>
      <c r="AB152" s="349"/>
      <c r="AC152" s="354"/>
      <c r="AD152" s="354"/>
      <c r="AE152" s="354"/>
      <c r="AF152" s="354"/>
      <c r="AG152" s="354"/>
      <c r="AH152" s="354"/>
      <c r="AI152" s="354"/>
      <c r="AJ152" s="354"/>
      <c r="AK152" s="354"/>
      <c r="AL152" s="354"/>
      <c r="AM152" s="354"/>
      <c r="AN152" s="354"/>
      <c r="AO152" s="354"/>
      <c r="AP152" s="354"/>
      <c r="AQ152" s="354"/>
      <c r="AR152" s="354"/>
      <c r="AS152" s="354"/>
      <c r="AT152" s="354"/>
      <c r="AU152" s="354"/>
      <c r="AV152" s="354"/>
      <c r="AW152" s="354"/>
      <c r="AX152" s="354"/>
      <c r="AY152" s="354"/>
      <c r="AZ152" s="354"/>
      <c r="BA152" s="354"/>
      <c r="BB152" s="354"/>
      <c r="BC152" s="354"/>
      <c r="BD152" s="354"/>
      <c r="BE152" s="354"/>
      <c r="BF152" s="354"/>
      <c r="BG152" s="354"/>
      <c r="BH152" s="354"/>
      <c r="BI152" s="354"/>
      <c r="BJ152" s="354"/>
      <c r="BK152" s="354"/>
      <c r="BL152" s="354"/>
      <c r="BM152" s="354"/>
      <c r="BN152" s="354"/>
      <c r="BO152" s="354"/>
      <c r="BP152" s="354"/>
      <c r="BQ152" s="354"/>
      <c r="BR152" s="354"/>
      <c r="BS152" s="354"/>
      <c r="BT152" s="354"/>
    </row>
    <row r="153" spans="1:72" s="312" customFormat="1">
      <c r="A153" s="410"/>
      <c r="B153" s="411"/>
      <c r="C153" s="410"/>
      <c r="D153" s="412"/>
      <c r="E153" s="410"/>
      <c r="F153" s="410"/>
      <c r="G153" s="411"/>
      <c r="H153" s="411"/>
      <c r="I153" s="411"/>
      <c r="J153" s="410"/>
      <c r="K153" s="410"/>
      <c r="L153" s="410"/>
      <c r="M153" s="410"/>
      <c r="N153" s="410"/>
      <c r="O153" s="410"/>
      <c r="P153" s="410"/>
      <c r="Q153" s="410"/>
      <c r="R153" s="413"/>
      <c r="S153" s="413"/>
      <c r="T153" s="411"/>
      <c r="U153" s="413"/>
      <c r="V153" s="413"/>
      <c r="W153" s="348"/>
      <c r="X153" s="349"/>
      <c r="Y153" s="349"/>
      <c r="Z153" s="349"/>
      <c r="AA153" s="349"/>
      <c r="AB153" s="349"/>
      <c r="AC153" s="354"/>
      <c r="AD153" s="354"/>
      <c r="AE153" s="354"/>
      <c r="AF153" s="354"/>
      <c r="AG153" s="354"/>
      <c r="AH153" s="354"/>
      <c r="AI153" s="354"/>
      <c r="AJ153" s="354"/>
      <c r="AK153" s="354"/>
      <c r="AL153" s="354"/>
      <c r="AM153" s="354"/>
      <c r="AN153" s="354"/>
      <c r="AO153" s="354"/>
      <c r="AP153" s="354"/>
      <c r="AQ153" s="354"/>
      <c r="AR153" s="354"/>
      <c r="AS153" s="354"/>
      <c r="AT153" s="354"/>
      <c r="AU153" s="354"/>
      <c r="AV153" s="354"/>
      <c r="AW153" s="354"/>
      <c r="AX153" s="354"/>
      <c r="AY153" s="354"/>
      <c r="AZ153" s="354"/>
      <c r="BA153" s="354"/>
      <c r="BB153" s="354"/>
      <c r="BC153" s="354"/>
      <c r="BD153" s="354"/>
      <c r="BE153" s="354"/>
      <c r="BF153" s="354"/>
      <c r="BG153" s="354"/>
      <c r="BH153" s="354"/>
      <c r="BI153" s="354"/>
      <c r="BJ153" s="354"/>
      <c r="BK153" s="354"/>
      <c r="BL153" s="354"/>
      <c r="BM153" s="354"/>
      <c r="BN153" s="354"/>
      <c r="BO153" s="354"/>
      <c r="BP153" s="354"/>
      <c r="BQ153" s="354"/>
      <c r="BR153" s="354"/>
      <c r="BS153" s="354"/>
      <c r="BT153" s="354"/>
    </row>
    <row r="154" spans="1:72" s="312" customFormat="1">
      <c r="A154" s="410"/>
      <c r="B154" s="411"/>
      <c r="C154" s="410"/>
      <c r="D154" s="412"/>
      <c r="E154" s="410"/>
      <c r="F154" s="410"/>
      <c r="G154" s="411"/>
      <c r="H154" s="411"/>
      <c r="I154" s="411"/>
      <c r="J154" s="410"/>
      <c r="K154" s="410"/>
      <c r="L154" s="410"/>
      <c r="M154" s="410"/>
      <c r="N154" s="410"/>
      <c r="O154" s="410"/>
      <c r="P154" s="410"/>
      <c r="Q154" s="410"/>
      <c r="R154" s="413"/>
      <c r="S154" s="413"/>
      <c r="T154" s="411"/>
      <c r="U154" s="413"/>
      <c r="V154" s="413"/>
      <c r="W154" s="348"/>
      <c r="X154" s="349"/>
      <c r="Y154" s="349"/>
      <c r="Z154" s="349"/>
      <c r="AA154" s="349"/>
      <c r="AB154" s="349"/>
      <c r="AC154" s="354"/>
      <c r="AD154" s="354"/>
      <c r="AE154" s="354"/>
      <c r="AF154" s="354"/>
      <c r="AG154" s="354"/>
      <c r="AH154" s="354"/>
      <c r="AI154" s="354"/>
      <c r="AJ154" s="354"/>
      <c r="AK154" s="354"/>
      <c r="AL154" s="354"/>
      <c r="AM154" s="354"/>
      <c r="AN154" s="354"/>
      <c r="AO154" s="354"/>
      <c r="AP154" s="354"/>
      <c r="AQ154" s="354"/>
      <c r="AR154" s="354"/>
      <c r="AS154" s="354"/>
      <c r="AT154" s="354"/>
      <c r="AU154" s="354"/>
      <c r="AV154" s="354"/>
      <c r="AW154" s="354"/>
      <c r="AX154" s="354"/>
      <c r="AY154" s="354"/>
      <c r="AZ154" s="354"/>
      <c r="BA154" s="354"/>
      <c r="BB154" s="354"/>
      <c r="BC154" s="354"/>
      <c r="BD154" s="354"/>
      <c r="BE154" s="354"/>
      <c r="BF154" s="354"/>
      <c r="BG154" s="354"/>
      <c r="BH154" s="354"/>
      <c r="BI154" s="354"/>
      <c r="BJ154" s="354"/>
      <c r="BK154" s="354"/>
      <c r="BL154" s="354"/>
      <c r="BM154" s="354"/>
      <c r="BN154" s="354"/>
      <c r="BO154" s="354"/>
      <c r="BP154" s="354"/>
      <c r="BQ154" s="354"/>
      <c r="BR154" s="354"/>
      <c r="BS154" s="354"/>
      <c r="BT154" s="354"/>
    </row>
    <row r="155" spans="1:72" s="312" customFormat="1">
      <c r="A155" s="410"/>
      <c r="B155" s="411"/>
      <c r="C155" s="410"/>
      <c r="D155" s="412"/>
      <c r="E155" s="410"/>
      <c r="F155" s="410"/>
      <c r="G155" s="411"/>
      <c r="H155" s="411"/>
      <c r="I155" s="411"/>
      <c r="J155" s="410"/>
      <c r="K155" s="410"/>
      <c r="L155" s="410"/>
      <c r="M155" s="410"/>
      <c r="N155" s="410"/>
      <c r="O155" s="410"/>
      <c r="P155" s="410"/>
      <c r="Q155" s="410"/>
      <c r="R155" s="413"/>
      <c r="S155" s="413"/>
      <c r="T155" s="411"/>
      <c r="U155" s="413"/>
      <c r="V155" s="413"/>
      <c r="W155" s="348"/>
      <c r="X155" s="349"/>
      <c r="Y155" s="349"/>
      <c r="Z155" s="349"/>
      <c r="AA155" s="349"/>
      <c r="AB155" s="349"/>
      <c r="AC155" s="354"/>
      <c r="AD155" s="354"/>
      <c r="AE155" s="354"/>
      <c r="AF155" s="354"/>
      <c r="AG155" s="354"/>
      <c r="AH155" s="354"/>
      <c r="AI155" s="354"/>
      <c r="AJ155" s="354"/>
      <c r="AK155" s="354"/>
      <c r="AL155" s="354"/>
      <c r="AM155" s="354"/>
      <c r="AN155" s="354"/>
      <c r="AO155" s="354"/>
      <c r="AP155" s="354"/>
      <c r="AQ155" s="354"/>
      <c r="AR155" s="354"/>
      <c r="AS155" s="354"/>
      <c r="AT155" s="354"/>
      <c r="AU155" s="354"/>
      <c r="AV155" s="354"/>
      <c r="AW155" s="354"/>
      <c r="AX155" s="354"/>
      <c r="AY155" s="354"/>
      <c r="AZ155" s="354"/>
      <c r="BA155" s="354"/>
      <c r="BB155" s="354"/>
      <c r="BC155" s="354"/>
      <c r="BD155" s="354"/>
      <c r="BE155" s="354"/>
      <c r="BF155" s="354"/>
      <c r="BG155" s="354"/>
      <c r="BH155" s="354"/>
      <c r="BI155" s="354"/>
      <c r="BJ155" s="354"/>
      <c r="BK155" s="354"/>
      <c r="BL155" s="354"/>
      <c r="BM155" s="354"/>
      <c r="BN155" s="354"/>
      <c r="BO155" s="354"/>
      <c r="BP155" s="354"/>
      <c r="BQ155" s="354"/>
      <c r="BR155" s="354"/>
      <c r="BS155" s="354"/>
      <c r="BT155" s="354"/>
    </row>
    <row r="156" spans="1:72" s="312" customFormat="1">
      <c r="A156" s="410"/>
      <c r="B156" s="411"/>
      <c r="C156" s="410"/>
      <c r="D156" s="412"/>
      <c r="E156" s="410"/>
      <c r="F156" s="410"/>
      <c r="G156" s="411"/>
      <c r="H156" s="411"/>
      <c r="I156" s="411"/>
      <c r="J156" s="410"/>
      <c r="K156" s="410"/>
      <c r="L156" s="410"/>
      <c r="M156" s="410"/>
      <c r="N156" s="410"/>
      <c r="O156" s="410"/>
      <c r="P156" s="410"/>
      <c r="Q156" s="410"/>
      <c r="R156" s="413"/>
      <c r="S156" s="413"/>
      <c r="T156" s="411"/>
      <c r="U156" s="413"/>
      <c r="V156" s="413"/>
      <c r="W156" s="348"/>
      <c r="X156" s="349"/>
      <c r="Y156" s="349"/>
      <c r="Z156" s="349"/>
      <c r="AA156" s="349"/>
      <c r="AB156" s="349"/>
      <c r="AC156" s="354"/>
      <c r="AD156" s="354"/>
      <c r="AE156" s="354"/>
      <c r="AF156" s="354"/>
      <c r="AG156" s="354"/>
      <c r="AH156" s="354"/>
      <c r="AI156" s="354"/>
      <c r="AJ156" s="354"/>
      <c r="AK156" s="354"/>
      <c r="AL156" s="354"/>
      <c r="AM156" s="354"/>
      <c r="AN156" s="354"/>
      <c r="AO156" s="354"/>
      <c r="AP156" s="354"/>
      <c r="AQ156" s="354"/>
      <c r="AR156" s="354"/>
      <c r="AS156" s="354"/>
      <c r="AT156" s="354"/>
      <c r="AU156" s="354"/>
      <c r="AV156" s="354"/>
      <c r="AW156" s="354"/>
      <c r="AX156" s="354"/>
      <c r="AY156" s="354"/>
      <c r="AZ156" s="354"/>
      <c r="BA156" s="354"/>
      <c r="BB156" s="354"/>
      <c r="BC156" s="354"/>
      <c r="BD156" s="354"/>
      <c r="BE156" s="354"/>
      <c r="BF156" s="354"/>
      <c r="BG156" s="354"/>
      <c r="BH156" s="354"/>
      <c r="BI156" s="354"/>
      <c r="BJ156" s="354"/>
      <c r="BK156" s="354"/>
      <c r="BL156" s="354"/>
      <c r="BM156" s="354"/>
      <c r="BN156" s="354"/>
      <c r="BO156" s="354"/>
      <c r="BP156" s="354"/>
      <c r="BQ156" s="354"/>
      <c r="BR156" s="354"/>
      <c r="BS156" s="354"/>
      <c r="BT156" s="354"/>
    </row>
    <row r="157" spans="1:72" s="312" customFormat="1">
      <c r="A157" s="410"/>
      <c r="B157" s="411"/>
      <c r="C157" s="410"/>
      <c r="D157" s="412"/>
      <c r="E157" s="410"/>
      <c r="F157" s="410"/>
      <c r="G157" s="411"/>
      <c r="H157" s="411"/>
      <c r="I157" s="411"/>
      <c r="J157" s="410"/>
      <c r="K157" s="410"/>
      <c r="L157" s="410"/>
      <c r="M157" s="410"/>
      <c r="N157" s="410"/>
      <c r="O157" s="410"/>
      <c r="P157" s="410"/>
      <c r="Q157" s="410"/>
      <c r="R157" s="413"/>
      <c r="S157" s="413"/>
      <c r="T157" s="411"/>
      <c r="U157" s="413"/>
      <c r="V157" s="413"/>
      <c r="W157" s="348"/>
      <c r="X157" s="349"/>
      <c r="Y157" s="349"/>
      <c r="Z157" s="349"/>
      <c r="AA157" s="349"/>
      <c r="AB157" s="349"/>
      <c r="AC157" s="354"/>
      <c r="AD157" s="354"/>
      <c r="AE157" s="354"/>
      <c r="AF157" s="354"/>
      <c r="AG157" s="354"/>
      <c r="AH157" s="354"/>
      <c r="AI157" s="354"/>
      <c r="AJ157" s="354"/>
      <c r="AK157" s="354"/>
      <c r="AL157" s="354"/>
      <c r="AM157" s="354"/>
      <c r="AN157" s="354"/>
      <c r="AO157" s="354"/>
      <c r="AP157" s="354"/>
      <c r="AQ157" s="354"/>
      <c r="AR157" s="354"/>
      <c r="AS157" s="354"/>
      <c r="AT157" s="354"/>
      <c r="AU157" s="354"/>
      <c r="AV157" s="354"/>
      <c r="AW157" s="354"/>
      <c r="AX157" s="354"/>
      <c r="AY157" s="354"/>
      <c r="AZ157" s="354"/>
      <c r="BA157" s="354"/>
      <c r="BB157" s="354"/>
      <c r="BC157" s="354"/>
      <c r="BD157" s="354"/>
      <c r="BE157" s="354"/>
      <c r="BF157" s="354"/>
      <c r="BG157" s="354"/>
      <c r="BH157" s="354"/>
      <c r="BI157" s="354"/>
      <c r="BJ157" s="354"/>
      <c r="BK157" s="354"/>
      <c r="BL157" s="354"/>
      <c r="BM157" s="354"/>
      <c r="BN157" s="354"/>
      <c r="BO157" s="354"/>
      <c r="BP157" s="354"/>
      <c r="BQ157" s="354"/>
      <c r="BR157" s="354"/>
      <c r="BS157" s="354"/>
      <c r="BT157" s="354"/>
    </row>
    <row r="158" spans="1:72" s="312" customFormat="1">
      <c r="A158" s="410"/>
      <c r="B158" s="411"/>
      <c r="C158" s="410"/>
      <c r="D158" s="412"/>
      <c r="E158" s="410"/>
      <c r="F158" s="410"/>
      <c r="G158" s="411"/>
      <c r="H158" s="411"/>
      <c r="I158" s="411"/>
      <c r="J158" s="410"/>
      <c r="K158" s="410"/>
      <c r="L158" s="410"/>
      <c r="M158" s="410"/>
      <c r="N158" s="410"/>
      <c r="O158" s="410"/>
      <c r="P158" s="410"/>
      <c r="Q158" s="410"/>
      <c r="R158" s="413"/>
      <c r="S158" s="413"/>
      <c r="T158" s="411"/>
      <c r="U158" s="413"/>
      <c r="V158" s="413"/>
      <c r="W158" s="348"/>
      <c r="X158" s="349"/>
      <c r="Y158" s="349"/>
      <c r="Z158" s="349"/>
      <c r="AA158" s="349"/>
      <c r="AB158" s="349"/>
      <c r="AC158" s="354"/>
      <c r="AD158" s="354"/>
      <c r="AE158" s="354"/>
      <c r="AF158" s="354"/>
      <c r="AG158" s="354"/>
      <c r="AH158" s="354"/>
      <c r="AI158" s="354"/>
      <c r="AJ158" s="354"/>
      <c r="AK158" s="354"/>
      <c r="AL158" s="354"/>
      <c r="AM158" s="354"/>
      <c r="AN158" s="354"/>
      <c r="AO158" s="354"/>
      <c r="AP158" s="354"/>
      <c r="AQ158" s="354"/>
      <c r="AR158" s="354"/>
      <c r="AS158" s="354"/>
      <c r="AT158" s="354"/>
      <c r="AU158" s="354"/>
      <c r="AV158" s="354"/>
      <c r="AW158" s="354"/>
      <c r="AX158" s="354"/>
      <c r="AY158" s="354"/>
      <c r="AZ158" s="354"/>
      <c r="BA158" s="354"/>
      <c r="BB158" s="354"/>
      <c r="BC158" s="354"/>
      <c r="BD158" s="354"/>
      <c r="BE158" s="354"/>
      <c r="BF158" s="354"/>
      <c r="BG158" s="354"/>
      <c r="BH158" s="354"/>
      <c r="BI158" s="354"/>
      <c r="BJ158" s="354"/>
      <c r="BK158" s="354"/>
      <c r="BL158" s="354"/>
      <c r="BM158" s="354"/>
      <c r="BN158" s="354"/>
      <c r="BO158" s="354"/>
      <c r="BP158" s="354"/>
      <c r="BQ158" s="354"/>
      <c r="BR158" s="354"/>
      <c r="BS158" s="354"/>
      <c r="BT158" s="354"/>
    </row>
    <row r="159" spans="1:72" s="312" customFormat="1">
      <c r="A159" s="410"/>
      <c r="B159" s="411"/>
      <c r="C159" s="410"/>
      <c r="D159" s="412"/>
      <c r="E159" s="410"/>
      <c r="F159" s="410"/>
      <c r="G159" s="411"/>
      <c r="H159" s="411"/>
      <c r="I159" s="411"/>
      <c r="J159" s="410"/>
      <c r="K159" s="410"/>
      <c r="L159" s="410"/>
      <c r="M159" s="410"/>
      <c r="N159" s="410"/>
      <c r="O159" s="410"/>
      <c r="P159" s="410"/>
      <c r="Q159" s="410"/>
      <c r="R159" s="413"/>
      <c r="S159" s="413"/>
      <c r="T159" s="411"/>
      <c r="U159" s="413"/>
      <c r="V159" s="413"/>
      <c r="W159" s="348"/>
      <c r="X159" s="349"/>
      <c r="Y159" s="349"/>
      <c r="Z159" s="349"/>
      <c r="AA159" s="349"/>
      <c r="AB159" s="349"/>
      <c r="AC159" s="354"/>
      <c r="AD159" s="354"/>
      <c r="AE159" s="354"/>
      <c r="AF159" s="354"/>
      <c r="AG159" s="354"/>
      <c r="AH159" s="354"/>
      <c r="AI159" s="354"/>
      <c r="AJ159" s="354"/>
      <c r="AK159" s="354"/>
      <c r="AL159" s="354"/>
      <c r="AM159" s="354"/>
      <c r="AN159" s="354"/>
      <c r="AO159" s="354"/>
      <c r="AP159" s="354"/>
      <c r="AQ159" s="354"/>
      <c r="AR159" s="354"/>
      <c r="AS159" s="354"/>
      <c r="AT159" s="354"/>
      <c r="AU159" s="354"/>
      <c r="AV159" s="354"/>
      <c r="AW159" s="354"/>
      <c r="AX159" s="354"/>
      <c r="AY159" s="354"/>
      <c r="AZ159" s="354"/>
      <c r="BA159" s="354"/>
      <c r="BB159" s="354"/>
      <c r="BC159" s="354"/>
      <c r="BD159" s="354"/>
      <c r="BE159" s="354"/>
      <c r="BF159" s="354"/>
      <c r="BG159" s="354"/>
      <c r="BH159" s="354"/>
      <c r="BI159" s="354"/>
      <c r="BJ159" s="354"/>
      <c r="BK159" s="354"/>
      <c r="BL159" s="354"/>
      <c r="BM159" s="354"/>
      <c r="BN159" s="354"/>
      <c r="BO159" s="354"/>
      <c r="BP159" s="354"/>
      <c r="BQ159" s="354"/>
      <c r="BR159" s="354"/>
      <c r="BS159" s="354"/>
      <c r="BT159" s="354"/>
    </row>
    <row r="160" spans="1:72" s="312" customFormat="1">
      <c r="A160" s="410"/>
      <c r="B160" s="411"/>
      <c r="C160" s="410"/>
      <c r="D160" s="412"/>
      <c r="E160" s="410"/>
      <c r="F160" s="410"/>
      <c r="G160" s="411"/>
      <c r="H160" s="411"/>
      <c r="I160" s="411"/>
      <c r="J160" s="410"/>
      <c r="K160" s="410"/>
      <c r="L160" s="410"/>
      <c r="M160" s="410"/>
      <c r="N160" s="410"/>
      <c r="O160" s="410"/>
      <c r="P160" s="410"/>
      <c r="Q160" s="410"/>
      <c r="R160" s="413"/>
      <c r="S160" s="413"/>
      <c r="T160" s="411"/>
      <c r="U160" s="413"/>
      <c r="V160" s="413"/>
      <c r="W160" s="348"/>
      <c r="X160" s="349"/>
      <c r="Y160" s="349"/>
      <c r="Z160" s="349"/>
      <c r="AA160" s="349"/>
      <c r="AB160" s="349"/>
      <c r="AC160" s="354"/>
      <c r="AD160" s="354"/>
      <c r="AE160" s="354"/>
      <c r="AF160" s="354"/>
      <c r="AG160" s="354"/>
      <c r="AH160" s="354"/>
      <c r="AI160" s="354"/>
      <c r="AJ160" s="354"/>
      <c r="AK160" s="354"/>
      <c r="AL160" s="354"/>
      <c r="AM160" s="354"/>
      <c r="AN160" s="354"/>
      <c r="AO160" s="354"/>
      <c r="AP160" s="354"/>
      <c r="AQ160" s="354"/>
      <c r="AR160" s="354"/>
      <c r="AS160" s="354"/>
      <c r="AT160" s="354"/>
      <c r="AU160" s="354"/>
      <c r="AV160" s="354"/>
      <c r="AW160" s="354"/>
      <c r="AX160" s="354"/>
      <c r="AY160" s="354"/>
      <c r="AZ160" s="354"/>
      <c r="BA160" s="354"/>
      <c r="BB160" s="354"/>
      <c r="BC160" s="354"/>
      <c r="BD160" s="354"/>
      <c r="BE160" s="354"/>
      <c r="BF160" s="354"/>
      <c r="BG160" s="354"/>
      <c r="BH160" s="354"/>
      <c r="BI160" s="354"/>
      <c r="BJ160" s="354"/>
      <c r="BK160" s="354"/>
      <c r="BL160" s="354"/>
      <c r="BM160" s="354"/>
      <c r="BN160" s="354"/>
      <c r="BO160" s="354"/>
      <c r="BP160" s="354"/>
      <c r="BQ160" s="354"/>
      <c r="BR160" s="354"/>
      <c r="BS160" s="354"/>
      <c r="BT160" s="354"/>
    </row>
    <row r="161" spans="1:72" s="312" customFormat="1">
      <c r="A161" s="410"/>
      <c r="B161" s="411"/>
      <c r="C161" s="410"/>
      <c r="D161" s="412"/>
      <c r="E161" s="410"/>
      <c r="F161" s="410"/>
      <c r="G161" s="411"/>
      <c r="H161" s="411"/>
      <c r="I161" s="411"/>
      <c r="J161" s="410"/>
      <c r="K161" s="410"/>
      <c r="L161" s="410"/>
      <c r="M161" s="410"/>
      <c r="N161" s="410"/>
      <c r="O161" s="410"/>
      <c r="P161" s="410"/>
      <c r="Q161" s="410"/>
      <c r="R161" s="413"/>
      <c r="S161" s="413"/>
      <c r="T161" s="411"/>
      <c r="U161" s="413"/>
      <c r="V161" s="413"/>
      <c r="W161" s="348"/>
      <c r="X161" s="349"/>
      <c r="Y161" s="349"/>
      <c r="Z161" s="349"/>
      <c r="AA161" s="349"/>
      <c r="AB161" s="349"/>
      <c r="AC161" s="354"/>
      <c r="AD161" s="354"/>
      <c r="AE161" s="354"/>
      <c r="AF161" s="354"/>
      <c r="AG161" s="354"/>
      <c r="AH161" s="354"/>
      <c r="AI161" s="354"/>
      <c r="AJ161" s="354"/>
      <c r="AK161" s="354"/>
      <c r="AL161" s="354"/>
      <c r="AM161" s="354"/>
      <c r="AN161" s="354"/>
      <c r="AO161" s="354"/>
      <c r="AP161" s="354"/>
      <c r="AQ161" s="354"/>
      <c r="AR161" s="354"/>
      <c r="AS161" s="354"/>
      <c r="AT161" s="354"/>
      <c r="AU161" s="354"/>
      <c r="AV161" s="354"/>
      <c r="AW161" s="354"/>
      <c r="AX161" s="354"/>
      <c r="AY161" s="354"/>
      <c r="AZ161" s="354"/>
      <c r="BA161" s="354"/>
      <c r="BB161" s="354"/>
      <c r="BC161" s="354"/>
      <c r="BD161" s="354"/>
      <c r="BE161" s="354"/>
      <c r="BF161" s="354"/>
      <c r="BG161" s="354"/>
      <c r="BH161" s="354"/>
      <c r="BI161" s="354"/>
      <c r="BJ161" s="354"/>
      <c r="BK161" s="354"/>
      <c r="BL161" s="354"/>
      <c r="BM161" s="354"/>
      <c r="BN161" s="354"/>
      <c r="BO161" s="354"/>
      <c r="BP161" s="354"/>
      <c r="BQ161" s="354"/>
      <c r="BR161" s="354"/>
      <c r="BS161" s="354"/>
      <c r="BT161" s="354"/>
    </row>
    <row r="162" spans="1:72" s="312" customFormat="1">
      <c r="A162" s="410"/>
      <c r="B162" s="411"/>
      <c r="C162" s="410"/>
      <c r="D162" s="412"/>
      <c r="E162" s="410"/>
      <c r="F162" s="410"/>
      <c r="G162" s="411"/>
      <c r="H162" s="411"/>
      <c r="I162" s="411"/>
      <c r="J162" s="410"/>
      <c r="K162" s="410"/>
      <c r="L162" s="410"/>
      <c r="M162" s="410"/>
      <c r="N162" s="410"/>
      <c r="O162" s="410"/>
      <c r="P162" s="410"/>
      <c r="Q162" s="410"/>
      <c r="R162" s="413"/>
      <c r="S162" s="413"/>
      <c r="T162" s="411"/>
      <c r="U162" s="413"/>
      <c r="V162" s="413"/>
      <c r="W162" s="348"/>
      <c r="X162" s="349"/>
      <c r="Y162" s="349"/>
      <c r="Z162" s="349"/>
      <c r="AA162" s="349"/>
      <c r="AB162" s="349"/>
      <c r="AC162" s="354"/>
      <c r="AD162" s="354"/>
      <c r="AE162" s="354"/>
      <c r="AF162" s="354"/>
      <c r="AG162" s="354"/>
      <c r="AH162" s="354"/>
      <c r="AI162" s="354"/>
      <c r="AJ162" s="354"/>
      <c r="AK162" s="354"/>
      <c r="AL162" s="354"/>
      <c r="AM162" s="354"/>
      <c r="AN162" s="354"/>
      <c r="AO162" s="354"/>
      <c r="AP162" s="354"/>
      <c r="AQ162" s="354"/>
      <c r="AR162" s="354"/>
      <c r="AS162" s="354"/>
      <c r="AT162" s="354"/>
      <c r="AU162" s="354"/>
      <c r="AV162" s="354"/>
      <c r="AW162" s="354"/>
      <c r="AX162" s="354"/>
      <c r="AY162" s="354"/>
      <c r="AZ162" s="354"/>
      <c r="BA162" s="354"/>
      <c r="BB162" s="354"/>
      <c r="BC162" s="354"/>
      <c r="BD162" s="354"/>
      <c r="BE162" s="354"/>
      <c r="BF162" s="354"/>
      <c r="BG162" s="354"/>
      <c r="BH162" s="354"/>
      <c r="BI162" s="354"/>
      <c r="BJ162" s="354"/>
      <c r="BK162" s="354"/>
      <c r="BL162" s="354"/>
      <c r="BM162" s="354"/>
      <c r="BN162" s="354"/>
      <c r="BO162" s="354"/>
      <c r="BP162" s="354"/>
      <c r="BQ162" s="354"/>
      <c r="BR162" s="354"/>
      <c r="BS162" s="354"/>
      <c r="BT162" s="354"/>
    </row>
    <row r="163" spans="1:72" s="312" customFormat="1">
      <c r="A163" s="410"/>
      <c r="B163" s="411"/>
      <c r="C163" s="410"/>
      <c r="D163" s="412"/>
      <c r="E163" s="410"/>
      <c r="F163" s="410"/>
      <c r="G163" s="411"/>
      <c r="H163" s="411"/>
      <c r="I163" s="411"/>
      <c r="J163" s="410"/>
      <c r="K163" s="410"/>
      <c r="L163" s="410"/>
      <c r="M163" s="410"/>
      <c r="N163" s="410"/>
      <c r="O163" s="410"/>
      <c r="P163" s="410"/>
      <c r="Q163" s="410"/>
      <c r="R163" s="413"/>
      <c r="S163" s="413"/>
      <c r="T163" s="411"/>
      <c r="U163" s="413"/>
      <c r="V163" s="413"/>
      <c r="W163" s="348"/>
      <c r="X163" s="349"/>
      <c r="Y163" s="349"/>
      <c r="Z163" s="349"/>
      <c r="AA163" s="349"/>
      <c r="AB163" s="349"/>
      <c r="AC163" s="354"/>
      <c r="AD163" s="354"/>
      <c r="AE163" s="354"/>
      <c r="AF163" s="354"/>
      <c r="AG163" s="354"/>
      <c r="AH163" s="354"/>
      <c r="AI163" s="354"/>
      <c r="AJ163" s="354"/>
      <c r="AK163" s="354"/>
      <c r="AL163" s="354"/>
      <c r="AM163" s="354"/>
      <c r="AN163" s="354"/>
      <c r="AO163" s="354"/>
      <c r="AP163" s="354"/>
      <c r="AQ163" s="354"/>
      <c r="AR163" s="354"/>
      <c r="AS163" s="354"/>
      <c r="AT163" s="354"/>
      <c r="AU163" s="354"/>
      <c r="AV163" s="354"/>
      <c r="AW163" s="354"/>
      <c r="AX163" s="354"/>
      <c r="AY163" s="354"/>
      <c r="AZ163" s="354"/>
      <c r="BA163" s="354"/>
      <c r="BB163" s="354"/>
      <c r="BC163" s="354"/>
      <c r="BD163" s="354"/>
      <c r="BE163" s="354"/>
      <c r="BF163" s="354"/>
      <c r="BG163" s="354"/>
      <c r="BH163" s="354"/>
      <c r="BI163" s="354"/>
      <c r="BJ163" s="354"/>
      <c r="BK163" s="354"/>
      <c r="BL163" s="354"/>
      <c r="BM163" s="354"/>
      <c r="BN163" s="354"/>
      <c r="BO163" s="354"/>
      <c r="BP163" s="354"/>
      <c r="BQ163" s="354"/>
      <c r="BR163" s="354"/>
      <c r="BS163" s="354"/>
      <c r="BT163" s="354"/>
    </row>
    <row r="164" spans="1:72" s="312" customFormat="1">
      <c r="A164" s="410"/>
      <c r="B164" s="411"/>
      <c r="C164" s="410"/>
      <c r="D164" s="412"/>
      <c r="E164" s="410"/>
      <c r="F164" s="410"/>
      <c r="G164" s="411"/>
      <c r="H164" s="411"/>
      <c r="I164" s="411"/>
      <c r="J164" s="410"/>
      <c r="K164" s="410"/>
      <c r="L164" s="410"/>
      <c r="M164" s="410"/>
      <c r="N164" s="410"/>
      <c r="O164" s="410"/>
      <c r="P164" s="410"/>
      <c r="Q164" s="410"/>
      <c r="R164" s="413"/>
      <c r="S164" s="413"/>
      <c r="T164" s="411"/>
      <c r="U164" s="413"/>
      <c r="V164" s="413"/>
      <c r="W164" s="348"/>
      <c r="X164" s="349"/>
      <c r="Y164" s="349"/>
      <c r="Z164" s="349"/>
      <c r="AA164" s="349"/>
      <c r="AB164" s="349"/>
      <c r="AC164" s="354"/>
      <c r="AD164" s="354"/>
      <c r="AE164" s="354"/>
      <c r="AF164" s="354"/>
      <c r="AG164" s="354"/>
      <c r="AH164" s="354"/>
      <c r="AI164" s="354"/>
      <c r="AJ164" s="354"/>
      <c r="AK164" s="354"/>
      <c r="AL164" s="354"/>
      <c r="AM164" s="354"/>
      <c r="AN164" s="354"/>
      <c r="AO164" s="354"/>
      <c r="AP164" s="354"/>
      <c r="AQ164" s="354"/>
      <c r="AR164" s="354"/>
      <c r="AS164" s="354"/>
      <c r="AT164" s="354"/>
      <c r="AU164" s="354"/>
      <c r="AV164" s="354"/>
      <c r="AW164" s="354"/>
      <c r="AX164" s="354"/>
      <c r="AY164" s="354"/>
      <c r="AZ164" s="354"/>
      <c r="BA164" s="354"/>
      <c r="BB164" s="354"/>
      <c r="BC164" s="354"/>
      <c r="BD164" s="354"/>
      <c r="BE164" s="354"/>
      <c r="BF164" s="354"/>
      <c r="BG164" s="354"/>
      <c r="BH164" s="354"/>
      <c r="BI164" s="354"/>
      <c r="BJ164" s="354"/>
      <c r="BK164" s="354"/>
      <c r="BL164" s="354"/>
      <c r="BM164" s="354"/>
      <c r="BN164" s="354"/>
      <c r="BO164" s="354"/>
      <c r="BP164" s="354"/>
      <c r="BQ164" s="354"/>
      <c r="BR164" s="354"/>
      <c r="BS164" s="354"/>
      <c r="BT164" s="354"/>
    </row>
    <row r="165" spans="1:72" s="312" customFormat="1">
      <c r="A165" s="410"/>
      <c r="B165" s="411"/>
      <c r="C165" s="410"/>
      <c r="D165" s="412"/>
      <c r="E165" s="410"/>
      <c r="F165" s="410"/>
      <c r="G165" s="411"/>
      <c r="H165" s="411"/>
      <c r="I165" s="411"/>
      <c r="J165" s="410"/>
      <c r="K165" s="410"/>
      <c r="L165" s="410"/>
      <c r="M165" s="410"/>
      <c r="N165" s="410"/>
      <c r="O165" s="410"/>
      <c r="P165" s="410"/>
      <c r="Q165" s="410"/>
      <c r="R165" s="413"/>
      <c r="S165" s="413"/>
      <c r="T165" s="411"/>
      <c r="U165" s="413"/>
      <c r="V165" s="413"/>
      <c r="W165" s="348"/>
      <c r="X165" s="349"/>
      <c r="Y165" s="349"/>
      <c r="Z165" s="349"/>
      <c r="AA165" s="349"/>
      <c r="AB165" s="349"/>
      <c r="AC165" s="354"/>
      <c r="AD165" s="354"/>
      <c r="AE165" s="354"/>
      <c r="AF165" s="354"/>
      <c r="AG165" s="354"/>
      <c r="AH165" s="354"/>
      <c r="AI165" s="354"/>
      <c r="AJ165" s="354"/>
      <c r="AK165" s="354"/>
      <c r="AL165" s="354"/>
      <c r="AM165" s="354"/>
      <c r="AN165" s="354"/>
      <c r="AO165" s="354"/>
      <c r="AP165" s="354"/>
      <c r="AQ165" s="354"/>
      <c r="AR165" s="354"/>
      <c r="AS165" s="354"/>
      <c r="AT165" s="354"/>
      <c r="AU165" s="354"/>
      <c r="AV165" s="354"/>
      <c r="AW165" s="354"/>
      <c r="AX165" s="354"/>
      <c r="AY165" s="354"/>
      <c r="AZ165" s="354"/>
      <c r="BA165" s="354"/>
      <c r="BB165" s="354"/>
      <c r="BC165" s="354"/>
      <c r="BD165" s="354"/>
      <c r="BE165" s="354"/>
      <c r="BF165" s="354"/>
      <c r="BG165" s="354"/>
      <c r="BH165" s="354"/>
      <c r="BI165" s="354"/>
      <c r="BJ165" s="354"/>
      <c r="BK165" s="354"/>
      <c r="BL165" s="354"/>
      <c r="BM165" s="354"/>
      <c r="BN165" s="354"/>
      <c r="BO165" s="354"/>
      <c r="BP165" s="354"/>
      <c r="BQ165" s="354"/>
      <c r="BR165" s="354"/>
      <c r="BS165" s="354"/>
      <c r="BT165" s="354"/>
    </row>
    <row r="166" spans="1:72" s="312" customFormat="1">
      <c r="A166" s="410"/>
      <c r="B166" s="411"/>
      <c r="C166" s="410"/>
      <c r="D166" s="412"/>
      <c r="E166" s="410"/>
      <c r="F166" s="410"/>
      <c r="G166" s="411"/>
      <c r="H166" s="411"/>
      <c r="I166" s="411"/>
      <c r="J166" s="410"/>
      <c r="K166" s="410"/>
      <c r="L166" s="410"/>
      <c r="M166" s="410"/>
      <c r="N166" s="410"/>
      <c r="O166" s="410"/>
      <c r="P166" s="410"/>
      <c r="Q166" s="410"/>
      <c r="R166" s="413"/>
      <c r="S166" s="413"/>
      <c r="T166" s="411"/>
      <c r="U166" s="413"/>
      <c r="V166" s="413"/>
      <c r="W166" s="348"/>
      <c r="X166" s="349"/>
      <c r="Y166" s="349"/>
      <c r="Z166" s="349"/>
      <c r="AA166" s="349"/>
      <c r="AB166" s="349"/>
      <c r="AC166" s="354"/>
      <c r="AD166" s="354"/>
      <c r="AE166" s="354"/>
      <c r="AF166" s="354"/>
      <c r="AG166" s="354"/>
      <c r="AH166" s="354"/>
      <c r="AI166" s="354"/>
      <c r="AJ166" s="354"/>
      <c r="AK166" s="354"/>
      <c r="AL166" s="354"/>
      <c r="AM166" s="354"/>
      <c r="AN166" s="354"/>
      <c r="AO166" s="354"/>
      <c r="AP166" s="354"/>
      <c r="AQ166" s="354"/>
      <c r="AR166" s="354"/>
      <c r="AS166" s="354"/>
      <c r="AT166" s="354"/>
      <c r="AU166" s="354"/>
      <c r="AV166" s="354"/>
      <c r="AW166" s="354"/>
      <c r="AX166" s="354"/>
      <c r="AY166" s="354"/>
      <c r="AZ166" s="354"/>
      <c r="BA166" s="354"/>
      <c r="BB166" s="354"/>
      <c r="BC166" s="354"/>
      <c r="BD166" s="354"/>
      <c r="BE166" s="354"/>
      <c r="BF166" s="354"/>
      <c r="BG166" s="354"/>
      <c r="BH166" s="354"/>
      <c r="BI166" s="354"/>
      <c r="BJ166" s="354"/>
      <c r="BK166" s="354"/>
      <c r="BL166" s="354"/>
      <c r="BM166" s="354"/>
      <c r="BN166" s="354"/>
      <c r="BO166" s="354"/>
      <c r="BP166" s="354"/>
      <c r="BQ166" s="354"/>
      <c r="BR166" s="354"/>
      <c r="BS166" s="354"/>
      <c r="BT166" s="354"/>
    </row>
    <row r="167" spans="1:72" s="312" customFormat="1">
      <c r="A167" s="410"/>
      <c r="B167" s="411"/>
      <c r="C167" s="410"/>
      <c r="D167" s="412"/>
      <c r="E167" s="410"/>
      <c r="F167" s="410"/>
      <c r="G167" s="411"/>
      <c r="H167" s="411"/>
      <c r="I167" s="411"/>
      <c r="J167" s="410"/>
      <c r="K167" s="410"/>
      <c r="L167" s="410"/>
      <c r="M167" s="410"/>
      <c r="N167" s="410"/>
      <c r="O167" s="410"/>
      <c r="P167" s="410"/>
      <c r="Q167" s="410"/>
      <c r="R167" s="413"/>
      <c r="S167" s="413"/>
      <c r="T167" s="411"/>
      <c r="U167" s="413"/>
      <c r="V167" s="413"/>
      <c r="W167" s="348"/>
      <c r="X167" s="349"/>
      <c r="Y167" s="349"/>
      <c r="Z167" s="349"/>
      <c r="AA167" s="349"/>
      <c r="AB167" s="349"/>
      <c r="AC167" s="354"/>
      <c r="AD167" s="354"/>
      <c r="AE167" s="354"/>
      <c r="AF167" s="354"/>
      <c r="AG167" s="354"/>
      <c r="AH167" s="354"/>
      <c r="AI167" s="354"/>
      <c r="AJ167" s="354"/>
      <c r="AK167" s="354"/>
      <c r="AL167" s="354"/>
      <c r="AM167" s="354"/>
      <c r="AN167" s="354"/>
      <c r="AO167" s="354"/>
      <c r="AP167" s="354"/>
      <c r="AQ167" s="354"/>
      <c r="AR167" s="354"/>
      <c r="AS167" s="354"/>
      <c r="AT167" s="354"/>
      <c r="AU167" s="354"/>
      <c r="AV167" s="354"/>
      <c r="AW167" s="354"/>
      <c r="AX167" s="354"/>
      <c r="AY167" s="354"/>
      <c r="AZ167" s="354"/>
      <c r="BA167" s="354"/>
      <c r="BB167" s="354"/>
      <c r="BC167" s="354"/>
      <c r="BD167" s="354"/>
      <c r="BE167" s="354"/>
      <c r="BF167" s="354"/>
      <c r="BG167" s="354"/>
      <c r="BH167" s="354"/>
      <c r="BI167" s="354"/>
      <c r="BJ167" s="354"/>
      <c r="BK167" s="354"/>
      <c r="BL167" s="354"/>
      <c r="BM167" s="354"/>
      <c r="BN167" s="354"/>
      <c r="BO167" s="354"/>
      <c r="BP167" s="354"/>
      <c r="BQ167" s="354"/>
      <c r="BR167" s="354"/>
      <c r="BS167" s="354"/>
      <c r="BT167" s="354"/>
    </row>
    <row r="168" spans="1:72" s="312" customFormat="1">
      <c r="A168" s="410"/>
      <c r="B168" s="411"/>
      <c r="C168" s="410"/>
      <c r="D168" s="412"/>
      <c r="E168" s="410"/>
      <c r="F168" s="410"/>
      <c r="G168" s="411"/>
      <c r="H168" s="411"/>
      <c r="I168" s="411"/>
      <c r="J168" s="410"/>
      <c r="K168" s="410"/>
      <c r="L168" s="410"/>
      <c r="M168" s="410"/>
      <c r="N168" s="410"/>
      <c r="O168" s="410"/>
      <c r="P168" s="410"/>
      <c r="Q168" s="410"/>
      <c r="R168" s="413"/>
      <c r="S168" s="413"/>
      <c r="T168" s="411"/>
      <c r="U168" s="413"/>
      <c r="V168" s="413"/>
      <c r="W168" s="348"/>
      <c r="X168" s="349"/>
      <c r="Y168" s="349"/>
      <c r="Z168" s="349"/>
      <c r="AA168" s="349"/>
      <c r="AB168" s="349"/>
      <c r="AC168" s="354"/>
      <c r="AD168" s="354"/>
      <c r="AE168" s="354"/>
      <c r="AF168" s="354"/>
      <c r="AG168" s="354"/>
      <c r="AH168" s="354"/>
      <c r="AI168" s="354"/>
      <c r="AJ168" s="354"/>
      <c r="AK168" s="354"/>
      <c r="AL168" s="354"/>
      <c r="AM168" s="354"/>
      <c r="AN168" s="354"/>
      <c r="AO168" s="354"/>
      <c r="AP168" s="354"/>
      <c r="AQ168" s="354"/>
      <c r="AR168" s="354"/>
      <c r="AS168" s="354"/>
      <c r="AT168" s="354"/>
      <c r="AU168" s="354"/>
      <c r="AV168" s="354"/>
      <c r="AW168" s="354"/>
      <c r="AX168" s="354"/>
      <c r="AY168" s="354"/>
      <c r="AZ168" s="354"/>
      <c r="BA168" s="354"/>
      <c r="BB168" s="354"/>
      <c r="BC168" s="354"/>
      <c r="BD168" s="354"/>
      <c r="BE168" s="354"/>
      <c r="BF168" s="354"/>
      <c r="BG168" s="354"/>
      <c r="BH168" s="354"/>
      <c r="BI168" s="354"/>
      <c r="BJ168" s="354"/>
      <c r="BK168" s="354"/>
      <c r="BL168" s="354"/>
      <c r="BM168" s="354"/>
      <c r="BN168" s="354"/>
      <c r="BO168" s="354"/>
      <c r="BP168" s="354"/>
      <c r="BQ168" s="354"/>
      <c r="BR168" s="354"/>
      <c r="BS168" s="354"/>
      <c r="BT168" s="354"/>
    </row>
    <row r="169" spans="1:72" s="312" customFormat="1">
      <c r="A169" s="410"/>
      <c r="B169" s="411"/>
      <c r="C169" s="410"/>
      <c r="D169" s="412"/>
      <c r="E169" s="410"/>
      <c r="F169" s="410"/>
      <c r="G169" s="411"/>
      <c r="H169" s="411"/>
      <c r="I169" s="411"/>
      <c r="J169" s="410"/>
      <c r="K169" s="410"/>
      <c r="L169" s="410"/>
      <c r="M169" s="410"/>
      <c r="N169" s="410"/>
      <c r="O169" s="410"/>
      <c r="P169" s="410"/>
      <c r="Q169" s="410"/>
      <c r="R169" s="413"/>
      <c r="S169" s="413"/>
      <c r="T169" s="411"/>
      <c r="U169" s="413"/>
      <c r="V169" s="413"/>
      <c r="W169" s="348"/>
      <c r="X169" s="349"/>
      <c r="Y169" s="349"/>
      <c r="Z169" s="349"/>
      <c r="AA169" s="349"/>
      <c r="AB169" s="349"/>
      <c r="AC169" s="354"/>
      <c r="AD169" s="354"/>
      <c r="AE169" s="354"/>
      <c r="AF169" s="354"/>
      <c r="AG169" s="354"/>
      <c r="AH169" s="354"/>
      <c r="AI169" s="354"/>
      <c r="AJ169" s="354"/>
      <c r="AK169" s="354"/>
      <c r="AL169" s="354"/>
      <c r="AM169" s="354"/>
      <c r="AN169" s="354"/>
      <c r="AO169" s="354"/>
      <c r="AP169" s="354"/>
      <c r="AQ169" s="354"/>
      <c r="AR169" s="354"/>
      <c r="AS169" s="354"/>
      <c r="AT169" s="354"/>
      <c r="AU169" s="354"/>
      <c r="AV169" s="354"/>
      <c r="AW169" s="354"/>
      <c r="AX169" s="354"/>
      <c r="AY169" s="354"/>
      <c r="AZ169" s="354"/>
      <c r="BA169" s="354"/>
      <c r="BB169" s="354"/>
      <c r="BC169" s="354"/>
      <c r="BD169" s="354"/>
      <c r="BE169" s="354"/>
      <c r="BF169" s="354"/>
      <c r="BG169" s="354"/>
      <c r="BH169" s="354"/>
      <c r="BI169" s="354"/>
      <c r="BJ169" s="354"/>
      <c r="BK169" s="354"/>
      <c r="BL169" s="354"/>
      <c r="BM169" s="354"/>
      <c r="BN169" s="354"/>
      <c r="BO169" s="354"/>
      <c r="BP169" s="354"/>
      <c r="BQ169" s="354"/>
      <c r="BR169" s="354"/>
      <c r="BS169" s="354"/>
      <c r="BT169" s="354"/>
    </row>
    <row r="170" spans="1:72" s="312" customFormat="1">
      <c r="A170" s="410"/>
      <c r="B170" s="411"/>
      <c r="C170" s="410"/>
      <c r="D170" s="412"/>
      <c r="E170" s="410"/>
      <c r="F170" s="410"/>
      <c r="G170" s="411"/>
      <c r="H170" s="411"/>
      <c r="I170" s="411"/>
      <c r="J170" s="410"/>
      <c r="K170" s="410"/>
      <c r="L170" s="410"/>
      <c r="M170" s="410"/>
      <c r="N170" s="410"/>
      <c r="O170" s="410"/>
      <c r="P170" s="410"/>
      <c r="Q170" s="410"/>
      <c r="R170" s="413"/>
      <c r="S170" s="413"/>
      <c r="T170" s="411"/>
      <c r="U170" s="413"/>
      <c r="V170" s="413"/>
      <c r="W170" s="348"/>
      <c r="X170" s="349"/>
      <c r="Y170" s="349"/>
      <c r="Z170" s="349"/>
      <c r="AA170" s="349"/>
      <c r="AB170" s="349"/>
      <c r="AC170" s="354"/>
      <c r="AD170" s="354"/>
      <c r="AE170" s="354"/>
      <c r="AF170" s="354"/>
      <c r="AG170" s="354"/>
      <c r="AH170" s="354"/>
      <c r="AI170" s="354"/>
      <c r="AJ170" s="354"/>
      <c r="AK170" s="354"/>
      <c r="AL170" s="354"/>
      <c r="AM170" s="354"/>
      <c r="AN170" s="354"/>
      <c r="AO170" s="354"/>
      <c r="AP170" s="354"/>
      <c r="AQ170" s="354"/>
      <c r="AR170" s="354"/>
      <c r="AS170" s="354"/>
      <c r="AT170" s="354"/>
      <c r="AU170" s="354"/>
      <c r="AV170" s="354"/>
      <c r="AW170" s="354"/>
      <c r="AX170" s="354"/>
      <c r="AY170" s="354"/>
      <c r="AZ170" s="354"/>
      <c r="BA170" s="354"/>
      <c r="BB170" s="354"/>
      <c r="BC170" s="354"/>
      <c r="BD170" s="354"/>
      <c r="BE170" s="354"/>
      <c r="BF170" s="354"/>
      <c r="BG170" s="354"/>
      <c r="BH170" s="354"/>
      <c r="BI170" s="354"/>
      <c r="BJ170" s="354"/>
      <c r="BK170" s="354"/>
      <c r="BL170" s="354"/>
      <c r="BM170" s="354"/>
      <c r="BN170" s="354"/>
      <c r="BO170" s="354"/>
      <c r="BP170" s="354"/>
      <c r="BQ170" s="354"/>
      <c r="BR170" s="354"/>
      <c r="BS170" s="354"/>
      <c r="BT170" s="354"/>
    </row>
    <row r="171" spans="1:72" s="312" customFormat="1">
      <c r="A171" s="410"/>
      <c r="B171" s="411"/>
      <c r="C171" s="410"/>
      <c r="D171" s="412"/>
      <c r="E171" s="410"/>
      <c r="F171" s="410"/>
      <c r="G171" s="411"/>
      <c r="H171" s="411"/>
      <c r="I171" s="411"/>
      <c r="J171" s="410"/>
      <c r="K171" s="410"/>
      <c r="L171" s="410"/>
      <c r="M171" s="410"/>
      <c r="N171" s="410"/>
      <c r="O171" s="410"/>
      <c r="P171" s="410"/>
      <c r="Q171" s="410"/>
      <c r="R171" s="413"/>
      <c r="S171" s="413"/>
      <c r="T171" s="411"/>
      <c r="U171" s="413"/>
      <c r="V171" s="413"/>
      <c r="W171" s="348"/>
      <c r="X171" s="349"/>
      <c r="Y171" s="349"/>
      <c r="Z171" s="349"/>
      <c r="AA171" s="349"/>
      <c r="AB171" s="349"/>
      <c r="AC171" s="354"/>
      <c r="AD171" s="354"/>
      <c r="AE171" s="354"/>
      <c r="AF171" s="354"/>
      <c r="AG171" s="354"/>
      <c r="AH171" s="354"/>
      <c r="AI171" s="354"/>
      <c r="AJ171" s="354"/>
      <c r="AK171" s="354"/>
      <c r="AL171" s="354"/>
      <c r="AM171" s="354"/>
      <c r="AN171" s="354"/>
      <c r="AO171" s="354"/>
      <c r="AP171" s="354"/>
      <c r="AQ171" s="354"/>
      <c r="AR171" s="354"/>
      <c r="AS171" s="354"/>
      <c r="AT171" s="354"/>
      <c r="AU171" s="354"/>
      <c r="AV171" s="354"/>
      <c r="AW171" s="354"/>
      <c r="AX171" s="354"/>
      <c r="AY171" s="354"/>
      <c r="AZ171" s="354"/>
      <c r="BA171" s="354"/>
      <c r="BB171" s="354"/>
      <c r="BC171" s="354"/>
      <c r="BD171" s="354"/>
      <c r="BE171" s="354"/>
      <c r="BF171" s="354"/>
      <c r="BG171" s="354"/>
      <c r="BH171" s="354"/>
      <c r="BI171" s="354"/>
      <c r="BJ171" s="354"/>
      <c r="BK171" s="354"/>
      <c r="BL171" s="354"/>
      <c r="BM171" s="354"/>
      <c r="BN171" s="354"/>
      <c r="BO171" s="354"/>
      <c r="BP171" s="354"/>
      <c r="BQ171" s="354"/>
      <c r="BR171" s="354"/>
      <c r="BS171" s="354"/>
      <c r="BT171" s="354"/>
    </row>
    <row r="172" spans="1:72" s="312" customFormat="1">
      <c r="A172" s="410"/>
      <c r="B172" s="411"/>
      <c r="C172" s="410"/>
      <c r="D172" s="412"/>
      <c r="E172" s="410"/>
      <c r="F172" s="410"/>
      <c r="G172" s="411"/>
      <c r="H172" s="411"/>
      <c r="I172" s="411"/>
      <c r="J172" s="410"/>
      <c r="K172" s="410"/>
      <c r="L172" s="410"/>
      <c r="M172" s="410"/>
      <c r="N172" s="410"/>
      <c r="O172" s="410"/>
      <c r="P172" s="410"/>
      <c r="Q172" s="410"/>
      <c r="R172" s="413"/>
      <c r="S172" s="413"/>
      <c r="T172" s="411"/>
      <c r="U172" s="413"/>
      <c r="V172" s="413"/>
      <c r="W172" s="348"/>
      <c r="X172" s="349"/>
      <c r="Y172" s="349"/>
      <c r="Z172" s="349"/>
      <c r="AA172" s="349"/>
      <c r="AB172" s="349"/>
      <c r="AC172" s="354"/>
      <c r="AD172" s="354"/>
      <c r="AE172" s="354"/>
      <c r="AF172" s="354"/>
      <c r="AG172" s="354"/>
      <c r="AH172" s="354"/>
      <c r="AI172" s="354"/>
      <c r="AJ172" s="354"/>
      <c r="AK172" s="354"/>
      <c r="AL172" s="354"/>
      <c r="AM172" s="354"/>
      <c r="AN172" s="354"/>
      <c r="AO172" s="354"/>
      <c r="AP172" s="354"/>
      <c r="AQ172" s="354"/>
      <c r="AR172" s="354"/>
      <c r="AS172" s="354"/>
      <c r="AT172" s="354"/>
      <c r="AU172" s="354"/>
      <c r="AV172" s="354"/>
      <c r="AW172" s="354"/>
      <c r="AX172" s="354"/>
      <c r="AY172" s="354"/>
      <c r="AZ172" s="354"/>
      <c r="BA172" s="354"/>
      <c r="BB172" s="354"/>
      <c r="BC172" s="354"/>
      <c r="BD172" s="354"/>
      <c r="BE172" s="354"/>
      <c r="BF172" s="354"/>
      <c r="BG172" s="354"/>
      <c r="BH172" s="354"/>
      <c r="BI172" s="354"/>
      <c r="BJ172" s="354"/>
      <c r="BK172" s="354"/>
      <c r="BL172" s="354"/>
      <c r="BM172" s="354"/>
      <c r="BN172" s="354"/>
      <c r="BO172" s="354"/>
      <c r="BP172" s="354"/>
      <c r="BQ172" s="354"/>
      <c r="BR172" s="354"/>
      <c r="BS172" s="354"/>
      <c r="BT172" s="354"/>
    </row>
    <row r="173" spans="1:72" s="312" customFormat="1">
      <c r="A173" s="410"/>
      <c r="B173" s="411"/>
      <c r="C173" s="410"/>
      <c r="D173" s="412"/>
      <c r="E173" s="410"/>
      <c r="F173" s="410"/>
      <c r="G173" s="411"/>
      <c r="H173" s="411"/>
      <c r="I173" s="411"/>
      <c r="J173" s="410"/>
      <c r="K173" s="410"/>
      <c r="L173" s="410"/>
      <c r="M173" s="410"/>
      <c r="N173" s="410"/>
      <c r="O173" s="410"/>
      <c r="P173" s="410"/>
      <c r="Q173" s="410"/>
      <c r="R173" s="413"/>
      <c r="S173" s="413"/>
      <c r="T173" s="411"/>
      <c r="U173" s="413"/>
      <c r="V173" s="413"/>
      <c r="W173" s="348"/>
      <c r="X173" s="349"/>
      <c r="Y173" s="349"/>
      <c r="Z173" s="349"/>
      <c r="AA173" s="349"/>
      <c r="AB173" s="349"/>
      <c r="AC173" s="354"/>
      <c r="AD173" s="354"/>
      <c r="AE173" s="354"/>
      <c r="AF173" s="354"/>
      <c r="AG173" s="354"/>
      <c r="AH173" s="354"/>
      <c r="AI173" s="354"/>
      <c r="AJ173" s="354"/>
      <c r="AK173" s="354"/>
      <c r="AL173" s="354"/>
      <c r="AM173" s="354"/>
      <c r="AN173" s="354"/>
      <c r="AO173" s="354"/>
      <c r="AP173" s="354"/>
      <c r="AQ173" s="354"/>
      <c r="AR173" s="354"/>
      <c r="AS173" s="354"/>
      <c r="AT173" s="354"/>
      <c r="AU173" s="354"/>
      <c r="AV173" s="354"/>
      <c r="AW173" s="354"/>
      <c r="AX173" s="354"/>
      <c r="AY173" s="354"/>
      <c r="AZ173" s="354"/>
      <c r="BA173" s="354"/>
      <c r="BB173" s="354"/>
      <c r="BC173" s="354"/>
      <c r="BD173" s="354"/>
      <c r="BE173" s="354"/>
      <c r="BF173" s="354"/>
      <c r="BG173" s="354"/>
      <c r="BH173" s="354"/>
      <c r="BI173" s="354"/>
      <c r="BJ173" s="354"/>
      <c r="BK173" s="354"/>
      <c r="BL173" s="354"/>
      <c r="BM173" s="354"/>
      <c r="BN173" s="354"/>
      <c r="BO173" s="354"/>
      <c r="BP173" s="354"/>
      <c r="BQ173" s="354"/>
      <c r="BR173" s="354"/>
      <c r="BS173" s="354"/>
      <c r="BT173" s="354"/>
    </row>
    <row r="174" spans="1:72" s="312" customFormat="1">
      <c r="A174" s="410"/>
      <c r="B174" s="411"/>
      <c r="C174" s="410"/>
      <c r="D174" s="412"/>
      <c r="E174" s="410"/>
      <c r="F174" s="410"/>
      <c r="G174" s="411"/>
      <c r="H174" s="411"/>
      <c r="I174" s="411"/>
      <c r="J174" s="410"/>
      <c r="K174" s="410"/>
      <c r="L174" s="410"/>
      <c r="M174" s="410"/>
      <c r="N174" s="410"/>
      <c r="O174" s="410"/>
      <c r="P174" s="410"/>
      <c r="Q174" s="410"/>
      <c r="R174" s="413"/>
      <c r="S174" s="413"/>
      <c r="T174" s="411"/>
      <c r="U174" s="413"/>
      <c r="V174" s="413"/>
      <c r="W174" s="348"/>
      <c r="X174" s="349"/>
      <c r="Y174" s="349"/>
      <c r="Z174" s="349"/>
      <c r="AA174" s="349"/>
      <c r="AB174" s="349"/>
      <c r="AC174" s="354"/>
      <c r="AD174" s="354"/>
      <c r="AE174" s="354"/>
      <c r="AF174" s="354"/>
      <c r="AG174" s="354"/>
      <c r="AH174" s="354"/>
      <c r="AI174" s="354"/>
      <c r="AJ174" s="354"/>
      <c r="AK174" s="354"/>
      <c r="AL174" s="354"/>
      <c r="AM174" s="354"/>
      <c r="AN174" s="354"/>
      <c r="AO174" s="354"/>
      <c r="AP174" s="354"/>
      <c r="AQ174" s="354"/>
      <c r="AR174" s="354"/>
      <c r="AS174" s="354"/>
      <c r="AT174" s="354"/>
      <c r="AU174" s="354"/>
      <c r="AV174" s="354"/>
      <c r="AW174" s="354"/>
      <c r="AX174" s="354"/>
      <c r="AY174" s="354"/>
      <c r="AZ174" s="354"/>
      <c r="BA174" s="354"/>
      <c r="BB174" s="354"/>
      <c r="BC174" s="354"/>
      <c r="BD174" s="354"/>
      <c r="BE174" s="354"/>
      <c r="BF174" s="354"/>
      <c r="BG174" s="354"/>
      <c r="BH174" s="354"/>
      <c r="BI174" s="354"/>
      <c r="BJ174" s="354"/>
      <c r="BK174" s="354"/>
      <c r="BL174" s="354"/>
      <c r="BM174" s="354"/>
      <c r="BN174" s="354"/>
      <c r="BO174" s="354"/>
      <c r="BP174" s="354"/>
      <c r="BQ174" s="354"/>
      <c r="BR174" s="354"/>
      <c r="BS174" s="354"/>
      <c r="BT174" s="354"/>
    </row>
    <row r="175" spans="1:72" s="312" customFormat="1">
      <c r="A175" s="410"/>
      <c r="B175" s="411"/>
      <c r="C175" s="410"/>
      <c r="D175" s="412"/>
      <c r="E175" s="410"/>
      <c r="F175" s="410"/>
      <c r="G175" s="411"/>
      <c r="H175" s="411"/>
      <c r="I175" s="411"/>
      <c r="J175" s="410"/>
      <c r="K175" s="410"/>
      <c r="L175" s="410"/>
      <c r="M175" s="410"/>
      <c r="N175" s="410"/>
      <c r="O175" s="410"/>
      <c r="P175" s="410"/>
      <c r="Q175" s="410"/>
      <c r="R175" s="413"/>
      <c r="S175" s="413"/>
      <c r="T175" s="411"/>
      <c r="U175" s="413"/>
      <c r="V175" s="413"/>
      <c r="W175" s="348"/>
      <c r="X175" s="349"/>
      <c r="Y175" s="349"/>
      <c r="Z175" s="349"/>
      <c r="AA175" s="349"/>
      <c r="AB175" s="349"/>
      <c r="AC175" s="354"/>
      <c r="AD175" s="354"/>
      <c r="AE175" s="354"/>
      <c r="AF175" s="354"/>
      <c r="AG175" s="354"/>
      <c r="AH175" s="354"/>
      <c r="AI175" s="354"/>
      <c r="AJ175" s="354"/>
      <c r="AK175" s="354"/>
      <c r="AL175" s="354"/>
      <c r="AM175" s="354"/>
      <c r="AN175" s="354"/>
      <c r="AO175" s="354"/>
      <c r="AP175" s="354"/>
      <c r="AQ175" s="354"/>
      <c r="AR175" s="354"/>
      <c r="AS175" s="354"/>
      <c r="AT175" s="354"/>
      <c r="AU175" s="354"/>
      <c r="AV175" s="354"/>
      <c r="AW175" s="354"/>
      <c r="AX175" s="354"/>
      <c r="AY175" s="354"/>
      <c r="AZ175" s="354"/>
      <c r="BA175" s="354"/>
      <c r="BB175" s="354"/>
      <c r="BC175" s="354"/>
      <c r="BD175" s="354"/>
      <c r="BE175" s="354"/>
      <c r="BF175" s="354"/>
      <c r="BG175" s="354"/>
      <c r="BH175" s="354"/>
      <c r="BI175" s="354"/>
      <c r="BJ175" s="354"/>
      <c r="BK175" s="354"/>
      <c r="BL175" s="354"/>
      <c r="BM175" s="354"/>
      <c r="BN175" s="354"/>
      <c r="BO175" s="354"/>
      <c r="BP175" s="354"/>
      <c r="BQ175" s="354"/>
      <c r="BR175" s="354"/>
      <c r="BS175" s="354"/>
      <c r="BT175" s="354"/>
    </row>
    <row r="176" spans="1:72" s="312" customFormat="1">
      <c r="A176" s="410"/>
      <c r="B176" s="411"/>
      <c r="C176" s="410"/>
      <c r="D176" s="412"/>
      <c r="E176" s="410"/>
      <c r="F176" s="410"/>
      <c r="G176" s="411"/>
      <c r="H176" s="411"/>
      <c r="I176" s="411"/>
      <c r="J176" s="410"/>
      <c r="K176" s="410"/>
      <c r="L176" s="410"/>
      <c r="M176" s="410"/>
      <c r="N176" s="410"/>
      <c r="O176" s="410"/>
      <c r="P176" s="410"/>
      <c r="Q176" s="410"/>
      <c r="R176" s="413"/>
      <c r="S176" s="413"/>
      <c r="T176" s="411"/>
      <c r="U176" s="413"/>
      <c r="V176" s="413"/>
      <c r="W176" s="348"/>
      <c r="X176" s="349"/>
      <c r="Y176" s="349"/>
      <c r="Z176" s="349"/>
      <c r="AA176" s="349"/>
      <c r="AB176" s="349"/>
      <c r="AC176" s="354"/>
      <c r="AD176" s="354"/>
      <c r="AE176" s="354"/>
      <c r="AF176" s="354"/>
      <c r="AG176" s="354"/>
      <c r="AH176" s="354"/>
      <c r="AI176" s="354"/>
      <c r="AJ176" s="354"/>
      <c r="AK176" s="354"/>
      <c r="AL176" s="354"/>
      <c r="AM176" s="354"/>
      <c r="AN176" s="354"/>
      <c r="AO176" s="354"/>
      <c r="AP176" s="354"/>
      <c r="AQ176" s="354"/>
      <c r="AR176" s="354"/>
      <c r="AS176" s="354"/>
      <c r="AT176" s="354"/>
      <c r="AU176" s="354"/>
      <c r="AV176" s="354"/>
      <c r="AW176" s="354"/>
      <c r="AX176" s="354"/>
      <c r="AY176" s="354"/>
      <c r="AZ176" s="354"/>
      <c r="BA176" s="354"/>
      <c r="BB176" s="354"/>
      <c r="BC176" s="354"/>
      <c r="BD176" s="354"/>
      <c r="BE176" s="354"/>
      <c r="BF176" s="354"/>
      <c r="BG176" s="354"/>
      <c r="BH176" s="354"/>
      <c r="BI176" s="354"/>
      <c r="BJ176" s="354"/>
      <c r="BK176" s="354"/>
      <c r="BL176" s="354"/>
      <c r="BM176" s="354"/>
      <c r="BN176" s="354"/>
      <c r="BO176" s="354"/>
      <c r="BP176" s="354"/>
      <c r="BQ176" s="354"/>
      <c r="BR176" s="354"/>
      <c r="BS176" s="354"/>
      <c r="BT176" s="354"/>
    </row>
    <row r="177" spans="1:72" s="312" customFormat="1">
      <c r="A177" s="410"/>
      <c r="B177" s="411"/>
      <c r="C177" s="410"/>
      <c r="D177" s="412"/>
      <c r="E177" s="410"/>
      <c r="F177" s="410"/>
      <c r="G177" s="411"/>
      <c r="H177" s="411"/>
      <c r="I177" s="411"/>
      <c r="J177" s="410"/>
      <c r="K177" s="410"/>
      <c r="L177" s="410"/>
      <c r="M177" s="410"/>
      <c r="N177" s="410"/>
      <c r="O177" s="410"/>
      <c r="P177" s="410"/>
      <c r="Q177" s="410"/>
      <c r="R177" s="413"/>
      <c r="S177" s="413"/>
      <c r="T177" s="411"/>
      <c r="U177" s="413"/>
      <c r="V177" s="413"/>
      <c r="W177" s="348"/>
      <c r="X177" s="349"/>
      <c r="Y177" s="349"/>
      <c r="Z177" s="349"/>
      <c r="AA177" s="349"/>
      <c r="AB177" s="349"/>
      <c r="AC177" s="354"/>
      <c r="AD177" s="354"/>
      <c r="AE177" s="354"/>
      <c r="AF177" s="354"/>
      <c r="AG177" s="354"/>
      <c r="AH177" s="354"/>
      <c r="AI177" s="354"/>
      <c r="AJ177" s="354"/>
      <c r="AK177" s="354"/>
      <c r="AL177" s="354"/>
      <c r="AM177" s="354"/>
      <c r="AN177" s="354"/>
      <c r="AO177" s="354"/>
      <c r="AP177" s="354"/>
      <c r="AQ177" s="354"/>
      <c r="AR177" s="354"/>
      <c r="AS177" s="354"/>
      <c r="AT177" s="354"/>
      <c r="AU177" s="354"/>
      <c r="AV177" s="354"/>
      <c r="AW177" s="354"/>
      <c r="AX177" s="354"/>
      <c r="AY177" s="354"/>
      <c r="AZ177" s="354"/>
      <c r="BA177" s="354"/>
      <c r="BB177" s="354"/>
      <c r="BC177" s="354"/>
      <c r="BD177" s="354"/>
      <c r="BE177" s="354"/>
      <c r="BF177" s="354"/>
      <c r="BG177" s="354"/>
      <c r="BH177" s="354"/>
      <c r="BI177" s="354"/>
      <c r="BJ177" s="354"/>
      <c r="BK177" s="354"/>
      <c r="BL177" s="354"/>
      <c r="BM177" s="354"/>
      <c r="BN177" s="354"/>
      <c r="BO177" s="354"/>
      <c r="BP177" s="354"/>
      <c r="BQ177" s="354"/>
      <c r="BR177" s="354"/>
      <c r="BS177" s="354"/>
      <c r="BT177" s="354"/>
    </row>
    <row r="178" spans="1:72" s="312" customFormat="1">
      <c r="A178" s="410"/>
      <c r="B178" s="411"/>
      <c r="C178" s="410"/>
      <c r="D178" s="412"/>
      <c r="E178" s="410"/>
      <c r="F178" s="410"/>
      <c r="G178" s="411"/>
      <c r="H178" s="411"/>
      <c r="I178" s="411"/>
      <c r="J178" s="410"/>
      <c r="K178" s="410"/>
      <c r="L178" s="410"/>
      <c r="M178" s="410"/>
      <c r="N178" s="410"/>
      <c r="O178" s="410"/>
      <c r="P178" s="410"/>
      <c r="Q178" s="410"/>
      <c r="R178" s="413"/>
      <c r="S178" s="413"/>
      <c r="T178" s="411"/>
      <c r="U178" s="413"/>
      <c r="V178" s="413"/>
      <c r="W178" s="348"/>
      <c r="X178" s="349"/>
      <c r="Y178" s="349"/>
      <c r="Z178" s="349"/>
      <c r="AA178" s="349"/>
      <c r="AB178" s="349"/>
      <c r="AC178" s="354"/>
      <c r="AD178" s="354"/>
      <c r="AE178" s="354"/>
      <c r="AF178" s="354"/>
      <c r="AG178" s="354"/>
      <c r="AH178" s="354"/>
      <c r="AI178" s="354"/>
      <c r="AJ178" s="354"/>
      <c r="AK178" s="354"/>
      <c r="AL178" s="354"/>
      <c r="AM178" s="354"/>
      <c r="AN178" s="354"/>
      <c r="AO178" s="354"/>
      <c r="AP178" s="354"/>
      <c r="AQ178" s="354"/>
      <c r="AR178" s="354"/>
      <c r="AS178" s="354"/>
      <c r="AT178" s="354"/>
      <c r="AU178" s="354"/>
      <c r="AV178" s="354"/>
      <c r="AW178" s="354"/>
      <c r="AX178" s="354"/>
      <c r="AY178" s="354"/>
      <c r="AZ178" s="354"/>
      <c r="BA178" s="354"/>
      <c r="BB178" s="354"/>
      <c r="BC178" s="354"/>
      <c r="BD178" s="354"/>
      <c r="BE178" s="354"/>
      <c r="BF178" s="354"/>
      <c r="BG178" s="354"/>
      <c r="BH178" s="354"/>
      <c r="BI178" s="354"/>
      <c r="BJ178" s="354"/>
      <c r="BK178" s="354"/>
      <c r="BL178" s="354"/>
      <c r="BM178" s="354"/>
      <c r="BN178" s="354"/>
      <c r="BO178" s="354"/>
      <c r="BP178" s="354"/>
      <c r="BQ178" s="354"/>
      <c r="BR178" s="354"/>
      <c r="BS178" s="354"/>
      <c r="BT178" s="354"/>
    </row>
    <row r="179" spans="1:72" s="312" customFormat="1">
      <c r="A179" s="410"/>
      <c r="B179" s="411"/>
      <c r="C179" s="410"/>
      <c r="D179" s="412"/>
      <c r="E179" s="410"/>
      <c r="F179" s="410"/>
      <c r="G179" s="411"/>
      <c r="H179" s="411"/>
      <c r="I179" s="411"/>
      <c r="J179" s="410"/>
      <c r="K179" s="410"/>
      <c r="L179" s="410"/>
      <c r="M179" s="410"/>
      <c r="N179" s="410"/>
      <c r="O179" s="410"/>
      <c r="P179" s="410"/>
      <c r="Q179" s="410"/>
      <c r="R179" s="413"/>
      <c r="S179" s="413"/>
      <c r="T179" s="411"/>
      <c r="U179" s="413"/>
      <c r="V179" s="413"/>
      <c r="W179" s="348"/>
      <c r="X179" s="349"/>
      <c r="Y179" s="349"/>
      <c r="Z179" s="349"/>
      <c r="AA179" s="349"/>
      <c r="AB179" s="349"/>
      <c r="AC179" s="354"/>
      <c r="AD179" s="354"/>
      <c r="AE179" s="354"/>
      <c r="AF179" s="354"/>
      <c r="AG179" s="354"/>
      <c r="AH179" s="354"/>
      <c r="AI179" s="354"/>
      <c r="AJ179" s="354"/>
      <c r="AK179" s="354"/>
      <c r="AL179" s="354"/>
      <c r="AM179" s="354"/>
      <c r="AN179" s="354"/>
      <c r="AO179" s="354"/>
      <c r="AP179" s="354"/>
      <c r="AQ179" s="354"/>
      <c r="AR179" s="354"/>
      <c r="AS179" s="354"/>
      <c r="AT179" s="354"/>
      <c r="AU179" s="354"/>
      <c r="AV179" s="354"/>
      <c r="AW179" s="354"/>
      <c r="AX179" s="354"/>
      <c r="AY179" s="354"/>
      <c r="AZ179" s="354"/>
      <c r="BA179" s="354"/>
      <c r="BB179" s="354"/>
      <c r="BC179" s="354"/>
      <c r="BD179" s="354"/>
      <c r="BE179" s="354"/>
      <c r="BF179" s="354"/>
      <c r="BG179" s="354"/>
      <c r="BH179" s="354"/>
      <c r="BI179" s="354"/>
      <c r="BJ179" s="354"/>
      <c r="BK179" s="354"/>
      <c r="BL179" s="354"/>
      <c r="BM179" s="354"/>
      <c r="BN179" s="354"/>
      <c r="BO179" s="354"/>
      <c r="BP179" s="354"/>
      <c r="BQ179" s="354"/>
      <c r="BR179" s="354"/>
      <c r="BS179" s="354"/>
      <c r="BT179" s="354"/>
    </row>
    <row r="180" spans="1:72" s="312" customFormat="1">
      <c r="A180" s="410"/>
      <c r="B180" s="411"/>
      <c r="C180" s="410"/>
      <c r="D180" s="412"/>
      <c r="E180" s="410"/>
      <c r="F180" s="410"/>
      <c r="G180" s="411"/>
      <c r="H180" s="411"/>
      <c r="I180" s="411"/>
      <c r="J180" s="410"/>
      <c r="K180" s="410"/>
      <c r="L180" s="410"/>
      <c r="M180" s="410"/>
      <c r="N180" s="410"/>
      <c r="O180" s="410"/>
      <c r="P180" s="410"/>
      <c r="Q180" s="410"/>
      <c r="R180" s="413"/>
      <c r="S180" s="413"/>
      <c r="T180" s="411"/>
      <c r="U180" s="413"/>
      <c r="V180" s="413"/>
      <c r="W180" s="348"/>
      <c r="X180" s="349"/>
      <c r="Y180" s="349"/>
      <c r="Z180" s="349"/>
      <c r="AA180" s="349"/>
      <c r="AB180" s="349"/>
      <c r="AC180" s="354"/>
      <c r="AD180" s="354"/>
      <c r="AE180" s="354"/>
      <c r="AF180" s="354"/>
      <c r="AG180" s="354"/>
      <c r="AH180" s="354"/>
      <c r="AI180" s="354"/>
      <c r="AJ180" s="354"/>
      <c r="AK180" s="354"/>
      <c r="AL180" s="354"/>
      <c r="AM180" s="354"/>
      <c r="AN180" s="354"/>
      <c r="AO180" s="354"/>
      <c r="AP180" s="354"/>
      <c r="AQ180" s="354"/>
      <c r="AR180" s="354"/>
      <c r="AS180" s="354"/>
      <c r="AT180" s="354"/>
      <c r="AU180" s="354"/>
      <c r="AV180" s="354"/>
      <c r="AW180" s="354"/>
      <c r="AX180" s="354"/>
      <c r="AY180" s="354"/>
      <c r="AZ180" s="354"/>
      <c r="BA180" s="354"/>
      <c r="BB180" s="354"/>
      <c r="BC180" s="354"/>
      <c r="BD180" s="354"/>
      <c r="BE180" s="354"/>
      <c r="BF180" s="354"/>
      <c r="BG180" s="354"/>
      <c r="BH180" s="354"/>
      <c r="BI180" s="354"/>
      <c r="BJ180" s="354"/>
      <c r="BK180" s="354"/>
      <c r="BL180" s="354"/>
      <c r="BM180" s="354"/>
      <c r="BN180" s="354"/>
      <c r="BO180" s="354"/>
      <c r="BP180" s="354"/>
      <c r="BQ180" s="354"/>
      <c r="BR180" s="354"/>
      <c r="BS180" s="354"/>
      <c r="BT180" s="354"/>
    </row>
    <row r="181" spans="1:72" s="312" customFormat="1">
      <c r="A181" s="410"/>
      <c r="B181" s="411"/>
      <c r="C181" s="410"/>
      <c r="D181" s="412"/>
      <c r="E181" s="410"/>
      <c r="F181" s="410"/>
      <c r="G181" s="411"/>
      <c r="H181" s="411"/>
      <c r="I181" s="411"/>
      <c r="J181" s="410"/>
      <c r="K181" s="410"/>
      <c r="L181" s="410"/>
      <c r="M181" s="410"/>
      <c r="N181" s="410"/>
      <c r="O181" s="410"/>
      <c r="P181" s="410"/>
      <c r="Q181" s="410"/>
      <c r="R181" s="413"/>
      <c r="S181" s="413"/>
      <c r="T181" s="411"/>
      <c r="U181" s="413"/>
      <c r="V181" s="413"/>
      <c r="W181" s="348"/>
      <c r="X181" s="349"/>
      <c r="Y181" s="349"/>
      <c r="Z181" s="349"/>
      <c r="AA181" s="349"/>
      <c r="AB181" s="349"/>
      <c r="AC181" s="354"/>
      <c r="AD181" s="354"/>
      <c r="AE181" s="354"/>
      <c r="AF181" s="354"/>
      <c r="AG181" s="354"/>
      <c r="AH181" s="354"/>
      <c r="AI181" s="354"/>
      <c r="AJ181" s="354"/>
      <c r="AK181" s="354"/>
      <c r="AL181" s="354"/>
      <c r="AM181" s="354"/>
      <c r="AN181" s="354"/>
      <c r="AO181" s="354"/>
      <c r="AP181" s="354"/>
      <c r="AQ181" s="354"/>
      <c r="AR181" s="354"/>
      <c r="AS181" s="354"/>
      <c r="AT181" s="354"/>
      <c r="AU181" s="354"/>
      <c r="AV181" s="354"/>
      <c r="AW181" s="354"/>
      <c r="AX181" s="354"/>
      <c r="AY181" s="354"/>
      <c r="AZ181" s="354"/>
      <c r="BA181" s="354"/>
      <c r="BB181" s="354"/>
      <c r="BC181" s="354"/>
      <c r="BD181" s="354"/>
      <c r="BE181" s="354"/>
      <c r="BF181" s="354"/>
      <c r="BG181" s="354"/>
      <c r="BH181" s="354"/>
      <c r="BI181" s="354"/>
      <c r="BJ181" s="354"/>
      <c r="BK181" s="354"/>
      <c r="BL181" s="354"/>
      <c r="BM181" s="354"/>
      <c r="BN181" s="354"/>
      <c r="BO181" s="354"/>
      <c r="BP181" s="354"/>
      <c r="BQ181" s="354"/>
      <c r="BR181" s="354"/>
      <c r="BS181" s="354"/>
      <c r="BT181" s="354"/>
    </row>
    <row r="182" spans="1:72" s="312" customFormat="1">
      <c r="A182" s="410"/>
      <c r="B182" s="411"/>
      <c r="C182" s="410"/>
      <c r="D182" s="412"/>
      <c r="E182" s="410"/>
      <c r="F182" s="410"/>
      <c r="G182" s="411"/>
      <c r="H182" s="411"/>
      <c r="I182" s="411"/>
      <c r="J182" s="410"/>
      <c r="K182" s="410"/>
      <c r="L182" s="410"/>
      <c r="M182" s="410"/>
      <c r="N182" s="410"/>
      <c r="O182" s="410"/>
      <c r="P182" s="410"/>
      <c r="Q182" s="410"/>
      <c r="R182" s="413"/>
      <c r="S182" s="413"/>
      <c r="T182" s="411"/>
      <c r="U182" s="413"/>
      <c r="V182" s="413"/>
      <c r="W182" s="348"/>
      <c r="X182" s="349"/>
      <c r="Y182" s="349"/>
      <c r="Z182" s="349"/>
      <c r="AA182" s="349"/>
      <c r="AB182" s="349"/>
      <c r="AC182" s="354"/>
      <c r="AD182" s="354"/>
      <c r="AE182" s="354"/>
      <c r="AF182" s="354"/>
      <c r="AG182" s="354"/>
      <c r="AH182" s="354"/>
      <c r="AI182" s="354"/>
      <c r="AJ182" s="354"/>
      <c r="AK182" s="354"/>
      <c r="AL182" s="354"/>
      <c r="AM182" s="354"/>
      <c r="AN182" s="354"/>
      <c r="AO182" s="354"/>
      <c r="AP182" s="354"/>
      <c r="AQ182" s="354"/>
      <c r="AR182" s="354"/>
      <c r="AS182" s="354"/>
      <c r="AT182" s="354"/>
      <c r="AU182" s="354"/>
      <c r="AV182" s="354"/>
      <c r="AW182" s="354"/>
      <c r="AX182" s="354"/>
      <c r="AY182" s="354"/>
      <c r="AZ182" s="354"/>
      <c r="BA182" s="354"/>
      <c r="BB182" s="354"/>
      <c r="BC182" s="354"/>
      <c r="BD182" s="354"/>
      <c r="BE182" s="354"/>
      <c r="BF182" s="354"/>
      <c r="BG182" s="354"/>
      <c r="BH182" s="354"/>
      <c r="BI182" s="354"/>
      <c r="BJ182" s="354"/>
      <c r="BK182" s="354"/>
      <c r="BL182" s="354"/>
      <c r="BM182" s="354"/>
      <c r="BN182" s="354"/>
      <c r="BO182" s="354"/>
      <c r="BP182" s="354"/>
      <c r="BQ182" s="354"/>
      <c r="BR182" s="354"/>
      <c r="BS182" s="354"/>
      <c r="BT182" s="354"/>
    </row>
    <row r="183" spans="1:72" s="312" customFormat="1">
      <c r="A183" s="410"/>
      <c r="B183" s="411"/>
      <c r="C183" s="410"/>
      <c r="D183" s="412"/>
      <c r="E183" s="410"/>
      <c r="F183" s="410"/>
      <c r="G183" s="411"/>
      <c r="H183" s="411"/>
      <c r="I183" s="411"/>
      <c r="J183" s="410"/>
      <c r="K183" s="410"/>
      <c r="L183" s="410"/>
      <c r="M183" s="410"/>
      <c r="N183" s="410"/>
      <c r="O183" s="410"/>
      <c r="P183" s="410"/>
      <c r="Q183" s="410"/>
      <c r="R183" s="413"/>
      <c r="S183" s="413"/>
      <c r="T183" s="411"/>
      <c r="U183" s="413"/>
      <c r="V183" s="413"/>
      <c r="W183" s="348"/>
      <c r="X183" s="349"/>
      <c r="Y183" s="349"/>
      <c r="Z183" s="349"/>
      <c r="AA183" s="349"/>
      <c r="AB183" s="349"/>
      <c r="AC183" s="354"/>
      <c r="AD183" s="354"/>
      <c r="AE183" s="354"/>
      <c r="AF183" s="354"/>
      <c r="AG183" s="354"/>
      <c r="AH183" s="354"/>
      <c r="AI183" s="354"/>
      <c r="AJ183" s="354"/>
      <c r="AK183" s="354"/>
      <c r="AL183" s="354"/>
      <c r="AM183" s="354"/>
      <c r="AN183" s="354"/>
      <c r="AO183" s="354"/>
      <c r="AP183" s="354"/>
      <c r="AQ183" s="354"/>
      <c r="AR183" s="354"/>
      <c r="AS183" s="354"/>
      <c r="AT183" s="354"/>
      <c r="AU183" s="354"/>
      <c r="AV183" s="354"/>
      <c r="AW183" s="354"/>
      <c r="AX183" s="354"/>
      <c r="AY183" s="354"/>
      <c r="AZ183" s="354"/>
      <c r="BA183" s="354"/>
      <c r="BB183" s="354"/>
      <c r="BC183" s="354"/>
      <c r="BD183" s="354"/>
      <c r="BE183" s="354"/>
      <c r="BF183" s="354"/>
      <c r="BG183" s="354"/>
      <c r="BH183" s="354"/>
      <c r="BI183" s="354"/>
      <c r="BJ183" s="354"/>
      <c r="BK183" s="354"/>
      <c r="BL183" s="354"/>
      <c r="BM183" s="354"/>
      <c r="BN183" s="354"/>
      <c r="BO183" s="354"/>
      <c r="BP183" s="354"/>
      <c r="BQ183" s="354"/>
      <c r="BR183" s="354"/>
      <c r="BS183" s="354"/>
      <c r="BT183" s="354"/>
    </row>
    <row r="184" spans="1:72" s="312" customFormat="1">
      <c r="A184" s="410"/>
      <c r="B184" s="411"/>
      <c r="C184" s="410"/>
      <c r="D184" s="412"/>
      <c r="E184" s="410"/>
      <c r="F184" s="410"/>
      <c r="G184" s="411"/>
      <c r="H184" s="411"/>
      <c r="I184" s="411"/>
      <c r="J184" s="410"/>
      <c r="K184" s="410"/>
      <c r="L184" s="410"/>
      <c r="M184" s="410"/>
      <c r="N184" s="410"/>
      <c r="O184" s="410"/>
      <c r="P184" s="410"/>
      <c r="Q184" s="410"/>
      <c r="R184" s="413"/>
      <c r="S184" s="413"/>
      <c r="T184" s="411"/>
      <c r="U184" s="413"/>
      <c r="V184" s="413"/>
      <c r="W184" s="348"/>
      <c r="X184" s="349"/>
      <c r="Y184" s="349"/>
      <c r="Z184" s="349"/>
      <c r="AA184" s="349"/>
      <c r="AB184" s="349"/>
      <c r="AC184" s="354"/>
      <c r="AD184" s="354"/>
      <c r="AE184" s="354"/>
      <c r="AF184" s="354"/>
      <c r="AG184" s="354"/>
      <c r="AH184" s="354"/>
      <c r="AI184" s="354"/>
      <c r="AJ184" s="354"/>
      <c r="AK184" s="354"/>
      <c r="AL184" s="354"/>
      <c r="AM184" s="354"/>
      <c r="AN184" s="354"/>
      <c r="AO184" s="354"/>
      <c r="AP184" s="354"/>
      <c r="AQ184" s="354"/>
      <c r="AR184" s="354"/>
      <c r="AS184" s="354"/>
      <c r="AT184" s="354"/>
      <c r="AU184" s="354"/>
      <c r="AV184" s="354"/>
      <c r="AW184" s="354"/>
      <c r="AX184" s="354"/>
      <c r="AY184" s="354"/>
      <c r="AZ184" s="354"/>
      <c r="BA184" s="354"/>
      <c r="BB184" s="354"/>
      <c r="BC184" s="354"/>
      <c r="BD184" s="354"/>
      <c r="BE184" s="354"/>
      <c r="BF184" s="354"/>
      <c r="BG184" s="354"/>
      <c r="BH184" s="354"/>
      <c r="BI184" s="354"/>
      <c r="BJ184" s="354"/>
      <c r="BK184" s="354"/>
      <c r="BL184" s="354"/>
      <c r="BM184" s="354"/>
      <c r="BN184" s="354"/>
      <c r="BO184" s="354"/>
      <c r="BP184" s="354"/>
      <c r="BQ184" s="354"/>
      <c r="BR184" s="354"/>
      <c r="BS184" s="354"/>
      <c r="BT184" s="354"/>
    </row>
    <row r="185" spans="1:72" s="312" customFormat="1">
      <c r="A185" s="410"/>
      <c r="B185" s="411"/>
      <c r="C185" s="410"/>
      <c r="D185" s="412"/>
      <c r="E185" s="410"/>
      <c r="F185" s="410"/>
      <c r="G185" s="411"/>
      <c r="H185" s="411"/>
      <c r="I185" s="411"/>
      <c r="J185" s="410"/>
      <c r="K185" s="410"/>
      <c r="L185" s="410"/>
      <c r="M185" s="410"/>
      <c r="N185" s="410"/>
      <c r="O185" s="410"/>
      <c r="P185" s="410"/>
      <c r="Q185" s="410"/>
      <c r="R185" s="413"/>
      <c r="S185" s="413"/>
      <c r="T185" s="411"/>
      <c r="U185" s="413"/>
      <c r="V185" s="413"/>
      <c r="W185" s="348"/>
      <c r="X185" s="349"/>
      <c r="Y185" s="349"/>
      <c r="Z185" s="349"/>
      <c r="AA185" s="349"/>
      <c r="AB185" s="349"/>
      <c r="AC185" s="354"/>
      <c r="AD185" s="354"/>
      <c r="AE185" s="354"/>
      <c r="AF185" s="354"/>
      <c r="AG185" s="354"/>
      <c r="AH185" s="354"/>
      <c r="AI185" s="354"/>
      <c r="AJ185" s="354"/>
      <c r="AK185" s="354"/>
      <c r="AL185" s="354"/>
      <c r="AM185" s="354"/>
      <c r="AN185" s="354"/>
      <c r="AO185" s="354"/>
      <c r="AP185" s="354"/>
      <c r="AQ185" s="354"/>
      <c r="AR185" s="354"/>
      <c r="AS185" s="354"/>
      <c r="AT185" s="354"/>
      <c r="AU185" s="354"/>
      <c r="AV185" s="354"/>
      <c r="AW185" s="354"/>
      <c r="AX185" s="354"/>
      <c r="AY185" s="354"/>
      <c r="AZ185" s="354"/>
      <c r="BA185" s="354"/>
      <c r="BB185" s="354"/>
      <c r="BC185" s="354"/>
      <c r="BD185" s="354"/>
      <c r="BE185" s="354"/>
      <c r="BF185" s="354"/>
      <c r="BG185" s="354"/>
      <c r="BH185" s="354"/>
      <c r="BI185" s="354"/>
      <c r="BJ185" s="354"/>
      <c r="BK185" s="354"/>
      <c r="BL185" s="354"/>
      <c r="BM185" s="354"/>
      <c r="BN185" s="354"/>
      <c r="BO185" s="354"/>
      <c r="BP185" s="354"/>
      <c r="BQ185" s="354"/>
      <c r="BR185" s="354"/>
      <c r="BS185" s="354"/>
      <c r="BT185" s="354"/>
    </row>
    <row r="186" spans="1:72" s="312" customFormat="1">
      <c r="A186" s="410"/>
      <c r="B186" s="411"/>
      <c r="C186" s="410"/>
      <c r="D186" s="412"/>
      <c r="E186" s="410"/>
      <c r="F186" s="410"/>
      <c r="G186" s="411"/>
      <c r="H186" s="411"/>
      <c r="I186" s="411"/>
      <c r="J186" s="410"/>
      <c r="K186" s="410"/>
      <c r="L186" s="410"/>
      <c r="M186" s="410"/>
      <c r="N186" s="410"/>
      <c r="O186" s="410"/>
      <c r="P186" s="410"/>
      <c r="Q186" s="410"/>
      <c r="R186" s="413"/>
      <c r="S186" s="413"/>
      <c r="T186" s="411"/>
      <c r="U186" s="413"/>
      <c r="V186" s="413"/>
      <c r="W186" s="348"/>
      <c r="X186" s="349"/>
      <c r="Y186" s="349"/>
      <c r="Z186" s="349"/>
      <c r="AA186" s="349"/>
      <c r="AB186" s="349"/>
      <c r="AC186" s="354"/>
      <c r="AD186" s="354"/>
      <c r="AE186" s="354"/>
      <c r="AF186" s="354"/>
      <c r="AG186" s="354"/>
      <c r="AH186" s="354"/>
      <c r="AI186" s="354"/>
      <c r="AJ186" s="354"/>
      <c r="AK186" s="354"/>
      <c r="AL186" s="354"/>
      <c r="AM186" s="354"/>
      <c r="AN186" s="354"/>
      <c r="AO186" s="354"/>
      <c r="AP186" s="354"/>
      <c r="AQ186" s="354"/>
      <c r="AR186" s="354"/>
      <c r="AS186" s="354"/>
      <c r="AT186" s="354"/>
      <c r="AU186" s="354"/>
      <c r="AV186" s="354"/>
      <c r="AW186" s="354"/>
      <c r="AX186" s="354"/>
      <c r="AY186" s="354"/>
      <c r="AZ186" s="354"/>
      <c r="BA186" s="354"/>
      <c r="BB186" s="354"/>
      <c r="BC186" s="354"/>
      <c r="BD186" s="354"/>
      <c r="BE186" s="354"/>
      <c r="BF186" s="354"/>
      <c r="BG186" s="354"/>
      <c r="BH186" s="354"/>
      <c r="BI186" s="354"/>
      <c r="BJ186" s="354"/>
      <c r="BK186" s="354"/>
      <c r="BL186" s="354"/>
      <c r="BM186" s="354"/>
      <c r="BN186" s="354"/>
      <c r="BO186" s="354"/>
      <c r="BP186" s="354"/>
      <c r="BQ186" s="354"/>
      <c r="BR186" s="354"/>
      <c r="BS186" s="354"/>
      <c r="BT186" s="354"/>
    </row>
    <row r="187" spans="1:72" s="312" customFormat="1">
      <c r="A187" s="410"/>
      <c r="B187" s="411"/>
      <c r="C187" s="410"/>
      <c r="D187" s="412"/>
      <c r="E187" s="410"/>
      <c r="F187" s="410"/>
      <c r="G187" s="411"/>
      <c r="H187" s="411"/>
      <c r="I187" s="411"/>
      <c r="J187" s="410"/>
      <c r="K187" s="410"/>
      <c r="L187" s="410"/>
      <c r="M187" s="410"/>
      <c r="N187" s="410"/>
      <c r="O187" s="410"/>
      <c r="P187" s="410"/>
      <c r="Q187" s="410"/>
      <c r="R187" s="413"/>
      <c r="S187" s="413"/>
      <c r="T187" s="411"/>
      <c r="U187" s="413"/>
      <c r="V187" s="413"/>
      <c r="W187" s="348"/>
      <c r="X187" s="349"/>
      <c r="Y187" s="349"/>
      <c r="Z187" s="349"/>
      <c r="AA187" s="349"/>
      <c r="AB187" s="349"/>
      <c r="AC187" s="354"/>
      <c r="AD187" s="354"/>
      <c r="AE187" s="354"/>
      <c r="AF187" s="354"/>
      <c r="AG187" s="354"/>
      <c r="AH187" s="354"/>
      <c r="AI187" s="354"/>
      <c r="AJ187" s="354"/>
      <c r="AK187" s="354"/>
      <c r="AL187" s="354"/>
      <c r="AM187" s="354"/>
      <c r="AN187" s="354"/>
      <c r="AO187" s="354"/>
      <c r="AP187" s="354"/>
      <c r="AQ187" s="354"/>
      <c r="AR187" s="354"/>
      <c r="AS187" s="354"/>
      <c r="AT187" s="354"/>
      <c r="AU187" s="354"/>
      <c r="AV187" s="354"/>
      <c r="AW187" s="354"/>
      <c r="AX187" s="354"/>
      <c r="AY187" s="354"/>
      <c r="AZ187" s="354"/>
      <c r="BA187" s="354"/>
      <c r="BB187" s="354"/>
      <c r="BC187" s="354"/>
      <c r="BD187" s="354"/>
      <c r="BE187" s="354"/>
      <c r="BF187" s="354"/>
      <c r="BG187" s="354"/>
      <c r="BH187" s="354"/>
      <c r="BI187" s="354"/>
      <c r="BJ187" s="354"/>
      <c r="BK187" s="354"/>
      <c r="BL187" s="354"/>
      <c r="BM187" s="354"/>
      <c r="BN187" s="354"/>
      <c r="BO187" s="354"/>
      <c r="BP187" s="354"/>
      <c r="BQ187" s="354"/>
      <c r="BR187" s="354"/>
      <c r="BS187" s="354"/>
      <c r="BT187" s="354"/>
    </row>
    <row r="188" spans="1:72" s="312" customFormat="1">
      <c r="A188" s="410"/>
      <c r="B188" s="411"/>
      <c r="C188" s="410"/>
      <c r="D188" s="412"/>
      <c r="E188" s="410"/>
      <c r="F188" s="410"/>
      <c r="G188" s="411"/>
      <c r="H188" s="411"/>
      <c r="I188" s="411"/>
      <c r="J188" s="410"/>
      <c r="K188" s="410"/>
      <c r="L188" s="410"/>
      <c r="M188" s="410"/>
      <c r="N188" s="410"/>
      <c r="O188" s="410"/>
      <c r="P188" s="410"/>
      <c r="Q188" s="410"/>
      <c r="R188" s="413"/>
      <c r="S188" s="413"/>
      <c r="T188" s="411"/>
      <c r="U188" s="413"/>
      <c r="V188" s="413"/>
      <c r="W188" s="348"/>
      <c r="X188" s="349"/>
      <c r="Y188" s="349"/>
      <c r="Z188" s="349"/>
      <c r="AA188" s="349"/>
      <c r="AB188" s="349"/>
      <c r="AC188" s="354"/>
      <c r="AD188" s="354"/>
      <c r="AE188" s="354"/>
      <c r="AF188" s="354"/>
      <c r="AG188" s="354"/>
      <c r="AH188" s="354"/>
      <c r="AI188" s="354"/>
      <c r="AJ188" s="354"/>
      <c r="AK188" s="354"/>
      <c r="AL188" s="354"/>
      <c r="AM188" s="354"/>
      <c r="AN188" s="354"/>
      <c r="AO188" s="354"/>
      <c r="AP188" s="354"/>
      <c r="AQ188" s="354"/>
      <c r="AR188" s="354"/>
      <c r="AS188" s="354"/>
      <c r="AT188" s="354"/>
      <c r="AU188" s="354"/>
      <c r="AV188" s="354"/>
      <c r="AW188" s="354"/>
      <c r="AX188" s="354"/>
      <c r="AY188" s="354"/>
      <c r="AZ188" s="354"/>
      <c r="BA188" s="354"/>
      <c r="BB188" s="354"/>
      <c r="BC188" s="354"/>
      <c r="BD188" s="354"/>
      <c r="BE188" s="354"/>
      <c r="BF188" s="354"/>
      <c r="BG188" s="354"/>
      <c r="BH188" s="354"/>
      <c r="BI188" s="354"/>
      <c r="BJ188" s="354"/>
      <c r="BK188" s="354"/>
      <c r="BL188" s="354"/>
      <c r="BM188" s="354"/>
      <c r="BN188" s="354"/>
      <c r="BO188" s="354"/>
      <c r="BP188" s="354"/>
      <c r="BQ188" s="354"/>
      <c r="BR188" s="354"/>
      <c r="BS188" s="354"/>
      <c r="BT188" s="354"/>
    </row>
    <row r="189" spans="1:72" s="312" customFormat="1">
      <c r="A189" s="410"/>
      <c r="B189" s="411"/>
      <c r="C189" s="410"/>
      <c r="D189" s="412"/>
      <c r="E189" s="410"/>
      <c r="F189" s="410"/>
      <c r="G189" s="411"/>
      <c r="H189" s="411"/>
      <c r="I189" s="411"/>
      <c r="J189" s="410"/>
      <c r="K189" s="410"/>
      <c r="L189" s="410"/>
      <c r="M189" s="410"/>
      <c r="N189" s="410"/>
      <c r="O189" s="410"/>
      <c r="P189" s="410"/>
      <c r="Q189" s="410"/>
      <c r="R189" s="413"/>
      <c r="S189" s="413"/>
      <c r="T189" s="411"/>
      <c r="U189" s="413"/>
      <c r="V189" s="413"/>
      <c r="W189" s="348"/>
      <c r="X189" s="349"/>
      <c r="Y189" s="349"/>
      <c r="Z189" s="349"/>
      <c r="AA189" s="349"/>
      <c r="AB189" s="349"/>
      <c r="AC189" s="354"/>
      <c r="AD189" s="354"/>
      <c r="AE189" s="354"/>
      <c r="AF189" s="354"/>
      <c r="AG189" s="354"/>
      <c r="AH189" s="354"/>
      <c r="AI189" s="354"/>
      <c r="AJ189" s="354"/>
      <c r="AK189" s="354"/>
      <c r="AL189" s="354"/>
      <c r="AM189" s="354"/>
      <c r="AN189" s="354"/>
      <c r="AO189" s="354"/>
      <c r="AP189" s="354"/>
      <c r="AQ189" s="354"/>
      <c r="AR189" s="354"/>
      <c r="AS189" s="354"/>
      <c r="AT189" s="354"/>
      <c r="AU189" s="354"/>
      <c r="AV189" s="354"/>
      <c r="AW189" s="354"/>
      <c r="AX189" s="354"/>
      <c r="AY189" s="354"/>
      <c r="AZ189" s="354"/>
      <c r="BA189" s="354"/>
      <c r="BB189" s="354"/>
      <c r="BC189" s="354"/>
      <c r="BD189" s="354"/>
      <c r="BE189" s="354"/>
      <c r="BF189" s="354"/>
      <c r="BG189" s="354"/>
      <c r="BH189" s="354"/>
      <c r="BI189" s="354"/>
      <c r="BJ189" s="354"/>
      <c r="BK189" s="354"/>
      <c r="BL189" s="354"/>
      <c r="BM189" s="354"/>
      <c r="BN189" s="354"/>
      <c r="BO189" s="354"/>
      <c r="BP189" s="354"/>
      <c r="BQ189" s="354"/>
      <c r="BR189" s="354"/>
      <c r="BS189" s="354"/>
      <c r="BT189" s="354"/>
    </row>
    <row r="190" spans="1:72" s="312" customFormat="1">
      <c r="A190" s="410"/>
      <c r="B190" s="411"/>
      <c r="C190" s="410"/>
      <c r="D190" s="412"/>
      <c r="E190" s="410"/>
      <c r="F190" s="410"/>
      <c r="G190" s="411"/>
      <c r="H190" s="411"/>
      <c r="I190" s="411"/>
      <c r="J190" s="410"/>
      <c r="K190" s="410"/>
      <c r="L190" s="410"/>
      <c r="M190" s="410"/>
      <c r="N190" s="410"/>
      <c r="O190" s="410"/>
      <c r="P190" s="410"/>
      <c r="Q190" s="410"/>
      <c r="R190" s="413"/>
      <c r="S190" s="413"/>
      <c r="T190" s="411"/>
      <c r="U190" s="413"/>
      <c r="V190" s="413"/>
      <c r="W190" s="348"/>
      <c r="X190" s="349"/>
      <c r="Y190" s="349"/>
      <c r="Z190" s="349"/>
      <c r="AA190" s="349"/>
      <c r="AB190" s="349"/>
      <c r="AC190" s="354"/>
      <c r="AD190" s="354"/>
      <c r="AE190" s="354"/>
      <c r="AF190" s="354"/>
      <c r="AG190" s="354"/>
      <c r="AH190" s="354"/>
      <c r="AI190" s="354"/>
      <c r="AJ190" s="354"/>
      <c r="AK190" s="354"/>
      <c r="AL190" s="354"/>
      <c r="AM190" s="354"/>
      <c r="AN190" s="354"/>
      <c r="AO190" s="354"/>
      <c r="AP190" s="354"/>
      <c r="AQ190" s="354"/>
      <c r="AR190" s="354"/>
      <c r="AS190" s="354"/>
      <c r="AT190" s="354"/>
      <c r="AU190" s="354"/>
      <c r="AV190" s="354"/>
      <c r="AW190" s="354"/>
      <c r="AX190" s="354"/>
      <c r="AY190" s="354"/>
      <c r="AZ190" s="354"/>
      <c r="BA190" s="354"/>
      <c r="BB190" s="354"/>
      <c r="BC190" s="354"/>
      <c r="BD190" s="354"/>
      <c r="BE190" s="354"/>
      <c r="BF190" s="354"/>
      <c r="BG190" s="354"/>
      <c r="BH190" s="354"/>
      <c r="BI190" s="354"/>
      <c r="BJ190" s="354"/>
      <c r="BK190" s="354"/>
      <c r="BL190" s="354"/>
      <c r="BM190" s="354"/>
      <c r="BN190" s="354"/>
      <c r="BO190" s="354"/>
      <c r="BP190" s="354"/>
      <c r="BQ190" s="354"/>
      <c r="BR190" s="354"/>
      <c r="BS190" s="354"/>
      <c r="BT190" s="354"/>
    </row>
    <row r="191" spans="1:72" s="312" customFormat="1">
      <c r="A191" s="410"/>
      <c r="B191" s="411"/>
      <c r="C191" s="410"/>
      <c r="D191" s="412"/>
      <c r="E191" s="410"/>
      <c r="F191" s="410"/>
      <c r="G191" s="411"/>
      <c r="H191" s="411"/>
      <c r="I191" s="411"/>
      <c r="J191" s="410"/>
      <c r="K191" s="410"/>
      <c r="L191" s="410"/>
      <c r="M191" s="410"/>
      <c r="N191" s="410"/>
      <c r="O191" s="410"/>
      <c r="P191" s="410"/>
      <c r="Q191" s="410"/>
      <c r="R191" s="413"/>
      <c r="S191" s="413"/>
      <c r="T191" s="411"/>
      <c r="U191" s="413"/>
      <c r="V191" s="413"/>
      <c r="W191" s="348"/>
      <c r="X191" s="349"/>
      <c r="Y191" s="349"/>
      <c r="Z191" s="349"/>
      <c r="AA191" s="349"/>
      <c r="AB191" s="349"/>
      <c r="AC191" s="354"/>
      <c r="AD191" s="354"/>
      <c r="AE191" s="354"/>
      <c r="AF191" s="354"/>
      <c r="AG191" s="354"/>
      <c r="AH191" s="354"/>
      <c r="AI191" s="354"/>
      <c r="AJ191" s="354"/>
      <c r="AK191" s="354"/>
      <c r="AL191" s="354"/>
      <c r="AM191" s="354"/>
      <c r="AN191" s="354"/>
      <c r="AO191" s="354"/>
      <c r="AP191" s="354"/>
      <c r="AQ191" s="354"/>
      <c r="AR191" s="354"/>
      <c r="AS191" s="354"/>
      <c r="AT191" s="354"/>
      <c r="AU191" s="354"/>
      <c r="AV191" s="354"/>
      <c r="AW191" s="354"/>
      <c r="AX191" s="354"/>
      <c r="AY191" s="354"/>
      <c r="AZ191" s="354"/>
      <c r="BA191" s="354"/>
      <c r="BB191" s="354"/>
      <c r="BC191" s="354"/>
      <c r="BD191" s="354"/>
      <c r="BE191" s="354"/>
      <c r="BF191" s="354"/>
      <c r="BG191" s="354"/>
      <c r="BH191" s="354"/>
      <c r="BI191" s="354"/>
      <c r="BJ191" s="354"/>
      <c r="BK191" s="354"/>
      <c r="BL191" s="354"/>
      <c r="BM191" s="354"/>
      <c r="BN191" s="354"/>
      <c r="BO191" s="354"/>
      <c r="BP191" s="354"/>
      <c r="BQ191" s="354"/>
      <c r="BR191" s="354"/>
      <c r="BS191" s="354"/>
      <c r="BT191" s="354"/>
    </row>
    <row r="192" spans="1:72" s="312" customFormat="1">
      <c r="A192" s="410"/>
      <c r="B192" s="411"/>
      <c r="C192" s="410"/>
      <c r="D192" s="412"/>
      <c r="E192" s="410"/>
      <c r="F192" s="410"/>
      <c r="G192" s="411"/>
      <c r="H192" s="411"/>
      <c r="I192" s="411"/>
      <c r="J192" s="410"/>
      <c r="K192" s="410"/>
      <c r="L192" s="410"/>
      <c r="M192" s="410"/>
      <c r="N192" s="410"/>
      <c r="O192" s="410"/>
      <c r="P192" s="410"/>
      <c r="Q192" s="410"/>
      <c r="R192" s="413"/>
      <c r="S192" s="413"/>
      <c r="T192" s="411"/>
      <c r="U192" s="413"/>
      <c r="V192" s="413"/>
      <c r="W192" s="348"/>
      <c r="X192" s="349"/>
      <c r="Y192" s="349"/>
      <c r="Z192" s="349"/>
      <c r="AA192" s="349"/>
      <c r="AB192" s="349"/>
      <c r="AC192" s="354"/>
      <c r="AD192" s="354"/>
      <c r="AE192" s="354"/>
      <c r="AF192" s="354"/>
      <c r="AG192" s="354"/>
      <c r="AH192" s="354"/>
      <c r="AI192" s="354"/>
      <c r="AJ192" s="354"/>
      <c r="AK192" s="354"/>
      <c r="AL192" s="354"/>
      <c r="AM192" s="354"/>
      <c r="AN192" s="354"/>
      <c r="AO192" s="354"/>
      <c r="AP192" s="354"/>
      <c r="AQ192" s="354"/>
      <c r="AR192" s="354"/>
      <c r="AS192" s="354"/>
      <c r="AT192" s="354"/>
      <c r="AU192" s="354"/>
      <c r="AV192" s="354"/>
      <c r="AW192" s="354"/>
      <c r="AX192" s="354"/>
      <c r="AY192" s="354"/>
      <c r="AZ192" s="354"/>
      <c r="BA192" s="354"/>
      <c r="BB192" s="354"/>
      <c r="BC192" s="354"/>
      <c r="BD192" s="354"/>
      <c r="BE192" s="354"/>
      <c r="BF192" s="354"/>
      <c r="BG192" s="354"/>
      <c r="BH192" s="354"/>
      <c r="BI192" s="354"/>
      <c r="BJ192" s="354"/>
      <c r="BK192" s="354"/>
      <c r="BL192" s="354"/>
      <c r="BM192" s="354"/>
      <c r="BN192" s="354"/>
      <c r="BO192" s="354"/>
      <c r="BP192" s="354"/>
      <c r="BQ192" s="354"/>
      <c r="BR192" s="354"/>
      <c r="BS192" s="354"/>
      <c r="BT192" s="354"/>
    </row>
    <row r="193" spans="1:72" s="312" customFormat="1">
      <c r="A193" s="410"/>
      <c r="B193" s="411"/>
      <c r="C193" s="410"/>
      <c r="D193" s="412"/>
      <c r="E193" s="410"/>
      <c r="F193" s="410"/>
      <c r="G193" s="411"/>
      <c r="H193" s="411"/>
      <c r="I193" s="411"/>
      <c r="J193" s="410"/>
      <c r="K193" s="410"/>
      <c r="L193" s="410"/>
      <c r="M193" s="410"/>
      <c r="N193" s="410"/>
      <c r="O193" s="410"/>
      <c r="P193" s="410"/>
      <c r="Q193" s="410"/>
      <c r="R193" s="413"/>
      <c r="S193" s="413"/>
      <c r="T193" s="411"/>
      <c r="U193" s="413"/>
      <c r="V193" s="413"/>
      <c r="W193" s="348"/>
      <c r="X193" s="349"/>
      <c r="Y193" s="349"/>
      <c r="Z193" s="349"/>
      <c r="AA193" s="349"/>
      <c r="AB193" s="349"/>
      <c r="AC193" s="354"/>
      <c r="AD193" s="354"/>
      <c r="AE193" s="354"/>
      <c r="AF193" s="354"/>
      <c r="AG193" s="354"/>
      <c r="AH193" s="354"/>
      <c r="AI193" s="354"/>
      <c r="AJ193" s="354"/>
      <c r="AK193" s="354"/>
      <c r="AL193" s="354"/>
      <c r="AM193" s="354"/>
      <c r="AN193" s="354"/>
      <c r="AO193" s="354"/>
      <c r="AP193" s="354"/>
      <c r="AQ193" s="354"/>
      <c r="AR193" s="354"/>
      <c r="AS193" s="354"/>
      <c r="AT193" s="354"/>
      <c r="AU193" s="354"/>
      <c r="AV193" s="354"/>
      <c r="AW193" s="354"/>
      <c r="AX193" s="354"/>
      <c r="AY193" s="354"/>
      <c r="AZ193" s="354"/>
      <c r="BA193" s="354"/>
      <c r="BB193" s="354"/>
      <c r="BC193" s="354"/>
      <c r="BD193" s="354"/>
      <c r="BE193" s="354"/>
      <c r="BF193" s="354"/>
      <c r="BG193" s="354"/>
      <c r="BH193" s="354"/>
      <c r="BI193" s="354"/>
      <c r="BJ193" s="354"/>
      <c r="BK193" s="354"/>
      <c r="BL193" s="354"/>
      <c r="BM193" s="354"/>
      <c r="BN193" s="354"/>
      <c r="BO193" s="354"/>
      <c r="BP193" s="354"/>
      <c r="BQ193" s="354"/>
      <c r="BR193" s="354"/>
      <c r="BS193" s="354"/>
      <c r="BT193" s="354"/>
    </row>
    <row r="1120" spans="1:72" s="305" customFormat="1" ht="43.5">
      <c r="A1120" s="309" t="s">
        <v>469</v>
      </c>
      <c r="B1120" s="310"/>
      <c r="C1120" s="309" t="s">
        <v>636</v>
      </c>
      <c r="D1120" s="345"/>
      <c r="E1120" s="309"/>
      <c r="F1120" s="309"/>
      <c r="G1120" s="310"/>
      <c r="H1120" s="310"/>
      <c r="I1120" s="310"/>
      <c r="J1120" s="309" t="s">
        <v>637</v>
      </c>
      <c r="K1120" s="309">
        <v>20</v>
      </c>
      <c r="L1120" s="309" t="s">
        <v>638</v>
      </c>
      <c r="M1120" s="309">
        <v>532.142857142857</v>
      </c>
      <c r="N1120" s="309"/>
      <c r="O1120" s="309"/>
      <c r="AC1120" s="355"/>
      <c r="AD1120" s="355"/>
      <c r="AE1120" s="355"/>
      <c r="AF1120" s="355"/>
      <c r="AG1120" s="355"/>
      <c r="AH1120" s="355"/>
      <c r="AI1120" s="355"/>
      <c r="AJ1120" s="355"/>
      <c r="AK1120" s="355"/>
      <c r="AL1120" s="355"/>
      <c r="AM1120" s="355"/>
      <c r="AN1120" s="355"/>
      <c r="AO1120" s="355"/>
      <c r="AP1120" s="355"/>
      <c r="AQ1120" s="355"/>
      <c r="AR1120" s="355"/>
      <c r="AS1120" s="355"/>
      <c r="AT1120" s="355"/>
      <c r="AU1120" s="355"/>
      <c r="AV1120" s="355"/>
      <c r="AW1120" s="355"/>
      <c r="AX1120" s="355"/>
      <c r="AY1120" s="355"/>
      <c r="AZ1120" s="355"/>
      <c r="BA1120" s="355"/>
      <c r="BB1120" s="355"/>
      <c r="BC1120" s="355"/>
      <c r="BD1120" s="355"/>
      <c r="BE1120" s="355"/>
      <c r="BF1120" s="355"/>
      <c r="BG1120" s="355"/>
      <c r="BH1120" s="355"/>
      <c r="BI1120" s="355"/>
      <c r="BJ1120" s="355"/>
      <c r="BK1120" s="355"/>
      <c r="BL1120" s="355"/>
      <c r="BM1120" s="355"/>
      <c r="BN1120" s="355"/>
      <c r="BO1120" s="355"/>
      <c r="BP1120" s="355"/>
      <c r="BQ1120" s="355"/>
      <c r="BR1120" s="355"/>
      <c r="BS1120" s="355"/>
      <c r="BT1120" s="355"/>
    </row>
    <row r="1121" spans="1:72" s="305" customFormat="1" ht="43.5">
      <c r="A1121" s="309" t="s">
        <v>232</v>
      </c>
      <c r="B1121" s="310"/>
      <c r="C1121" s="309" t="s">
        <v>636</v>
      </c>
      <c r="D1121" s="345"/>
      <c r="E1121" s="309"/>
      <c r="F1121" s="309"/>
      <c r="G1121" s="310"/>
      <c r="H1121" s="310"/>
      <c r="I1121" s="310"/>
      <c r="J1121" s="309" t="s">
        <v>639</v>
      </c>
      <c r="K1121" s="309">
        <v>19</v>
      </c>
      <c r="L1121" s="309" t="s">
        <v>640</v>
      </c>
      <c r="M1121" s="309">
        <v>653.57142857142799</v>
      </c>
      <c r="N1121" s="309"/>
      <c r="O1121" s="309"/>
      <c r="AC1121" s="355"/>
      <c r="AD1121" s="355"/>
      <c r="AE1121" s="355"/>
      <c r="AF1121" s="355"/>
      <c r="AG1121" s="355"/>
      <c r="AH1121" s="355"/>
      <c r="AI1121" s="355"/>
      <c r="AJ1121" s="355"/>
      <c r="AK1121" s="355"/>
      <c r="AL1121" s="355"/>
      <c r="AM1121" s="355"/>
      <c r="AN1121" s="355"/>
      <c r="AO1121" s="355"/>
      <c r="AP1121" s="355"/>
      <c r="AQ1121" s="355"/>
      <c r="AR1121" s="355"/>
      <c r="AS1121" s="355"/>
      <c r="AT1121" s="355"/>
      <c r="AU1121" s="355"/>
      <c r="AV1121" s="355"/>
      <c r="AW1121" s="355"/>
      <c r="AX1121" s="355"/>
      <c r="AY1121" s="355"/>
      <c r="AZ1121" s="355"/>
      <c r="BA1121" s="355"/>
      <c r="BB1121" s="355"/>
      <c r="BC1121" s="355"/>
      <c r="BD1121" s="355"/>
      <c r="BE1121" s="355"/>
      <c r="BF1121" s="355"/>
      <c r="BG1121" s="355"/>
      <c r="BH1121" s="355"/>
      <c r="BI1121" s="355"/>
      <c r="BJ1121" s="355"/>
      <c r="BK1121" s="355"/>
      <c r="BL1121" s="355"/>
      <c r="BM1121" s="355"/>
      <c r="BN1121" s="355"/>
      <c r="BO1121" s="355"/>
      <c r="BP1121" s="355"/>
      <c r="BQ1121" s="355"/>
      <c r="BR1121" s="355"/>
      <c r="BS1121" s="355"/>
      <c r="BT1121" s="355"/>
    </row>
    <row r="1122" spans="1:72" s="305" customFormat="1" ht="29">
      <c r="A1122" s="309" t="s">
        <v>390</v>
      </c>
      <c r="B1122" s="310"/>
      <c r="C1122" s="309" t="s">
        <v>636</v>
      </c>
      <c r="D1122" s="345"/>
      <c r="E1122" s="309"/>
      <c r="F1122" s="309"/>
      <c r="G1122" s="310"/>
      <c r="H1122" s="310"/>
      <c r="I1122" s="310"/>
      <c r="J1122" s="309" t="s">
        <v>391</v>
      </c>
      <c r="K1122" s="309">
        <v>18</v>
      </c>
      <c r="L1122" s="309"/>
      <c r="M1122" s="309">
        <v>775</v>
      </c>
      <c r="N1122" s="309"/>
      <c r="O1122" s="309"/>
      <c r="AC1122" s="355"/>
      <c r="AD1122" s="355"/>
      <c r="AE1122" s="355"/>
      <c r="AF1122" s="355"/>
      <c r="AG1122" s="355"/>
      <c r="AH1122" s="355"/>
      <c r="AI1122" s="355"/>
      <c r="AJ1122" s="355"/>
      <c r="AK1122" s="355"/>
      <c r="AL1122" s="355"/>
      <c r="AM1122" s="355"/>
      <c r="AN1122" s="355"/>
      <c r="AO1122" s="355"/>
      <c r="AP1122" s="355"/>
      <c r="AQ1122" s="355"/>
      <c r="AR1122" s="355"/>
      <c r="AS1122" s="355"/>
      <c r="AT1122" s="355"/>
      <c r="AU1122" s="355"/>
      <c r="AV1122" s="355"/>
      <c r="AW1122" s="355"/>
      <c r="AX1122" s="355"/>
      <c r="AY1122" s="355"/>
      <c r="AZ1122" s="355"/>
      <c r="BA1122" s="355"/>
      <c r="BB1122" s="355"/>
      <c r="BC1122" s="355"/>
      <c r="BD1122" s="355"/>
      <c r="BE1122" s="355"/>
      <c r="BF1122" s="355"/>
      <c r="BG1122" s="355"/>
      <c r="BH1122" s="355"/>
      <c r="BI1122" s="355"/>
      <c r="BJ1122" s="355"/>
      <c r="BK1122" s="355"/>
      <c r="BL1122" s="355"/>
      <c r="BM1122" s="355"/>
      <c r="BN1122" s="355"/>
      <c r="BO1122" s="355"/>
      <c r="BP1122" s="355"/>
      <c r="BQ1122" s="355"/>
      <c r="BR1122" s="355"/>
      <c r="BS1122" s="355"/>
      <c r="BT1122" s="355"/>
    </row>
    <row r="1123" spans="1:72" s="305" customFormat="1" ht="58">
      <c r="A1123" s="309" t="s">
        <v>641</v>
      </c>
      <c r="B1123" s="310"/>
      <c r="C1123" s="309" t="s">
        <v>636</v>
      </c>
      <c r="D1123" s="345"/>
      <c r="E1123" s="309"/>
      <c r="F1123" s="309"/>
      <c r="G1123" s="310"/>
      <c r="H1123" s="310"/>
      <c r="I1123" s="310"/>
      <c r="J1123" s="309" t="s">
        <v>642</v>
      </c>
      <c r="K1123" s="309">
        <v>17</v>
      </c>
      <c r="L1123" s="309" t="s">
        <v>643</v>
      </c>
      <c r="M1123" s="309">
        <v>896.42857142857099</v>
      </c>
      <c r="N1123" s="309"/>
      <c r="O1123" s="309"/>
      <c r="AC1123" s="355"/>
      <c r="AD1123" s="355"/>
      <c r="AE1123" s="355"/>
      <c r="AF1123" s="355"/>
      <c r="AG1123" s="355"/>
      <c r="AH1123" s="355"/>
      <c r="AI1123" s="355"/>
      <c r="AJ1123" s="355"/>
      <c r="AK1123" s="355"/>
      <c r="AL1123" s="355"/>
      <c r="AM1123" s="355"/>
      <c r="AN1123" s="355"/>
      <c r="AO1123" s="355"/>
      <c r="AP1123" s="355"/>
      <c r="AQ1123" s="355"/>
      <c r="AR1123" s="355"/>
      <c r="AS1123" s="355"/>
      <c r="AT1123" s="355"/>
      <c r="AU1123" s="355"/>
      <c r="AV1123" s="355"/>
      <c r="AW1123" s="355"/>
      <c r="AX1123" s="355"/>
      <c r="AY1123" s="355"/>
      <c r="AZ1123" s="355"/>
      <c r="BA1123" s="355"/>
      <c r="BB1123" s="355"/>
      <c r="BC1123" s="355"/>
      <c r="BD1123" s="355"/>
      <c r="BE1123" s="355"/>
      <c r="BF1123" s="355"/>
      <c r="BG1123" s="355"/>
      <c r="BH1123" s="355"/>
      <c r="BI1123" s="355"/>
      <c r="BJ1123" s="355"/>
      <c r="BK1123" s="355"/>
      <c r="BL1123" s="355"/>
      <c r="BM1123" s="355"/>
      <c r="BN1123" s="355"/>
      <c r="BO1123" s="355"/>
      <c r="BP1123" s="355"/>
      <c r="BQ1123" s="355"/>
      <c r="BR1123" s="355"/>
      <c r="BS1123" s="355"/>
      <c r="BT1123" s="355"/>
    </row>
    <row r="1124" spans="1:72" s="305" customFormat="1" ht="29">
      <c r="A1124" s="309" t="s">
        <v>141</v>
      </c>
      <c r="B1124" s="310"/>
      <c r="C1124" s="309" t="s">
        <v>644</v>
      </c>
      <c r="D1124" s="345"/>
      <c r="E1124" s="309"/>
      <c r="F1124" s="309"/>
      <c r="G1124" s="310"/>
      <c r="H1124" s="310"/>
      <c r="I1124" s="310"/>
      <c r="J1124" s="309" t="s">
        <v>645</v>
      </c>
      <c r="K1124" s="309">
        <v>45403</v>
      </c>
      <c r="L1124" s="309" t="s">
        <v>646</v>
      </c>
      <c r="M1124" s="309">
        <v>45393</v>
      </c>
      <c r="N1124" s="309" t="s">
        <v>647</v>
      </c>
      <c r="O1124" s="309">
        <v>45353</v>
      </c>
      <c r="AC1124" s="355"/>
      <c r="AD1124" s="355"/>
      <c r="AE1124" s="355"/>
      <c r="AF1124" s="355"/>
      <c r="AG1124" s="355"/>
      <c r="AH1124" s="355"/>
      <c r="AI1124" s="355"/>
      <c r="AJ1124" s="355"/>
      <c r="AK1124" s="355"/>
      <c r="AL1124" s="355"/>
      <c r="AM1124" s="355"/>
      <c r="AN1124" s="355"/>
      <c r="AO1124" s="355"/>
      <c r="AP1124" s="355"/>
      <c r="AQ1124" s="355"/>
      <c r="AR1124" s="355"/>
      <c r="AS1124" s="355"/>
      <c r="AT1124" s="355"/>
      <c r="AU1124" s="355"/>
      <c r="AV1124" s="355"/>
      <c r="AW1124" s="355"/>
      <c r="AX1124" s="355"/>
      <c r="AY1124" s="355"/>
      <c r="AZ1124" s="355"/>
      <c r="BA1124" s="355"/>
      <c r="BB1124" s="355"/>
      <c r="BC1124" s="355"/>
      <c r="BD1124" s="355"/>
      <c r="BE1124" s="355"/>
      <c r="BF1124" s="355"/>
      <c r="BG1124" s="355"/>
      <c r="BH1124" s="355"/>
      <c r="BI1124" s="355"/>
      <c r="BJ1124" s="355"/>
      <c r="BK1124" s="355"/>
      <c r="BL1124" s="355"/>
      <c r="BM1124" s="355"/>
      <c r="BN1124" s="355"/>
      <c r="BO1124" s="355"/>
      <c r="BP1124" s="355"/>
      <c r="BQ1124" s="355"/>
      <c r="BR1124" s="355"/>
      <c r="BS1124" s="355"/>
      <c r="BT1124" s="355"/>
    </row>
  </sheetData>
  <sheetProtection algorithmName="SHA-512" hashValue="GzFKwfPmCnYF9qSK4X9b0XvQE0SHwEg/UBpCz9tn1tYFDhESMmzE0Qpu6GIkU8gu4OzRC5Ur/AXIPKPTlb4fhQ==" saltValue="bpp8QARYFK4QxfTPp17kAw==" spinCount="100000" sheet="1" objects="1" scenarios="1" formatCells="0" formatColumns="0" formatRows="0"/>
  <autoFilter ref="A2:ED2" xr:uid="{9186C0C5-A59A-4019-B825-551901C13B76}"/>
  <conditionalFormatting sqref="D3:D385">
    <cfRule type="expression" dxfId="3" priority="1" stopIfTrue="1">
      <formula>$V3=""</formula>
    </cfRule>
    <cfRule type="expression" dxfId="2" priority="2" stopIfTrue="1">
      <formula>$V3="G"</formula>
    </cfRule>
    <cfRule type="expression" dxfId="1" priority="3" stopIfTrue="1">
      <formula>$V3="A"</formula>
    </cfRule>
    <cfRule type="expression" dxfId="0" priority="4" stopIfTrue="1">
      <formula>$V3="R"</formula>
    </cfRule>
  </conditionalFormatting>
  <pageMargins left="0.7" right="0.7" top="0.75" bottom="0.75" header="0.3" footer="0.3"/>
  <drawing r:id="rId1"/>
  <legacyDrawing r:id="rId2"/>
  <controls>
    <mc:AlternateContent xmlns:mc="http://schemas.openxmlformats.org/markup-compatibility/2006">
      <mc:Choice Requires="x14">
        <control shapeId="553985" r:id="rId3" name="cmdDeleteRows">
          <controlPr locked="0" defaultSize="0" autoLine="0" r:id="rId4">
            <anchor moveWithCells="1">
              <from>
                <xdr:col>0</xdr:col>
                <xdr:colOff>12700</xdr:colOff>
                <xdr:row>0</xdr:row>
                <xdr:rowOff>50800</xdr:rowOff>
              </from>
              <to>
                <xdr:col>0</xdr:col>
                <xdr:colOff>2095500</xdr:colOff>
                <xdr:row>0</xdr:row>
                <xdr:rowOff>425450</xdr:rowOff>
              </to>
            </anchor>
          </controlPr>
        </control>
      </mc:Choice>
      <mc:Fallback>
        <control shapeId="553985" r:id="rId3" name="cmdDeleteRows"/>
      </mc:Fallback>
    </mc:AlternateContent>
  </controls>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63073-8C7D-4DC3-A065-BE06DCA2E5EE}">
  <sheetPr codeName="Sheet24"/>
  <dimension ref="A1:H7"/>
  <sheetViews>
    <sheetView workbookViewId="0">
      <selection activeCell="F14" sqref="F14"/>
    </sheetView>
  </sheetViews>
  <sheetFormatPr defaultRowHeight="12.5"/>
  <cols>
    <col min="1" max="1" width="27.54296875" customWidth="1"/>
    <col min="5" max="5" width="14.81640625" customWidth="1"/>
    <col min="6" max="6" width="16.54296875" style="330" customWidth="1"/>
    <col min="7" max="7" width="10.26953125" customWidth="1"/>
    <col min="8" max="8" width="51.26953125" customWidth="1"/>
  </cols>
  <sheetData>
    <row r="1" spans="1:8">
      <c r="A1" s="329" t="s">
        <v>11</v>
      </c>
      <c r="E1" s="332" t="s">
        <v>55</v>
      </c>
      <c r="F1" s="333" t="s">
        <v>648</v>
      </c>
      <c r="G1" s="334" t="s">
        <v>649</v>
      </c>
      <c r="H1" s="329" t="s">
        <v>650</v>
      </c>
    </row>
    <row r="2" spans="1:8">
      <c r="A2" s="14" t="s">
        <v>35</v>
      </c>
      <c r="B2" s="14" t="s">
        <v>24</v>
      </c>
      <c r="C2" s="14" t="s">
        <v>25</v>
      </c>
      <c r="D2" s="14" t="s">
        <v>651</v>
      </c>
      <c r="E2" s="14" t="s">
        <v>652</v>
      </c>
      <c r="F2" s="331" t="s">
        <v>653</v>
      </c>
      <c r="G2" s="14" t="s">
        <v>654</v>
      </c>
      <c r="H2" s="14" t="s">
        <v>655</v>
      </c>
    </row>
    <row r="3" spans="1:8">
      <c r="A3" s="14" t="s">
        <v>61</v>
      </c>
      <c r="B3" s="14" t="s">
        <v>24</v>
      </c>
      <c r="C3" s="14" t="s">
        <v>26</v>
      </c>
      <c r="D3" s="14" t="s">
        <v>656</v>
      </c>
      <c r="E3" s="14" t="s">
        <v>657</v>
      </c>
      <c r="F3" s="331" t="s">
        <v>658</v>
      </c>
      <c r="G3" s="14" t="s">
        <v>659</v>
      </c>
      <c r="H3" s="14" t="s">
        <v>660</v>
      </c>
    </row>
    <row r="4" spans="1:8" ht="37.5" hidden="1">
      <c r="A4" s="14" t="s">
        <v>661</v>
      </c>
      <c r="B4" s="14" t="s">
        <v>24</v>
      </c>
      <c r="C4" s="14" t="s">
        <v>662</v>
      </c>
      <c r="D4" s="1"/>
      <c r="E4" s="14" t="s">
        <v>663</v>
      </c>
      <c r="F4" s="331" t="s">
        <v>664</v>
      </c>
      <c r="G4" s="14" t="s">
        <v>665</v>
      </c>
      <c r="H4" s="254" t="s">
        <v>666</v>
      </c>
    </row>
    <row r="5" spans="1:8" ht="26.5" customHeight="1">
      <c r="A5" s="14" t="s">
        <v>667</v>
      </c>
      <c r="B5" s="14"/>
      <c r="C5" s="14" t="s">
        <v>662</v>
      </c>
      <c r="D5" s="1"/>
      <c r="E5" s="14" t="s">
        <v>663</v>
      </c>
      <c r="F5" s="331"/>
      <c r="G5" s="331" t="s">
        <v>668</v>
      </c>
      <c r="H5" s="14" t="s">
        <v>669</v>
      </c>
    </row>
    <row r="6" spans="1:8">
      <c r="D6" s="329"/>
    </row>
    <row r="7" spans="1:8">
      <c r="B7" s="329" t="s">
        <v>670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4597B-9EBE-4279-AEC3-D18D1702AE60}">
  <sheetPr codeName="Sheet14"/>
  <dimension ref="A1:C226"/>
  <sheetViews>
    <sheetView workbookViewId="0">
      <selection activeCell="A179" sqref="A179"/>
    </sheetView>
  </sheetViews>
  <sheetFormatPr defaultColWidth="8.7265625" defaultRowHeight="14.5"/>
  <cols>
    <col min="1" max="1" width="75.1796875" style="287" customWidth="1"/>
    <col min="2" max="2" width="20.54296875" style="298" customWidth="1"/>
    <col min="3" max="3" width="72.453125" style="288" customWidth="1"/>
    <col min="4" max="16384" width="8.7265625" style="288"/>
  </cols>
  <sheetData>
    <row r="1" spans="1:3">
      <c r="A1" s="295" t="s">
        <v>671</v>
      </c>
      <c r="B1" s="296" t="s">
        <v>607</v>
      </c>
      <c r="C1" s="296" t="s">
        <v>672</v>
      </c>
    </row>
    <row r="2" spans="1:3">
      <c r="A2" s="297" t="s">
        <v>673</v>
      </c>
      <c r="C2" s="299"/>
    </row>
    <row r="3" spans="1:3">
      <c r="A3" s="297" t="s">
        <v>674</v>
      </c>
      <c r="C3" s="299" t="s">
        <v>131</v>
      </c>
    </row>
    <row r="4" spans="1:3">
      <c r="A4" s="297" t="s">
        <v>675</v>
      </c>
      <c r="C4" s="299"/>
    </row>
    <row r="5" spans="1:3">
      <c r="A5" s="297" t="s">
        <v>676</v>
      </c>
      <c r="C5" s="299"/>
    </row>
    <row r="6" spans="1:3">
      <c r="A6" s="297" t="s">
        <v>677</v>
      </c>
      <c r="C6" s="299"/>
    </row>
    <row r="7" spans="1:3">
      <c r="A7" s="297" t="s">
        <v>678</v>
      </c>
      <c r="C7" s="299" t="s">
        <v>679</v>
      </c>
    </row>
    <row r="8" spans="1:3">
      <c r="A8" s="297" t="s">
        <v>645</v>
      </c>
      <c r="C8" s="299" t="s">
        <v>141</v>
      </c>
    </row>
    <row r="9" spans="1:3">
      <c r="A9" s="297" t="s">
        <v>680</v>
      </c>
      <c r="C9" s="299"/>
    </row>
    <row r="10" spans="1:3">
      <c r="A10" s="297" t="s">
        <v>681</v>
      </c>
      <c r="C10" s="299"/>
    </row>
    <row r="11" spans="1:3">
      <c r="A11" s="297" t="s">
        <v>682</v>
      </c>
      <c r="C11" s="299"/>
    </row>
    <row r="12" spans="1:3">
      <c r="A12" s="297" t="s">
        <v>683</v>
      </c>
      <c r="C12" s="299"/>
    </row>
    <row r="13" spans="1:3">
      <c r="A13" s="297" t="s">
        <v>684</v>
      </c>
      <c r="C13" s="299"/>
    </row>
    <row r="14" spans="1:3">
      <c r="A14" s="297" t="s">
        <v>685</v>
      </c>
      <c r="C14" s="299"/>
    </row>
    <row r="15" spans="1:3">
      <c r="A15" s="297" t="s">
        <v>686</v>
      </c>
      <c r="C15" s="299"/>
    </row>
    <row r="16" spans="1:3">
      <c r="A16" s="297" t="s">
        <v>687</v>
      </c>
      <c r="C16" s="299"/>
    </row>
    <row r="17" spans="1:3">
      <c r="A17" s="297" t="s">
        <v>688</v>
      </c>
      <c r="C17" s="299"/>
    </row>
    <row r="18" spans="1:3">
      <c r="A18" s="297" t="s">
        <v>689</v>
      </c>
      <c r="C18" s="299"/>
    </row>
    <row r="19" spans="1:3">
      <c r="A19" s="297" t="s">
        <v>690</v>
      </c>
      <c r="C19" s="299"/>
    </row>
    <row r="20" spans="1:3">
      <c r="A20" s="297" t="s">
        <v>691</v>
      </c>
      <c r="C20" s="299"/>
    </row>
    <row r="21" spans="1:3">
      <c r="A21" s="297" t="s">
        <v>692</v>
      </c>
      <c r="C21" s="299"/>
    </row>
    <row r="22" spans="1:3">
      <c r="A22" s="297" t="s">
        <v>693</v>
      </c>
      <c r="C22" s="299"/>
    </row>
    <row r="23" spans="1:3">
      <c r="A23" s="297" t="s">
        <v>694</v>
      </c>
      <c r="C23" s="299"/>
    </row>
    <row r="24" spans="1:3">
      <c r="A24" s="297" t="s">
        <v>695</v>
      </c>
      <c r="C24" s="299"/>
    </row>
    <row r="25" spans="1:3">
      <c r="A25" s="297" t="s">
        <v>696</v>
      </c>
      <c r="C25" s="299"/>
    </row>
    <row r="26" spans="1:3">
      <c r="A26" s="297" t="s">
        <v>697</v>
      </c>
      <c r="C26" s="299"/>
    </row>
    <row r="27" spans="1:3">
      <c r="A27" s="297" t="s">
        <v>698</v>
      </c>
      <c r="C27" s="299"/>
    </row>
    <row r="28" spans="1:3">
      <c r="A28" s="297" t="s">
        <v>699</v>
      </c>
      <c r="C28" s="299"/>
    </row>
    <row r="29" spans="1:3" ht="29">
      <c r="A29" s="297" t="s">
        <v>340</v>
      </c>
      <c r="C29" s="299"/>
    </row>
    <row r="30" spans="1:3">
      <c r="A30" s="297" t="s">
        <v>700</v>
      </c>
      <c r="C30" s="299" t="s">
        <v>701</v>
      </c>
    </row>
    <row r="31" spans="1:3">
      <c r="A31" s="297" t="s">
        <v>702</v>
      </c>
      <c r="C31" s="299" t="s">
        <v>701</v>
      </c>
    </row>
    <row r="32" spans="1:3">
      <c r="A32" s="297" t="s">
        <v>703</v>
      </c>
      <c r="C32" s="299" t="s">
        <v>701</v>
      </c>
    </row>
    <row r="33" spans="1:3">
      <c r="A33" s="297" t="s">
        <v>704</v>
      </c>
      <c r="C33" s="299" t="s">
        <v>701</v>
      </c>
    </row>
    <row r="34" spans="1:3">
      <c r="A34" s="297" t="s">
        <v>705</v>
      </c>
      <c r="C34" s="299"/>
    </row>
    <row r="35" spans="1:3">
      <c r="A35" s="297" t="s">
        <v>706</v>
      </c>
      <c r="C35" s="299"/>
    </row>
    <row r="36" spans="1:3">
      <c r="A36" s="297" t="s">
        <v>707</v>
      </c>
      <c r="C36" s="299"/>
    </row>
    <row r="37" spans="1:3">
      <c r="A37" s="297" t="s">
        <v>708</v>
      </c>
      <c r="C37" s="299"/>
    </row>
    <row r="38" spans="1:3">
      <c r="A38" s="297" t="s">
        <v>709</v>
      </c>
      <c r="C38" s="299" t="s">
        <v>710</v>
      </c>
    </row>
    <row r="39" spans="1:3">
      <c r="A39" s="297" t="s">
        <v>711</v>
      </c>
      <c r="C39" s="299" t="s">
        <v>710</v>
      </c>
    </row>
    <row r="40" spans="1:3">
      <c r="A40" s="297" t="s">
        <v>712</v>
      </c>
      <c r="C40" s="299" t="s">
        <v>710</v>
      </c>
    </row>
    <row r="41" spans="1:3">
      <c r="A41" s="297" t="s">
        <v>713</v>
      </c>
      <c r="C41" s="299" t="s">
        <v>710</v>
      </c>
    </row>
    <row r="42" spans="1:3">
      <c r="A42" s="297" t="s">
        <v>91</v>
      </c>
      <c r="C42" s="299" t="s">
        <v>88</v>
      </c>
    </row>
    <row r="43" spans="1:3">
      <c r="A43" s="297" t="s">
        <v>714</v>
      </c>
      <c r="C43" s="299"/>
    </row>
    <row r="44" spans="1:3">
      <c r="A44" s="297" t="s">
        <v>715</v>
      </c>
      <c r="C44" s="299"/>
    </row>
    <row r="45" spans="1:3">
      <c r="A45" s="297" t="s">
        <v>716</v>
      </c>
      <c r="C45" s="299"/>
    </row>
    <row r="46" spans="1:3">
      <c r="A46" s="297" t="s">
        <v>717</v>
      </c>
      <c r="C46" s="299"/>
    </row>
    <row r="47" spans="1:3">
      <c r="A47" s="297" t="s">
        <v>213</v>
      </c>
      <c r="C47" s="299"/>
    </row>
    <row r="48" spans="1:3">
      <c r="A48" s="297" t="s">
        <v>718</v>
      </c>
      <c r="C48" s="299"/>
    </row>
    <row r="49" spans="1:3">
      <c r="A49" s="297" t="s">
        <v>719</v>
      </c>
      <c r="C49" s="299"/>
    </row>
    <row r="50" spans="1:3">
      <c r="A50" s="297" t="s">
        <v>720</v>
      </c>
      <c r="C50" s="299"/>
    </row>
    <row r="51" spans="1:3">
      <c r="A51" s="297" t="s">
        <v>721</v>
      </c>
      <c r="C51" s="299"/>
    </row>
    <row r="52" spans="1:3">
      <c r="A52" s="297" t="s">
        <v>722</v>
      </c>
      <c r="C52" s="299"/>
    </row>
    <row r="53" spans="1:3">
      <c r="A53" s="297" t="s">
        <v>723</v>
      </c>
      <c r="C53" s="299"/>
    </row>
    <row r="54" spans="1:3">
      <c r="A54" s="297" t="s">
        <v>724</v>
      </c>
      <c r="C54" s="299"/>
    </row>
    <row r="55" spans="1:3">
      <c r="A55" s="297" t="s">
        <v>725</v>
      </c>
      <c r="C55" s="299"/>
    </row>
    <row r="56" spans="1:3">
      <c r="A56" s="297" t="s">
        <v>726</v>
      </c>
      <c r="C56" s="299"/>
    </row>
    <row r="57" spans="1:3">
      <c r="A57" s="297" t="s">
        <v>727</v>
      </c>
      <c r="C57" s="299"/>
    </row>
    <row r="58" spans="1:3">
      <c r="A58" s="297" t="s">
        <v>728</v>
      </c>
      <c r="C58" s="299"/>
    </row>
    <row r="59" spans="1:3">
      <c r="A59" s="297" t="s">
        <v>729</v>
      </c>
      <c r="C59" s="299"/>
    </row>
    <row r="60" spans="1:3">
      <c r="A60" s="297" t="s">
        <v>730</v>
      </c>
      <c r="C60" s="299"/>
    </row>
    <row r="61" spans="1:3">
      <c r="A61" s="297" t="s">
        <v>731</v>
      </c>
      <c r="C61" s="299"/>
    </row>
    <row r="62" spans="1:3">
      <c r="A62" s="297" t="s">
        <v>732</v>
      </c>
      <c r="C62" s="299"/>
    </row>
    <row r="63" spans="1:3">
      <c r="A63" s="297" t="s">
        <v>733</v>
      </c>
      <c r="C63" s="299"/>
    </row>
    <row r="64" spans="1:3">
      <c r="A64" s="297" t="s">
        <v>734</v>
      </c>
      <c r="C64" s="299"/>
    </row>
    <row r="65" spans="1:3">
      <c r="A65" s="297" t="s">
        <v>735</v>
      </c>
      <c r="C65" s="299"/>
    </row>
    <row r="66" spans="1:3">
      <c r="A66" s="297" t="s">
        <v>736</v>
      </c>
      <c r="C66" s="299"/>
    </row>
    <row r="67" spans="1:3">
      <c r="A67" s="297" t="s">
        <v>737</v>
      </c>
      <c r="C67" s="299"/>
    </row>
    <row r="68" spans="1:3">
      <c r="A68" s="297" t="s">
        <v>738</v>
      </c>
      <c r="C68" s="299"/>
    </row>
    <row r="69" spans="1:3">
      <c r="A69" s="297" t="s">
        <v>739</v>
      </c>
      <c r="C69" s="299"/>
    </row>
    <row r="70" spans="1:3">
      <c r="A70" s="297" t="s">
        <v>740</v>
      </c>
      <c r="C70" s="299"/>
    </row>
    <row r="71" spans="1:3">
      <c r="A71" s="297" t="s">
        <v>741</v>
      </c>
      <c r="C71" s="299"/>
    </row>
    <row r="72" spans="1:3">
      <c r="A72" s="297" t="s">
        <v>742</v>
      </c>
      <c r="C72" s="299"/>
    </row>
    <row r="73" spans="1:3">
      <c r="A73" s="297" t="s">
        <v>535</v>
      </c>
      <c r="C73" s="299"/>
    </row>
    <row r="74" spans="1:3" ht="29">
      <c r="A74" s="297" t="s">
        <v>743</v>
      </c>
      <c r="C74" s="299"/>
    </row>
    <row r="75" spans="1:3">
      <c r="A75" s="297" t="s">
        <v>744</v>
      </c>
      <c r="C75" s="299"/>
    </row>
    <row r="76" spans="1:3">
      <c r="A76" s="297" t="s">
        <v>745</v>
      </c>
      <c r="C76" s="299"/>
    </row>
    <row r="77" spans="1:3">
      <c r="A77" s="297" t="s">
        <v>746</v>
      </c>
      <c r="C77" s="299"/>
    </row>
    <row r="78" spans="1:3">
      <c r="A78" s="297" t="s">
        <v>639</v>
      </c>
      <c r="C78" s="299" t="s">
        <v>747</v>
      </c>
    </row>
    <row r="79" spans="1:3">
      <c r="A79" s="297" t="s">
        <v>748</v>
      </c>
      <c r="C79" s="299"/>
    </row>
    <row r="80" spans="1:3">
      <c r="A80" s="297" t="s">
        <v>749</v>
      </c>
      <c r="C80" s="299"/>
    </row>
    <row r="81" spans="1:3">
      <c r="A81" s="297" t="s">
        <v>750</v>
      </c>
      <c r="C81" s="299" t="s">
        <v>163</v>
      </c>
    </row>
    <row r="82" spans="1:3">
      <c r="A82" s="297" t="s">
        <v>751</v>
      </c>
      <c r="C82" s="299"/>
    </row>
    <row r="83" spans="1:3">
      <c r="A83" s="297" t="s">
        <v>216</v>
      </c>
      <c r="C83" s="299"/>
    </row>
    <row r="84" spans="1:3">
      <c r="A84" s="297" t="s">
        <v>752</v>
      </c>
      <c r="C84" s="299"/>
    </row>
    <row r="85" spans="1:3">
      <c r="A85" s="297" t="s">
        <v>753</v>
      </c>
      <c r="C85" s="299"/>
    </row>
    <row r="86" spans="1:3">
      <c r="A86" s="297" t="s">
        <v>754</v>
      </c>
      <c r="C86" s="299"/>
    </row>
    <row r="87" spans="1:3">
      <c r="A87" s="297" t="s">
        <v>755</v>
      </c>
      <c r="C87" s="299"/>
    </row>
    <row r="88" spans="1:3">
      <c r="A88" s="297" t="s">
        <v>756</v>
      </c>
      <c r="C88" s="299"/>
    </row>
    <row r="89" spans="1:3">
      <c r="A89" s="297" t="s">
        <v>757</v>
      </c>
      <c r="C89" s="299"/>
    </row>
    <row r="90" spans="1:3">
      <c r="A90" s="297" t="s">
        <v>758</v>
      </c>
      <c r="C90" s="299"/>
    </row>
    <row r="91" spans="1:3">
      <c r="A91" s="297" t="s">
        <v>759</v>
      </c>
      <c r="C91" s="299"/>
    </row>
    <row r="92" spans="1:3">
      <c r="A92" s="297" t="s">
        <v>760</v>
      </c>
      <c r="C92" s="299"/>
    </row>
    <row r="93" spans="1:3">
      <c r="A93" s="297" t="s">
        <v>761</v>
      </c>
      <c r="C93" s="299"/>
    </row>
    <row r="94" spans="1:3">
      <c r="A94" s="297" t="s">
        <v>762</v>
      </c>
      <c r="C94" s="299"/>
    </row>
    <row r="95" spans="1:3">
      <c r="A95" s="297" t="s">
        <v>763</v>
      </c>
      <c r="C95" s="299"/>
    </row>
    <row r="96" spans="1:3">
      <c r="A96" s="297" t="s">
        <v>638</v>
      </c>
      <c r="C96" s="299" t="s">
        <v>469</v>
      </c>
    </row>
    <row r="97" spans="1:3">
      <c r="A97" s="297" t="s">
        <v>764</v>
      </c>
      <c r="C97" s="299"/>
    </row>
    <row r="98" spans="1:3">
      <c r="A98" s="297" t="s">
        <v>765</v>
      </c>
      <c r="C98" s="299"/>
    </row>
    <row r="99" spans="1:3">
      <c r="A99" s="297" t="s">
        <v>766</v>
      </c>
      <c r="C99" s="299"/>
    </row>
    <row r="100" spans="1:3">
      <c r="A100" s="297" t="s">
        <v>767</v>
      </c>
      <c r="C100" s="299"/>
    </row>
    <row r="101" spans="1:3">
      <c r="A101" s="297" t="s">
        <v>768</v>
      </c>
      <c r="C101" s="299"/>
    </row>
    <row r="102" spans="1:3">
      <c r="A102" s="297" t="s">
        <v>769</v>
      </c>
      <c r="C102" s="299"/>
    </row>
    <row r="103" spans="1:3">
      <c r="A103" s="297" t="s">
        <v>770</v>
      </c>
      <c r="C103" s="299"/>
    </row>
    <row r="104" spans="1:3">
      <c r="A104" s="297" t="s">
        <v>771</v>
      </c>
      <c r="C104" s="299" t="s">
        <v>710</v>
      </c>
    </row>
    <row r="105" spans="1:3">
      <c r="A105" s="297" t="s">
        <v>772</v>
      </c>
      <c r="C105" s="299"/>
    </row>
    <row r="106" spans="1:3">
      <c r="A106" s="297" t="s">
        <v>773</v>
      </c>
      <c r="C106" s="299"/>
    </row>
    <row r="107" spans="1:3">
      <c r="A107" s="297" t="s">
        <v>774</v>
      </c>
      <c r="C107" s="299"/>
    </row>
    <row r="108" spans="1:3">
      <c r="A108" s="297" t="s">
        <v>637</v>
      </c>
      <c r="C108" s="299" t="s">
        <v>469</v>
      </c>
    </row>
    <row r="109" spans="1:3">
      <c r="A109" s="297" t="s">
        <v>775</v>
      </c>
      <c r="C109" s="299" t="s">
        <v>150</v>
      </c>
    </row>
    <row r="110" spans="1:3" ht="29">
      <c r="A110" s="297" t="s">
        <v>776</v>
      </c>
      <c r="C110" s="299"/>
    </row>
    <row r="111" spans="1:3">
      <c r="A111" s="297" t="s">
        <v>777</v>
      </c>
      <c r="C111" s="299"/>
    </row>
    <row r="112" spans="1:3">
      <c r="A112" s="297" t="s">
        <v>778</v>
      </c>
      <c r="C112" s="299"/>
    </row>
    <row r="113" spans="1:3">
      <c r="A113" s="297" t="s">
        <v>779</v>
      </c>
      <c r="C113" s="299"/>
    </row>
    <row r="114" spans="1:3">
      <c r="A114" s="297" t="s">
        <v>780</v>
      </c>
      <c r="C114" s="299"/>
    </row>
    <row r="115" spans="1:3">
      <c r="A115" s="297" t="s">
        <v>781</v>
      </c>
      <c r="C115" s="299"/>
    </row>
    <row r="116" spans="1:3">
      <c r="A116" s="297" t="s">
        <v>782</v>
      </c>
      <c r="C116" s="299"/>
    </row>
    <row r="117" spans="1:3">
      <c r="A117" s="297" t="s">
        <v>783</v>
      </c>
      <c r="C117" s="299"/>
    </row>
    <row r="118" spans="1:3">
      <c r="A118" s="297" t="s">
        <v>784</v>
      </c>
      <c r="C118" s="299"/>
    </row>
    <row r="119" spans="1:3">
      <c r="A119" s="297" t="s">
        <v>785</v>
      </c>
      <c r="C119" s="299"/>
    </row>
    <row r="120" spans="1:3">
      <c r="A120" s="297" t="s">
        <v>786</v>
      </c>
      <c r="C120" s="299"/>
    </row>
    <row r="121" spans="1:3">
      <c r="A121" s="297" t="s">
        <v>787</v>
      </c>
      <c r="C121" s="299"/>
    </row>
    <row r="122" spans="1:3">
      <c r="A122" s="297" t="s">
        <v>788</v>
      </c>
      <c r="C122" s="299"/>
    </row>
    <row r="123" spans="1:3">
      <c r="A123" s="297" t="s">
        <v>789</v>
      </c>
      <c r="C123" s="299"/>
    </row>
    <row r="124" spans="1:3">
      <c r="A124" s="297" t="s">
        <v>790</v>
      </c>
      <c r="C124" s="299"/>
    </row>
    <row r="125" spans="1:3">
      <c r="A125" s="297" t="s">
        <v>791</v>
      </c>
      <c r="C125" s="299"/>
    </row>
    <row r="126" spans="1:3">
      <c r="A126" s="297" t="s">
        <v>792</v>
      </c>
      <c r="C126" s="299"/>
    </row>
    <row r="127" spans="1:3">
      <c r="A127" s="297" t="s">
        <v>793</v>
      </c>
      <c r="C127" s="299"/>
    </row>
    <row r="128" spans="1:3">
      <c r="A128" s="297" t="s">
        <v>794</v>
      </c>
      <c r="C128" s="299"/>
    </row>
    <row r="129" spans="1:3">
      <c r="A129" s="297" t="s">
        <v>795</v>
      </c>
      <c r="C129" s="299"/>
    </row>
    <row r="130" spans="1:3">
      <c r="A130" s="297" t="s">
        <v>796</v>
      </c>
      <c r="C130" s="299"/>
    </row>
    <row r="131" spans="1:3">
      <c r="A131" s="297" t="s">
        <v>797</v>
      </c>
      <c r="C131" s="299"/>
    </row>
    <row r="132" spans="1:3">
      <c r="A132" s="297" t="s">
        <v>798</v>
      </c>
      <c r="C132" s="299"/>
    </row>
    <row r="133" spans="1:3">
      <c r="A133" s="297" t="s">
        <v>799</v>
      </c>
      <c r="C133" s="299"/>
    </row>
    <row r="134" spans="1:3">
      <c r="A134" s="297" t="s">
        <v>800</v>
      </c>
      <c r="C134" s="299"/>
    </row>
    <row r="135" spans="1:3">
      <c r="A135" s="297" t="s">
        <v>801</v>
      </c>
      <c r="C135" s="299"/>
    </row>
    <row r="136" spans="1:3">
      <c r="A136" s="297" t="s">
        <v>802</v>
      </c>
      <c r="C136" s="299"/>
    </row>
    <row r="137" spans="1:3">
      <c r="A137" s="297" t="s">
        <v>803</v>
      </c>
      <c r="C137" s="299"/>
    </row>
    <row r="138" spans="1:3">
      <c r="A138" s="297" t="s">
        <v>804</v>
      </c>
      <c r="C138" s="299"/>
    </row>
    <row r="139" spans="1:3">
      <c r="A139" s="297" t="s">
        <v>805</v>
      </c>
      <c r="C139" s="299"/>
    </row>
    <row r="140" spans="1:3">
      <c r="A140" s="297" t="s">
        <v>806</v>
      </c>
      <c r="C140" s="299"/>
    </row>
    <row r="141" spans="1:3">
      <c r="A141" s="297" t="s">
        <v>807</v>
      </c>
      <c r="C141" s="299"/>
    </row>
    <row r="142" spans="1:3" ht="29">
      <c r="A142" s="297" t="s">
        <v>808</v>
      </c>
      <c r="C142" s="299"/>
    </row>
    <row r="143" spans="1:3">
      <c r="A143" s="297" t="s">
        <v>809</v>
      </c>
      <c r="C143" s="299"/>
    </row>
    <row r="144" spans="1:3" ht="29">
      <c r="A144" s="297" t="s">
        <v>810</v>
      </c>
      <c r="C144" s="299"/>
    </row>
    <row r="145" spans="1:3">
      <c r="A145" s="297" t="s">
        <v>811</v>
      </c>
      <c r="C145" s="299"/>
    </row>
    <row r="146" spans="1:3">
      <c r="A146" s="297" t="s">
        <v>812</v>
      </c>
      <c r="C146" s="299"/>
    </row>
    <row r="147" spans="1:3">
      <c r="A147" s="297" t="s">
        <v>813</v>
      </c>
      <c r="C147" s="299"/>
    </row>
    <row r="148" spans="1:3">
      <c r="A148" s="297" t="s">
        <v>814</v>
      </c>
      <c r="C148" s="299"/>
    </row>
    <row r="149" spans="1:3">
      <c r="A149" s="297" t="s">
        <v>815</v>
      </c>
      <c r="C149" s="299"/>
    </row>
    <row r="150" spans="1:3">
      <c r="A150" s="297" t="s">
        <v>816</v>
      </c>
      <c r="C150" s="299"/>
    </row>
    <row r="151" spans="1:3">
      <c r="A151" s="297" t="s">
        <v>817</v>
      </c>
      <c r="C151" s="299"/>
    </row>
    <row r="152" spans="1:3">
      <c r="A152" s="297" t="s">
        <v>818</v>
      </c>
      <c r="C152" s="299"/>
    </row>
    <row r="153" spans="1:3">
      <c r="A153" s="297" t="s">
        <v>819</v>
      </c>
      <c r="C153" s="299"/>
    </row>
    <row r="154" spans="1:3">
      <c r="A154" s="297" t="s">
        <v>820</v>
      </c>
      <c r="C154" s="299"/>
    </row>
    <row r="155" spans="1:3">
      <c r="A155" s="297" t="s">
        <v>821</v>
      </c>
      <c r="C155" s="299"/>
    </row>
    <row r="156" spans="1:3">
      <c r="A156" s="297" t="s">
        <v>822</v>
      </c>
      <c r="C156" s="299"/>
    </row>
    <row r="157" spans="1:3">
      <c r="A157" s="297" t="s">
        <v>823</v>
      </c>
      <c r="C157" s="299"/>
    </row>
    <row r="158" spans="1:3">
      <c r="A158" s="297" t="s">
        <v>824</v>
      </c>
      <c r="C158" s="299"/>
    </row>
    <row r="159" spans="1:3">
      <c r="A159" s="297" t="s">
        <v>825</v>
      </c>
      <c r="C159" s="299"/>
    </row>
    <row r="160" spans="1:3">
      <c r="A160" s="297" t="s">
        <v>826</v>
      </c>
      <c r="C160" s="299"/>
    </row>
    <row r="161" spans="1:3">
      <c r="A161" s="297" t="s">
        <v>827</v>
      </c>
      <c r="C161" s="299"/>
    </row>
    <row r="162" spans="1:3">
      <c r="A162" s="297" t="s">
        <v>828</v>
      </c>
      <c r="C162" s="299"/>
    </row>
    <row r="163" spans="1:3">
      <c r="A163" s="297" t="s">
        <v>829</v>
      </c>
      <c r="C163" s="299"/>
    </row>
    <row r="164" spans="1:3">
      <c r="A164" s="297" t="s">
        <v>830</v>
      </c>
      <c r="C164" s="299"/>
    </row>
    <row r="165" spans="1:3">
      <c r="A165" s="297" t="s">
        <v>99</v>
      </c>
      <c r="C165" s="299"/>
    </row>
    <row r="166" spans="1:3">
      <c r="A166" s="297" t="s">
        <v>831</v>
      </c>
      <c r="C166" s="299" t="s">
        <v>832</v>
      </c>
    </row>
    <row r="167" spans="1:3">
      <c r="A167" s="297" t="s">
        <v>646</v>
      </c>
      <c r="C167" s="299" t="s">
        <v>141</v>
      </c>
    </row>
    <row r="168" spans="1:3">
      <c r="A168" s="297" t="s">
        <v>833</v>
      </c>
      <c r="C168" s="299" t="s">
        <v>357</v>
      </c>
    </row>
    <row r="169" spans="1:3">
      <c r="A169" s="297" t="s">
        <v>834</v>
      </c>
      <c r="C169" s="299"/>
    </row>
    <row r="170" spans="1:3">
      <c r="A170" s="297" t="s">
        <v>647</v>
      </c>
      <c r="C170" s="299" t="s">
        <v>141</v>
      </c>
    </row>
    <row r="171" spans="1:3">
      <c r="A171" s="297" t="s">
        <v>835</v>
      </c>
      <c r="C171" s="299"/>
    </row>
    <row r="172" spans="1:3">
      <c r="A172" s="297" t="s">
        <v>836</v>
      </c>
      <c r="C172" s="299"/>
    </row>
    <row r="173" spans="1:3">
      <c r="A173" s="297" t="s">
        <v>837</v>
      </c>
      <c r="C173" s="299" t="s">
        <v>838</v>
      </c>
    </row>
    <row r="174" spans="1:3">
      <c r="A174" s="297" t="s">
        <v>839</v>
      </c>
      <c r="C174" s="299"/>
    </row>
    <row r="175" spans="1:3">
      <c r="A175" s="414" t="s">
        <v>840</v>
      </c>
      <c r="C175" s="299" t="s">
        <v>131</v>
      </c>
    </row>
    <row r="176" spans="1:3">
      <c r="A176" s="297" t="s">
        <v>841</v>
      </c>
      <c r="C176" s="299"/>
    </row>
    <row r="177" spans="1:3">
      <c r="A177" s="297" t="s">
        <v>842</v>
      </c>
      <c r="C177" s="299"/>
    </row>
    <row r="178" spans="1:3">
      <c r="A178" s="297" t="s">
        <v>843</v>
      </c>
      <c r="C178" s="299"/>
    </row>
    <row r="179" spans="1:3" ht="29">
      <c r="A179" s="297" t="s">
        <v>844</v>
      </c>
      <c r="C179" s="299"/>
    </row>
    <row r="180" spans="1:3">
      <c r="A180" s="297" t="s">
        <v>845</v>
      </c>
      <c r="C180" s="299"/>
    </row>
    <row r="181" spans="1:3">
      <c r="A181" s="297" t="s">
        <v>391</v>
      </c>
      <c r="C181" s="299" t="s">
        <v>390</v>
      </c>
    </row>
    <row r="182" spans="1:3">
      <c r="A182" s="297" t="s">
        <v>846</v>
      </c>
      <c r="C182" s="299"/>
    </row>
    <row r="183" spans="1:3">
      <c r="A183" s="297" t="s">
        <v>847</v>
      </c>
      <c r="C183" s="299"/>
    </row>
    <row r="184" spans="1:3" ht="29">
      <c r="A184" s="297" t="s">
        <v>848</v>
      </c>
      <c r="C184" s="299"/>
    </row>
    <row r="185" spans="1:3" ht="29">
      <c r="A185" s="297" t="s">
        <v>849</v>
      </c>
      <c r="C185" s="299"/>
    </row>
    <row r="186" spans="1:3">
      <c r="A186" s="297" t="s">
        <v>850</v>
      </c>
      <c r="C186" s="299"/>
    </row>
    <row r="187" spans="1:3">
      <c r="A187" s="297" t="s">
        <v>851</v>
      </c>
      <c r="C187" s="299"/>
    </row>
    <row r="188" spans="1:3">
      <c r="A188" s="297" t="s">
        <v>852</v>
      </c>
      <c r="C188" s="299"/>
    </row>
    <row r="189" spans="1:3">
      <c r="A189" s="297" t="s">
        <v>853</v>
      </c>
      <c r="C189" s="299"/>
    </row>
    <row r="190" spans="1:3">
      <c r="A190" s="297" t="s">
        <v>640</v>
      </c>
      <c r="C190" s="299"/>
    </row>
    <row r="191" spans="1:3">
      <c r="A191" s="297" t="s">
        <v>854</v>
      </c>
      <c r="C191" s="299" t="s">
        <v>232</v>
      </c>
    </row>
    <row r="192" spans="1:3">
      <c r="A192" s="297" t="s">
        <v>855</v>
      </c>
      <c r="C192" s="299"/>
    </row>
    <row r="193" spans="1:3">
      <c r="A193" s="297" t="s">
        <v>856</v>
      </c>
      <c r="C193" s="299" t="s">
        <v>226</v>
      </c>
    </row>
    <row r="194" spans="1:3" ht="29">
      <c r="A194" s="297" t="s">
        <v>857</v>
      </c>
      <c r="C194" s="299"/>
    </row>
    <row r="195" spans="1:3">
      <c r="A195" s="297" t="s">
        <v>858</v>
      </c>
      <c r="C195" s="299"/>
    </row>
    <row r="196" spans="1:3">
      <c r="A196" s="297" t="s">
        <v>859</v>
      </c>
      <c r="C196" s="299"/>
    </row>
    <row r="197" spans="1:3">
      <c r="A197" s="297" t="s">
        <v>860</v>
      </c>
      <c r="C197" s="299"/>
    </row>
    <row r="198" spans="1:3">
      <c r="A198" s="297" t="s">
        <v>861</v>
      </c>
      <c r="C198" s="299" t="s">
        <v>641</v>
      </c>
    </row>
    <row r="199" spans="1:3">
      <c r="A199" s="297" t="s">
        <v>862</v>
      </c>
      <c r="C199" s="299"/>
    </row>
    <row r="200" spans="1:3">
      <c r="A200" s="297" t="s">
        <v>863</v>
      </c>
      <c r="C200" s="299"/>
    </row>
    <row r="201" spans="1:3">
      <c r="A201" s="297" t="s">
        <v>864</v>
      </c>
      <c r="C201" s="299"/>
    </row>
    <row r="202" spans="1:3">
      <c r="A202" s="297" t="s">
        <v>865</v>
      </c>
      <c r="C202" s="299"/>
    </row>
    <row r="203" spans="1:3">
      <c r="A203" s="297" t="s">
        <v>866</v>
      </c>
      <c r="C203" s="299"/>
    </row>
    <row r="204" spans="1:3">
      <c r="A204" s="297" t="s">
        <v>867</v>
      </c>
      <c r="C204" s="299" t="s">
        <v>150</v>
      </c>
    </row>
    <row r="205" spans="1:3">
      <c r="A205" s="297" t="s">
        <v>868</v>
      </c>
      <c r="C205" s="299"/>
    </row>
    <row r="206" spans="1:3">
      <c r="A206" s="297" t="s">
        <v>869</v>
      </c>
      <c r="C206" s="299"/>
    </row>
    <row r="207" spans="1:3">
      <c r="A207" s="297" t="s">
        <v>870</v>
      </c>
      <c r="C207" s="299"/>
    </row>
    <row r="208" spans="1:3">
      <c r="A208" s="297" t="s">
        <v>871</v>
      </c>
      <c r="C208" s="299"/>
    </row>
    <row r="209" spans="1:3">
      <c r="A209" s="297" t="s">
        <v>872</v>
      </c>
      <c r="C209" s="299"/>
    </row>
    <row r="210" spans="1:3">
      <c r="A210" s="297" t="s">
        <v>873</v>
      </c>
      <c r="C210" s="299"/>
    </row>
    <row r="211" spans="1:3">
      <c r="A211" s="297" t="s">
        <v>874</v>
      </c>
      <c r="C211" s="299"/>
    </row>
    <row r="212" spans="1:3">
      <c r="A212" s="297" t="s">
        <v>875</v>
      </c>
      <c r="C212" s="299"/>
    </row>
    <row r="213" spans="1:3">
      <c r="A213" s="297" t="s">
        <v>876</v>
      </c>
      <c r="C213" s="299"/>
    </row>
    <row r="214" spans="1:3">
      <c r="A214" s="297" t="s">
        <v>877</v>
      </c>
      <c r="C214" s="299"/>
    </row>
    <row r="215" spans="1:3">
      <c r="A215" s="297" t="s">
        <v>878</v>
      </c>
      <c r="C215" s="299"/>
    </row>
    <row r="216" spans="1:3">
      <c r="A216" s="297" t="s">
        <v>879</v>
      </c>
      <c r="C216" s="299"/>
    </row>
    <row r="217" spans="1:3">
      <c r="A217" s="297" t="s">
        <v>880</v>
      </c>
      <c r="C217" s="299"/>
    </row>
    <row r="218" spans="1:3">
      <c r="A218" s="297" t="s">
        <v>881</v>
      </c>
      <c r="C218" s="299"/>
    </row>
    <row r="219" spans="1:3">
      <c r="A219" s="297" t="s">
        <v>882</v>
      </c>
      <c r="C219" s="299"/>
    </row>
    <row r="220" spans="1:3">
      <c r="A220" s="297" t="s">
        <v>883</v>
      </c>
      <c r="C220" s="299"/>
    </row>
    <row r="221" spans="1:3">
      <c r="A221" s="297" t="s">
        <v>884</v>
      </c>
      <c r="C221" s="299"/>
    </row>
    <row r="222" spans="1:3">
      <c r="A222" s="297" t="s">
        <v>885</v>
      </c>
      <c r="C222" s="299"/>
    </row>
    <row r="223" spans="1:3">
      <c r="A223" s="297" t="s">
        <v>886</v>
      </c>
      <c r="C223" s="299" t="s">
        <v>887</v>
      </c>
    </row>
    <row r="224" spans="1:3">
      <c r="A224" s="297" t="s">
        <v>888</v>
      </c>
      <c r="C224" s="299" t="s">
        <v>887</v>
      </c>
    </row>
    <row r="225" spans="1:3">
      <c r="A225" s="297" t="s">
        <v>889</v>
      </c>
      <c r="C225" s="299" t="s">
        <v>887</v>
      </c>
    </row>
    <row r="226" spans="1:3">
      <c r="A226" s="297" t="s">
        <v>890</v>
      </c>
      <c r="C226" s="299" t="s">
        <v>887</v>
      </c>
    </row>
  </sheetData>
  <dataValidations count="1">
    <dataValidation type="list" allowBlank="1" showInputMessage="1" showErrorMessage="1" sqref="C2:C226" xr:uid="{F80DB995-8703-4868-BD75-E00D25FFAEF6}">
      <formula1>Metric_Name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F908-759B-4AF3-8ED0-0825515BA558}">
  <sheetPr codeName="Sheet21" filterMode="1"/>
  <dimension ref="A1:G178"/>
  <sheetViews>
    <sheetView topLeftCell="A44" workbookViewId="0">
      <selection activeCell="A58" sqref="A58"/>
    </sheetView>
  </sheetViews>
  <sheetFormatPr defaultColWidth="8.7265625" defaultRowHeight="14.5"/>
  <cols>
    <col min="1" max="1" width="26.81640625" style="320" customWidth="1"/>
    <col min="2" max="2" width="47.1796875" style="320" customWidth="1"/>
    <col min="3" max="3" width="27.453125" style="320" customWidth="1"/>
    <col min="4" max="4" width="34" style="320" customWidth="1"/>
    <col min="5" max="5" width="44.81640625" style="320" customWidth="1"/>
    <col min="6" max="6" width="19.54296875" style="320" customWidth="1"/>
    <col min="7" max="16384" width="8.7265625" style="320"/>
  </cols>
  <sheetData>
    <row r="1" spans="1:7">
      <c r="A1" s="319" t="s">
        <v>12</v>
      </c>
      <c r="B1" s="319" t="s">
        <v>13</v>
      </c>
      <c r="C1" s="319" t="s">
        <v>14</v>
      </c>
      <c r="D1" s="319" t="s">
        <v>891</v>
      </c>
    </row>
    <row r="2" spans="1:7">
      <c r="A2" s="321" t="s">
        <v>1209</v>
      </c>
      <c r="B2" s="321" t="s">
        <v>406</v>
      </c>
      <c r="C2" s="321" t="s">
        <v>557</v>
      </c>
      <c r="D2" s="321"/>
    </row>
    <row r="3" spans="1:7">
      <c r="A3" s="322" t="s">
        <v>3</v>
      </c>
      <c r="B3" s="323" t="s">
        <v>613</v>
      </c>
      <c r="C3" s="248" t="s">
        <v>0</v>
      </c>
      <c r="D3" s="248" t="s">
        <v>1</v>
      </c>
      <c r="E3" s="248" t="s">
        <v>2</v>
      </c>
      <c r="F3" s="248" t="s">
        <v>892</v>
      </c>
    </row>
    <row r="4" spans="1:7">
      <c r="A4" s="321" t="s">
        <v>154</v>
      </c>
      <c r="B4" s="321" t="s">
        <v>155</v>
      </c>
      <c r="C4" s="321" t="s">
        <v>46</v>
      </c>
      <c r="D4" s="321" t="s">
        <v>94</v>
      </c>
      <c r="E4" s="321" t="s">
        <v>86</v>
      </c>
      <c r="F4" s="321" t="s">
        <v>43</v>
      </c>
      <c r="G4" s="321"/>
    </row>
    <row r="5" spans="1:7">
      <c r="A5" s="321" t="s">
        <v>154</v>
      </c>
      <c r="B5" s="321" t="s">
        <v>893</v>
      </c>
      <c r="C5" s="321" t="s">
        <v>46</v>
      </c>
      <c r="D5" s="321" t="s">
        <v>94</v>
      </c>
      <c r="E5" s="321" t="s">
        <v>86</v>
      </c>
      <c r="F5" s="321" t="s">
        <v>43</v>
      </c>
      <c r="G5" s="321"/>
    </row>
    <row r="6" spans="1:7">
      <c r="A6" s="321" t="s">
        <v>154</v>
      </c>
      <c r="B6" s="321" t="s">
        <v>530</v>
      </c>
      <c r="C6" s="321" t="s">
        <v>46</v>
      </c>
      <c r="D6" s="321" t="s">
        <v>94</v>
      </c>
      <c r="E6" s="321" t="s">
        <v>86</v>
      </c>
      <c r="F6" s="321" t="s">
        <v>43</v>
      </c>
      <c r="G6" s="321"/>
    </row>
    <row r="7" spans="1:7">
      <c r="A7" s="321" t="s">
        <v>154</v>
      </c>
      <c r="B7" s="321" t="s">
        <v>1012</v>
      </c>
      <c r="C7" s="321" t="s">
        <v>46</v>
      </c>
      <c r="D7" s="321" t="s">
        <v>94</v>
      </c>
      <c r="E7" s="321" t="s">
        <v>86</v>
      </c>
      <c r="F7" s="321" t="s">
        <v>43</v>
      </c>
      <c r="G7" s="321"/>
    </row>
    <row r="8" spans="1:7" hidden="1">
      <c r="A8" s="321" t="s">
        <v>72</v>
      </c>
      <c r="B8" s="321" t="s">
        <v>80</v>
      </c>
      <c r="C8" s="321" t="s">
        <v>46</v>
      </c>
      <c r="D8" s="321" t="s">
        <v>47</v>
      </c>
      <c r="E8" s="321" t="s">
        <v>29</v>
      </c>
      <c r="F8" s="321" t="s">
        <v>110</v>
      </c>
      <c r="G8" s="321"/>
    </row>
    <row r="9" spans="1:7" hidden="1">
      <c r="A9" s="321" t="s">
        <v>87</v>
      </c>
      <c r="B9" s="321" t="s">
        <v>88</v>
      </c>
      <c r="C9" s="321" t="s">
        <v>28</v>
      </c>
      <c r="D9" s="321" t="s">
        <v>86</v>
      </c>
      <c r="E9" s="321"/>
      <c r="F9" s="321" t="s">
        <v>43</v>
      </c>
      <c r="G9" s="321"/>
    </row>
    <row r="10" spans="1:7">
      <c r="A10" s="321" t="s">
        <v>72</v>
      </c>
      <c r="B10" s="321" t="s">
        <v>73</v>
      </c>
      <c r="C10" s="321" t="s">
        <v>46</v>
      </c>
      <c r="D10" s="321" t="s">
        <v>57</v>
      </c>
      <c r="E10" s="321" t="s">
        <v>29</v>
      </c>
      <c r="F10" s="321" t="s">
        <v>110</v>
      </c>
      <c r="G10" s="321"/>
    </row>
    <row r="11" spans="1:7">
      <c r="A11" s="321" t="s">
        <v>72</v>
      </c>
      <c r="B11" s="321" t="s">
        <v>131</v>
      </c>
      <c r="C11" s="321" t="s">
        <v>46</v>
      </c>
      <c r="D11" s="321" t="s">
        <v>57</v>
      </c>
      <c r="E11" s="321" t="s">
        <v>29</v>
      </c>
      <c r="F11" s="321" t="s">
        <v>43</v>
      </c>
      <c r="G11" s="321"/>
    </row>
    <row r="12" spans="1:7">
      <c r="A12" s="321" t="s">
        <v>72</v>
      </c>
      <c r="B12" s="321" t="s">
        <v>232</v>
      </c>
      <c r="C12" s="321" t="s">
        <v>46</v>
      </c>
      <c r="D12" s="321" t="s">
        <v>57</v>
      </c>
      <c r="E12" s="321" t="s">
        <v>29</v>
      </c>
      <c r="F12" s="321" t="s">
        <v>43</v>
      </c>
      <c r="G12" s="321"/>
    </row>
    <row r="13" spans="1:7">
      <c r="A13" s="321" t="s">
        <v>72</v>
      </c>
      <c r="B13" s="321" t="s">
        <v>242</v>
      </c>
      <c r="C13" s="321" t="s">
        <v>46</v>
      </c>
      <c r="D13" s="321" t="s">
        <v>57</v>
      </c>
      <c r="E13" s="321" t="s">
        <v>29</v>
      </c>
      <c r="F13" s="321" t="s">
        <v>43</v>
      </c>
      <c r="G13" s="321"/>
    </row>
    <row r="14" spans="1:7">
      <c r="A14" s="321" t="s">
        <v>72</v>
      </c>
      <c r="B14" s="321" t="s">
        <v>263</v>
      </c>
      <c r="C14" s="321" t="s">
        <v>102</v>
      </c>
      <c r="D14" s="321" t="s">
        <v>262</v>
      </c>
      <c r="E14" s="321" t="s">
        <v>57</v>
      </c>
      <c r="F14" s="321" t="s">
        <v>110</v>
      </c>
      <c r="G14" s="321"/>
    </row>
    <row r="15" spans="1:7">
      <c r="A15" s="321" t="s">
        <v>72</v>
      </c>
      <c r="B15" s="321" t="s">
        <v>276</v>
      </c>
      <c r="C15" s="321" t="s">
        <v>102</v>
      </c>
      <c r="D15" s="321" t="s">
        <v>262</v>
      </c>
      <c r="E15" s="321" t="s">
        <v>57</v>
      </c>
      <c r="F15" s="321" t="s">
        <v>110</v>
      </c>
      <c r="G15" s="321"/>
    </row>
    <row r="16" spans="1:7">
      <c r="A16" s="321" t="s">
        <v>72</v>
      </c>
      <c r="B16" s="321" t="s">
        <v>303</v>
      </c>
      <c r="C16" s="321" t="s">
        <v>46</v>
      </c>
      <c r="D16" s="321" t="s">
        <v>57</v>
      </c>
      <c r="E16" s="321" t="s">
        <v>29</v>
      </c>
      <c r="F16" s="321" t="s">
        <v>110</v>
      </c>
      <c r="G16" s="321"/>
    </row>
    <row r="17" spans="1:7">
      <c r="A17" s="321" t="s">
        <v>72</v>
      </c>
      <c r="B17" s="321" t="s">
        <v>367</v>
      </c>
      <c r="C17" s="321" t="s">
        <v>102</v>
      </c>
      <c r="D17" s="321" t="s">
        <v>262</v>
      </c>
      <c r="E17" s="321" t="s">
        <v>57</v>
      </c>
      <c r="F17" s="321" t="s">
        <v>110</v>
      </c>
      <c r="G17" s="321"/>
    </row>
    <row r="18" spans="1:7">
      <c r="A18" s="321" t="s">
        <v>72</v>
      </c>
      <c r="B18" s="321" t="s">
        <v>372</v>
      </c>
      <c r="C18" s="321" t="s">
        <v>102</v>
      </c>
      <c r="D18" s="321" t="s">
        <v>262</v>
      </c>
      <c r="E18" s="321" t="s">
        <v>57</v>
      </c>
      <c r="F18" s="321" t="s">
        <v>110</v>
      </c>
      <c r="G18" s="321"/>
    </row>
    <row r="19" spans="1:7">
      <c r="A19" s="321" t="s">
        <v>72</v>
      </c>
      <c r="B19" s="321" t="s">
        <v>375</v>
      </c>
      <c r="C19" s="321" t="s">
        <v>102</v>
      </c>
      <c r="D19" s="321" t="s">
        <v>262</v>
      </c>
      <c r="E19" s="321" t="s">
        <v>57</v>
      </c>
      <c r="F19" s="321" t="s">
        <v>110</v>
      </c>
      <c r="G19" s="321"/>
    </row>
    <row r="20" spans="1:7">
      <c r="A20" s="321" t="s">
        <v>72</v>
      </c>
      <c r="B20" s="321" t="s">
        <v>961</v>
      </c>
      <c r="C20" s="321" t="s">
        <v>102</v>
      </c>
      <c r="D20" s="321" t="s">
        <v>262</v>
      </c>
      <c r="E20" s="321" t="s">
        <v>57</v>
      </c>
      <c r="F20" s="321" t="s">
        <v>43</v>
      </c>
      <c r="G20" s="321"/>
    </row>
    <row r="21" spans="1:7">
      <c r="A21" s="321" t="s">
        <v>72</v>
      </c>
      <c r="B21" s="321" t="s">
        <v>381</v>
      </c>
      <c r="C21" s="321" t="s">
        <v>102</v>
      </c>
      <c r="D21" s="321" t="s">
        <v>262</v>
      </c>
      <c r="E21" s="321" t="s">
        <v>57</v>
      </c>
      <c r="F21" s="321" t="s">
        <v>110</v>
      </c>
      <c r="G21" s="321"/>
    </row>
    <row r="22" spans="1:7">
      <c r="A22" s="321" t="s">
        <v>72</v>
      </c>
      <c r="B22" s="321" t="s">
        <v>896</v>
      </c>
      <c r="C22" s="321" t="s">
        <v>102</v>
      </c>
      <c r="D22" s="321" t="s">
        <v>281</v>
      </c>
      <c r="E22" s="321" t="s">
        <v>57</v>
      </c>
      <c r="F22" s="321" t="s">
        <v>43</v>
      </c>
      <c r="G22" s="321"/>
    </row>
    <row r="23" spans="1:7">
      <c r="A23" s="321" t="s">
        <v>72</v>
      </c>
      <c r="B23" s="321" t="s">
        <v>387</v>
      </c>
      <c r="C23" s="321" t="s">
        <v>102</v>
      </c>
      <c r="D23" s="321" t="s">
        <v>262</v>
      </c>
      <c r="E23" s="321" t="s">
        <v>57</v>
      </c>
      <c r="F23" s="321" t="s">
        <v>110</v>
      </c>
      <c r="G23" s="321"/>
    </row>
    <row r="24" spans="1:7">
      <c r="A24" s="321" t="s">
        <v>30</v>
      </c>
      <c r="B24" s="321" t="s">
        <v>31</v>
      </c>
      <c r="C24" s="321" t="s">
        <v>28</v>
      </c>
      <c r="D24" s="321" t="s">
        <v>29</v>
      </c>
      <c r="E24" s="321"/>
      <c r="F24" s="321" t="s">
        <v>43</v>
      </c>
      <c r="G24" s="321"/>
    </row>
    <row r="25" spans="1:7">
      <c r="A25" s="321" t="s">
        <v>30</v>
      </c>
      <c r="B25" s="321" t="s">
        <v>894</v>
      </c>
      <c r="C25" s="321" t="s">
        <v>46</v>
      </c>
      <c r="D25" s="321" t="s">
        <v>47</v>
      </c>
      <c r="E25" s="321" t="s">
        <v>29</v>
      </c>
      <c r="F25" s="321" t="s">
        <v>43</v>
      </c>
      <c r="G25" s="321"/>
    </row>
    <row r="26" spans="1:7">
      <c r="A26" s="321" t="s">
        <v>30</v>
      </c>
      <c r="B26" s="321" t="s">
        <v>895</v>
      </c>
      <c r="C26" s="321" t="s">
        <v>46</v>
      </c>
      <c r="D26" s="321" t="s">
        <v>57</v>
      </c>
      <c r="E26" s="321" t="s">
        <v>29</v>
      </c>
      <c r="F26" s="321" t="s">
        <v>43</v>
      </c>
      <c r="G26" s="321"/>
    </row>
    <row r="27" spans="1:7">
      <c r="A27" s="321" t="s">
        <v>95</v>
      </c>
      <c r="B27" s="321" t="s">
        <v>96</v>
      </c>
      <c r="C27" s="321" t="s">
        <v>46</v>
      </c>
      <c r="D27" s="321" t="s">
        <v>94</v>
      </c>
      <c r="E27" s="321" t="s">
        <v>86</v>
      </c>
      <c r="F27" s="321" t="s">
        <v>110</v>
      </c>
      <c r="G27" s="321"/>
    </row>
    <row r="28" spans="1:7">
      <c r="A28" s="321" t="s">
        <v>95</v>
      </c>
      <c r="B28" s="321" t="s">
        <v>168</v>
      </c>
      <c r="C28" s="321" t="s">
        <v>46</v>
      </c>
      <c r="D28" s="321" t="s">
        <v>94</v>
      </c>
      <c r="E28" s="321" t="s">
        <v>86</v>
      </c>
      <c r="F28" s="321" t="s">
        <v>110</v>
      </c>
      <c r="G28" s="321"/>
    </row>
    <row r="29" spans="1:7">
      <c r="A29" s="321" t="s">
        <v>95</v>
      </c>
      <c r="B29" s="321" t="s">
        <v>311</v>
      </c>
      <c r="C29" s="321" t="s">
        <v>102</v>
      </c>
      <c r="D29" s="321" t="s">
        <v>281</v>
      </c>
      <c r="E29" s="321" t="s">
        <v>94</v>
      </c>
      <c r="F29" s="321" t="s">
        <v>110</v>
      </c>
      <c r="G29" s="321"/>
    </row>
    <row r="30" spans="1:7">
      <c r="A30" s="321" t="s">
        <v>95</v>
      </c>
      <c r="B30" s="321" t="s">
        <v>315</v>
      </c>
      <c r="C30" s="321" t="s">
        <v>102</v>
      </c>
      <c r="D30" s="321" t="s">
        <v>281</v>
      </c>
      <c r="E30" s="321" t="s">
        <v>94</v>
      </c>
      <c r="F30" s="321" t="s">
        <v>110</v>
      </c>
      <c r="G30" s="321"/>
    </row>
    <row r="31" spans="1:7">
      <c r="A31" s="321" t="s">
        <v>95</v>
      </c>
      <c r="B31" s="321" t="s">
        <v>318</v>
      </c>
      <c r="C31" s="321" t="s">
        <v>102</v>
      </c>
      <c r="D31" s="321" t="s">
        <v>281</v>
      </c>
      <c r="E31" s="321" t="s">
        <v>94</v>
      </c>
      <c r="F31" s="321" t="s">
        <v>110</v>
      </c>
      <c r="G31" s="321"/>
    </row>
    <row r="32" spans="1:7">
      <c r="A32" s="321" t="s">
        <v>95</v>
      </c>
      <c r="B32" s="321" t="s">
        <v>323</v>
      </c>
      <c r="C32" s="321" t="s">
        <v>102</v>
      </c>
      <c r="D32" s="321" t="s">
        <v>281</v>
      </c>
      <c r="E32" s="321" t="s">
        <v>94</v>
      </c>
      <c r="F32" s="321" t="s">
        <v>110</v>
      </c>
      <c r="G32" s="321"/>
    </row>
    <row r="33" spans="1:7">
      <c r="A33" s="321" t="s">
        <v>95</v>
      </c>
      <c r="B33" s="321" t="s">
        <v>330</v>
      </c>
      <c r="C33" s="321" t="s">
        <v>102</v>
      </c>
      <c r="D33" s="321" t="s">
        <v>281</v>
      </c>
      <c r="E33" s="321" t="s">
        <v>94</v>
      </c>
      <c r="F33" s="321" t="s">
        <v>110</v>
      </c>
      <c r="G33" s="321"/>
    </row>
    <row r="34" spans="1:7" ht="13" customHeight="1">
      <c r="A34" s="321" t="s">
        <v>95</v>
      </c>
      <c r="B34" s="321" t="s">
        <v>334</v>
      </c>
      <c r="C34" s="321" t="s">
        <v>102</v>
      </c>
      <c r="D34" s="321" t="s">
        <v>281</v>
      </c>
      <c r="E34" s="321" t="s">
        <v>94</v>
      </c>
      <c r="F34" s="321" t="s">
        <v>110</v>
      </c>
      <c r="G34" s="321"/>
    </row>
    <row r="35" spans="1:7">
      <c r="A35" s="321" t="s">
        <v>95</v>
      </c>
      <c r="B35" s="321" t="s">
        <v>343</v>
      </c>
      <c r="C35" s="321" t="s">
        <v>102</v>
      </c>
      <c r="D35" s="321" t="s">
        <v>281</v>
      </c>
      <c r="E35" s="321" t="s">
        <v>94</v>
      </c>
      <c r="F35" s="321" t="s">
        <v>43</v>
      </c>
      <c r="G35" s="321"/>
    </row>
    <row r="36" spans="1:7">
      <c r="A36" s="321" t="s">
        <v>95</v>
      </c>
      <c r="B36" s="321" t="s">
        <v>353</v>
      </c>
      <c r="C36" s="321" t="s">
        <v>102</v>
      </c>
      <c r="D36" s="321" t="s">
        <v>281</v>
      </c>
      <c r="E36" s="321" t="s">
        <v>94</v>
      </c>
      <c r="F36" s="321" t="s">
        <v>43</v>
      </c>
      <c r="G36" s="321"/>
    </row>
    <row r="37" spans="1:7">
      <c r="A37" s="321" t="s">
        <v>95</v>
      </c>
      <c r="B37" s="321" t="s">
        <v>362</v>
      </c>
      <c r="C37" s="321" t="s">
        <v>102</v>
      </c>
      <c r="D37" s="321" t="s">
        <v>281</v>
      </c>
      <c r="E37" s="321" t="s">
        <v>94</v>
      </c>
      <c r="F37" s="321" t="s">
        <v>110</v>
      </c>
      <c r="G37" s="321"/>
    </row>
    <row r="38" spans="1:7">
      <c r="A38" s="321" t="s">
        <v>95</v>
      </c>
      <c r="B38" s="321" t="s">
        <v>520</v>
      </c>
      <c r="C38" s="321" t="s">
        <v>46</v>
      </c>
      <c r="D38" s="321" t="s">
        <v>94</v>
      </c>
      <c r="E38" s="321" t="s">
        <v>86</v>
      </c>
      <c r="F38" s="321" t="s">
        <v>43</v>
      </c>
      <c r="G38" s="321"/>
    </row>
    <row r="39" spans="1:7">
      <c r="A39" s="321" t="s">
        <v>95</v>
      </c>
      <c r="B39" s="321" t="s">
        <v>524</v>
      </c>
      <c r="C39" s="321" t="s">
        <v>46</v>
      </c>
      <c r="D39" s="321" t="s">
        <v>94</v>
      </c>
      <c r="E39" s="321" t="s">
        <v>86</v>
      </c>
      <c r="F39" s="321" t="s">
        <v>110</v>
      </c>
      <c r="G39" s="321"/>
    </row>
    <row r="40" spans="1:7">
      <c r="A40" s="321" t="s">
        <v>206</v>
      </c>
      <c r="B40" s="321" t="s">
        <v>207</v>
      </c>
      <c r="C40" s="321" t="s">
        <v>102</v>
      </c>
      <c r="D40" s="321" t="s">
        <v>205</v>
      </c>
      <c r="E40" s="321" t="s">
        <v>94</v>
      </c>
      <c r="F40" s="321" t="s">
        <v>110</v>
      </c>
      <c r="G40" s="321"/>
    </row>
    <row r="41" spans="1:7">
      <c r="A41" s="321" t="s">
        <v>206</v>
      </c>
      <c r="B41" s="321" t="s">
        <v>213</v>
      </c>
      <c r="C41" s="321" t="s">
        <v>102</v>
      </c>
      <c r="D41" s="321" t="s">
        <v>205</v>
      </c>
      <c r="E41" s="321" t="s">
        <v>94</v>
      </c>
      <c r="F41" s="321" t="s">
        <v>110</v>
      </c>
      <c r="G41" s="321"/>
    </row>
    <row r="42" spans="1:7">
      <c r="A42" s="321" t="s">
        <v>175</v>
      </c>
      <c r="B42" s="321" t="s">
        <v>176</v>
      </c>
      <c r="C42" s="321" t="s">
        <v>102</v>
      </c>
      <c r="D42" s="321" t="s">
        <v>174</v>
      </c>
      <c r="E42" s="321" t="s">
        <v>94</v>
      </c>
      <c r="F42" s="321" t="s">
        <v>110</v>
      </c>
      <c r="G42" s="321"/>
    </row>
    <row r="43" spans="1:7">
      <c r="A43" s="321" t="s">
        <v>175</v>
      </c>
      <c r="B43" s="321" t="s">
        <v>182</v>
      </c>
      <c r="C43" s="321" t="s">
        <v>102</v>
      </c>
      <c r="D43" s="321" t="s">
        <v>174</v>
      </c>
      <c r="E43" s="321" t="s">
        <v>94</v>
      </c>
      <c r="F43" s="321" t="s">
        <v>110</v>
      </c>
      <c r="G43" s="321"/>
    </row>
    <row r="44" spans="1:7">
      <c r="A44" s="321" t="s">
        <v>188</v>
      </c>
      <c r="B44" s="321" t="s">
        <v>189</v>
      </c>
      <c r="C44" s="321" t="s">
        <v>102</v>
      </c>
      <c r="D44" s="321" t="s">
        <v>187</v>
      </c>
      <c r="E44" s="321" t="s">
        <v>94</v>
      </c>
      <c r="F44" s="321" t="s">
        <v>110</v>
      </c>
      <c r="G44" s="321"/>
    </row>
    <row r="45" spans="1:7">
      <c r="A45" s="321" t="s">
        <v>188</v>
      </c>
      <c r="B45" s="321" t="s">
        <v>194</v>
      </c>
      <c r="C45" s="321" t="s">
        <v>102</v>
      </c>
      <c r="D45" s="321" t="s">
        <v>187</v>
      </c>
      <c r="E45" s="321" t="s">
        <v>148</v>
      </c>
      <c r="F45" s="321" t="s">
        <v>110</v>
      </c>
      <c r="G45" s="321"/>
    </row>
    <row r="46" spans="1:7">
      <c r="A46" s="321" t="s">
        <v>199</v>
      </c>
      <c r="B46" s="321" t="s">
        <v>200</v>
      </c>
      <c r="C46" s="321" t="s">
        <v>102</v>
      </c>
      <c r="D46" s="321" t="s">
        <v>198</v>
      </c>
      <c r="E46" s="321" t="s">
        <v>94</v>
      </c>
      <c r="F46" s="321" t="s">
        <v>110</v>
      </c>
      <c r="G46" s="321"/>
    </row>
    <row r="47" spans="1:7">
      <c r="A47" s="321" t="s">
        <v>149</v>
      </c>
      <c r="B47" s="321" t="s">
        <v>941</v>
      </c>
      <c r="C47" s="321" t="s">
        <v>102</v>
      </c>
      <c r="D47" s="321" t="s">
        <v>285</v>
      </c>
      <c r="E47" s="321" t="s">
        <v>148</v>
      </c>
      <c r="F47" s="321" t="s">
        <v>110</v>
      </c>
      <c r="G47" s="321"/>
    </row>
    <row r="48" spans="1:7">
      <c r="A48" s="321" t="s">
        <v>149</v>
      </c>
      <c r="B48" s="321" t="s">
        <v>1062</v>
      </c>
      <c r="C48" s="321" t="s">
        <v>102</v>
      </c>
      <c r="D48" s="321" t="s">
        <v>285</v>
      </c>
      <c r="E48" s="321" t="s">
        <v>148</v>
      </c>
      <c r="F48" s="321" t="s">
        <v>110</v>
      </c>
      <c r="G48" s="321"/>
    </row>
    <row r="49" spans="1:7">
      <c r="A49" s="321" t="s">
        <v>149</v>
      </c>
      <c r="B49" s="321" t="s">
        <v>308</v>
      </c>
      <c r="C49" s="321" t="s">
        <v>46</v>
      </c>
      <c r="D49" s="321" t="s">
        <v>57</v>
      </c>
      <c r="E49" s="321" t="s">
        <v>29</v>
      </c>
      <c r="F49" s="321" t="s">
        <v>43</v>
      </c>
      <c r="G49" s="321"/>
    </row>
    <row r="50" spans="1:7">
      <c r="A50" s="321" t="s">
        <v>149</v>
      </c>
      <c r="B50" s="321" t="s">
        <v>395</v>
      </c>
      <c r="C50" s="321" t="s">
        <v>46</v>
      </c>
      <c r="D50" s="321" t="s">
        <v>148</v>
      </c>
      <c r="E50" s="321" t="s">
        <v>86</v>
      </c>
      <c r="F50" s="321" t="s">
        <v>43</v>
      </c>
      <c r="G50" s="321"/>
    </row>
    <row r="51" spans="1:7">
      <c r="A51" s="321" t="s">
        <v>149</v>
      </c>
      <c r="B51" s="321" t="s">
        <v>505</v>
      </c>
      <c r="C51" s="321" t="s">
        <v>102</v>
      </c>
      <c r="D51" s="321" t="s">
        <v>281</v>
      </c>
      <c r="E51" s="321" t="s">
        <v>94</v>
      </c>
      <c r="F51" s="321" t="s">
        <v>110</v>
      </c>
      <c r="G51" s="321"/>
    </row>
    <row r="52" spans="1:7">
      <c r="A52" s="321" t="s">
        <v>149</v>
      </c>
      <c r="B52" s="321" t="s">
        <v>515</v>
      </c>
      <c r="C52" s="321" t="s">
        <v>102</v>
      </c>
      <c r="D52" s="321" t="s">
        <v>281</v>
      </c>
      <c r="E52" s="321" t="s">
        <v>94</v>
      </c>
      <c r="F52" s="321" t="s">
        <v>110</v>
      </c>
      <c r="G52" s="321"/>
    </row>
    <row r="53" spans="1:7">
      <c r="A53" s="321" t="s">
        <v>140</v>
      </c>
      <c r="B53" s="321" t="s">
        <v>257</v>
      </c>
      <c r="C53" s="321" t="s">
        <v>46</v>
      </c>
      <c r="D53" s="321" t="s">
        <v>139</v>
      </c>
      <c r="E53" s="321" t="s">
        <v>86</v>
      </c>
      <c r="F53" s="321" t="s">
        <v>110</v>
      </c>
      <c r="G53" s="321"/>
    </row>
    <row r="54" spans="1:7">
      <c r="A54" s="321" t="s">
        <v>140</v>
      </c>
      <c r="B54" s="321" t="s">
        <v>296</v>
      </c>
      <c r="C54" s="321" t="s">
        <v>46</v>
      </c>
      <c r="D54" s="321" t="s">
        <v>139</v>
      </c>
      <c r="E54" s="321" t="s">
        <v>86</v>
      </c>
      <c r="F54" s="321" t="s">
        <v>110</v>
      </c>
      <c r="G54" s="321"/>
    </row>
    <row r="55" spans="1:7">
      <c r="A55" s="321" t="s">
        <v>140</v>
      </c>
      <c r="B55" s="321" t="s">
        <v>390</v>
      </c>
      <c r="C55" s="321" t="s">
        <v>46</v>
      </c>
      <c r="D55" s="321" t="s">
        <v>139</v>
      </c>
      <c r="E55" s="321" t="s">
        <v>86</v>
      </c>
      <c r="F55" s="321" t="s">
        <v>43</v>
      </c>
      <c r="G55" s="321"/>
    </row>
    <row r="56" spans="1:7">
      <c r="A56" s="321" t="s">
        <v>140</v>
      </c>
      <c r="B56" s="321" t="s">
        <v>968</v>
      </c>
      <c r="C56" s="321" t="s">
        <v>46</v>
      </c>
      <c r="D56" s="321" t="s">
        <v>139</v>
      </c>
      <c r="E56" s="321" t="s">
        <v>86</v>
      </c>
      <c r="F56" s="321" t="s">
        <v>110</v>
      </c>
      <c r="G56" s="321"/>
    </row>
    <row r="57" spans="1:7">
      <c r="A57" s="321"/>
      <c r="B57" s="321"/>
      <c r="C57" s="321"/>
      <c r="D57" s="321"/>
      <c r="E57" s="321"/>
      <c r="F57" s="321"/>
      <c r="G57" s="321"/>
    </row>
    <row r="58" spans="1:7">
      <c r="A58" s="321"/>
      <c r="B58" s="321"/>
      <c r="C58" s="321"/>
      <c r="D58" s="321"/>
      <c r="E58" s="321"/>
      <c r="F58" s="321"/>
      <c r="G58" s="321"/>
    </row>
    <row r="59" spans="1:7">
      <c r="A59" s="321"/>
      <c r="B59" s="321"/>
      <c r="C59" s="321"/>
      <c r="D59" s="321"/>
      <c r="E59" s="321"/>
      <c r="F59" s="321"/>
      <c r="G59" s="321"/>
    </row>
    <row r="60" spans="1:7">
      <c r="A60" s="321"/>
      <c r="B60" s="321"/>
      <c r="C60" s="321"/>
      <c r="D60" s="321"/>
      <c r="E60" s="321"/>
      <c r="F60" s="321"/>
      <c r="G60" s="321"/>
    </row>
    <row r="61" spans="1:7">
      <c r="A61" s="321"/>
      <c r="B61" s="321"/>
      <c r="C61" s="321"/>
      <c r="D61" s="321"/>
      <c r="E61" s="321"/>
      <c r="F61" s="321"/>
      <c r="G61" s="321"/>
    </row>
    <row r="62" spans="1:7">
      <c r="A62" s="321"/>
      <c r="B62" s="321"/>
      <c r="C62" s="321"/>
      <c r="D62" s="321"/>
      <c r="E62" s="321"/>
      <c r="F62" s="321"/>
      <c r="G62" s="321"/>
    </row>
    <row r="63" spans="1:7">
      <c r="A63" s="321"/>
      <c r="B63" s="321"/>
      <c r="C63" s="321"/>
      <c r="D63" s="321"/>
      <c r="E63" s="321"/>
      <c r="F63" s="321"/>
      <c r="G63" s="321"/>
    </row>
    <row r="64" spans="1:7">
      <c r="A64" s="321"/>
      <c r="B64" s="321"/>
      <c r="C64" s="321"/>
      <c r="D64" s="321"/>
      <c r="E64" s="321"/>
      <c r="F64" s="321"/>
      <c r="G64" s="321"/>
    </row>
    <row r="65" spans="1:7">
      <c r="A65" s="321"/>
      <c r="B65" s="321"/>
      <c r="C65" s="321"/>
      <c r="D65" s="321"/>
      <c r="E65" s="321"/>
      <c r="F65" s="321"/>
      <c r="G65" s="321"/>
    </row>
    <row r="66" spans="1:7">
      <c r="A66" s="321"/>
      <c r="B66" s="321"/>
      <c r="C66" s="321"/>
      <c r="D66" s="321"/>
      <c r="E66" s="321"/>
      <c r="F66" s="321"/>
      <c r="G66" s="321"/>
    </row>
    <row r="67" spans="1:7">
      <c r="A67" s="321"/>
      <c r="B67" s="321"/>
      <c r="C67" s="321"/>
      <c r="D67" s="321"/>
      <c r="E67" s="321"/>
      <c r="F67" s="321"/>
      <c r="G67" s="321"/>
    </row>
    <row r="68" spans="1:7">
      <c r="A68" s="321"/>
      <c r="B68" s="321"/>
      <c r="C68" s="321"/>
      <c r="D68" s="321"/>
      <c r="E68" s="321"/>
      <c r="F68" s="321"/>
      <c r="G68" s="321"/>
    </row>
    <row r="69" spans="1:7">
      <c r="A69" s="321"/>
      <c r="B69" s="321"/>
      <c r="C69" s="321"/>
      <c r="D69" s="321"/>
      <c r="E69" s="321"/>
      <c r="F69" s="321"/>
      <c r="G69" s="321"/>
    </row>
    <row r="70" spans="1:7">
      <c r="A70" s="321"/>
      <c r="B70" s="321"/>
      <c r="C70" s="321"/>
      <c r="D70" s="321"/>
      <c r="E70" s="321"/>
      <c r="F70" s="321"/>
      <c r="G70" s="321"/>
    </row>
    <row r="71" spans="1:7">
      <c r="A71" s="321"/>
      <c r="B71" s="321"/>
      <c r="C71" s="321"/>
      <c r="D71" s="321"/>
      <c r="E71" s="321"/>
      <c r="F71" s="321"/>
      <c r="G71" s="321"/>
    </row>
    <row r="72" spans="1:7">
      <c r="A72" s="321"/>
      <c r="B72" s="321"/>
      <c r="C72" s="321"/>
      <c r="D72" s="321"/>
      <c r="E72" s="321"/>
      <c r="F72" s="321"/>
      <c r="G72" s="321"/>
    </row>
    <row r="73" spans="1:7">
      <c r="A73" s="321"/>
      <c r="B73" s="321"/>
      <c r="C73" s="321"/>
      <c r="D73" s="321"/>
      <c r="E73" s="321"/>
      <c r="F73" s="321"/>
      <c r="G73" s="321"/>
    </row>
    <row r="74" spans="1:7">
      <c r="A74" s="321"/>
      <c r="B74" s="321"/>
      <c r="C74" s="321"/>
      <c r="D74" s="321"/>
      <c r="E74" s="321"/>
      <c r="F74" s="321"/>
      <c r="G74" s="321"/>
    </row>
    <row r="75" spans="1:7">
      <c r="A75" s="321"/>
      <c r="B75" s="321"/>
      <c r="C75" s="321"/>
      <c r="D75" s="321"/>
      <c r="E75" s="321"/>
      <c r="F75" s="321"/>
      <c r="G75" s="321"/>
    </row>
    <row r="76" spans="1:7">
      <c r="A76" s="321"/>
      <c r="B76" s="321"/>
      <c r="C76" s="321"/>
      <c r="D76" s="321"/>
      <c r="E76" s="321"/>
      <c r="F76" s="321"/>
      <c r="G76" s="321"/>
    </row>
    <row r="77" spans="1:7">
      <c r="A77" s="321"/>
      <c r="B77" s="321"/>
      <c r="C77" s="321"/>
      <c r="D77" s="321"/>
      <c r="E77" s="321"/>
      <c r="F77" s="321"/>
      <c r="G77" s="321"/>
    </row>
    <row r="78" spans="1:7">
      <c r="A78" s="321"/>
      <c r="B78" s="321"/>
      <c r="C78" s="321"/>
      <c r="D78" s="321"/>
      <c r="E78" s="321"/>
      <c r="F78" s="321"/>
      <c r="G78" s="321"/>
    </row>
    <row r="79" spans="1:7">
      <c r="A79" s="321"/>
      <c r="B79" s="321"/>
      <c r="C79" s="321"/>
      <c r="D79" s="321"/>
      <c r="E79" s="321"/>
      <c r="F79" s="321"/>
      <c r="G79" s="321"/>
    </row>
    <row r="80" spans="1:7">
      <c r="A80" s="321"/>
      <c r="B80" s="321"/>
      <c r="C80" s="321"/>
      <c r="D80" s="321"/>
      <c r="E80" s="321"/>
      <c r="F80" s="321"/>
      <c r="G80" s="321"/>
    </row>
    <row r="81" spans="1:7">
      <c r="A81" s="321"/>
      <c r="B81" s="321"/>
      <c r="C81" s="321"/>
      <c r="D81" s="321"/>
      <c r="E81" s="321"/>
      <c r="F81" s="321"/>
      <c r="G81" s="321"/>
    </row>
    <row r="82" spans="1:7">
      <c r="A82" s="321"/>
      <c r="B82" s="321"/>
      <c r="C82" s="321"/>
      <c r="D82" s="321"/>
      <c r="E82" s="321"/>
      <c r="F82" s="321"/>
      <c r="G82" s="321"/>
    </row>
    <row r="83" spans="1:7">
      <c r="A83" s="321"/>
      <c r="B83" s="321"/>
      <c r="C83" s="321"/>
      <c r="D83" s="321"/>
      <c r="E83" s="321"/>
      <c r="F83" s="321"/>
      <c r="G83" s="321"/>
    </row>
    <row r="84" spans="1:7">
      <c r="A84" s="321"/>
      <c r="B84" s="321"/>
      <c r="C84" s="321"/>
      <c r="D84" s="321"/>
      <c r="E84" s="321"/>
      <c r="F84" s="321"/>
      <c r="G84" s="321"/>
    </row>
    <row r="85" spans="1:7">
      <c r="A85" s="321"/>
      <c r="B85" s="321"/>
      <c r="C85" s="321"/>
      <c r="D85" s="321"/>
      <c r="E85" s="321"/>
      <c r="F85" s="321"/>
      <c r="G85" s="321"/>
    </row>
    <row r="86" spans="1:7">
      <c r="A86" s="321"/>
      <c r="B86" s="321"/>
      <c r="C86" s="321"/>
      <c r="D86" s="321"/>
      <c r="E86" s="321"/>
      <c r="F86" s="321"/>
      <c r="G86" s="321"/>
    </row>
    <row r="87" spans="1:7">
      <c r="A87" s="321"/>
      <c r="B87" s="321"/>
      <c r="C87" s="321"/>
      <c r="D87" s="321"/>
      <c r="E87" s="321"/>
      <c r="F87" s="321"/>
      <c r="G87" s="321"/>
    </row>
    <row r="88" spans="1:7">
      <c r="A88" s="321"/>
      <c r="B88" s="321"/>
      <c r="C88" s="321"/>
      <c r="D88" s="321"/>
      <c r="E88" s="321"/>
      <c r="F88" s="321"/>
      <c r="G88" s="321"/>
    </row>
    <row r="89" spans="1:7">
      <c r="A89" s="321"/>
      <c r="B89" s="321"/>
      <c r="C89" s="321"/>
      <c r="D89" s="321"/>
      <c r="E89" s="321"/>
      <c r="F89" s="321"/>
      <c r="G89" s="321"/>
    </row>
    <row r="90" spans="1:7">
      <c r="A90" s="321"/>
      <c r="B90" s="321"/>
      <c r="C90" s="321"/>
      <c r="D90" s="321"/>
      <c r="E90" s="321"/>
      <c r="F90" s="321"/>
      <c r="G90" s="321"/>
    </row>
    <row r="91" spans="1:7">
      <c r="A91" s="321"/>
      <c r="B91" s="321"/>
      <c r="C91" s="321"/>
      <c r="D91" s="321"/>
      <c r="E91" s="321"/>
      <c r="F91" s="321"/>
      <c r="G91" s="321"/>
    </row>
    <row r="92" spans="1:7">
      <c r="A92" s="321"/>
      <c r="B92" s="321"/>
      <c r="C92" s="321"/>
      <c r="D92" s="321"/>
      <c r="E92" s="321"/>
      <c r="F92" s="321"/>
      <c r="G92" s="321"/>
    </row>
    <row r="93" spans="1:7">
      <c r="A93" s="321"/>
      <c r="B93" s="321"/>
      <c r="C93" s="321"/>
      <c r="D93" s="321"/>
      <c r="E93" s="321"/>
      <c r="F93" s="321"/>
      <c r="G93" s="321"/>
    </row>
    <row r="94" spans="1:7">
      <c r="A94" s="321"/>
      <c r="B94" s="321"/>
      <c r="C94" s="321"/>
      <c r="D94" s="321"/>
      <c r="E94" s="321"/>
      <c r="F94" s="321"/>
      <c r="G94" s="321"/>
    </row>
    <row r="95" spans="1:7">
      <c r="A95" s="321"/>
      <c r="B95" s="321"/>
      <c r="C95" s="321"/>
      <c r="D95" s="321"/>
      <c r="E95" s="321"/>
      <c r="F95" s="321"/>
      <c r="G95" s="321"/>
    </row>
    <row r="96" spans="1:7">
      <c r="A96" s="321"/>
      <c r="B96" s="321"/>
      <c r="C96" s="321"/>
      <c r="D96" s="321"/>
      <c r="E96" s="321"/>
      <c r="F96" s="321"/>
      <c r="G96" s="321"/>
    </row>
    <row r="97" spans="1:7">
      <c r="A97" s="321"/>
      <c r="B97" s="321"/>
      <c r="C97" s="321"/>
      <c r="D97" s="321"/>
      <c r="E97" s="321"/>
      <c r="F97" s="321"/>
      <c r="G97" s="321"/>
    </row>
    <row r="98" spans="1:7">
      <c r="A98" s="321"/>
      <c r="B98" s="321"/>
      <c r="C98" s="321"/>
      <c r="D98" s="321"/>
      <c r="E98" s="321"/>
      <c r="F98" s="321"/>
      <c r="G98" s="321"/>
    </row>
    <row r="99" spans="1:7">
      <c r="A99" s="321"/>
      <c r="B99" s="321"/>
      <c r="C99" s="321"/>
      <c r="D99" s="321"/>
      <c r="E99" s="321"/>
      <c r="F99" s="321"/>
      <c r="G99" s="321"/>
    </row>
    <row r="100" spans="1:7">
      <c r="A100" s="321"/>
      <c r="B100" s="321"/>
      <c r="C100" s="321"/>
      <c r="D100" s="321"/>
      <c r="E100" s="321"/>
      <c r="F100" s="321"/>
      <c r="G100" s="321"/>
    </row>
    <row r="101" spans="1:7">
      <c r="A101" s="321"/>
      <c r="B101" s="321"/>
      <c r="C101" s="321"/>
      <c r="D101" s="321"/>
      <c r="E101" s="321"/>
      <c r="F101" s="321"/>
      <c r="G101" s="321"/>
    </row>
    <row r="102" spans="1:7">
      <c r="A102" s="321"/>
      <c r="B102" s="321"/>
      <c r="C102" s="321"/>
      <c r="D102" s="321"/>
      <c r="E102" s="321"/>
      <c r="F102" s="321"/>
      <c r="G102" s="321"/>
    </row>
    <row r="103" spans="1:7">
      <c r="A103" s="321"/>
      <c r="B103" s="321"/>
      <c r="C103" s="321"/>
      <c r="D103" s="321"/>
      <c r="E103" s="321"/>
      <c r="F103" s="321"/>
      <c r="G103" s="321"/>
    </row>
    <row r="104" spans="1:7">
      <c r="A104" s="321"/>
      <c r="B104" s="321"/>
      <c r="C104" s="321"/>
      <c r="D104" s="321"/>
      <c r="E104" s="321"/>
      <c r="F104" s="321"/>
      <c r="G104" s="321"/>
    </row>
    <row r="105" spans="1:7">
      <c r="A105" s="321"/>
      <c r="B105" s="321"/>
      <c r="C105" s="321"/>
      <c r="D105" s="321"/>
      <c r="E105" s="321"/>
      <c r="F105" s="321"/>
      <c r="G105" s="321"/>
    </row>
    <row r="106" spans="1:7">
      <c r="A106" s="321"/>
      <c r="B106" s="321"/>
      <c r="C106" s="321"/>
      <c r="D106" s="321"/>
      <c r="E106" s="321"/>
      <c r="F106" s="321"/>
      <c r="G106" s="321"/>
    </row>
    <row r="107" spans="1:7">
      <c r="A107" s="321"/>
      <c r="B107" s="321"/>
      <c r="C107" s="321"/>
      <c r="D107" s="321"/>
      <c r="E107" s="321"/>
      <c r="F107" s="321"/>
      <c r="G107" s="321"/>
    </row>
    <row r="108" spans="1:7">
      <c r="A108" s="321"/>
      <c r="B108" s="321"/>
      <c r="C108" s="321"/>
      <c r="D108" s="321"/>
      <c r="E108" s="321"/>
      <c r="F108" s="321"/>
      <c r="G108" s="321"/>
    </row>
    <row r="109" spans="1:7">
      <c r="A109" s="321"/>
      <c r="B109" s="321"/>
      <c r="C109" s="321"/>
      <c r="D109" s="321"/>
      <c r="E109" s="321"/>
      <c r="F109" s="321"/>
      <c r="G109" s="321"/>
    </row>
    <row r="110" spans="1:7">
      <c r="A110" s="321"/>
      <c r="B110" s="321"/>
      <c r="C110" s="321"/>
      <c r="D110" s="321"/>
      <c r="E110" s="321"/>
      <c r="F110" s="321"/>
      <c r="G110" s="321"/>
    </row>
    <row r="111" spans="1:7">
      <c r="A111" s="321"/>
      <c r="B111" s="321"/>
      <c r="C111" s="321"/>
      <c r="D111" s="321"/>
      <c r="E111" s="321"/>
      <c r="F111" s="321"/>
      <c r="G111" s="321"/>
    </row>
    <row r="112" spans="1:7">
      <c r="A112" s="321"/>
      <c r="B112" s="321"/>
      <c r="C112" s="321"/>
      <c r="D112" s="321"/>
      <c r="E112" s="321"/>
      <c r="F112" s="321"/>
      <c r="G112" s="321"/>
    </row>
    <row r="113" spans="1:7">
      <c r="A113" s="321"/>
      <c r="B113" s="321"/>
      <c r="C113" s="321"/>
      <c r="D113" s="321"/>
      <c r="E113" s="321"/>
      <c r="F113" s="321"/>
      <c r="G113" s="321"/>
    </row>
    <row r="114" spans="1:7">
      <c r="A114" s="321"/>
      <c r="B114" s="321"/>
      <c r="C114" s="321"/>
      <c r="D114" s="321"/>
      <c r="E114" s="321"/>
      <c r="F114" s="321"/>
      <c r="G114" s="321"/>
    </row>
    <row r="115" spans="1:7">
      <c r="A115" s="321"/>
      <c r="B115" s="321"/>
      <c r="C115" s="321"/>
      <c r="D115" s="321"/>
      <c r="E115" s="321"/>
      <c r="F115" s="321"/>
      <c r="G115" s="321"/>
    </row>
    <row r="116" spans="1:7">
      <c r="A116" s="321"/>
      <c r="B116" s="321"/>
      <c r="C116" s="321"/>
      <c r="D116" s="321"/>
      <c r="E116" s="321"/>
      <c r="F116" s="321"/>
      <c r="G116" s="321"/>
    </row>
    <row r="117" spans="1:7">
      <c r="A117" s="321"/>
      <c r="B117" s="321"/>
      <c r="C117" s="321"/>
      <c r="D117" s="321"/>
      <c r="E117" s="321"/>
      <c r="F117" s="321"/>
      <c r="G117" s="321"/>
    </row>
    <row r="118" spans="1:7">
      <c r="A118" s="321"/>
      <c r="B118" s="321"/>
      <c r="C118" s="321"/>
      <c r="D118" s="321"/>
      <c r="E118" s="321"/>
      <c r="F118" s="321"/>
      <c r="G118" s="321"/>
    </row>
    <row r="119" spans="1:7">
      <c r="A119" s="321"/>
      <c r="B119" s="321"/>
      <c r="C119" s="321"/>
      <c r="D119" s="321"/>
      <c r="E119" s="321"/>
      <c r="F119" s="321"/>
      <c r="G119" s="321"/>
    </row>
    <row r="120" spans="1:7">
      <c r="A120" s="321"/>
      <c r="B120" s="321"/>
      <c r="C120" s="321"/>
      <c r="D120" s="321"/>
      <c r="E120" s="321"/>
      <c r="F120" s="321"/>
      <c r="G120" s="321"/>
    </row>
    <row r="121" spans="1:7">
      <c r="A121" s="321"/>
      <c r="B121" s="321"/>
      <c r="C121" s="321"/>
      <c r="D121" s="321"/>
      <c r="E121" s="321"/>
      <c r="F121" s="321"/>
      <c r="G121" s="321"/>
    </row>
    <row r="122" spans="1:7">
      <c r="A122" s="321"/>
      <c r="B122" s="321"/>
      <c r="C122" s="321"/>
      <c r="D122" s="321"/>
      <c r="E122" s="321"/>
      <c r="F122" s="321"/>
      <c r="G122" s="321"/>
    </row>
    <row r="123" spans="1:7">
      <c r="A123" s="321"/>
      <c r="B123" s="321"/>
      <c r="C123" s="321"/>
      <c r="D123" s="321"/>
      <c r="E123" s="321"/>
      <c r="F123" s="321"/>
      <c r="G123" s="321"/>
    </row>
    <row r="124" spans="1:7">
      <c r="A124" s="321"/>
      <c r="B124" s="321"/>
      <c r="C124" s="321"/>
      <c r="D124" s="321"/>
      <c r="E124" s="321"/>
      <c r="F124" s="321"/>
      <c r="G124" s="321"/>
    </row>
    <row r="125" spans="1:7">
      <c r="A125" s="321"/>
      <c r="B125" s="321"/>
      <c r="C125" s="321"/>
      <c r="D125" s="321"/>
      <c r="E125" s="321"/>
      <c r="F125" s="321"/>
      <c r="G125" s="321"/>
    </row>
    <row r="126" spans="1:7">
      <c r="A126" s="321"/>
      <c r="B126" s="321"/>
      <c r="C126" s="321"/>
      <c r="D126" s="321"/>
      <c r="E126" s="321"/>
      <c r="F126" s="321"/>
      <c r="G126" s="321"/>
    </row>
    <row r="127" spans="1:7">
      <c r="A127" s="321"/>
      <c r="B127" s="321"/>
      <c r="C127" s="321"/>
      <c r="D127" s="321"/>
      <c r="E127" s="321"/>
      <c r="F127" s="321"/>
      <c r="G127" s="321"/>
    </row>
    <row r="128" spans="1:7">
      <c r="A128" s="321"/>
      <c r="B128" s="321"/>
      <c r="C128" s="321"/>
      <c r="D128" s="321"/>
      <c r="E128" s="321"/>
      <c r="F128" s="321"/>
      <c r="G128" s="321"/>
    </row>
    <row r="129" spans="1:7">
      <c r="A129" s="321"/>
      <c r="B129" s="321"/>
      <c r="C129" s="321"/>
      <c r="D129" s="321"/>
      <c r="E129" s="321"/>
      <c r="F129" s="321"/>
      <c r="G129" s="321"/>
    </row>
    <row r="130" spans="1:7">
      <c r="A130" s="321"/>
      <c r="B130" s="321"/>
      <c r="C130" s="321"/>
      <c r="D130" s="321"/>
      <c r="E130" s="321"/>
      <c r="F130" s="321"/>
      <c r="G130" s="321"/>
    </row>
    <row r="131" spans="1:7">
      <c r="A131" s="321"/>
      <c r="B131" s="321"/>
      <c r="C131" s="321"/>
      <c r="D131" s="321"/>
      <c r="E131" s="321"/>
      <c r="F131" s="321"/>
      <c r="G131" s="321"/>
    </row>
    <row r="132" spans="1:7">
      <c r="A132" s="321"/>
      <c r="B132" s="321"/>
      <c r="C132" s="321"/>
      <c r="D132" s="321"/>
      <c r="E132" s="321"/>
      <c r="F132" s="321"/>
      <c r="G132" s="321"/>
    </row>
    <row r="133" spans="1:7">
      <c r="A133" s="321"/>
      <c r="B133" s="321"/>
      <c r="C133" s="321"/>
      <c r="D133" s="321"/>
      <c r="E133" s="321"/>
      <c r="F133" s="321"/>
      <c r="G133" s="321"/>
    </row>
    <row r="134" spans="1:7">
      <c r="A134" s="321"/>
      <c r="B134" s="321"/>
      <c r="C134" s="321"/>
      <c r="D134" s="321"/>
      <c r="E134" s="321"/>
      <c r="F134" s="321"/>
      <c r="G134" s="321"/>
    </row>
    <row r="135" spans="1:7">
      <c r="A135" s="321"/>
      <c r="B135" s="321"/>
      <c r="C135" s="321"/>
      <c r="D135" s="321"/>
      <c r="E135" s="321"/>
      <c r="F135" s="321"/>
      <c r="G135" s="321"/>
    </row>
    <row r="136" spans="1:7">
      <c r="A136" s="321"/>
      <c r="B136" s="321"/>
      <c r="C136" s="321"/>
      <c r="D136" s="321"/>
      <c r="E136" s="321"/>
      <c r="F136" s="321"/>
      <c r="G136" s="321"/>
    </row>
    <row r="137" spans="1:7">
      <c r="A137" s="321"/>
      <c r="B137" s="321"/>
      <c r="C137" s="321"/>
      <c r="D137" s="321"/>
      <c r="E137" s="321"/>
      <c r="F137" s="321"/>
      <c r="G137" s="321"/>
    </row>
    <row r="138" spans="1:7">
      <c r="A138" s="321"/>
      <c r="B138" s="321"/>
      <c r="C138" s="321"/>
      <c r="D138" s="321"/>
      <c r="E138" s="321"/>
      <c r="F138" s="321"/>
      <c r="G138" s="321"/>
    </row>
    <row r="139" spans="1:7">
      <c r="A139" s="321"/>
      <c r="B139" s="321"/>
      <c r="C139" s="321"/>
      <c r="D139" s="321"/>
      <c r="E139" s="321"/>
      <c r="F139" s="321"/>
      <c r="G139" s="321"/>
    </row>
    <row r="140" spans="1:7">
      <c r="A140" s="321"/>
      <c r="B140" s="321"/>
      <c r="C140" s="321"/>
      <c r="D140" s="321"/>
      <c r="E140" s="321"/>
      <c r="F140" s="321"/>
      <c r="G140" s="321"/>
    </row>
    <row r="141" spans="1:7">
      <c r="A141" s="321"/>
      <c r="B141" s="321"/>
      <c r="C141" s="321"/>
      <c r="D141" s="321"/>
      <c r="E141" s="321"/>
      <c r="F141" s="321"/>
      <c r="G141" s="321"/>
    </row>
    <row r="142" spans="1:7">
      <c r="A142" s="321"/>
      <c r="B142" s="321"/>
      <c r="C142" s="321"/>
      <c r="D142" s="321"/>
      <c r="E142" s="321"/>
      <c r="F142" s="321"/>
      <c r="G142" s="321"/>
    </row>
    <row r="143" spans="1:7">
      <c r="A143" s="321"/>
      <c r="B143" s="321"/>
      <c r="C143" s="321"/>
      <c r="D143" s="321"/>
      <c r="E143" s="321"/>
      <c r="F143" s="321"/>
      <c r="G143" s="321"/>
    </row>
    <row r="144" spans="1:7">
      <c r="A144" s="321"/>
      <c r="B144" s="321"/>
      <c r="C144" s="321"/>
      <c r="D144" s="321"/>
      <c r="E144" s="321"/>
      <c r="F144" s="321"/>
      <c r="G144" s="321"/>
    </row>
    <row r="145" spans="1:7">
      <c r="A145" s="321"/>
      <c r="B145" s="321"/>
      <c r="C145" s="321"/>
      <c r="D145" s="321"/>
      <c r="E145" s="321"/>
      <c r="F145" s="321"/>
      <c r="G145" s="321"/>
    </row>
    <row r="146" spans="1:7">
      <c r="A146" s="321"/>
      <c r="B146" s="321"/>
      <c r="C146" s="321"/>
      <c r="D146" s="321"/>
      <c r="E146" s="321"/>
      <c r="F146" s="321"/>
      <c r="G146" s="321"/>
    </row>
    <row r="147" spans="1:7">
      <c r="A147" s="321"/>
      <c r="B147" s="321"/>
      <c r="C147" s="321"/>
      <c r="D147" s="321"/>
      <c r="E147" s="321"/>
      <c r="F147" s="321"/>
      <c r="G147" s="321"/>
    </row>
    <row r="148" spans="1:7">
      <c r="A148" s="321"/>
      <c r="B148" s="321"/>
      <c r="C148" s="321"/>
      <c r="D148" s="321"/>
      <c r="E148" s="321"/>
      <c r="F148" s="321"/>
      <c r="G148" s="321"/>
    </row>
    <row r="149" spans="1:7">
      <c r="A149" s="321"/>
      <c r="B149" s="321"/>
      <c r="C149" s="321"/>
      <c r="D149" s="321"/>
      <c r="E149" s="321"/>
      <c r="F149" s="321"/>
      <c r="G149" s="321"/>
    </row>
    <row r="150" spans="1:7">
      <c r="A150" s="321"/>
      <c r="B150" s="321"/>
      <c r="C150" s="321"/>
      <c r="D150" s="321"/>
      <c r="E150" s="321"/>
      <c r="F150" s="321"/>
      <c r="G150" s="321"/>
    </row>
    <row r="151" spans="1:7">
      <c r="A151" s="321"/>
      <c r="B151" s="321"/>
      <c r="C151" s="321"/>
      <c r="D151" s="321"/>
      <c r="E151" s="321"/>
      <c r="F151" s="321"/>
      <c r="G151" s="321"/>
    </row>
    <row r="152" spans="1:7">
      <c r="A152" s="321"/>
      <c r="B152" s="321"/>
      <c r="C152" s="321"/>
      <c r="D152" s="321"/>
      <c r="E152" s="321"/>
      <c r="F152" s="321"/>
      <c r="G152" s="321"/>
    </row>
    <row r="153" spans="1:7">
      <c r="A153" s="321"/>
      <c r="B153" s="321"/>
      <c r="C153" s="321"/>
      <c r="D153" s="321"/>
      <c r="E153" s="321"/>
      <c r="F153" s="321"/>
      <c r="G153" s="321"/>
    </row>
    <row r="154" spans="1:7">
      <c r="A154" s="321"/>
      <c r="B154" s="321"/>
      <c r="C154" s="321"/>
      <c r="D154" s="321"/>
      <c r="E154" s="321"/>
      <c r="F154" s="321"/>
      <c r="G154" s="321"/>
    </row>
    <row r="155" spans="1:7">
      <c r="A155" s="321"/>
      <c r="B155" s="321"/>
      <c r="C155" s="321"/>
      <c r="D155" s="321"/>
      <c r="E155" s="321"/>
      <c r="F155" s="321"/>
      <c r="G155" s="321"/>
    </row>
    <row r="156" spans="1:7">
      <c r="A156" s="321"/>
      <c r="B156" s="321"/>
      <c r="C156" s="321"/>
      <c r="D156" s="321"/>
      <c r="E156" s="321"/>
      <c r="F156" s="321"/>
      <c r="G156" s="321"/>
    </row>
    <row r="157" spans="1:7">
      <c r="A157" s="321"/>
      <c r="B157" s="321"/>
      <c r="C157" s="321"/>
      <c r="D157" s="321"/>
      <c r="E157" s="321"/>
      <c r="F157" s="321"/>
      <c r="G157" s="321"/>
    </row>
    <row r="158" spans="1:7">
      <c r="A158" s="321"/>
      <c r="B158" s="321"/>
      <c r="C158" s="321"/>
      <c r="D158" s="321"/>
      <c r="E158" s="321"/>
      <c r="F158" s="321"/>
      <c r="G158" s="321"/>
    </row>
    <row r="159" spans="1:7">
      <c r="A159" s="321"/>
      <c r="B159" s="321"/>
      <c r="C159" s="321"/>
      <c r="D159" s="321"/>
      <c r="E159" s="321"/>
      <c r="F159" s="321"/>
      <c r="G159" s="321"/>
    </row>
    <row r="160" spans="1:7">
      <c r="A160" s="321"/>
      <c r="B160" s="321"/>
      <c r="C160" s="321"/>
      <c r="D160" s="321"/>
      <c r="E160" s="321"/>
      <c r="F160" s="321"/>
      <c r="G160" s="321"/>
    </row>
    <row r="161" spans="1:7">
      <c r="A161" s="321"/>
      <c r="B161" s="321"/>
      <c r="C161" s="321"/>
      <c r="D161" s="321"/>
      <c r="E161" s="321"/>
      <c r="F161" s="321"/>
      <c r="G161" s="321"/>
    </row>
    <row r="162" spans="1:7">
      <c r="A162" s="321"/>
      <c r="B162" s="321"/>
      <c r="C162" s="321"/>
      <c r="D162" s="321"/>
      <c r="E162" s="321"/>
      <c r="F162" s="321"/>
      <c r="G162" s="321"/>
    </row>
    <row r="163" spans="1:7">
      <c r="A163" s="321"/>
      <c r="B163" s="321"/>
      <c r="C163" s="321"/>
      <c r="D163" s="321"/>
      <c r="E163" s="321"/>
      <c r="F163" s="321"/>
      <c r="G163" s="321"/>
    </row>
    <row r="164" spans="1:7">
      <c r="A164" s="321"/>
      <c r="B164" s="321"/>
      <c r="C164" s="321"/>
      <c r="D164" s="321"/>
      <c r="E164" s="321"/>
      <c r="F164" s="321"/>
      <c r="G164" s="321"/>
    </row>
    <row r="165" spans="1:7">
      <c r="A165" s="321"/>
      <c r="B165" s="321"/>
      <c r="C165" s="321"/>
      <c r="D165" s="321"/>
      <c r="E165" s="321"/>
      <c r="F165" s="321"/>
      <c r="G165" s="321"/>
    </row>
    <row r="166" spans="1:7">
      <c r="A166" s="321"/>
      <c r="B166" s="321"/>
      <c r="C166" s="321"/>
      <c r="D166" s="321"/>
      <c r="E166" s="321"/>
      <c r="F166" s="321"/>
      <c r="G166" s="321"/>
    </row>
    <row r="167" spans="1:7">
      <c r="A167" s="321"/>
      <c r="B167" s="321"/>
      <c r="C167" s="321"/>
      <c r="D167" s="321"/>
      <c r="E167" s="321"/>
      <c r="F167" s="321"/>
      <c r="G167" s="321"/>
    </row>
    <row r="168" spans="1:7">
      <c r="A168" s="321"/>
      <c r="B168" s="321"/>
      <c r="C168" s="321"/>
      <c r="D168" s="321"/>
      <c r="E168" s="321"/>
      <c r="F168" s="321"/>
      <c r="G168" s="321"/>
    </row>
    <row r="169" spans="1:7">
      <c r="A169" s="321"/>
      <c r="B169" s="321"/>
      <c r="C169" s="321"/>
      <c r="D169" s="321"/>
      <c r="E169" s="321"/>
      <c r="F169" s="321"/>
      <c r="G169" s="321"/>
    </row>
    <row r="170" spans="1:7">
      <c r="A170" s="321"/>
      <c r="B170" s="321"/>
      <c r="C170" s="321"/>
      <c r="D170" s="321"/>
      <c r="E170" s="321"/>
      <c r="F170" s="321"/>
      <c r="G170" s="321"/>
    </row>
    <row r="171" spans="1:7">
      <c r="A171" s="321"/>
      <c r="B171" s="321"/>
      <c r="C171" s="321"/>
      <c r="D171" s="321"/>
      <c r="E171" s="321"/>
      <c r="F171" s="321"/>
      <c r="G171" s="321"/>
    </row>
    <row r="172" spans="1:7">
      <c r="A172" s="321"/>
      <c r="B172" s="321"/>
      <c r="C172" s="321"/>
      <c r="D172" s="321"/>
      <c r="E172" s="321"/>
      <c r="F172" s="321"/>
      <c r="G172" s="321"/>
    </row>
    <row r="173" spans="1:7">
      <c r="A173" s="321"/>
      <c r="B173" s="321"/>
      <c r="C173" s="321"/>
      <c r="D173" s="321"/>
      <c r="E173" s="321"/>
      <c r="F173" s="321"/>
      <c r="G173" s="321"/>
    </row>
    <row r="174" spans="1:7">
      <c r="A174" s="321"/>
      <c r="B174" s="321"/>
      <c r="C174" s="321"/>
      <c r="D174" s="321"/>
      <c r="E174" s="321"/>
      <c r="F174" s="321"/>
      <c r="G174" s="321"/>
    </row>
    <row r="175" spans="1:7">
      <c r="A175" s="321"/>
      <c r="B175" s="321"/>
      <c r="C175" s="321"/>
      <c r="D175" s="321"/>
      <c r="E175" s="321"/>
      <c r="F175" s="321"/>
      <c r="G175" s="321"/>
    </row>
    <row r="176" spans="1:7">
      <c r="A176" s="321"/>
      <c r="B176" s="321"/>
      <c r="C176" s="321"/>
      <c r="D176" s="321"/>
      <c r="E176" s="321"/>
      <c r="F176" s="321"/>
      <c r="G176" s="321"/>
    </row>
    <row r="177" spans="1:7">
      <c r="A177" s="321"/>
      <c r="B177" s="321"/>
      <c r="C177" s="321"/>
      <c r="D177" s="321"/>
      <c r="E177" s="321"/>
      <c r="F177" s="321"/>
      <c r="G177" s="321"/>
    </row>
    <row r="178" spans="1:7">
      <c r="A178" s="321"/>
      <c r="B178" s="321"/>
      <c r="C178" s="321"/>
      <c r="D178" s="321"/>
      <c r="E178" s="321"/>
      <c r="F178" s="321"/>
      <c r="G178" s="321"/>
    </row>
  </sheetData>
  <sheetProtection algorithmName="SHA-512" hashValue="eKHgXuY8ao4dp7slAz036D+Wzd+80mcfp5jjd2pYFs/MrNIq1PJ8uYroSC+ZbVNbK+knyImf563FptCIg2i5jg==" saltValue="fa7XLl0uLx/93HyO9kXRzg==" spinCount="100000" sheet="1" objects="1" scenarios="1"/>
  <autoFilter ref="A3:G56" xr:uid="{D99EF908-759B-4AF3-8ED0-0825515BA558}">
    <filterColumn colId="5">
      <filters>
        <filter val="M"/>
      </filters>
    </filterColumn>
  </autoFilter>
  <sortState xmlns:xlrd2="http://schemas.microsoft.com/office/spreadsheetml/2017/richdata2" ref="A4:F56">
    <sortCondition ref="A4" customList="Red,Amber,Yellow,Green"/>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1F712-BA55-402E-A6E7-DE43F19B07B1}">
  <sheetPr codeName="Sheet2"/>
  <dimension ref="A1:G6"/>
  <sheetViews>
    <sheetView workbookViewId="0">
      <selection activeCell="A2" sqref="A2"/>
    </sheetView>
  </sheetViews>
  <sheetFormatPr defaultRowHeight="12.5"/>
  <cols>
    <col min="1" max="1" width="13" bestFit="1" customWidth="1"/>
    <col min="2" max="2" width="23" bestFit="1" customWidth="1"/>
    <col min="3" max="3" width="4.90625" bestFit="1" customWidth="1"/>
    <col min="4" max="4" width="4.7265625" bestFit="1" customWidth="1"/>
    <col min="5" max="6" width="7" bestFit="1" customWidth="1"/>
  </cols>
  <sheetData>
    <row r="1" spans="1:7">
      <c r="A1" s="356" t="s">
        <v>613</v>
      </c>
      <c r="B1" s="357" t="s">
        <v>155</v>
      </c>
      <c r="G1" t="str">
        <f>'PivotTable-KPI Summary'!B1 &amp; IF('PivotTable-KPI Summary'!$B$2&lt;&gt;"(All)","-" &amp; 'PivotTable-KPI Summary'!$B$2,"")</f>
        <v>Delivered Defect Density</v>
      </c>
    </row>
    <row r="2" spans="1:7">
      <c r="A2" s="356" t="s">
        <v>614</v>
      </c>
      <c r="B2" s="357" t="s">
        <v>897</v>
      </c>
    </row>
    <row r="4" spans="1:7">
      <c r="A4" s="356" t="s">
        <v>898</v>
      </c>
      <c r="B4" s="357" t="s">
        <v>899</v>
      </c>
      <c r="C4" s="357" t="s">
        <v>900</v>
      </c>
      <c r="D4" s="357" t="s">
        <v>901</v>
      </c>
      <c r="E4" s="357" t="s">
        <v>902</v>
      </c>
    </row>
    <row r="5" spans="1:7">
      <c r="A5" s="358" t="s">
        <v>1734</v>
      </c>
      <c r="B5" s="357">
        <v>1.6666666666666666E-2</v>
      </c>
      <c r="C5" s="357"/>
      <c r="D5" s="357"/>
      <c r="E5" s="357">
        <v>0</v>
      </c>
    </row>
    <row r="6" spans="1:7">
      <c r="A6" s="358" t="s">
        <v>903</v>
      </c>
      <c r="B6" s="357">
        <v>1.6666666666666666E-2</v>
      </c>
      <c r="C6" s="357"/>
      <c r="D6" s="357"/>
      <c r="E6" s="357">
        <v>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24939-1CBF-420B-8AA9-92CA67891C2F}">
  <sheetPr codeName="Sheet20"/>
  <dimension ref="A1:AI408"/>
  <sheetViews>
    <sheetView topLeftCell="W81" zoomScale="85" zoomScaleNormal="85" workbookViewId="0">
      <selection activeCell="AE87" sqref="AE87"/>
    </sheetView>
  </sheetViews>
  <sheetFormatPr defaultColWidth="9.1796875" defaultRowHeight="40" customHeight="1"/>
  <cols>
    <col min="1" max="1" width="18.7265625" style="16" bestFit="1" customWidth="1"/>
    <col min="2" max="2" width="17.7265625" style="16" bestFit="1" customWidth="1"/>
    <col min="3" max="3" width="22.7265625" style="16" customWidth="1"/>
    <col min="4" max="4" width="15.54296875" style="16" bestFit="1" customWidth="1"/>
    <col min="5" max="5" width="21.453125" style="16" customWidth="1"/>
    <col min="6" max="6" width="19.36328125" style="16" bestFit="1" customWidth="1"/>
    <col min="7" max="7" width="22.6328125" style="16" bestFit="1" customWidth="1"/>
    <col min="8" max="8" width="22.7265625" style="16" bestFit="1" customWidth="1"/>
    <col min="9" max="9" width="72.6328125" style="16" bestFit="1" customWidth="1"/>
    <col min="10" max="10" width="12.81640625" style="16" hidden="1" customWidth="1"/>
    <col min="11" max="11" width="9.1796875" style="16" hidden="1" customWidth="1"/>
    <col min="12" max="12" width="14.08984375" style="16" bestFit="1" customWidth="1"/>
    <col min="13" max="13" width="44.54296875" style="16" customWidth="1"/>
    <col min="14" max="14" width="49" style="16" bestFit="1" customWidth="1"/>
    <col min="15" max="15" width="25.54296875" style="16" bestFit="1" customWidth="1"/>
    <col min="16" max="16" width="31.26953125" style="16" customWidth="1"/>
    <col min="17" max="17" width="24" style="16" customWidth="1"/>
    <col min="18" max="18" width="18.7265625" style="16" customWidth="1"/>
    <col min="19" max="19" width="12" style="18" customWidth="1"/>
    <col min="20" max="20" width="10" style="31" bestFit="1" customWidth="1"/>
    <col min="21" max="21" width="11.54296875" style="31" bestFit="1" customWidth="1"/>
    <col min="22" max="22" width="15" style="31" customWidth="1"/>
    <col min="23" max="23" width="26.54296875" style="31" customWidth="1"/>
    <col min="24" max="24" width="14" style="16" customWidth="1"/>
    <col min="25" max="26" width="8.81640625" style="279" customWidth="1"/>
    <col min="27" max="27" width="9.1796875" style="362"/>
    <col min="28" max="28" width="9.1796875" style="361"/>
    <col min="29" max="29" width="21.453125" style="16" customWidth="1"/>
    <col min="30" max="30" width="7.81640625" style="31" hidden="1" customWidth="1"/>
    <col min="31" max="31" width="20.81640625" style="387" customWidth="1"/>
    <col min="32" max="32" width="29.453125" style="16" customWidth="1"/>
    <col min="33" max="33" width="19.1796875" style="16" customWidth="1"/>
    <col min="34" max="34" width="24.54296875" style="16" customWidth="1"/>
    <col min="35" max="16384" width="9.1796875" style="16"/>
  </cols>
  <sheetData>
    <row r="1" spans="1:34" ht="40" customHeight="1">
      <c r="A1" s="376" t="s">
        <v>0</v>
      </c>
      <c r="B1" s="376" t="s">
        <v>1</v>
      </c>
      <c r="C1" s="376" t="s">
        <v>2</v>
      </c>
      <c r="D1" s="376" t="s">
        <v>3</v>
      </c>
      <c r="E1" s="376" t="s">
        <v>4</v>
      </c>
      <c r="F1" s="376" t="s">
        <v>5</v>
      </c>
      <c r="G1" s="376" t="s">
        <v>6</v>
      </c>
      <c r="H1" s="376" t="s">
        <v>7</v>
      </c>
      <c r="I1" s="376" t="s">
        <v>8</v>
      </c>
      <c r="J1" s="376" t="s">
        <v>9</v>
      </c>
      <c r="K1" s="376" t="s">
        <v>10</v>
      </c>
      <c r="L1" s="376" t="s">
        <v>11</v>
      </c>
      <c r="M1" s="377" t="s">
        <v>12</v>
      </c>
      <c r="N1" s="377" t="s">
        <v>13</v>
      </c>
      <c r="O1" s="377" t="s">
        <v>14</v>
      </c>
      <c r="P1" s="376" t="s">
        <v>15</v>
      </c>
      <c r="Q1" s="376" t="s">
        <v>16</v>
      </c>
      <c r="R1" s="376" t="s">
        <v>17</v>
      </c>
      <c r="S1" s="378" t="s">
        <v>18</v>
      </c>
      <c r="T1" s="379" t="s">
        <v>19</v>
      </c>
      <c r="U1" s="380" t="s">
        <v>20</v>
      </c>
      <c r="V1" s="381" t="s">
        <v>21</v>
      </c>
      <c r="W1" s="380" t="s">
        <v>22</v>
      </c>
      <c r="X1" s="382" t="s">
        <v>23</v>
      </c>
      <c r="Y1" s="376" t="s">
        <v>24</v>
      </c>
      <c r="Z1" s="376" t="s">
        <v>25</v>
      </c>
      <c r="AA1" s="382" t="s">
        <v>26</v>
      </c>
      <c r="AB1" s="380" t="s">
        <v>27</v>
      </c>
      <c r="AC1" s="376" t="s">
        <v>904</v>
      </c>
      <c r="AD1" s="380" t="s">
        <v>905</v>
      </c>
      <c r="AE1" s="380" t="s">
        <v>906</v>
      </c>
      <c r="AF1" s="380" t="s">
        <v>907</v>
      </c>
      <c r="AG1" s="380" t="s">
        <v>908</v>
      </c>
      <c r="AH1" s="380" t="s">
        <v>1729</v>
      </c>
    </row>
    <row r="2" spans="1:34" ht="40" customHeight="1">
      <c r="A2" s="216" t="s">
        <v>28</v>
      </c>
      <c r="B2" s="216" t="s">
        <v>29</v>
      </c>
      <c r="C2" s="216"/>
      <c r="D2" s="216" t="s">
        <v>30</v>
      </c>
      <c r="E2" s="254" t="s">
        <v>31</v>
      </c>
      <c r="F2" s="254" t="str">
        <f>IF(A2&lt;&gt;"",A2,"")</f>
        <v>Business Objective</v>
      </c>
      <c r="G2" s="254" t="str">
        <f>IF(B2&lt;&gt;"",B2,"")</f>
        <v>Achieve Gross Margin target and improve</v>
      </c>
      <c r="H2" s="254" t="str">
        <f>IF(C2&lt;&gt;"",C2,"")</f>
        <v/>
      </c>
      <c r="I2" s="216" t="s">
        <v>909</v>
      </c>
      <c r="J2" s="216" t="s">
        <v>33</v>
      </c>
      <c r="K2" s="216" t="s">
        <v>34</v>
      </c>
      <c r="L2" s="216" t="s">
        <v>35</v>
      </c>
      <c r="M2" s="216" t="s">
        <v>910</v>
      </c>
      <c r="N2" s="216" t="s">
        <v>37</v>
      </c>
      <c r="O2" s="216" t="s">
        <v>1732</v>
      </c>
      <c r="P2" s="216" t="s">
        <v>1679</v>
      </c>
      <c r="Q2" s="216" t="s">
        <v>911</v>
      </c>
      <c r="R2" s="255" t="s">
        <v>41</v>
      </c>
      <c r="S2" s="260" t="s">
        <v>42</v>
      </c>
      <c r="T2" s="257" t="s">
        <v>43</v>
      </c>
      <c r="U2" s="215"/>
      <c r="V2" s="258" t="s">
        <v>44</v>
      </c>
      <c r="W2" s="215" t="s">
        <v>912</v>
      </c>
      <c r="X2" s="277" t="str">
        <f>IF(D2&lt;&gt;"",D2,"")</f>
        <v>Financial</v>
      </c>
      <c r="Y2" s="383" t="s">
        <v>45</v>
      </c>
      <c r="Z2" s="383">
        <v>40</v>
      </c>
      <c r="AA2" s="384"/>
      <c r="AB2" s="383"/>
      <c r="AC2" s="254" t="s">
        <v>598</v>
      </c>
      <c r="AD2" s="215" t="s">
        <v>913</v>
      </c>
      <c r="AE2" s="388" t="s">
        <v>914</v>
      </c>
      <c r="AF2" s="389"/>
      <c r="AG2" s="389"/>
      <c r="AH2" s="361"/>
    </row>
    <row r="3" spans="1:34" ht="40" customHeight="1">
      <c r="A3" s="216" t="s">
        <v>46</v>
      </c>
      <c r="B3" s="216" t="s">
        <v>47</v>
      </c>
      <c r="C3" s="216" t="s">
        <v>29</v>
      </c>
      <c r="D3" s="216" t="s">
        <v>30</v>
      </c>
      <c r="E3" s="254" t="s">
        <v>894</v>
      </c>
      <c r="F3" s="254" t="str">
        <f t="shared" ref="F3:H41" si="0">IF(A3&lt;&gt;"",A3,"")</f>
        <v>Process Objective</v>
      </c>
      <c r="G3" s="254" t="str">
        <f t="shared" si="0"/>
        <v>Improve Billability</v>
      </c>
      <c r="H3" s="254" t="str">
        <f t="shared" si="0"/>
        <v>Achieve Gross Margin target and improve</v>
      </c>
      <c r="I3" s="216" t="s">
        <v>915</v>
      </c>
      <c r="J3" s="216" t="s">
        <v>50</v>
      </c>
      <c r="K3" s="216" t="s">
        <v>51</v>
      </c>
      <c r="L3" s="216" t="s">
        <v>35</v>
      </c>
      <c r="M3" s="216" t="s">
        <v>910</v>
      </c>
      <c r="N3" s="216" t="s">
        <v>52</v>
      </c>
      <c r="O3" s="216" t="s">
        <v>1732</v>
      </c>
      <c r="P3" s="216" t="s">
        <v>1704</v>
      </c>
      <c r="Q3" s="216" t="s">
        <v>911</v>
      </c>
      <c r="R3" s="255" t="s">
        <v>41</v>
      </c>
      <c r="S3" s="260" t="s">
        <v>42</v>
      </c>
      <c r="T3" s="257" t="s">
        <v>43</v>
      </c>
      <c r="U3" s="215"/>
      <c r="V3" s="258" t="s">
        <v>44</v>
      </c>
      <c r="W3" s="215" t="s">
        <v>912</v>
      </c>
      <c r="X3" s="277" t="str">
        <f t="shared" ref="X3:X68" si="1">IF(D3&lt;&gt;"",D3,"")</f>
        <v>Financial</v>
      </c>
      <c r="Y3" s="383"/>
      <c r="Z3" s="383"/>
      <c r="AA3" s="384"/>
      <c r="AB3" s="383"/>
      <c r="AC3" s="254" t="s">
        <v>598</v>
      </c>
      <c r="AD3" s="215" t="s">
        <v>913</v>
      </c>
      <c r="AE3" s="388" t="s">
        <v>914</v>
      </c>
      <c r="AF3" s="389"/>
      <c r="AG3" s="389"/>
      <c r="AH3" s="361"/>
    </row>
    <row r="4" spans="1:34" ht="40" customHeight="1">
      <c r="A4" s="216" t="s">
        <v>46</v>
      </c>
      <c r="B4" s="216" t="s">
        <v>57</v>
      </c>
      <c r="C4" s="216" t="s">
        <v>29</v>
      </c>
      <c r="D4" s="216" t="s">
        <v>30</v>
      </c>
      <c r="E4" s="254" t="s">
        <v>895</v>
      </c>
      <c r="F4" s="254" t="str">
        <f t="shared" si="0"/>
        <v>Process Objective</v>
      </c>
      <c r="G4" s="254" t="str">
        <f t="shared" si="0"/>
        <v>Improve Productivity and Cost Efficiency</v>
      </c>
      <c r="H4" s="254" t="str">
        <f t="shared" si="0"/>
        <v>Achieve Gross Margin target and improve</v>
      </c>
      <c r="I4" s="216" t="s">
        <v>916</v>
      </c>
      <c r="J4" s="216" t="s">
        <v>60</v>
      </c>
      <c r="K4" s="216" t="s">
        <v>51</v>
      </c>
      <c r="L4" s="216" t="s">
        <v>61</v>
      </c>
      <c r="M4" s="216" t="s">
        <v>910</v>
      </c>
      <c r="N4" s="216" t="s">
        <v>52</v>
      </c>
      <c r="O4" s="216" t="s">
        <v>1732</v>
      </c>
      <c r="P4" s="216" t="s">
        <v>1703</v>
      </c>
      <c r="Q4" s="216" t="s">
        <v>911</v>
      </c>
      <c r="R4" s="255" t="s">
        <v>41</v>
      </c>
      <c r="S4" s="260" t="s">
        <v>42</v>
      </c>
      <c r="T4" s="257" t="s">
        <v>43</v>
      </c>
      <c r="U4" s="215"/>
      <c r="V4" s="258" t="s">
        <v>44</v>
      </c>
      <c r="W4" s="215" t="s">
        <v>912</v>
      </c>
      <c r="X4" s="277" t="str">
        <f t="shared" si="1"/>
        <v>Financial</v>
      </c>
      <c r="Y4" s="383"/>
      <c r="Z4" s="383"/>
      <c r="AA4" s="384"/>
      <c r="AB4" s="383"/>
      <c r="AC4" s="254" t="s">
        <v>598</v>
      </c>
      <c r="AD4" s="215" t="s">
        <v>913</v>
      </c>
      <c r="AE4" s="388" t="s">
        <v>914</v>
      </c>
      <c r="AF4" s="389"/>
      <c r="AG4" s="389"/>
      <c r="AH4" s="361"/>
    </row>
    <row r="5" spans="1:34" ht="40" customHeight="1">
      <c r="A5" s="216" t="s">
        <v>46</v>
      </c>
      <c r="B5" s="216" t="s">
        <v>57</v>
      </c>
      <c r="C5" s="216" t="s">
        <v>29</v>
      </c>
      <c r="D5" s="216" t="s">
        <v>72</v>
      </c>
      <c r="E5" s="261" t="s">
        <v>73</v>
      </c>
      <c r="F5" s="254" t="str">
        <f t="shared" si="0"/>
        <v>Process Objective</v>
      </c>
      <c r="G5" s="254" t="str">
        <f t="shared" si="0"/>
        <v>Improve Productivity and Cost Efficiency</v>
      </c>
      <c r="H5" s="254" t="str">
        <f t="shared" si="0"/>
        <v>Achieve Gross Margin target and improve</v>
      </c>
      <c r="I5" s="216" t="s">
        <v>917</v>
      </c>
      <c r="J5" s="216" t="s">
        <v>33</v>
      </c>
      <c r="K5" s="216" t="s">
        <v>51</v>
      </c>
      <c r="L5" s="216" t="s">
        <v>35</v>
      </c>
      <c r="M5" s="216" t="s">
        <v>910</v>
      </c>
      <c r="N5" s="216" t="s">
        <v>37</v>
      </c>
      <c r="O5" s="216" t="s">
        <v>1733</v>
      </c>
      <c r="P5" s="216" t="s">
        <v>1671</v>
      </c>
      <c r="Q5" s="216" t="s">
        <v>918</v>
      </c>
      <c r="R5" s="255" t="s">
        <v>41</v>
      </c>
      <c r="S5" s="256" t="s">
        <v>78</v>
      </c>
      <c r="T5" s="257" t="s">
        <v>110</v>
      </c>
      <c r="U5" s="215"/>
      <c r="V5" s="258" t="s">
        <v>79</v>
      </c>
      <c r="W5" s="215"/>
      <c r="X5" s="277" t="str">
        <f t="shared" si="1"/>
        <v>Efficiency</v>
      </c>
      <c r="Y5" s="383"/>
      <c r="Z5" s="383"/>
      <c r="AA5" s="384"/>
      <c r="AB5" s="383"/>
      <c r="AC5" s="261" t="s">
        <v>598</v>
      </c>
      <c r="AD5" s="215" t="s">
        <v>913</v>
      </c>
      <c r="AE5" s="388" t="s">
        <v>914</v>
      </c>
      <c r="AF5" s="389"/>
      <c r="AG5" s="389"/>
      <c r="AH5" s="361"/>
    </row>
    <row r="6" spans="1:34" ht="40" customHeight="1">
      <c r="A6" s="216" t="s">
        <v>46</v>
      </c>
      <c r="B6" s="216" t="s">
        <v>47</v>
      </c>
      <c r="C6" s="216" t="s">
        <v>29</v>
      </c>
      <c r="D6" s="216" t="s">
        <v>72</v>
      </c>
      <c r="E6" s="261" t="s">
        <v>80</v>
      </c>
      <c r="F6" s="254" t="str">
        <f t="shared" si="0"/>
        <v>Process Objective</v>
      </c>
      <c r="G6" s="254" t="str">
        <f t="shared" si="0"/>
        <v>Improve Billability</v>
      </c>
      <c r="H6" s="254" t="str">
        <f t="shared" si="0"/>
        <v>Achieve Gross Margin target and improve</v>
      </c>
      <c r="I6" s="216" t="s">
        <v>81</v>
      </c>
      <c r="J6" s="216" t="s">
        <v>33</v>
      </c>
      <c r="K6" s="216" t="s">
        <v>51</v>
      </c>
      <c r="L6" s="216" t="s">
        <v>35</v>
      </c>
      <c r="M6" s="216" t="s">
        <v>910</v>
      </c>
      <c r="N6" s="216" t="s">
        <v>37</v>
      </c>
      <c r="O6" s="216" t="s">
        <v>1733</v>
      </c>
      <c r="P6" s="216" t="s">
        <v>1672</v>
      </c>
      <c r="Q6" s="216" t="s">
        <v>83</v>
      </c>
      <c r="R6" s="255" t="s">
        <v>41</v>
      </c>
      <c r="S6" s="259" t="s">
        <v>84</v>
      </c>
      <c r="T6" s="257" t="s">
        <v>110</v>
      </c>
      <c r="U6" s="215" t="s">
        <v>85</v>
      </c>
      <c r="V6" s="258" t="s">
        <v>44</v>
      </c>
      <c r="W6" s="213"/>
      <c r="X6" s="277" t="str">
        <f t="shared" si="1"/>
        <v>Efficiency</v>
      </c>
      <c r="Y6" s="383">
        <v>100</v>
      </c>
      <c r="Z6" s="383">
        <v>95</v>
      </c>
      <c r="AA6" s="384"/>
      <c r="AB6" s="383"/>
      <c r="AC6" s="261" t="s">
        <v>598</v>
      </c>
      <c r="AD6" s="213"/>
      <c r="AE6" s="388" t="s">
        <v>914</v>
      </c>
      <c r="AF6" s="389"/>
      <c r="AG6" s="389"/>
      <c r="AH6" s="361"/>
    </row>
    <row r="7" spans="1:34" ht="40" customHeight="1">
      <c r="A7" s="216" t="s">
        <v>28</v>
      </c>
      <c r="B7" s="216" t="s">
        <v>86</v>
      </c>
      <c r="C7" s="216"/>
      <c r="D7" s="216" t="s">
        <v>87</v>
      </c>
      <c r="E7" s="261" t="s">
        <v>88</v>
      </c>
      <c r="F7" s="254" t="str">
        <f t="shared" si="0"/>
        <v>Business Objective</v>
      </c>
      <c r="G7" s="254" t="str">
        <f t="shared" si="0"/>
        <v>Achieve Customer Satisfaction target and improve</v>
      </c>
      <c r="H7" s="254" t="str">
        <f t="shared" si="0"/>
        <v/>
      </c>
      <c r="I7" s="216" t="s">
        <v>91</v>
      </c>
      <c r="J7" s="216" t="s">
        <v>90</v>
      </c>
      <c r="K7" s="216" t="s">
        <v>34</v>
      </c>
      <c r="L7" s="216" t="s">
        <v>35</v>
      </c>
      <c r="M7" s="216" t="s">
        <v>910</v>
      </c>
      <c r="N7" s="216" t="s">
        <v>37</v>
      </c>
      <c r="O7" s="216" t="s">
        <v>1732</v>
      </c>
      <c r="P7" s="216" t="s">
        <v>1669</v>
      </c>
      <c r="Q7" s="216" t="s">
        <v>92</v>
      </c>
      <c r="R7" s="255" t="s">
        <v>93</v>
      </c>
      <c r="S7" s="256" t="s">
        <v>84</v>
      </c>
      <c r="T7" s="257" t="s">
        <v>43</v>
      </c>
      <c r="U7" s="215" t="s">
        <v>85</v>
      </c>
      <c r="V7" s="258" t="s">
        <v>44</v>
      </c>
      <c r="W7" s="215" t="s">
        <v>912</v>
      </c>
      <c r="X7" s="277" t="str">
        <f t="shared" si="1"/>
        <v>Stakeholder Perception</v>
      </c>
      <c r="Y7" s="383">
        <v>4</v>
      </c>
      <c r="Z7" s="383">
        <v>3</v>
      </c>
      <c r="AA7" s="384">
        <v>5</v>
      </c>
      <c r="AB7" s="383"/>
      <c r="AC7" s="261" t="s">
        <v>598</v>
      </c>
      <c r="AD7" s="215"/>
      <c r="AE7" s="388" t="s">
        <v>914</v>
      </c>
      <c r="AF7" s="389"/>
      <c r="AG7" s="389"/>
      <c r="AH7" s="361"/>
    </row>
    <row r="8" spans="1:34" ht="40" customHeight="1">
      <c r="A8" s="216" t="s">
        <v>46</v>
      </c>
      <c r="B8" s="216" t="s">
        <v>94</v>
      </c>
      <c r="C8" s="216" t="s">
        <v>86</v>
      </c>
      <c r="D8" s="216" t="s">
        <v>95</v>
      </c>
      <c r="E8" s="261" t="s">
        <v>96</v>
      </c>
      <c r="F8" s="254" t="str">
        <f t="shared" si="0"/>
        <v>Process Objective</v>
      </c>
      <c r="G8" s="254" t="str">
        <f t="shared" si="0"/>
        <v>Improve Quality of Delivery</v>
      </c>
      <c r="H8" s="254" t="str">
        <f t="shared" si="0"/>
        <v>Achieve Customer Satisfaction target and improve</v>
      </c>
      <c r="I8" s="216" t="s">
        <v>919</v>
      </c>
      <c r="J8" s="216" t="s">
        <v>33</v>
      </c>
      <c r="K8" s="216" t="s">
        <v>51</v>
      </c>
      <c r="L8" s="216" t="s">
        <v>35</v>
      </c>
      <c r="M8" s="216" t="s">
        <v>910</v>
      </c>
      <c r="N8" s="216" t="s">
        <v>37</v>
      </c>
      <c r="O8" s="216" t="s">
        <v>1732</v>
      </c>
      <c r="P8" s="216" t="s">
        <v>1670</v>
      </c>
      <c r="Q8" s="216" t="s">
        <v>100</v>
      </c>
      <c r="R8" s="255" t="s">
        <v>101</v>
      </c>
      <c r="S8" s="256" t="s">
        <v>84</v>
      </c>
      <c r="T8" s="257" t="s">
        <v>110</v>
      </c>
      <c r="U8" s="215" t="s">
        <v>85</v>
      </c>
      <c r="V8" s="258" t="s">
        <v>44</v>
      </c>
      <c r="W8" s="215"/>
      <c r="X8" s="277" t="str">
        <f t="shared" si="1"/>
        <v>Internal Quality</v>
      </c>
      <c r="Y8" s="383">
        <v>87.5</v>
      </c>
      <c r="Z8" s="383">
        <v>75</v>
      </c>
      <c r="AA8" s="384"/>
      <c r="AB8" s="383"/>
      <c r="AC8" s="261" t="s">
        <v>598</v>
      </c>
      <c r="AD8" s="215"/>
      <c r="AE8" s="388" t="s">
        <v>914</v>
      </c>
      <c r="AF8" s="389"/>
      <c r="AG8" s="389"/>
      <c r="AH8" s="361"/>
    </row>
    <row r="9" spans="1:34" ht="40" customHeight="1">
      <c r="A9" s="216" t="s">
        <v>46</v>
      </c>
      <c r="B9" s="216" t="s">
        <v>57</v>
      </c>
      <c r="C9" s="216" t="s">
        <v>29</v>
      </c>
      <c r="D9" s="216" t="s">
        <v>72</v>
      </c>
      <c r="E9" s="254" t="s">
        <v>131</v>
      </c>
      <c r="F9" s="254" t="str">
        <f t="shared" si="0"/>
        <v>Process Objective</v>
      </c>
      <c r="G9" s="254" t="str">
        <f t="shared" si="0"/>
        <v>Improve Productivity and Cost Efficiency</v>
      </c>
      <c r="H9" s="254" t="str">
        <f t="shared" si="0"/>
        <v>Achieve Gross Margin target and improve</v>
      </c>
      <c r="I9" s="216" t="s">
        <v>132</v>
      </c>
      <c r="J9" s="216" t="s">
        <v>33</v>
      </c>
      <c r="K9" s="216" t="s">
        <v>34</v>
      </c>
      <c r="L9" s="216" t="s">
        <v>61</v>
      </c>
      <c r="M9" s="216" t="s">
        <v>920</v>
      </c>
      <c r="N9" s="216" t="s">
        <v>134</v>
      </c>
      <c r="O9" s="216" t="s">
        <v>135</v>
      </c>
      <c r="P9" s="216" t="s">
        <v>1673</v>
      </c>
      <c r="Q9" s="216" t="s">
        <v>125</v>
      </c>
      <c r="R9" s="255" t="s">
        <v>41</v>
      </c>
      <c r="S9" s="259" t="s">
        <v>137</v>
      </c>
      <c r="T9" s="257" t="s">
        <v>43</v>
      </c>
      <c r="U9" s="215" t="s">
        <v>85</v>
      </c>
      <c r="V9" s="258" t="s">
        <v>79</v>
      </c>
      <c r="W9" s="213" t="s">
        <v>921</v>
      </c>
      <c r="X9" s="277" t="str">
        <f t="shared" si="1"/>
        <v>Efficiency</v>
      </c>
      <c r="Y9" s="383">
        <v>10</v>
      </c>
      <c r="Z9" s="383"/>
      <c r="AA9" s="384">
        <v>15</v>
      </c>
      <c r="AB9" s="383"/>
      <c r="AC9" s="254" t="s">
        <v>147</v>
      </c>
      <c r="AD9" s="213"/>
      <c r="AE9" s="388" t="s">
        <v>914</v>
      </c>
      <c r="AF9" s="389"/>
      <c r="AG9" s="389"/>
      <c r="AH9" s="361"/>
    </row>
    <row r="10" spans="1:34" ht="40" customHeight="1">
      <c r="A10" s="216" t="s">
        <v>46</v>
      </c>
      <c r="B10" s="216" t="s">
        <v>139</v>
      </c>
      <c r="C10" s="216" t="s">
        <v>86</v>
      </c>
      <c r="D10" s="216" t="s">
        <v>140</v>
      </c>
      <c r="E10" s="254" t="s">
        <v>141</v>
      </c>
      <c r="F10" s="254" t="str">
        <f t="shared" si="0"/>
        <v>Process Objective</v>
      </c>
      <c r="G10" s="254" t="str">
        <f t="shared" si="0"/>
        <v>Improve Ontime and Speed of Delivery</v>
      </c>
      <c r="H10" s="254" t="str">
        <f t="shared" si="0"/>
        <v>Achieve Customer Satisfaction target and improve</v>
      </c>
      <c r="I10" s="216" t="s">
        <v>922</v>
      </c>
      <c r="J10" s="216" t="s">
        <v>33</v>
      </c>
      <c r="K10" s="216" t="s">
        <v>34</v>
      </c>
      <c r="L10" s="216" t="s">
        <v>61</v>
      </c>
      <c r="M10" s="216" t="s">
        <v>920</v>
      </c>
      <c r="N10" s="216" t="s">
        <v>144</v>
      </c>
      <c r="O10" s="216" t="s">
        <v>135</v>
      </c>
      <c r="P10" s="216" t="s">
        <v>1680</v>
      </c>
      <c r="Q10" s="216" t="s">
        <v>146</v>
      </c>
      <c r="R10" s="255" t="s">
        <v>41</v>
      </c>
      <c r="S10" s="259" t="s">
        <v>137</v>
      </c>
      <c r="T10" s="257" t="s">
        <v>43</v>
      </c>
      <c r="U10" s="215" t="s">
        <v>85</v>
      </c>
      <c r="V10" s="258" t="s">
        <v>79</v>
      </c>
      <c r="W10" s="213" t="s">
        <v>921</v>
      </c>
      <c r="X10" s="277" t="str">
        <f t="shared" si="1"/>
        <v>Time &amp; Speed</v>
      </c>
      <c r="Y10" s="383">
        <v>2.5</v>
      </c>
      <c r="Z10" s="383"/>
      <c r="AA10" s="384">
        <v>5</v>
      </c>
      <c r="AB10" s="383"/>
      <c r="AC10" s="254" t="s">
        <v>147</v>
      </c>
      <c r="AD10" s="213"/>
      <c r="AE10" s="388" t="s">
        <v>914</v>
      </c>
      <c r="AF10" s="389"/>
      <c r="AG10" s="389"/>
      <c r="AH10" s="361"/>
    </row>
    <row r="11" spans="1:34" ht="40" customHeight="1">
      <c r="A11" s="216" t="s">
        <v>46</v>
      </c>
      <c r="B11" s="216" t="s">
        <v>94</v>
      </c>
      <c r="C11" s="216" t="s">
        <v>86</v>
      </c>
      <c r="D11" s="216" t="s">
        <v>154</v>
      </c>
      <c r="E11" s="254" t="s">
        <v>155</v>
      </c>
      <c r="F11" s="254" t="str">
        <f t="shared" si="0"/>
        <v>Process Objective</v>
      </c>
      <c r="G11" s="254" t="str">
        <f t="shared" si="0"/>
        <v>Improve Quality of Delivery</v>
      </c>
      <c r="H11" s="254" t="str">
        <f t="shared" si="0"/>
        <v>Achieve Customer Satisfaction target and improve</v>
      </c>
      <c r="I11" s="216" t="s">
        <v>923</v>
      </c>
      <c r="J11" s="216" t="s">
        <v>157</v>
      </c>
      <c r="K11" s="216" t="s">
        <v>34</v>
      </c>
      <c r="L11" s="216" t="s">
        <v>61</v>
      </c>
      <c r="M11" s="216" t="s">
        <v>924</v>
      </c>
      <c r="N11" s="216" t="s">
        <v>159</v>
      </c>
      <c r="O11" s="216" t="s">
        <v>38</v>
      </c>
      <c r="P11" s="216" t="s">
        <v>1706</v>
      </c>
      <c r="Q11" s="216" t="s">
        <v>925</v>
      </c>
      <c r="R11" s="255" t="s">
        <v>926</v>
      </c>
      <c r="S11" s="256" t="s">
        <v>84</v>
      </c>
      <c r="T11" s="217" t="s">
        <v>43</v>
      </c>
      <c r="U11" s="215" t="s">
        <v>85</v>
      </c>
      <c r="V11" s="262" t="s">
        <v>44</v>
      </c>
      <c r="W11" s="215"/>
      <c r="X11" s="277" t="str">
        <f t="shared" si="1"/>
        <v>Delivered Quality</v>
      </c>
      <c r="Y11" s="383"/>
      <c r="Z11" s="383"/>
      <c r="AA11" s="384"/>
      <c r="AB11" s="383" t="s">
        <v>913</v>
      </c>
      <c r="AC11" s="254" t="s">
        <v>147</v>
      </c>
      <c r="AD11" s="215"/>
      <c r="AE11" s="388" t="s">
        <v>914</v>
      </c>
      <c r="AF11" s="389"/>
      <c r="AG11" s="389"/>
      <c r="AH11" s="361"/>
    </row>
    <row r="12" spans="1:34" ht="40" customHeight="1">
      <c r="A12" s="216" t="s">
        <v>46</v>
      </c>
      <c r="B12" s="216" t="s">
        <v>94</v>
      </c>
      <c r="C12" s="216" t="s">
        <v>86</v>
      </c>
      <c r="D12" s="216" t="s">
        <v>95</v>
      </c>
      <c r="E12" s="254" t="s">
        <v>168</v>
      </c>
      <c r="F12" s="254" t="str">
        <f t="shared" si="0"/>
        <v>Process Objective</v>
      </c>
      <c r="G12" s="254" t="str">
        <f t="shared" si="0"/>
        <v>Improve Quality of Delivery</v>
      </c>
      <c r="H12" s="254" t="str">
        <f t="shared" si="0"/>
        <v>Achieve Customer Satisfaction target and improve</v>
      </c>
      <c r="I12" s="216" t="s">
        <v>927</v>
      </c>
      <c r="J12" s="216" t="s">
        <v>157</v>
      </c>
      <c r="K12" s="216" t="s">
        <v>34</v>
      </c>
      <c r="L12" s="216" t="s">
        <v>61</v>
      </c>
      <c r="M12" s="216" t="s">
        <v>928</v>
      </c>
      <c r="N12" s="216" t="s">
        <v>159</v>
      </c>
      <c r="O12" s="216" t="s">
        <v>38</v>
      </c>
      <c r="P12" s="216" t="s">
        <v>1707</v>
      </c>
      <c r="Q12" s="216" t="s">
        <v>161</v>
      </c>
      <c r="R12" s="255" t="s">
        <v>162</v>
      </c>
      <c r="S12" s="259" t="s">
        <v>84</v>
      </c>
      <c r="T12" s="217" t="s">
        <v>110</v>
      </c>
      <c r="U12" s="215"/>
      <c r="V12" s="262" t="s">
        <v>44</v>
      </c>
      <c r="W12" s="215"/>
      <c r="X12" s="277" t="str">
        <f t="shared" si="1"/>
        <v>Internal Quality</v>
      </c>
      <c r="Y12" s="383"/>
      <c r="Z12" s="383"/>
      <c r="AA12" s="384"/>
      <c r="AB12" s="383"/>
      <c r="AC12" s="254" t="s">
        <v>147</v>
      </c>
      <c r="AD12" s="215"/>
      <c r="AE12" s="388" t="s">
        <v>914</v>
      </c>
      <c r="AF12" s="389"/>
      <c r="AG12" s="389"/>
      <c r="AH12" s="361"/>
    </row>
    <row r="13" spans="1:34" ht="40" customHeight="1">
      <c r="A13" s="216" t="s">
        <v>102</v>
      </c>
      <c r="B13" s="216" t="s">
        <v>174</v>
      </c>
      <c r="C13" s="216" t="s">
        <v>94</v>
      </c>
      <c r="D13" s="216" t="s">
        <v>175</v>
      </c>
      <c r="E13" s="254" t="s">
        <v>176</v>
      </c>
      <c r="F13" s="254" t="str">
        <f t="shared" si="0"/>
        <v>Sub-process Objective</v>
      </c>
      <c r="G13" s="254" t="str">
        <f t="shared" si="0"/>
        <v>Improve System Performance</v>
      </c>
      <c r="H13" s="254" t="str">
        <f t="shared" si="0"/>
        <v>Improve Quality of Delivery</v>
      </c>
      <c r="I13" s="216" t="s">
        <v>177</v>
      </c>
      <c r="J13" s="216" t="s">
        <v>33</v>
      </c>
      <c r="K13" s="216" t="s">
        <v>34</v>
      </c>
      <c r="L13" s="216" t="s">
        <v>35</v>
      </c>
      <c r="M13" s="216" t="s">
        <v>928</v>
      </c>
      <c r="N13" s="216" t="s">
        <v>159</v>
      </c>
      <c r="O13" s="216" t="s">
        <v>38</v>
      </c>
      <c r="P13" s="216" t="s">
        <v>1674</v>
      </c>
      <c r="Q13" s="216" t="s">
        <v>179</v>
      </c>
      <c r="R13" s="255" t="s">
        <v>180</v>
      </c>
      <c r="S13" s="259" t="s">
        <v>181</v>
      </c>
      <c r="T13" s="217" t="s">
        <v>110</v>
      </c>
      <c r="U13" s="215"/>
      <c r="V13" s="258" t="s">
        <v>79</v>
      </c>
      <c r="W13" s="215"/>
      <c r="X13" s="277" t="str">
        <f t="shared" si="1"/>
        <v>Non-functional-Performance</v>
      </c>
      <c r="Y13" s="383"/>
      <c r="Z13" s="383"/>
      <c r="AA13" s="384"/>
      <c r="AB13" s="383"/>
      <c r="AC13" s="254" t="s">
        <v>147</v>
      </c>
      <c r="AD13" s="215"/>
      <c r="AE13" s="388" t="s">
        <v>914</v>
      </c>
      <c r="AF13" s="389"/>
      <c r="AG13" s="389"/>
      <c r="AH13" s="361"/>
    </row>
    <row r="14" spans="1:34" ht="40" customHeight="1">
      <c r="A14" s="216" t="s">
        <v>102</v>
      </c>
      <c r="B14" s="216" t="s">
        <v>174</v>
      </c>
      <c r="C14" s="216" t="s">
        <v>94</v>
      </c>
      <c r="D14" s="216" t="s">
        <v>175</v>
      </c>
      <c r="E14" s="254" t="s">
        <v>182</v>
      </c>
      <c r="F14" s="254" t="str">
        <f t="shared" si="0"/>
        <v>Sub-process Objective</v>
      </c>
      <c r="G14" s="254" t="str">
        <f t="shared" si="0"/>
        <v>Improve System Performance</v>
      </c>
      <c r="H14" s="254" t="str">
        <f t="shared" si="0"/>
        <v>Improve Quality of Delivery</v>
      </c>
      <c r="I14" s="216" t="s">
        <v>929</v>
      </c>
      <c r="J14" s="216" t="s">
        <v>184</v>
      </c>
      <c r="K14" s="216" t="s">
        <v>34</v>
      </c>
      <c r="L14" s="216" t="s">
        <v>35</v>
      </c>
      <c r="M14" s="216" t="s">
        <v>930</v>
      </c>
      <c r="N14" s="216" t="s">
        <v>159</v>
      </c>
      <c r="O14" s="216" t="s">
        <v>38</v>
      </c>
      <c r="P14" s="216" t="s">
        <v>186</v>
      </c>
      <c r="Q14" s="216" t="s">
        <v>179</v>
      </c>
      <c r="R14" s="255" t="s">
        <v>180</v>
      </c>
      <c r="S14" s="259" t="s">
        <v>181</v>
      </c>
      <c r="T14" s="217" t="s">
        <v>110</v>
      </c>
      <c r="U14" s="215"/>
      <c r="V14" s="258" t="s">
        <v>79</v>
      </c>
      <c r="W14" s="215"/>
      <c r="X14" s="277" t="str">
        <f t="shared" si="1"/>
        <v>Non-functional-Performance</v>
      </c>
      <c r="Y14" s="383"/>
      <c r="Z14" s="383"/>
      <c r="AA14" s="384"/>
      <c r="AB14" s="383"/>
      <c r="AC14" s="254" t="s">
        <v>147</v>
      </c>
      <c r="AD14" s="215"/>
      <c r="AE14" s="388" t="s">
        <v>914</v>
      </c>
      <c r="AF14" s="389"/>
      <c r="AG14" s="389"/>
      <c r="AH14" s="361"/>
    </row>
    <row r="15" spans="1:34" ht="40" customHeight="1">
      <c r="A15" s="216" t="s">
        <v>102</v>
      </c>
      <c r="B15" s="216" t="s">
        <v>187</v>
      </c>
      <c r="C15" s="216" t="s">
        <v>94</v>
      </c>
      <c r="D15" s="216" t="s">
        <v>188</v>
      </c>
      <c r="E15" s="254" t="s">
        <v>189</v>
      </c>
      <c r="F15" s="254" t="str">
        <f t="shared" si="0"/>
        <v>Sub-process Objective</v>
      </c>
      <c r="G15" s="254" t="str">
        <f t="shared" si="0"/>
        <v>Improve System Security</v>
      </c>
      <c r="H15" s="254" t="str">
        <f t="shared" si="0"/>
        <v>Improve Quality of Delivery</v>
      </c>
      <c r="I15" s="216" t="s">
        <v>190</v>
      </c>
      <c r="J15" s="216" t="s">
        <v>33</v>
      </c>
      <c r="K15" s="216" t="s">
        <v>34</v>
      </c>
      <c r="L15" s="216" t="s">
        <v>35</v>
      </c>
      <c r="M15" s="216" t="s">
        <v>185</v>
      </c>
      <c r="N15" s="216" t="s">
        <v>159</v>
      </c>
      <c r="O15" s="216" t="s">
        <v>38</v>
      </c>
      <c r="P15" s="216" t="s">
        <v>191</v>
      </c>
      <c r="Q15" s="216" t="s">
        <v>192</v>
      </c>
      <c r="R15" s="255" t="s">
        <v>193</v>
      </c>
      <c r="S15" s="259" t="s">
        <v>181</v>
      </c>
      <c r="T15" s="217" t="s">
        <v>110</v>
      </c>
      <c r="U15" s="215"/>
      <c r="V15" s="258" t="s">
        <v>79</v>
      </c>
      <c r="W15" s="215"/>
      <c r="X15" s="277" t="str">
        <f t="shared" si="1"/>
        <v>Non-functional-Security</v>
      </c>
      <c r="Y15" s="383"/>
      <c r="Z15" s="383"/>
      <c r="AA15" s="383"/>
      <c r="AB15" s="383"/>
      <c r="AC15" s="254" t="s">
        <v>598</v>
      </c>
      <c r="AD15" s="215"/>
      <c r="AE15" s="388" t="s">
        <v>914</v>
      </c>
      <c r="AF15" s="389"/>
      <c r="AG15" s="389"/>
      <c r="AH15" s="361"/>
    </row>
    <row r="16" spans="1:34" ht="40" customHeight="1">
      <c r="A16" s="216" t="s">
        <v>102</v>
      </c>
      <c r="B16" s="216" t="s">
        <v>187</v>
      </c>
      <c r="C16" s="216" t="s">
        <v>148</v>
      </c>
      <c r="D16" s="216" t="s">
        <v>188</v>
      </c>
      <c r="E16" s="254" t="s">
        <v>194</v>
      </c>
      <c r="F16" s="254" t="str">
        <f t="shared" si="0"/>
        <v>Sub-process Objective</v>
      </c>
      <c r="G16" s="254" t="str">
        <f t="shared" si="0"/>
        <v>Improve System Security</v>
      </c>
      <c r="H16" s="254" t="str">
        <f t="shared" si="0"/>
        <v>Deliver committed scope</v>
      </c>
      <c r="I16" s="216" t="s">
        <v>195</v>
      </c>
      <c r="J16" s="216" t="s">
        <v>33</v>
      </c>
      <c r="K16" s="216" t="s">
        <v>34</v>
      </c>
      <c r="L16" s="216" t="s">
        <v>35</v>
      </c>
      <c r="M16" s="216" t="s">
        <v>931</v>
      </c>
      <c r="N16" s="216" t="s">
        <v>37</v>
      </c>
      <c r="O16" s="216" t="s">
        <v>38</v>
      </c>
      <c r="P16" s="216" t="s">
        <v>196</v>
      </c>
      <c r="Q16" s="216" t="s">
        <v>197</v>
      </c>
      <c r="R16" s="255" t="s">
        <v>41</v>
      </c>
      <c r="S16" s="259" t="s">
        <v>181</v>
      </c>
      <c r="T16" s="217" t="s">
        <v>110</v>
      </c>
      <c r="U16" s="215"/>
      <c r="V16" s="258" t="s">
        <v>79</v>
      </c>
      <c r="W16" s="215"/>
      <c r="X16" s="277" t="str">
        <f t="shared" si="1"/>
        <v>Non-functional-Security</v>
      </c>
      <c r="Y16" s="383"/>
      <c r="Z16" s="383"/>
      <c r="AA16" s="384"/>
      <c r="AB16" s="383"/>
      <c r="AC16" s="254" t="s">
        <v>598</v>
      </c>
      <c r="AD16" s="215"/>
      <c r="AE16" s="388" t="s">
        <v>914</v>
      </c>
      <c r="AF16" s="389"/>
      <c r="AG16" s="389"/>
      <c r="AH16" s="361"/>
    </row>
    <row r="17" spans="1:35" ht="40" customHeight="1">
      <c r="A17" s="216" t="s">
        <v>102</v>
      </c>
      <c r="B17" s="216" t="s">
        <v>198</v>
      </c>
      <c r="C17" s="216" t="s">
        <v>94</v>
      </c>
      <c r="D17" s="216" t="s">
        <v>199</v>
      </c>
      <c r="E17" s="254" t="s">
        <v>200</v>
      </c>
      <c r="F17" s="254" t="str">
        <f t="shared" si="0"/>
        <v>Sub-process Objective</v>
      </c>
      <c r="G17" s="254" t="str">
        <f t="shared" si="0"/>
        <v>Improve System Usability</v>
      </c>
      <c r="H17" s="254" t="str">
        <f t="shared" si="0"/>
        <v>Improve Quality of Delivery</v>
      </c>
      <c r="I17" s="263" t="s">
        <v>201</v>
      </c>
      <c r="J17" s="216" t="s">
        <v>33</v>
      </c>
      <c r="K17" s="216" t="s">
        <v>34</v>
      </c>
      <c r="L17" s="216" t="s">
        <v>35</v>
      </c>
      <c r="M17" s="216" t="s">
        <v>932</v>
      </c>
      <c r="N17" s="216" t="s">
        <v>159</v>
      </c>
      <c r="O17" s="216" t="s">
        <v>38</v>
      </c>
      <c r="P17" s="263" t="s">
        <v>202</v>
      </c>
      <c r="Q17" s="216" t="s">
        <v>203</v>
      </c>
      <c r="R17" s="255" t="s">
        <v>204</v>
      </c>
      <c r="S17" s="256" t="s">
        <v>181</v>
      </c>
      <c r="T17" s="217" t="s">
        <v>110</v>
      </c>
      <c r="U17" s="215"/>
      <c r="V17" s="258" t="s">
        <v>79</v>
      </c>
      <c r="W17" s="215"/>
      <c r="X17" s="277" t="str">
        <f t="shared" si="1"/>
        <v>Non-functional-Usability</v>
      </c>
      <c r="Y17" s="383"/>
      <c r="Z17" s="383"/>
      <c r="AA17" s="384"/>
      <c r="AB17" s="383"/>
      <c r="AC17" s="254" t="s">
        <v>598</v>
      </c>
      <c r="AD17" s="215"/>
      <c r="AE17" s="388" t="s">
        <v>914</v>
      </c>
      <c r="AF17" s="389"/>
      <c r="AG17" s="389"/>
      <c r="AH17" s="361"/>
    </row>
    <row r="18" spans="1:35" ht="40" customHeight="1">
      <c r="A18" s="216" t="s">
        <v>102</v>
      </c>
      <c r="B18" s="216" t="s">
        <v>205</v>
      </c>
      <c r="C18" s="216" t="s">
        <v>94</v>
      </c>
      <c r="D18" s="216" t="s">
        <v>206</v>
      </c>
      <c r="E18" s="254" t="s">
        <v>207</v>
      </c>
      <c r="F18" s="254" t="str">
        <f t="shared" si="0"/>
        <v>Sub-process Objective</v>
      </c>
      <c r="G18" s="254" t="str">
        <f t="shared" si="0"/>
        <v>Improve System Maintainability</v>
      </c>
      <c r="H18" s="254" t="str">
        <f t="shared" si="0"/>
        <v>Improve Quality of Delivery</v>
      </c>
      <c r="I18" s="216" t="s">
        <v>208</v>
      </c>
      <c r="J18" s="216" t="s">
        <v>209</v>
      </c>
      <c r="K18" s="216" t="s">
        <v>34</v>
      </c>
      <c r="L18" s="216" t="s">
        <v>61</v>
      </c>
      <c r="M18" s="216" t="s">
        <v>932</v>
      </c>
      <c r="N18" s="216" t="s">
        <v>159</v>
      </c>
      <c r="O18" s="216" t="s">
        <v>38</v>
      </c>
      <c r="P18" s="216" t="s">
        <v>1675</v>
      </c>
      <c r="Q18" s="216" t="s">
        <v>211</v>
      </c>
      <c r="R18" s="255" t="s">
        <v>212</v>
      </c>
      <c r="S18" s="259" t="s">
        <v>137</v>
      </c>
      <c r="T18" s="217" t="s">
        <v>110</v>
      </c>
      <c r="U18" s="215"/>
      <c r="V18" s="258" t="s">
        <v>79</v>
      </c>
      <c r="W18" s="215"/>
      <c r="X18" s="277" t="str">
        <f t="shared" si="1"/>
        <v>Non-functional-Maintainability</v>
      </c>
      <c r="Y18" s="383"/>
      <c r="Z18" s="383"/>
      <c r="AA18" s="384"/>
      <c r="AB18" s="383"/>
      <c r="AC18" s="254" t="s">
        <v>598</v>
      </c>
      <c r="AD18" s="215"/>
      <c r="AE18" s="388" t="s">
        <v>914</v>
      </c>
      <c r="AF18" s="389"/>
      <c r="AG18" s="389"/>
      <c r="AH18" s="361"/>
    </row>
    <row r="19" spans="1:35" ht="40" customHeight="1">
      <c r="A19" s="216" t="s">
        <v>102</v>
      </c>
      <c r="B19" s="216" t="s">
        <v>205</v>
      </c>
      <c r="C19" s="216" t="s">
        <v>94</v>
      </c>
      <c r="D19" s="216" t="s">
        <v>206</v>
      </c>
      <c r="E19" s="254" t="s">
        <v>213</v>
      </c>
      <c r="F19" s="254" t="str">
        <f t="shared" si="0"/>
        <v>Sub-process Objective</v>
      </c>
      <c r="G19" s="254" t="str">
        <f t="shared" si="0"/>
        <v>Improve System Maintainability</v>
      </c>
      <c r="H19" s="254" t="str">
        <f t="shared" si="0"/>
        <v>Improve Quality of Delivery</v>
      </c>
      <c r="I19" s="216" t="s">
        <v>214</v>
      </c>
      <c r="J19" s="216" t="s">
        <v>90</v>
      </c>
      <c r="K19" s="216" t="s">
        <v>51</v>
      </c>
      <c r="L19" s="216" t="s">
        <v>61</v>
      </c>
      <c r="M19" s="216" t="s">
        <v>932</v>
      </c>
      <c r="N19" s="216" t="s">
        <v>159</v>
      </c>
      <c r="O19" s="216" t="s">
        <v>38</v>
      </c>
      <c r="P19" s="216" t="s">
        <v>215</v>
      </c>
      <c r="Q19" s="216" t="s">
        <v>211</v>
      </c>
      <c r="R19" s="255" t="s">
        <v>212</v>
      </c>
      <c r="S19" s="259" t="s">
        <v>137</v>
      </c>
      <c r="T19" s="217" t="s">
        <v>110</v>
      </c>
      <c r="U19" s="215"/>
      <c r="V19" s="258" t="s">
        <v>79</v>
      </c>
      <c r="W19" s="215"/>
      <c r="X19" s="277" t="str">
        <f t="shared" si="1"/>
        <v>Non-functional-Maintainability</v>
      </c>
      <c r="Y19" s="383"/>
      <c r="Z19" s="383"/>
      <c r="AA19" s="384"/>
      <c r="AB19" s="383"/>
      <c r="AC19" s="254" t="s">
        <v>598</v>
      </c>
      <c r="AD19" s="215"/>
      <c r="AE19" s="388" t="s">
        <v>914</v>
      </c>
      <c r="AF19" s="389"/>
      <c r="AG19" s="389"/>
      <c r="AH19" s="361"/>
    </row>
    <row r="20" spans="1:35" ht="40" customHeight="1">
      <c r="A20" s="216" t="s">
        <v>46</v>
      </c>
      <c r="B20" s="216" t="s">
        <v>57</v>
      </c>
      <c r="C20" s="216" t="s">
        <v>29</v>
      </c>
      <c r="D20" s="216" t="s">
        <v>72</v>
      </c>
      <c r="E20" s="261" t="s">
        <v>232</v>
      </c>
      <c r="F20" s="254" t="str">
        <f t="shared" si="0"/>
        <v>Process Objective</v>
      </c>
      <c r="G20" s="254" t="str">
        <f t="shared" si="0"/>
        <v>Improve Productivity and Cost Efficiency</v>
      </c>
      <c r="H20" s="254" t="str">
        <f t="shared" si="0"/>
        <v>Achieve Gross Margin target and improve</v>
      </c>
      <c r="I20" s="216" t="s">
        <v>933</v>
      </c>
      <c r="J20" s="216" t="s">
        <v>234</v>
      </c>
      <c r="K20" s="216" t="s">
        <v>34</v>
      </c>
      <c r="L20" s="216" t="s">
        <v>35</v>
      </c>
      <c r="M20" s="216" t="s">
        <v>934</v>
      </c>
      <c r="N20" s="216" t="s">
        <v>935</v>
      </c>
      <c r="O20" s="216" t="s">
        <v>38</v>
      </c>
      <c r="P20" s="216" t="s">
        <v>1708</v>
      </c>
      <c r="Q20" s="216" t="s">
        <v>238</v>
      </c>
      <c r="R20" s="255" t="s">
        <v>239</v>
      </c>
      <c r="S20" s="256" t="s">
        <v>84</v>
      </c>
      <c r="T20" s="257" t="s">
        <v>43</v>
      </c>
      <c r="U20" s="215" t="s">
        <v>85</v>
      </c>
      <c r="V20" s="262" t="s">
        <v>79</v>
      </c>
      <c r="W20" s="213"/>
      <c r="X20" s="277" t="str">
        <f t="shared" si="1"/>
        <v>Efficiency</v>
      </c>
      <c r="Y20" s="385" t="s">
        <v>240</v>
      </c>
      <c r="Z20" s="385" t="s">
        <v>241</v>
      </c>
      <c r="AA20" s="384"/>
      <c r="AB20" s="383"/>
      <c r="AC20" s="261" t="s">
        <v>147</v>
      </c>
      <c r="AD20" s="213"/>
      <c r="AE20" s="388" t="s">
        <v>914</v>
      </c>
      <c r="AF20" s="389"/>
      <c r="AG20" s="389"/>
      <c r="AH20" s="361"/>
    </row>
    <row r="21" spans="1:35" ht="40" customHeight="1">
      <c r="A21" s="216" t="s">
        <v>46</v>
      </c>
      <c r="B21" s="216" t="s">
        <v>57</v>
      </c>
      <c r="C21" s="216" t="s">
        <v>29</v>
      </c>
      <c r="D21" s="216" t="s">
        <v>72</v>
      </c>
      <c r="E21" s="261" t="s">
        <v>242</v>
      </c>
      <c r="F21" s="254" t="str">
        <f t="shared" si="0"/>
        <v>Process Objective</v>
      </c>
      <c r="G21" s="254" t="str">
        <f t="shared" si="0"/>
        <v>Improve Productivity and Cost Efficiency</v>
      </c>
      <c r="H21" s="254" t="str">
        <f t="shared" si="0"/>
        <v>Achieve Gross Margin target and improve</v>
      </c>
      <c r="I21" s="216" t="s">
        <v>936</v>
      </c>
      <c r="J21" s="216" t="s">
        <v>244</v>
      </c>
      <c r="K21" s="216" t="s">
        <v>34</v>
      </c>
      <c r="L21" s="216" t="s">
        <v>61</v>
      </c>
      <c r="M21" s="216" t="s">
        <v>934</v>
      </c>
      <c r="N21" s="216" t="s">
        <v>935</v>
      </c>
      <c r="O21" s="216" t="s">
        <v>38</v>
      </c>
      <c r="P21" s="216" t="s">
        <v>1709</v>
      </c>
      <c r="Q21" s="216" t="s">
        <v>238</v>
      </c>
      <c r="R21" s="255" t="s">
        <v>239</v>
      </c>
      <c r="S21" s="256" t="s">
        <v>84</v>
      </c>
      <c r="T21" s="257" t="s">
        <v>43</v>
      </c>
      <c r="U21" s="215" t="s">
        <v>85</v>
      </c>
      <c r="V21" s="262" t="s">
        <v>79</v>
      </c>
      <c r="W21" s="213"/>
      <c r="X21" s="277" t="str">
        <f t="shared" si="1"/>
        <v>Efficiency</v>
      </c>
      <c r="Y21" s="383"/>
      <c r="Z21" s="383"/>
      <c r="AA21" s="384"/>
      <c r="AB21" s="383"/>
      <c r="AC21" s="261" t="s">
        <v>147</v>
      </c>
      <c r="AD21" s="213"/>
      <c r="AE21" s="388" t="s">
        <v>914</v>
      </c>
      <c r="AF21" s="389"/>
      <c r="AG21" s="389"/>
      <c r="AH21" s="361"/>
    </row>
    <row r="22" spans="1:35" ht="40" customHeight="1">
      <c r="A22" s="216" t="s">
        <v>46</v>
      </c>
      <c r="B22" s="216" t="s">
        <v>139</v>
      </c>
      <c r="C22" s="216" t="s">
        <v>86</v>
      </c>
      <c r="D22" s="216" t="s">
        <v>140</v>
      </c>
      <c r="E22" s="261" t="s">
        <v>257</v>
      </c>
      <c r="F22" s="254" t="str">
        <f t="shared" si="0"/>
        <v>Process Objective</v>
      </c>
      <c r="G22" s="254" t="str">
        <f t="shared" si="0"/>
        <v>Improve Ontime and Speed of Delivery</v>
      </c>
      <c r="H22" s="254" t="str">
        <f t="shared" si="0"/>
        <v>Achieve Customer Satisfaction target and improve</v>
      </c>
      <c r="I22" s="216" t="s">
        <v>937</v>
      </c>
      <c r="J22" s="216" t="s">
        <v>259</v>
      </c>
      <c r="K22" s="216" t="s">
        <v>34</v>
      </c>
      <c r="L22" s="386" t="s">
        <v>61</v>
      </c>
      <c r="M22" s="216" t="s">
        <v>249</v>
      </c>
      <c r="N22" s="216" t="s">
        <v>236</v>
      </c>
      <c r="O22" s="216" t="s">
        <v>38</v>
      </c>
      <c r="P22" s="216" t="s">
        <v>938</v>
      </c>
      <c r="Q22" s="216" t="s">
        <v>261</v>
      </c>
      <c r="R22" s="255" t="s">
        <v>252</v>
      </c>
      <c r="S22" s="256" t="s">
        <v>84</v>
      </c>
      <c r="T22" s="257" t="s">
        <v>110</v>
      </c>
      <c r="U22" s="215"/>
      <c r="V22" s="262" t="s">
        <v>44</v>
      </c>
      <c r="W22" s="213"/>
      <c r="X22" s="277" t="str">
        <f t="shared" si="1"/>
        <v>Time &amp; Speed</v>
      </c>
      <c r="Y22" s="383"/>
      <c r="Z22" s="383"/>
      <c r="AA22" s="384"/>
      <c r="AB22" s="383"/>
      <c r="AC22" s="261" t="s">
        <v>598</v>
      </c>
      <c r="AD22" s="213" t="s">
        <v>913</v>
      </c>
      <c r="AE22" s="388" t="s">
        <v>914</v>
      </c>
      <c r="AF22" s="389"/>
      <c r="AG22" s="389"/>
      <c r="AH22" s="361"/>
    </row>
    <row r="23" spans="1:35" ht="40" customHeight="1">
      <c r="A23" s="216" t="s">
        <v>102</v>
      </c>
      <c r="B23" s="216" t="s">
        <v>262</v>
      </c>
      <c r="C23" s="216" t="s">
        <v>57</v>
      </c>
      <c r="D23" s="216" t="s">
        <v>72</v>
      </c>
      <c r="E23" s="254" t="s">
        <v>263</v>
      </c>
      <c r="F23" s="254" t="str">
        <f t="shared" si="0"/>
        <v>Sub-process Objective</v>
      </c>
      <c r="G23" s="254" t="str">
        <f t="shared" si="0"/>
        <v xml:space="preserve">Improve Sub-process Productivity </v>
      </c>
      <c r="H23" s="254" t="str">
        <f t="shared" si="0"/>
        <v>Improve Productivity and Cost Efficiency</v>
      </c>
      <c r="I23" s="216" t="s">
        <v>264</v>
      </c>
      <c r="J23" s="216" t="s">
        <v>33</v>
      </c>
      <c r="K23" s="216" t="s">
        <v>265</v>
      </c>
      <c r="L23" s="216" t="s">
        <v>61</v>
      </c>
      <c r="M23" s="216" t="s">
        <v>249</v>
      </c>
      <c r="N23" s="216" t="s">
        <v>236</v>
      </c>
      <c r="O23" s="216" t="s">
        <v>38</v>
      </c>
      <c r="P23" s="216" t="s">
        <v>1681</v>
      </c>
      <c r="Q23" s="216" t="s">
        <v>267</v>
      </c>
      <c r="R23" s="255" t="s">
        <v>109</v>
      </c>
      <c r="S23" s="260" t="s">
        <v>84</v>
      </c>
      <c r="T23" s="217" t="s">
        <v>110</v>
      </c>
      <c r="U23" s="215"/>
      <c r="V23" s="258" t="s">
        <v>79</v>
      </c>
      <c r="W23" s="215"/>
      <c r="X23" s="277" t="str">
        <f t="shared" si="1"/>
        <v>Efficiency</v>
      </c>
      <c r="Y23" s="383"/>
      <c r="Z23" s="383"/>
      <c r="AA23" s="384"/>
      <c r="AB23" s="383"/>
      <c r="AC23" s="254" t="s">
        <v>147</v>
      </c>
      <c r="AD23" s="215"/>
      <c r="AE23" s="388" t="s">
        <v>914</v>
      </c>
      <c r="AF23" s="389"/>
      <c r="AG23" s="389"/>
      <c r="AH23" s="361"/>
    </row>
    <row r="24" spans="1:35" ht="40" customHeight="1">
      <c r="A24" s="216" t="s">
        <v>102</v>
      </c>
      <c r="B24" s="216" t="s">
        <v>262</v>
      </c>
      <c r="C24" s="216" t="s">
        <v>57</v>
      </c>
      <c r="D24" s="216" t="s">
        <v>72</v>
      </c>
      <c r="E24" s="261" t="s">
        <v>276</v>
      </c>
      <c r="F24" s="254" t="str">
        <f t="shared" si="0"/>
        <v>Sub-process Objective</v>
      </c>
      <c r="G24" s="254" t="str">
        <f t="shared" si="0"/>
        <v xml:space="preserve">Improve Sub-process Productivity </v>
      </c>
      <c r="H24" s="254" t="str">
        <f t="shared" si="0"/>
        <v>Improve Productivity and Cost Efficiency</v>
      </c>
      <c r="I24" s="216" t="s">
        <v>939</v>
      </c>
      <c r="J24" s="216" t="s">
        <v>33</v>
      </c>
      <c r="K24" s="216" t="s">
        <v>51</v>
      </c>
      <c r="L24" s="216" t="s">
        <v>35</v>
      </c>
      <c r="M24" s="216" t="s">
        <v>271</v>
      </c>
      <c r="N24" s="216" t="s">
        <v>278</v>
      </c>
      <c r="O24" s="216" t="s">
        <v>38</v>
      </c>
      <c r="P24" s="216" t="s">
        <v>1676</v>
      </c>
      <c r="Q24" s="216" t="s">
        <v>280</v>
      </c>
      <c r="R24" s="255" t="s">
        <v>41</v>
      </c>
      <c r="S24" s="260" t="s">
        <v>78</v>
      </c>
      <c r="T24" s="257" t="s">
        <v>110</v>
      </c>
      <c r="U24" s="215"/>
      <c r="V24" s="258" t="s">
        <v>79</v>
      </c>
      <c r="W24" s="213"/>
      <c r="X24" s="277" t="str">
        <f t="shared" si="1"/>
        <v>Efficiency</v>
      </c>
      <c r="Y24" s="383"/>
      <c r="Z24" s="383"/>
      <c r="AA24" s="384"/>
      <c r="AB24" s="383" t="s">
        <v>940</v>
      </c>
      <c r="AC24" s="261" t="s">
        <v>147</v>
      </c>
      <c r="AD24" s="213"/>
      <c r="AE24" s="388" t="s">
        <v>914</v>
      </c>
      <c r="AF24" s="389"/>
      <c r="AG24" s="389"/>
      <c r="AH24" s="361"/>
    </row>
    <row r="25" spans="1:35" ht="40" customHeight="1">
      <c r="A25" s="216" t="s">
        <v>102</v>
      </c>
      <c r="B25" s="216" t="s">
        <v>285</v>
      </c>
      <c r="C25" s="216" t="s">
        <v>148</v>
      </c>
      <c r="D25" s="216" t="s">
        <v>149</v>
      </c>
      <c r="E25" s="254" t="s">
        <v>941</v>
      </c>
      <c r="F25" s="254" t="str">
        <f t="shared" si="0"/>
        <v>Sub-process Objective</v>
      </c>
      <c r="G25" s="254" t="str">
        <f t="shared" si="0"/>
        <v>Ensure Scope Management</v>
      </c>
      <c r="H25" s="254" t="str">
        <f t="shared" si="0"/>
        <v>Deliver committed scope</v>
      </c>
      <c r="I25" s="216" t="s">
        <v>287</v>
      </c>
      <c r="J25" s="216" t="s">
        <v>33</v>
      </c>
      <c r="K25" s="216" t="s">
        <v>265</v>
      </c>
      <c r="L25" s="216" t="s">
        <v>288</v>
      </c>
      <c r="M25" s="216" t="s">
        <v>249</v>
      </c>
      <c r="N25" s="216" t="s">
        <v>236</v>
      </c>
      <c r="O25" s="216" t="s">
        <v>135</v>
      </c>
      <c r="P25" s="216" t="s">
        <v>289</v>
      </c>
      <c r="Q25" s="216" t="s">
        <v>290</v>
      </c>
      <c r="R25" s="255" t="s">
        <v>41</v>
      </c>
      <c r="S25" s="260" t="s">
        <v>137</v>
      </c>
      <c r="T25" s="257" t="s">
        <v>110</v>
      </c>
      <c r="U25" s="215"/>
      <c r="V25" s="258" t="s">
        <v>79</v>
      </c>
      <c r="W25" s="213"/>
      <c r="X25" s="277" t="str">
        <f t="shared" si="1"/>
        <v>Scope</v>
      </c>
      <c r="Y25" s="383"/>
      <c r="Z25" s="383"/>
      <c r="AA25" s="384"/>
      <c r="AB25" s="383"/>
      <c r="AC25" s="254" t="s">
        <v>147</v>
      </c>
      <c r="AD25" s="213" t="s">
        <v>913</v>
      </c>
      <c r="AE25" s="388" t="s">
        <v>914</v>
      </c>
      <c r="AF25" s="389"/>
      <c r="AG25" s="389"/>
      <c r="AH25" s="361"/>
    </row>
    <row r="26" spans="1:35" ht="40" customHeight="1">
      <c r="A26" s="216" t="s">
        <v>102</v>
      </c>
      <c r="B26" s="216" t="s">
        <v>285</v>
      </c>
      <c r="C26" s="216" t="s">
        <v>148</v>
      </c>
      <c r="D26" s="216" t="s">
        <v>149</v>
      </c>
      <c r="E26" s="261" t="s">
        <v>942</v>
      </c>
      <c r="F26" s="254" t="str">
        <f t="shared" si="0"/>
        <v>Sub-process Objective</v>
      </c>
      <c r="G26" s="254" t="str">
        <f t="shared" si="0"/>
        <v>Ensure Scope Management</v>
      </c>
      <c r="H26" s="254" t="str">
        <f t="shared" si="0"/>
        <v>Deliver committed scope</v>
      </c>
      <c r="I26" s="216" t="s">
        <v>943</v>
      </c>
      <c r="J26" s="216" t="s">
        <v>33</v>
      </c>
      <c r="K26" s="216" t="s">
        <v>265</v>
      </c>
      <c r="L26" s="216" t="s">
        <v>288</v>
      </c>
      <c r="M26" s="216" t="s">
        <v>249</v>
      </c>
      <c r="N26" s="216" t="s">
        <v>236</v>
      </c>
      <c r="O26" s="216" t="s">
        <v>135</v>
      </c>
      <c r="P26" s="216" t="s">
        <v>1677</v>
      </c>
      <c r="Q26" s="216" t="s">
        <v>294</v>
      </c>
      <c r="R26" s="255" t="s">
        <v>41</v>
      </c>
      <c r="S26" s="260" t="s">
        <v>84</v>
      </c>
      <c r="T26" s="257" t="s">
        <v>110</v>
      </c>
      <c r="U26" s="215"/>
      <c r="V26" s="258" t="s">
        <v>79</v>
      </c>
      <c r="W26" s="213"/>
      <c r="X26" s="277" t="str">
        <f t="shared" si="1"/>
        <v>Scope</v>
      </c>
      <c r="Y26" s="383"/>
      <c r="Z26" s="383"/>
      <c r="AA26" s="384"/>
      <c r="AB26" s="383"/>
      <c r="AC26" s="261" t="s">
        <v>147</v>
      </c>
      <c r="AD26" s="213" t="s">
        <v>913</v>
      </c>
      <c r="AE26" s="388" t="s">
        <v>914</v>
      </c>
      <c r="AF26" s="389"/>
      <c r="AG26" s="389"/>
      <c r="AH26" s="361"/>
    </row>
    <row r="27" spans="1:35" ht="40" customHeight="1">
      <c r="A27" s="216" t="s">
        <v>46</v>
      </c>
      <c r="B27" s="216" t="s">
        <v>139</v>
      </c>
      <c r="C27" s="216" t="s">
        <v>86</v>
      </c>
      <c r="D27" s="216" t="s">
        <v>140</v>
      </c>
      <c r="E27" s="261" t="s">
        <v>296</v>
      </c>
      <c r="F27" s="254" t="str">
        <f t="shared" si="0"/>
        <v>Process Objective</v>
      </c>
      <c r="G27" s="254" t="str">
        <f t="shared" si="0"/>
        <v>Improve Ontime and Speed of Delivery</v>
      </c>
      <c r="H27" s="254" t="str">
        <f t="shared" si="0"/>
        <v>Achieve Customer Satisfaction target and improve</v>
      </c>
      <c r="I27" s="216" t="s">
        <v>297</v>
      </c>
      <c r="J27" s="216" t="s">
        <v>90</v>
      </c>
      <c r="K27" s="216" t="s">
        <v>34</v>
      </c>
      <c r="L27" s="216" t="s">
        <v>67</v>
      </c>
      <c r="M27" s="216" t="s">
        <v>271</v>
      </c>
      <c r="N27" s="216" t="s">
        <v>278</v>
      </c>
      <c r="O27" s="216" t="s">
        <v>135</v>
      </c>
      <c r="P27" s="216" t="s">
        <v>1701</v>
      </c>
      <c r="Q27" s="216" t="s">
        <v>944</v>
      </c>
      <c r="R27" s="255" t="s">
        <v>41</v>
      </c>
      <c r="S27" s="260" t="s">
        <v>137</v>
      </c>
      <c r="T27" s="257" t="s">
        <v>110</v>
      </c>
      <c r="U27" s="215" t="s">
        <v>85</v>
      </c>
      <c r="V27" s="258" t="s">
        <v>79</v>
      </c>
      <c r="W27" s="213"/>
      <c r="X27" s="277" t="str">
        <f t="shared" si="1"/>
        <v>Time &amp; Speed</v>
      </c>
      <c r="Y27" s="383"/>
      <c r="Z27" s="383"/>
      <c r="AA27" s="384"/>
      <c r="AB27" s="383"/>
      <c r="AC27" s="261" t="s">
        <v>147</v>
      </c>
      <c r="AD27" s="213"/>
      <c r="AE27" s="388" t="s">
        <v>914</v>
      </c>
      <c r="AF27" s="389"/>
      <c r="AG27" s="389"/>
      <c r="AH27" s="361"/>
    </row>
    <row r="28" spans="1:35" s="361" customFormat="1" ht="55.5" customHeight="1">
      <c r="A28" s="216" t="s">
        <v>46</v>
      </c>
      <c r="B28" s="216" t="s">
        <v>57</v>
      </c>
      <c r="C28" s="216" t="s">
        <v>29</v>
      </c>
      <c r="D28" s="216" t="s">
        <v>72</v>
      </c>
      <c r="E28" s="261" t="s">
        <v>303</v>
      </c>
      <c r="F28" s="254" t="str">
        <f t="shared" si="0"/>
        <v>Process Objective</v>
      </c>
      <c r="G28" s="254" t="str">
        <f t="shared" si="0"/>
        <v>Improve Productivity and Cost Efficiency</v>
      </c>
      <c r="H28" s="254" t="str">
        <f t="shared" si="0"/>
        <v>Achieve Gross Margin target and improve</v>
      </c>
      <c r="I28" s="216" t="s">
        <v>304</v>
      </c>
      <c r="J28" s="216" t="s">
        <v>90</v>
      </c>
      <c r="K28" s="216" t="s">
        <v>34</v>
      </c>
      <c r="L28" s="216" t="s">
        <v>67</v>
      </c>
      <c r="M28" s="216" t="s">
        <v>271</v>
      </c>
      <c r="N28" s="216" t="s">
        <v>278</v>
      </c>
      <c r="O28" s="216" t="s">
        <v>135</v>
      </c>
      <c r="P28" s="216" t="s">
        <v>1702</v>
      </c>
      <c r="Q28" s="216" t="s">
        <v>944</v>
      </c>
      <c r="R28" s="255" t="s">
        <v>41</v>
      </c>
      <c r="S28" s="260" t="s">
        <v>137</v>
      </c>
      <c r="T28" s="257" t="s">
        <v>110</v>
      </c>
      <c r="U28" s="215" t="s">
        <v>85</v>
      </c>
      <c r="V28" s="258" t="s">
        <v>44</v>
      </c>
      <c r="W28" s="213"/>
      <c r="X28" s="277" t="str">
        <f t="shared" si="1"/>
        <v>Efficiency</v>
      </c>
      <c r="Y28" s="383"/>
      <c r="Z28" s="383"/>
      <c r="AA28" s="384"/>
      <c r="AB28" s="383"/>
      <c r="AC28" s="261" t="s">
        <v>147</v>
      </c>
      <c r="AD28" s="213"/>
      <c r="AE28" s="388" t="s">
        <v>914</v>
      </c>
      <c r="AF28" s="389"/>
      <c r="AG28" s="389"/>
      <c r="AI28" s="419"/>
    </row>
    <row r="29" spans="1:35" s="361" customFormat="1" ht="40" customHeight="1">
      <c r="A29" s="216" t="s">
        <v>46</v>
      </c>
      <c r="B29" s="216" t="s">
        <v>57</v>
      </c>
      <c r="C29" s="216" t="s">
        <v>29</v>
      </c>
      <c r="D29" s="216" t="s">
        <v>149</v>
      </c>
      <c r="E29" s="261" t="s">
        <v>308</v>
      </c>
      <c r="F29" s="254" t="str">
        <f t="shared" si="0"/>
        <v>Process Objective</v>
      </c>
      <c r="G29" s="254" t="str">
        <f t="shared" si="0"/>
        <v>Improve Productivity and Cost Efficiency</v>
      </c>
      <c r="H29" s="254" t="str">
        <f t="shared" si="0"/>
        <v>Achieve Gross Margin target and improve</v>
      </c>
      <c r="I29" s="216" t="s">
        <v>309</v>
      </c>
      <c r="J29" s="216" t="s">
        <v>33</v>
      </c>
      <c r="K29" s="216" t="s">
        <v>51</v>
      </c>
      <c r="L29" s="216" t="s">
        <v>35</v>
      </c>
      <c r="M29" s="216" t="s">
        <v>945</v>
      </c>
      <c r="N29" s="216" t="s">
        <v>278</v>
      </c>
      <c r="O29" s="216" t="s">
        <v>135</v>
      </c>
      <c r="P29" s="216" t="s">
        <v>1678</v>
      </c>
      <c r="Q29" s="216" t="s">
        <v>294</v>
      </c>
      <c r="R29" s="255" t="s">
        <v>41</v>
      </c>
      <c r="S29" s="260" t="s">
        <v>84</v>
      </c>
      <c r="T29" s="257" t="s">
        <v>43</v>
      </c>
      <c r="U29" s="215" t="s">
        <v>85</v>
      </c>
      <c r="V29" s="258" t="s">
        <v>44</v>
      </c>
      <c r="W29" s="213" t="s">
        <v>946</v>
      </c>
      <c r="X29" s="277" t="str">
        <f t="shared" si="1"/>
        <v>Scope</v>
      </c>
      <c r="Y29" s="383"/>
      <c r="Z29" s="383"/>
      <c r="AA29" s="384"/>
      <c r="AB29" s="383"/>
      <c r="AC29" s="261" t="s">
        <v>147</v>
      </c>
      <c r="AD29" s="213"/>
      <c r="AE29" s="388" t="s">
        <v>914</v>
      </c>
      <c r="AF29" s="389"/>
      <c r="AG29" s="389"/>
      <c r="AI29" s="419"/>
    </row>
    <row r="30" spans="1:35" s="361" customFormat="1" ht="40" customHeight="1">
      <c r="A30" s="216" t="s">
        <v>102</v>
      </c>
      <c r="B30" s="216" t="s">
        <v>281</v>
      </c>
      <c r="C30" s="216" t="s">
        <v>94</v>
      </c>
      <c r="D30" s="216" t="s">
        <v>95</v>
      </c>
      <c r="E30" s="254" t="s">
        <v>311</v>
      </c>
      <c r="F30" s="254" t="str">
        <f t="shared" si="0"/>
        <v>Sub-process Objective</v>
      </c>
      <c r="G30" s="254" t="str">
        <f t="shared" si="0"/>
        <v>Improve Internal Quality</v>
      </c>
      <c r="H30" s="254" t="str">
        <f t="shared" si="0"/>
        <v>Improve Quality of Delivery</v>
      </c>
      <c r="I30" s="216" t="s">
        <v>947</v>
      </c>
      <c r="J30" s="216" t="s">
        <v>33</v>
      </c>
      <c r="K30" s="216" t="s">
        <v>51</v>
      </c>
      <c r="L30" s="216" t="s">
        <v>313</v>
      </c>
      <c r="M30" s="216" t="s">
        <v>945</v>
      </c>
      <c r="N30" s="216" t="s">
        <v>278</v>
      </c>
      <c r="O30" s="216" t="s">
        <v>38</v>
      </c>
      <c r="P30" s="216" t="s">
        <v>1710</v>
      </c>
      <c r="Q30" s="216" t="s">
        <v>294</v>
      </c>
      <c r="R30" s="255" t="s">
        <v>41</v>
      </c>
      <c r="S30" s="260" t="s">
        <v>84</v>
      </c>
      <c r="T30" s="257" t="s">
        <v>110</v>
      </c>
      <c r="U30" s="215" t="s">
        <v>85</v>
      </c>
      <c r="V30" s="262" t="s">
        <v>79</v>
      </c>
      <c r="W30" s="215"/>
      <c r="X30" s="277" t="str">
        <f t="shared" si="1"/>
        <v>Internal Quality</v>
      </c>
      <c r="Y30" s="383"/>
      <c r="Z30" s="383"/>
      <c r="AA30" s="384"/>
      <c r="AB30" s="383"/>
      <c r="AC30" s="254" t="s">
        <v>147</v>
      </c>
      <c r="AD30" s="215" t="s">
        <v>948</v>
      </c>
      <c r="AE30" s="388" t="s">
        <v>914</v>
      </c>
      <c r="AF30" s="389"/>
      <c r="AG30" s="389"/>
      <c r="AI30" s="419"/>
    </row>
    <row r="31" spans="1:35" s="361" customFormat="1" ht="40" customHeight="1">
      <c r="A31" s="216" t="s">
        <v>102</v>
      </c>
      <c r="B31" s="216" t="s">
        <v>281</v>
      </c>
      <c r="C31" s="216" t="s">
        <v>94</v>
      </c>
      <c r="D31" s="216" t="s">
        <v>95</v>
      </c>
      <c r="E31" s="254" t="s">
        <v>315</v>
      </c>
      <c r="F31" s="254" t="str">
        <f t="shared" si="0"/>
        <v>Sub-process Objective</v>
      </c>
      <c r="G31" s="254" t="str">
        <f t="shared" si="0"/>
        <v>Improve Internal Quality</v>
      </c>
      <c r="H31" s="254" t="str">
        <f t="shared" si="0"/>
        <v>Improve Quality of Delivery</v>
      </c>
      <c r="I31" s="216" t="s">
        <v>949</v>
      </c>
      <c r="J31" s="216" t="s">
        <v>165</v>
      </c>
      <c r="K31" s="216" t="s">
        <v>51</v>
      </c>
      <c r="L31" s="216" t="s">
        <v>35</v>
      </c>
      <c r="M31" s="216" t="s">
        <v>945</v>
      </c>
      <c r="N31" s="216" t="s">
        <v>278</v>
      </c>
      <c r="O31" s="216" t="s">
        <v>38</v>
      </c>
      <c r="P31" s="216" t="s">
        <v>1711</v>
      </c>
      <c r="Q31" s="216" t="s">
        <v>125</v>
      </c>
      <c r="R31" s="255" t="s">
        <v>239</v>
      </c>
      <c r="S31" s="260" t="s">
        <v>84</v>
      </c>
      <c r="T31" s="257" t="s">
        <v>110</v>
      </c>
      <c r="U31" s="215"/>
      <c r="V31" s="262" t="s">
        <v>79</v>
      </c>
      <c r="W31" s="215"/>
      <c r="X31" s="277" t="str">
        <f t="shared" si="1"/>
        <v>Internal Quality</v>
      </c>
      <c r="Y31" s="383"/>
      <c r="Z31" s="383"/>
      <c r="AA31" s="384"/>
      <c r="AB31" s="383"/>
      <c r="AC31" s="254" t="s">
        <v>147</v>
      </c>
      <c r="AD31" s="215"/>
      <c r="AE31" s="388" t="s">
        <v>914</v>
      </c>
      <c r="AF31" s="389"/>
      <c r="AG31" s="389"/>
      <c r="AI31" s="419"/>
    </row>
    <row r="32" spans="1:35" s="361" customFormat="1" ht="40" customHeight="1">
      <c r="A32" s="216" t="s">
        <v>102</v>
      </c>
      <c r="B32" s="216" t="s">
        <v>281</v>
      </c>
      <c r="C32" s="216" t="s">
        <v>94</v>
      </c>
      <c r="D32" s="216" t="s">
        <v>95</v>
      </c>
      <c r="E32" s="254" t="s">
        <v>318</v>
      </c>
      <c r="F32" s="254" t="str">
        <f t="shared" si="0"/>
        <v>Sub-process Objective</v>
      </c>
      <c r="G32" s="254" t="str">
        <f t="shared" si="0"/>
        <v>Improve Internal Quality</v>
      </c>
      <c r="H32" s="254" t="str">
        <f t="shared" si="0"/>
        <v>Improve Quality of Delivery</v>
      </c>
      <c r="I32" s="216" t="s">
        <v>950</v>
      </c>
      <c r="J32" s="216" t="s">
        <v>165</v>
      </c>
      <c r="K32" s="216" t="s">
        <v>51</v>
      </c>
      <c r="L32" s="216" t="s">
        <v>35</v>
      </c>
      <c r="M32" s="216" t="s">
        <v>945</v>
      </c>
      <c r="N32" s="216" t="s">
        <v>278</v>
      </c>
      <c r="O32" s="216" t="s">
        <v>38</v>
      </c>
      <c r="P32" s="216" t="s">
        <v>1712</v>
      </c>
      <c r="Q32" s="216" t="s">
        <v>321</v>
      </c>
      <c r="R32" s="255" t="s">
        <v>322</v>
      </c>
      <c r="S32" s="260" t="s">
        <v>84</v>
      </c>
      <c r="T32" s="257" t="s">
        <v>110</v>
      </c>
      <c r="U32" s="215"/>
      <c r="V32" s="262" t="s">
        <v>79</v>
      </c>
      <c r="W32" s="215"/>
      <c r="X32" s="277" t="str">
        <f t="shared" si="1"/>
        <v>Internal Quality</v>
      </c>
      <c r="Y32" s="383"/>
      <c r="Z32" s="383"/>
      <c r="AA32" s="384"/>
      <c r="AB32" s="383"/>
      <c r="AC32" s="254" t="s">
        <v>147</v>
      </c>
      <c r="AD32" s="215"/>
      <c r="AE32" s="388" t="s">
        <v>914</v>
      </c>
      <c r="AF32" s="389"/>
      <c r="AG32" s="389"/>
      <c r="AI32" s="419"/>
    </row>
    <row r="33" spans="1:35" s="361" customFormat="1" ht="40" customHeight="1">
      <c r="A33" s="216" t="s">
        <v>102</v>
      </c>
      <c r="B33" s="216" t="s">
        <v>281</v>
      </c>
      <c r="C33" s="216" t="s">
        <v>94</v>
      </c>
      <c r="D33" s="216" t="s">
        <v>95</v>
      </c>
      <c r="E33" s="254" t="s">
        <v>323</v>
      </c>
      <c r="F33" s="254" t="str">
        <f t="shared" si="0"/>
        <v>Sub-process Objective</v>
      </c>
      <c r="G33" s="254" t="str">
        <f t="shared" si="0"/>
        <v>Improve Internal Quality</v>
      </c>
      <c r="H33" s="254" t="str">
        <f t="shared" si="0"/>
        <v>Improve Quality of Delivery</v>
      </c>
      <c r="I33" s="216" t="s">
        <v>951</v>
      </c>
      <c r="J33" s="216" t="s">
        <v>33</v>
      </c>
      <c r="K33" s="216" t="s">
        <v>51</v>
      </c>
      <c r="L33" s="216" t="s">
        <v>35</v>
      </c>
      <c r="M33" s="216" t="s">
        <v>952</v>
      </c>
      <c r="N33" s="216" t="s">
        <v>278</v>
      </c>
      <c r="O33" s="216" t="s">
        <v>38</v>
      </c>
      <c r="P33" s="216" t="s">
        <v>1682</v>
      </c>
      <c r="Q33" s="216" t="s">
        <v>327</v>
      </c>
      <c r="R33" s="255" t="s">
        <v>328</v>
      </c>
      <c r="S33" s="260" t="s">
        <v>84</v>
      </c>
      <c r="T33" s="217" t="s">
        <v>110</v>
      </c>
      <c r="U33" s="215" t="s">
        <v>85</v>
      </c>
      <c r="V33" s="258" t="s">
        <v>79</v>
      </c>
      <c r="W33" s="213"/>
      <c r="X33" s="277" t="str">
        <f t="shared" si="1"/>
        <v>Internal Quality</v>
      </c>
      <c r="Y33" s="383">
        <v>75</v>
      </c>
      <c r="Z33" s="383">
        <v>70</v>
      </c>
      <c r="AA33" s="384"/>
      <c r="AB33" s="383"/>
      <c r="AC33" s="254" t="s">
        <v>147</v>
      </c>
      <c r="AD33" s="213"/>
      <c r="AE33" s="388" t="s">
        <v>914</v>
      </c>
      <c r="AF33" s="389"/>
      <c r="AG33" s="389"/>
      <c r="AI33" s="419"/>
    </row>
    <row r="34" spans="1:35" s="361" customFormat="1" ht="40" customHeight="1">
      <c r="A34" s="216" t="s">
        <v>102</v>
      </c>
      <c r="B34" s="216" t="s">
        <v>281</v>
      </c>
      <c r="C34" s="216" t="s">
        <v>94</v>
      </c>
      <c r="D34" s="216" t="s">
        <v>95</v>
      </c>
      <c r="E34" s="254" t="s">
        <v>330</v>
      </c>
      <c r="F34" s="254" t="str">
        <f t="shared" si="0"/>
        <v>Sub-process Objective</v>
      </c>
      <c r="G34" s="254" t="str">
        <f t="shared" si="0"/>
        <v>Improve Internal Quality</v>
      </c>
      <c r="H34" s="254" t="str">
        <f t="shared" si="0"/>
        <v>Improve Quality of Delivery</v>
      </c>
      <c r="I34" s="216" t="s">
        <v>953</v>
      </c>
      <c r="J34" s="216" t="s">
        <v>33</v>
      </c>
      <c r="K34" s="216" t="s">
        <v>51</v>
      </c>
      <c r="L34" s="216" t="s">
        <v>35</v>
      </c>
      <c r="M34" s="216" t="s">
        <v>952</v>
      </c>
      <c r="N34" s="216" t="s">
        <v>278</v>
      </c>
      <c r="O34" s="216" t="s">
        <v>38</v>
      </c>
      <c r="P34" s="216" t="s">
        <v>1683</v>
      </c>
      <c r="Q34" s="216" t="s">
        <v>327</v>
      </c>
      <c r="R34" s="255" t="s">
        <v>333</v>
      </c>
      <c r="S34" s="256" t="s">
        <v>84</v>
      </c>
      <c r="T34" s="217" t="s">
        <v>110</v>
      </c>
      <c r="U34" s="215" t="s">
        <v>85</v>
      </c>
      <c r="V34" s="258" t="s">
        <v>79</v>
      </c>
      <c r="W34" s="215"/>
      <c r="X34" s="277" t="str">
        <f t="shared" si="1"/>
        <v>Internal Quality</v>
      </c>
      <c r="Y34" s="383"/>
      <c r="Z34" s="383"/>
      <c r="AA34" s="384"/>
      <c r="AB34" s="383"/>
      <c r="AC34" s="254" t="s">
        <v>147</v>
      </c>
      <c r="AD34" s="215"/>
      <c r="AE34" s="388" t="s">
        <v>914</v>
      </c>
      <c r="AF34" s="389"/>
      <c r="AG34" s="389"/>
      <c r="AI34" s="419"/>
    </row>
    <row r="35" spans="1:35" s="361" customFormat="1" ht="40" customHeight="1">
      <c r="A35" s="216" t="s">
        <v>102</v>
      </c>
      <c r="B35" s="216" t="s">
        <v>281</v>
      </c>
      <c r="C35" s="216" t="s">
        <v>94</v>
      </c>
      <c r="D35" s="216" t="s">
        <v>95</v>
      </c>
      <c r="E35" s="254" t="s">
        <v>334</v>
      </c>
      <c r="F35" s="254" t="str">
        <f t="shared" si="0"/>
        <v>Sub-process Objective</v>
      </c>
      <c r="G35" s="254" t="str">
        <f t="shared" si="0"/>
        <v>Improve Internal Quality</v>
      </c>
      <c r="H35" s="254" t="str">
        <f t="shared" si="0"/>
        <v>Improve Quality of Delivery</v>
      </c>
      <c r="I35" s="216" t="s">
        <v>954</v>
      </c>
      <c r="J35" s="216" t="s">
        <v>336</v>
      </c>
      <c r="K35" s="216" t="s">
        <v>51</v>
      </c>
      <c r="L35" s="216" t="s">
        <v>35</v>
      </c>
      <c r="M35" s="216" t="s">
        <v>945</v>
      </c>
      <c r="N35" s="216" t="s">
        <v>278</v>
      </c>
      <c r="O35" s="216" t="s">
        <v>38</v>
      </c>
      <c r="P35" s="216" t="s">
        <v>1684</v>
      </c>
      <c r="Q35" s="216" t="s">
        <v>338</v>
      </c>
      <c r="R35" s="255" t="s">
        <v>41</v>
      </c>
      <c r="S35" s="260" t="s">
        <v>137</v>
      </c>
      <c r="T35" s="217" t="s">
        <v>110</v>
      </c>
      <c r="U35" s="215"/>
      <c r="V35" s="258" t="s">
        <v>79</v>
      </c>
      <c r="W35" s="215"/>
      <c r="X35" s="277" t="str">
        <f t="shared" si="1"/>
        <v>Internal Quality</v>
      </c>
      <c r="Y35" s="383"/>
      <c r="Z35" s="383"/>
      <c r="AA35" s="384"/>
      <c r="AB35" s="383"/>
      <c r="AC35" s="254" t="s">
        <v>147</v>
      </c>
      <c r="AD35" s="215"/>
      <c r="AE35" s="388" t="s">
        <v>914</v>
      </c>
      <c r="AF35" s="389"/>
      <c r="AG35" s="389"/>
      <c r="AI35" s="419"/>
    </row>
    <row r="36" spans="1:35" s="361" customFormat="1" ht="40" customHeight="1">
      <c r="A36" s="216" t="s">
        <v>102</v>
      </c>
      <c r="B36" s="216" t="s">
        <v>281</v>
      </c>
      <c r="C36" s="216" t="s">
        <v>94</v>
      </c>
      <c r="D36" s="216" t="s">
        <v>95</v>
      </c>
      <c r="E36" s="254" t="s">
        <v>343</v>
      </c>
      <c r="F36" s="254" t="str">
        <f t="shared" si="0"/>
        <v>Sub-process Objective</v>
      </c>
      <c r="G36" s="254" t="str">
        <f t="shared" si="0"/>
        <v>Improve Internal Quality</v>
      </c>
      <c r="H36" s="254" t="str">
        <f t="shared" si="0"/>
        <v>Improve Quality of Delivery</v>
      </c>
      <c r="I36" s="216" t="s">
        <v>955</v>
      </c>
      <c r="J36" s="216" t="s">
        <v>157</v>
      </c>
      <c r="K36" s="216" t="s">
        <v>51</v>
      </c>
      <c r="L36" s="216" t="s">
        <v>313</v>
      </c>
      <c r="M36" s="216" t="s">
        <v>945</v>
      </c>
      <c r="N36" s="216" t="s">
        <v>278</v>
      </c>
      <c r="O36" s="216" t="s">
        <v>38</v>
      </c>
      <c r="P36" s="216" t="s">
        <v>1685</v>
      </c>
      <c r="Q36" s="216" t="s">
        <v>346</v>
      </c>
      <c r="R36" s="255" t="s">
        <v>347</v>
      </c>
      <c r="S36" s="256" t="s">
        <v>348</v>
      </c>
      <c r="T36" s="217" t="s">
        <v>43</v>
      </c>
      <c r="U36" s="215" t="s">
        <v>85</v>
      </c>
      <c r="V36" s="258" t="s">
        <v>79</v>
      </c>
      <c r="W36" s="215"/>
      <c r="X36" s="277" t="str">
        <f t="shared" si="1"/>
        <v>Internal Quality</v>
      </c>
      <c r="Y36" s="383"/>
      <c r="Z36" s="383"/>
      <c r="AA36" s="384"/>
      <c r="AB36" s="383"/>
      <c r="AC36" s="254" t="s">
        <v>147</v>
      </c>
      <c r="AD36" s="215"/>
      <c r="AE36" s="388" t="s">
        <v>914</v>
      </c>
      <c r="AF36" s="389"/>
      <c r="AG36" s="389"/>
      <c r="AI36" s="419"/>
    </row>
    <row r="37" spans="1:35" s="361" customFormat="1" ht="40" customHeight="1">
      <c r="A37" s="216" t="s">
        <v>102</v>
      </c>
      <c r="B37" s="216" t="s">
        <v>281</v>
      </c>
      <c r="C37" s="216" t="s">
        <v>94</v>
      </c>
      <c r="D37" s="216" t="s">
        <v>95</v>
      </c>
      <c r="E37" s="254" t="s">
        <v>353</v>
      </c>
      <c r="F37" s="254" t="str">
        <f t="shared" si="0"/>
        <v>Sub-process Objective</v>
      </c>
      <c r="G37" s="254" t="str">
        <f t="shared" si="0"/>
        <v>Improve Internal Quality</v>
      </c>
      <c r="H37" s="254" t="str">
        <f t="shared" si="0"/>
        <v>Improve Quality of Delivery</v>
      </c>
      <c r="I37" s="216" t="s">
        <v>956</v>
      </c>
      <c r="J37" s="216" t="s">
        <v>157</v>
      </c>
      <c r="K37" s="216" t="s">
        <v>51</v>
      </c>
      <c r="L37" s="216" t="s">
        <v>313</v>
      </c>
      <c r="M37" s="216" t="s">
        <v>945</v>
      </c>
      <c r="N37" s="216" t="s">
        <v>278</v>
      </c>
      <c r="O37" s="216" t="s">
        <v>38</v>
      </c>
      <c r="P37" s="216" t="s">
        <v>1713</v>
      </c>
      <c r="Q37" s="216" t="s">
        <v>356</v>
      </c>
      <c r="R37" s="255" t="s">
        <v>322</v>
      </c>
      <c r="S37" s="256" t="s">
        <v>137</v>
      </c>
      <c r="T37" s="217" t="s">
        <v>43</v>
      </c>
      <c r="U37" s="215" t="s">
        <v>85</v>
      </c>
      <c r="V37" s="258" t="s">
        <v>79</v>
      </c>
      <c r="W37" s="215"/>
      <c r="X37" s="277" t="str">
        <f t="shared" si="1"/>
        <v>Internal Quality</v>
      </c>
      <c r="Y37" s="383"/>
      <c r="Z37" s="383"/>
      <c r="AA37" s="384"/>
      <c r="AB37" s="383"/>
      <c r="AC37" s="254" t="s">
        <v>147</v>
      </c>
      <c r="AD37" s="215"/>
      <c r="AE37" s="388" t="s">
        <v>914</v>
      </c>
      <c r="AF37" s="389"/>
      <c r="AG37" s="389"/>
      <c r="AI37" s="419"/>
    </row>
    <row r="38" spans="1:35" s="361" customFormat="1" ht="40" customHeight="1">
      <c r="A38" s="216" t="s">
        <v>102</v>
      </c>
      <c r="B38" s="216" t="s">
        <v>281</v>
      </c>
      <c r="C38" s="216" t="s">
        <v>94</v>
      </c>
      <c r="D38" s="216" t="s">
        <v>95</v>
      </c>
      <c r="E38" s="254" t="s">
        <v>362</v>
      </c>
      <c r="F38" s="254" t="str">
        <f t="shared" si="0"/>
        <v>Sub-process Objective</v>
      </c>
      <c r="G38" s="254" t="str">
        <f t="shared" si="0"/>
        <v>Improve Internal Quality</v>
      </c>
      <c r="H38" s="254" t="str">
        <f t="shared" si="0"/>
        <v>Improve Quality of Delivery</v>
      </c>
      <c r="I38" s="216" t="s">
        <v>363</v>
      </c>
      <c r="J38" s="216" t="s">
        <v>33</v>
      </c>
      <c r="K38" s="216" t="s">
        <v>265</v>
      </c>
      <c r="L38" s="216" t="s">
        <v>35</v>
      </c>
      <c r="M38" s="216" t="s">
        <v>945</v>
      </c>
      <c r="N38" s="216" t="s">
        <v>278</v>
      </c>
      <c r="O38" s="216" t="s">
        <v>38</v>
      </c>
      <c r="P38" s="216" t="s">
        <v>364</v>
      </c>
      <c r="Q38" s="216" t="s">
        <v>365</v>
      </c>
      <c r="R38" s="255" t="s">
        <v>366</v>
      </c>
      <c r="S38" s="260" t="s">
        <v>84</v>
      </c>
      <c r="T38" s="217" t="s">
        <v>110</v>
      </c>
      <c r="U38" s="215"/>
      <c r="V38" s="262" t="s">
        <v>79</v>
      </c>
      <c r="W38" s="215"/>
      <c r="X38" s="277" t="str">
        <f t="shared" si="1"/>
        <v>Internal Quality</v>
      </c>
      <c r="Y38" s="383"/>
      <c r="Z38" s="383"/>
      <c r="AA38" s="384"/>
      <c r="AB38" s="383"/>
      <c r="AC38" s="254" t="s">
        <v>147</v>
      </c>
      <c r="AD38" s="215"/>
      <c r="AE38" s="388" t="s">
        <v>914</v>
      </c>
      <c r="AF38" s="389"/>
      <c r="AG38" s="389"/>
      <c r="AI38" s="419"/>
    </row>
    <row r="39" spans="1:35" s="361" customFormat="1" ht="40" customHeight="1">
      <c r="A39" s="216" t="s">
        <v>102</v>
      </c>
      <c r="B39" s="216" t="s">
        <v>262</v>
      </c>
      <c r="C39" s="216" t="s">
        <v>57</v>
      </c>
      <c r="D39" s="216" t="s">
        <v>72</v>
      </c>
      <c r="E39" s="254" t="s">
        <v>367</v>
      </c>
      <c r="F39" s="254" t="str">
        <f t="shared" si="0"/>
        <v>Sub-process Objective</v>
      </c>
      <c r="G39" s="254" t="str">
        <f t="shared" si="0"/>
        <v xml:space="preserve">Improve Sub-process Productivity </v>
      </c>
      <c r="H39" s="254" t="str">
        <f t="shared" si="0"/>
        <v>Improve Productivity and Cost Efficiency</v>
      </c>
      <c r="I39" s="216" t="s">
        <v>957</v>
      </c>
      <c r="J39" s="216" t="s">
        <v>369</v>
      </c>
      <c r="K39" s="216" t="s">
        <v>51</v>
      </c>
      <c r="L39" s="216" t="s">
        <v>313</v>
      </c>
      <c r="M39" s="216" t="s">
        <v>958</v>
      </c>
      <c r="N39" s="216" t="s">
        <v>278</v>
      </c>
      <c r="O39" s="216" t="s">
        <v>38</v>
      </c>
      <c r="P39" s="216" t="s">
        <v>1714</v>
      </c>
      <c r="Q39" s="216" t="s">
        <v>338</v>
      </c>
      <c r="R39" s="255" t="s">
        <v>239</v>
      </c>
      <c r="S39" s="260" t="s">
        <v>84</v>
      </c>
      <c r="T39" s="217" t="s">
        <v>110</v>
      </c>
      <c r="U39" s="215"/>
      <c r="V39" s="258" t="s">
        <v>79</v>
      </c>
      <c r="W39" s="215"/>
      <c r="X39" s="277" t="str">
        <f t="shared" si="1"/>
        <v>Efficiency</v>
      </c>
      <c r="Y39" s="383"/>
      <c r="Z39" s="383"/>
      <c r="AA39" s="384"/>
      <c r="AB39" s="383"/>
      <c r="AC39" s="254" t="s">
        <v>147</v>
      </c>
      <c r="AD39" s="215"/>
      <c r="AE39" s="388" t="s">
        <v>914</v>
      </c>
      <c r="AF39" s="389"/>
      <c r="AG39" s="389"/>
      <c r="AI39" s="419"/>
    </row>
    <row r="40" spans="1:35" s="361" customFormat="1" ht="40" customHeight="1">
      <c r="A40" s="216" t="s">
        <v>102</v>
      </c>
      <c r="B40" s="216" t="s">
        <v>262</v>
      </c>
      <c r="C40" s="216" t="s">
        <v>57</v>
      </c>
      <c r="D40" s="216" t="s">
        <v>72</v>
      </c>
      <c r="E40" s="254" t="s">
        <v>372</v>
      </c>
      <c r="F40" s="254" t="str">
        <f t="shared" si="0"/>
        <v>Sub-process Objective</v>
      </c>
      <c r="G40" s="254" t="str">
        <f t="shared" si="0"/>
        <v xml:space="preserve">Improve Sub-process Productivity </v>
      </c>
      <c r="H40" s="254" t="str">
        <f t="shared" si="0"/>
        <v>Improve Productivity and Cost Efficiency</v>
      </c>
      <c r="I40" s="216" t="s">
        <v>959</v>
      </c>
      <c r="J40" s="216" t="s">
        <v>369</v>
      </c>
      <c r="K40" s="216" t="s">
        <v>51</v>
      </c>
      <c r="L40" s="216" t="s">
        <v>313</v>
      </c>
      <c r="M40" s="216" t="s">
        <v>945</v>
      </c>
      <c r="N40" s="216" t="s">
        <v>278</v>
      </c>
      <c r="O40" s="216" t="s">
        <v>38</v>
      </c>
      <c r="P40" s="216" t="s">
        <v>1715</v>
      </c>
      <c r="Q40" s="216" t="s">
        <v>338</v>
      </c>
      <c r="R40" s="255" t="s">
        <v>239</v>
      </c>
      <c r="S40" s="260" t="s">
        <v>84</v>
      </c>
      <c r="T40" s="217" t="s">
        <v>110</v>
      </c>
      <c r="U40" s="215"/>
      <c r="V40" s="258" t="s">
        <v>79</v>
      </c>
      <c r="W40" s="215"/>
      <c r="X40" s="277" t="str">
        <f t="shared" si="1"/>
        <v>Efficiency</v>
      </c>
      <c r="Y40" s="383"/>
      <c r="Z40" s="383"/>
      <c r="AA40" s="384"/>
      <c r="AB40" s="383"/>
      <c r="AC40" s="254" t="s">
        <v>147</v>
      </c>
      <c r="AD40" s="215"/>
      <c r="AE40" s="388" t="s">
        <v>914</v>
      </c>
      <c r="AF40" s="389"/>
      <c r="AG40" s="389"/>
      <c r="AI40" s="419"/>
    </row>
    <row r="41" spans="1:35" s="361" customFormat="1" ht="40" customHeight="1">
      <c r="A41" s="216" t="s">
        <v>102</v>
      </c>
      <c r="B41" s="216" t="s">
        <v>262</v>
      </c>
      <c r="C41" s="216" t="s">
        <v>57</v>
      </c>
      <c r="D41" s="216" t="s">
        <v>72</v>
      </c>
      <c r="E41" s="254" t="s">
        <v>375</v>
      </c>
      <c r="F41" s="254" t="str">
        <f t="shared" si="0"/>
        <v>Sub-process Objective</v>
      </c>
      <c r="G41" s="254" t="str">
        <f t="shared" si="0"/>
        <v xml:space="preserve">Improve Sub-process Productivity </v>
      </c>
      <c r="H41" s="254" t="str">
        <f t="shared" si="0"/>
        <v>Improve Productivity and Cost Efficiency</v>
      </c>
      <c r="I41" s="216" t="s">
        <v>960</v>
      </c>
      <c r="J41" s="216" t="s">
        <v>369</v>
      </c>
      <c r="K41" s="216" t="s">
        <v>51</v>
      </c>
      <c r="L41" s="216" t="s">
        <v>313</v>
      </c>
      <c r="M41" s="216" t="s">
        <v>945</v>
      </c>
      <c r="N41" s="216" t="s">
        <v>278</v>
      </c>
      <c r="O41" s="216" t="s">
        <v>38</v>
      </c>
      <c r="P41" s="216" t="s">
        <v>1716</v>
      </c>
      <c r="Q41" s="216" t="s">
        <v>338</v>
      </c>
      <c r="R41" s="255" t="s">
        <v>239</v>
      </c>
      <c r="S41" s="260" t="s">
        <v>84</v>
      </c>
      <c r="T41" s="217" t="s">
        <v>110</v>
      </c>
      <c r="U41" s="215"/>
      <c r="V41" s="258" t="s">
        <v>79</v>
      </c>
      <c r="W41" s="215"/>
      <c r="X41" s="277" t="str">
        <f t="shared" si="1"/>
        <v>Efficiency</v>
      </c>
      <c r="Y41" s="383"/>
      <c r="Z41" s="383"/>
      <c r="AA41" s="384"/>
      <c r="AB41" s="383"/>
      <c r="AC41" s="254" t="s">
        <v>147</v>
      </c>
      <c r="AD41" s="215"/>
      <c r="AE41" s="388" t="s">
        <v>914</v>
      </c>
      <c r="AF41" s="389"/>
      <c r="AG41" s="389"/>
      <c r="AI41" s="419"/>
    </row>
    <row r="42" spans="1:35" s="361" customFormat="1" ht="40" customHeight="1">
      <c r="A42" s="216" t="s">
        <v>102</v>
      </c>
      <c r="B42" s="216" t="s">
        <v>262</v>
      </c>
      <c r="C42" s="216" t="s">
        <v>57</v>
      </c>
      <c r="D42" s="216" t="s">
        <v>72</v>
      </c>
      <c r="E42" s="254" t="s">
        <v>961</v>
      </c>
      <c r="F42" s="254" t="str">
        <f t="shared" ref="F42:H84" si="2">IF(A42&lt;&gt;"",A42,"")</f>
        <v>Sub-process Objective</v>
      </c>
      <c r="G42" s="254" t="str">
        <f t="shared" si="2"/>
        <v xml:space="preserve">Improve Sub-process Productivity </v>
      </c>
      <c r="H42" s="254" t="str">
        <f t="shared" si="2"/>
        <v>Improve Productivity and Cost Efficiency</v>
      </c>
      <c r="I42" s="216" t="s">
        <v>962</v>
      </c>
      <c r="J42" s="216" t="s">
        <v>369</v>
      </c>
      <c r="K42" s="216" t="s">
        <v>51</v>
      </c>
      <c r="L42" s="216" t="s">
        <v>313</v>
      </c>
      <c r="M42" s="216" t="s">
        <v>945</v>
      </c>
      <c r="N42" s="216" t="s">
        <v>278</v>
      </c>
      <c r="O42" s="216" t="s">
        <v>38</v>
      </c>
      <c r="P42" s="216" t="s">
        <v>1717</v>
      </c>
      <c r="Q42" s="216" t="s">
        <v>338</v>
      </c>
      <c r="R42" s="255" t="s">
        <v>239</v>
      </c>
      <c r="S42" s="260" t="s">
        <v>84</v>
      </c>
      <c r="T42" s="217" t="s">
        <v>43</v>
      </c>
      <c r="U42" s="215"/>
      <c r="V42" s="258" t="s">
        <v>79</v>
      </c>
      <c r="W42" s="215"/>
      <c r="X42" s="277" t="str">
        <f t="shared" si="1"/>
        <v>Efficiency</v>
      </c>
      <c r="Y42" s="383"/>
      <c r="Z42" s="383"/>
      <c r="AA42" s="384"/>
      <c r="AB42" s="383"/>
      <c r="AC42" s="254" t="s">
        <v>147</v>
      </c>
      <c r="AD42" s="215"/>
      <c r="AE42" s="388" t="s">
        <v>914</v>
      </c>
      <c r="AF42" s="389"/>
      <c r="AG42" s="389"/>
      <c r="AI42" s="419"/>
    </row>
    <row r="43" spans="1:35" s="361" customFormat="1" ht="40" customHeight="1">
      <c r="A43" s="216" t="s">
        <v>102</v>
      </c>
      <c r="B43" s="216" t="s">
        <v>262</v>
      </c>
      <c r="C43" s="216" t="s">
        <v>57</v>
      </c>
      <c r="D43" s="216" t="s">
        <v>72</v>
      </c>
      <c r="E43" s="254" t="s">
        <v>381</v>
      </c>
      <c r="F43" s="254" t="str">
        <f t="shared" si="2"/>
        <v>Sub-process Objective</v>
      </c>
      <c r="G43" s="254" t="str">
        <f t="shared" si="2"/>
        <v xml:space="preserve">Improve Sub-process Productivity </v>
      </c>
      <c r="H43" s="254" t="str">
        <f t="shared" si="2"/>
        <v>Improve Productivity and Cost Efficiency</v>
      </c>
      <c r="I43" s="216" t="s">
        <v>963</v>
      </c>
      <c r="J43" s="216" t="s">
        <v>369</v>
      </c>
      <c r="K43" s="216" t="s">
        <v>51</v>
      </c>
      <c r="L43" s="216" t="s">
        <v>313</v>
      </c>
      <c r="M43" s="216" t="s">
        <v>958</v>
      </c>
      <c r="N43" s="216" t="s">
        <v>278</v>
      </c>
      <c r="O43" s="216" t="s">
        <v>38</v>
      </c>
      <c r="P43" s="216" t="s">
        <v>1718</v>
      </c>
      <c r="Q43" s="216" t="s">
        <v>338</v>
      </c>
      <c r="R43" s="255" t="s">
        <v>239</v>
      </c>
      <c r="S43" s="260" t="s">
        <v>84</v>
      </c>
      <c r="T43" s="217" t="s">
        <v>110</v>
      </c>
      <c r="U43" s="215"/>
      <c r="V43" s="258" t="s">
        <v>79</v>
      </c>
      <c r="W43" s="215"/>
      <c r="X43" s="277" t="str">
        <f t="shared" si="1"/>
        <v>Efficiency</v>
      </c>
      <c r="Y43" s="383"/>
      <c r="Z43" s="383"/>
      <c r="AA43" s="384"/>
      <c r="AB43" s="383"/>
      <c r="AC43" s="254" t="s">
        <v>147</v>
      </c>
      <c r="AD43" s="215"/>
      <c r="AE43" s="388" t="s">
        <v>914</v>
      </c>
      <c r="AF43" s="389"/>
      <c r="AG43" s="389"/>
      <c r="AI43" s="419"/>
    </row>
    <row r="44" spans="1:35" s="361" customFormat="1" ht="40" customHeight="1">
      <c r="A44" s="216" t="s">
        <v>102</v>
      </c>
      <c r="B44" s="216" t="s">
        <v>281</v>
      </c>
      <c r="C44" s="216" t="s">
        <v>57</v>
      </c>
      <c r="D44" s="216" t="s">
        <v>72</v>
      </c>
      <c r="E44" s="254" t="s">
        <v>964</v>
      </c>
      <c r="F44" s="254" t="str">
        <f t="shared" si="2"/>
        <v>Sub-process Objective</v>
      </c>
      <c r="G44" s="254" t="str">
        <f t="shared" si="2"/>
        <v>Improve Internal Quality</v>
      </c>
      <c r="H44" s="254" t="str">
        <f t="shared" si="2"/>
        <v>Improve Productivity and Cost Efficiency</v>
      </c>
      <c r="I44" s="216" t="s">
        <v>965</v>
      </c>
      <c r="J44" s="216" t="s">
        <v>369</v>
      </c>
      <c r="K44" s="216" t="s">
        <v>51</v>
      </c>
      <c r="L44" s="216" t="s">
        <v>313</v>
      </c>
      <c r="M44" s="216" t="s">
        <v>958</v>
      </c>
      <c r="N44" s="216" t="s">
        <v>278</v>
      </c>
      <c r="O44" s="216" t="s">
        <v>38</v>
      </c>
      <c r="P44" s="216" t="s">
        <v>1719</v>
      </c>
      <c r="Q44" s="216" t="s">
        <v>338</v>
      </c>
      <c r="R44" s="255" t="s">
        <v>239</v>
      </c>
      <c r="S44" s="260" t="s">
        <v>84</v>
      </c>
      <c r="T44" s="217" t="s">
        <v>43</v>
      </c>
      <c r="U44" s="215"/>
      <c r="V44" s="258" t="s">
        <v>79</v>
      </c>
      <c r="W44" s="215"/>
      <c r="X44" s="277" t="str">
        <f t="shared" si="1"/>
        <v>Efficiency</v>
      </c>
      <c r="Y44" s="383"/>
      <c r="Z44" s="383"/>
      <c r="AA44" s="384"/>
      <c r="AB44" s="383"/>
      <c r="AC44" s="254" t="s">
        <v>147</v>
      </c>
      <c r="AD44" s="215" t="s">
        <v>913</v>
      </c>
      <c r="AE44" s="388" t="s">
        <v>914</v>
      </c>
      <c r="AF44" s="389"/>
      <c r="AG44" s="389"/>
      <c r="AI44" s="419"/>
    </row>
    <row r="45" spans="1:35" s="361" customFormat="1" ht="40" customHeight="1">
      <c r="A45" s="216" t="s">
        <v>102</v>
      </c>
      <c r="B45" s="216" t="s">
        <v>262</v>
      </c>
      <c r="C45" s="216" t="s">
        <v>57</v>
      </c>
      <c r="D45" s="216" t="s">
        <v>72</v>
      </c>
      <c r="E45" s="254" t="s">
        <v>387</v>
      </c>
      <c r="F45" s="254" t="str">
        <f t="shared" si="2"/>
        <v>Sub-process Objective</v>
      </c>
      <c r="G45" s="254" t="str">
        <f t="shared" si="2"/>
        <v xml:space="preserve">Improve Sub-process Productivity </v>
      </c>
      <c r="H45" s="254" t="str">
        <f t="shared" si="2"/>
        <v>Improve Productivity and Cost Efficiency</v>
      </c>
      <c r="I45" s="216" t="s">
        <v>966</v>
      </c>
      <c r="J45" s="216" t="s">
        <v>369</v>
      </c>
      <c r="K45" s="216" t="s">
        <v>51</v>
      </c>
      <c r="L45" s="216" t="s">
        <v>313</v>
      </c>
      <c r="M45" s="216" t="s">
        <v>958</v>
      </c>
      <c r="N45" s="216" t="s">
        <v>278</v>
      </c>
      <c r="O45" s="216" t="s">
        <v>38</v>
      </c>
      <c r="P45" s="216" t="s">
        <v>1720</v>
      </c>
      <c r="Q45" s="216" t="s">
        <v>338</v>
      </c>
      <c r="R45" s="255" t="s">
        <v>239</v>
      </c>
      <c r="S45" s="260" t="s">
        <v>84</v>
      </c>
      <c r="T45" s="217" t="s">
        <v>110</v>
      </c>
      <c r="U45" s="215"/>
      <c r="V45" s="258" t="s">
        <v>79</v>
      </c>
      <c r="W45" s="215"/>
      <c r="X45" s="277" t="str">
        <f t="shared" si="1"/>
        <v>Efficiency</v>
      </c>
      <c r="Y45" s="383"/>
      <c r="Z45" s="383"/>
      <c r="AA45" s="384"/>
      <c r="AB45" s="383"/>
      <c r="AC45" s="254" t="s">
        <v>147</v>
      </c>
      <c r="AD45" s="215"/>
      <c r="AE45" s="388" t="s">
        <v>914</v>
      </c>
      <c r="AF45" s="389"/>
      <c r="AG45" s="389"/>
      <c r="AI45" s="419"/>
    </row>
    <row r="46" spans="1:35" s="361" customFormat="1" ht="40" customHeight="1">
      <c r="A46" s="216" t="s">
        <v>46</v>
      </c>
      <c r="B46" s="216" t="s">
        <v>139</v>
      </c>
      <c r="C46" s="216" t="s">
        <v>86</v>
      </c>
      <c r="D46" s="216" t="s">
        <v>140</v>
      </c>
      <c r="E46" s="254" t="s">
        <v>390</v>
      </c>
      <c r="F46" s="254" t="str">
        <f t="shared" si="2"/>
        <v>Process Objective</v>
      </c>
      <c r="G46" s="254" t="str">
        <f t="shared" si="2"/>
        <v>Improve Ontime and Speed of Delivery</v>
      </c>
      <c r="H46" s="254" t="str">
        <f t="shared" si="2"/>
        <v>Achieve Customer Satisfaction target and improve</v>
      </c>
      <c r="I46" s="216" t="s">
        <v>391</v>
      </c>
      <c r="J46" s="216" t="s">
        <v>392</v>
      </c>
      <c r="K46" s="216" t="s">
        <v>51</v>
      </c>
      <c r="L46" s="216" t="s">
        <v>67</v>
      </c>
      <c r="M46" s="216" t="s">
        <v>945</v>
      </c>
      <c r="N46" s="216" t="s">
        <v>393</v>
      </c>
      <c r="O46" s="216" t="s">
        <v>38</v>
      </c>
      <c r="P46" s="216" t="s">
        <v>391</v>
      </c>
      <c r="Q46" s="216" t="s">
        <v>394</v>
      </c>
      <c r="R46" s="255" t="s">
        <v>366</v>
      </c>
      <c r="S46" s="260" t="s">
        <v>84</v>
      </c>
      <c r="T46" s="217" t="s">
        <v>43</v>
      </c>
      <c r="U46" s="215"/>
      <c r="V46" s="258" t="s">
        <v>79</v>
      </c>
      <c r="W46" s="215"/>
      <c r="X46" s="277" t="str">
        <f t="shared" si="1"/>
        <v>Time &amp; Speed</v>
      </c>
      <c r="Y46" s="383"/>
      <c r="Z46" s="383"/>
      <c r="AA46" s="384"/>
      <c r="AB46" s="383"/>
      <c r="AC46" s="254" t="s">
        <v>147</v>
      </c>
      <c r="AD46" s="215"/>
      <c r="AE46" s="388" t="s">
        <v>914</v>
      </c>
      <c r="AF46" s="389"/>
      <c r="AG46" s="389"/>
      <c r="AI46" s="419"/>
    </row>
    <row r="47" spans="1:35" s="361" customFormat="1" ht="40" customHeight="1">
      <c r="A47" s="216" t="s">
        <v>46</v>
      </c>
      <c r="B47" s="216" t="s">
        <v>148</v>
      </c>
      <c r="C47" s="216" t="s">
        <v>86</v>
      </c>
      <c r="D47" s="216" t="s">
        <v>149</v>
      </c>
      <c r="E47" s="254" t="s">
        <v>395</v>
      </c>
      <c r="F47" s="254" t="str">
        <f t="shared" si="2"/>
        <v>Process Objective</v>
      </c>
      <c r="G47" s="254" t="str">
        <f t="shared" si="2"/>
        <v>Deliver committed scope</v>
      </c>
      <c r="H47" s="254" t="str">
        <f t="shared" si="2"/>
        <v>Achieve Customer Satisfaction target and improve</v>
      </c>
      <c r="I47" s="216" t="s">
        <v>967</v>
      </c>
      <c r="J47" s="216" t="s">
        <v>33</v>
      </c>
      <c r="K47" s="216" t="s">
        <v>51</v>
      </c>
      <c r="L47" s="216" t="s">
        <v>35</v>
      </c>
      <c r="M47" s="216" t="s">
        <v>945</v>
      </c>
      <c r="N47" s="216" t="s">
        <v>393</v>
      </c>
      <c r="O47" s="216" t="s">
        <v>38</v>
      </c>
      <c r="P47" s="216" t="s">
        <v>397</v>
      </c>
      <c r="Q47" s="216" t="s">
        <v>398</v>
      </c>
      <c r="R47" s="255" t="s">
        <v>366</v>
      </c>
      <c r="S47" s="260" t="s">
        <v>137</v>
      </c>
      <c r="T47" s="217" t="s">
        <v>43</v>
      </c>
      <c r="U47" s="215" t="s">
        <v>85</v>
      </c>
      <c r="V47" s="258" t="s">
        <v>79</v>
      </c>
      <c r="W47" s="215"/>
      <c r="X47" s="277" t="str">
        <f t="shared" si="1"/>
        <v>Scope</v>
      </c>
      <c r="Y47" s="383">
        <v>98</v>
      </c>
      <c r="Z47" s="383">
        <v>95</v>
      </c>
      <c r="AA47" s="384"/>
      <c r="AB47" s="383"/>
      <c r="AC47" s="254" t="s">
        <v>147</v>
      </c>
      <c r="AD47" s="215"/>
      <c r="AE47" s="388" t="s">
        <v>914</v>
      </c>
      <c r="AF47" s="389"/>
      <c r="AG47" s="389"/>
      <c r="AI47" s="419"/>
    </row>
    <row r="48" spans="1:35" s="361" customFormat="1" ht="40" customHeight="1">
      <c r="A48" s="216" t="s">
        <v>46</v>
      </c>
      <c r="B48" s="216" t="s">
        <v>139</v>
      </c>
      <c r="C48" s="216" t="s">
        <v>86</v>
      </c>
      <c r="D48" s="216" t="s">
        <v>140</v>
      </c>
      <c r="E48" s="254" t="s">
        <v>968</v>
      </c>
      <c r="F48" s="254" t="str">
        <f t="shared" si="2"/>
        <v>Process Objective</v>
      </c>
      <c r="G48" s="254" t="str">
        <f t="shared" si="2"/>
        <v>Improve Ontime and Speed of Delivery</v>
      </c>
      <c r="H48" s="254" t="str">
        <f t="shared" si="2"/>
        <v>Achieve Customer Satisfaction target and improve</v>
      </c>
      <c r="I48" s="216" t="s">
        <v>969</v>
      </c>
      <c r="J48" s="216" t="s">
        <v>33</v>
      </c>
      <c r="K48" s="216" t="s">
        <v>34</v>
      </c>
      <c r="L48" s="216" t="s">
        <v>67</v>
      </c>
      <c r="M48" s="216" t="s">
        <v>945</v>
      </c>
      <c r="N48" s="216" t="s">
        <v>393</v>
      </c>
      <c r="O48" s="216" t="s">
        <v>38</v>
      </c>
      <c r="P48" s="216" t="s">
        <v>1721</v>
      </c>
      <c r="Q48" s="216" t="s">
        <v>402</v>
      </c>
      <c r="R48" s="255" t="s">
        <v>366</v>
      </c>
      <c r="S48" s="260" t="s">
        <v>84</v>
      </c>
      <c r="T48" s="217" t="s">
        <v>110</v>
      </c>
      <c r="U48" s="215" t="s">
        <v>85</v>
      </c>
      <c r="V48" s="258" t="s">
        <v>44</v>
      </c>
      <c r="W48" s="215" t="s">
        <v>403</v>
      </c>
      <c r="X48" s="277" t="str">
        <f t="shared" si="1"/>
        <v>Time &amp; Speed</v>
      </c>
      <c r="Y48" s="383"/>
      <c r="Z48" s="383"/>
      <c r="AA48" s="384"/>
      <c r="AB48" s="383"/>
      <c r="AC48" s="254" t="s">
        <v>147</v>
      </c>
      <c r="AD48" s="215" t="s">
        <v>913</v>
      </c>
      <c r="AE48" s="388" t="s">
        <v>914</v>
      </c>
      <c r="AF48" s="389"/>
      <c r="AG48" s="389"/>
      <c r="AI48" s="419"/>
    </row>
    <row r="49" spans="1:35" s="361" customFormat="1" ht="40" customHeight="1">
      <c r="A49" s="216" t="s">
        <v>46</v>
      </c>
      <c r="B49" s="216" t="s">
        <v>139</v>
      </c>
      <c r="C49" s="216" t="s">
        <v>86</v>
      </c>
      <c r="D49" s="216" t="s">
        <v>140</v>
      </c>
      <c r="E49" s="254" t="s">
        <v>970</v>
      </c>
      <c r="F49" s="254" t="str">
        <f t="shared" si="2"/>
        <v>Process Objective</v>
      </c>
      <c r="G49" s="254" t="str">
        <f t="shared" si="2"/>
        <v>Improve Ontime and Speed of Delivery</v>
      </c>
      <c r="H49" s="254" t="str">
        <f t="shared" si="2"/>
        <v>Achieve Customer Satisfaction target and improve</v>
      </c>
      <c r="I49" s="216" t="s">
        <v>971</v>
      </c>
      <c r="J49" s="216" t="s">
        <v>392</v>
      </c>
      <c r="K49" s="216" t="s">
        <v>51</v>
      </c>
      <c r="L49" s="216" t="s">
        <v>61</v>
      </c>
      <c r="M49" s="216" t="s">
        <v>972</v>
      </c>
      <c r="N49" s="216" t="s">
        <v>415</v>
      </c>
      <c r="O49" s="216" t="s">
        <v>38</v>
      </c>
      <c r="P49" s="216" t="s">
        <v>416</v>
      </c>
      <c r="Q49" s="216" t="s">
        <v>417</v>
      </c>
      <c r="R49" s="255" t="s">
        <v>418</v>
      </c>
      <c r="S49" s="260" t="s">
        <v>419</v>
      </c>
      <c r="T49" s="217" t="s">
        <v>43</v>
      </c>
      <c r="U49" s="215"/>
      <c r="V49" s="258" t="s">
        <v>79</v>
      </c>
      <c r="W49" s="215"/>
      <c r="X49" s="277" t="str">
        <f t="shared" si="1"/>
        <v>Time &amp; Speed</v>
      </c>
      <c r="Y49" s="383"/>
      <c r="Z49" s="383"/>
      <c r="AA49" s="384"/>
      <c r="AB49" s="383"/>
      <c r="AC49" s="254" t="s">
        <v>598</v>
      </c>
      <c r="AD49" s="215"/>
      <c r="AE49" s="388" t="s">
        <v>914</v>
      </c>
      <c r="AF49" s="389"/>
      <c r="AG49" s="389"/>
      <c r="AI49" s="419"/>
    </row>
    <row r="50" spans="1:35" s="361" customFormat="1" ht="40" customHeight="1">
      <c r="A50" s="216" t="s">
        <v>46</v>
      </c>
      <c r="B50" s="216" t="s">
        <v>57</v>
      </c>
      <c r="C50" s="216" t="s">
        <v>29</v>
      </c>
      <c r="D50" s="216" t="s">
        <v>72</v>
      </c>
      <c r="E50" s="254" t="s">
        <v>420</v>
      </c>
      <c r="F50" s="254" t="str">
        <f t="shared" si="2"/>
        <v>Process Objective</v>
      </c>
      <c r="G50" s="254" t="str">
        <f t="shared" si="2"/>
        <v>Improve Productivity and Cost Efficiency</v>
      </c>
      <c r="H50" s="254" t="str">
        <f t="shared" si="2"/>
        <v>Achieve Gross Margin target and improve</v>
      </c>
      <c r="I50" s="216" t="s">
        <v>973</v>
      </c>
      <c r="J50" s="216" t="s">
        <v>392</v>
      </c>
      <c r="K50" s="216" t="s">
        <v>34</v>
      </c>
      <c r="L50" s="216" t="s">
        <v>35</v>
      </c>
      <c r="M50" s="216" t="s">
        <v>972</v>
      </c>
      <c r="N50" s="216" t="s">
        <v>415</v>
      </c>
      <c r="O50" s="216" t="s">
        <v>38</v>
      </c>
      <c r="P50" s="216" t="s">
        <v>422</v>
      </c>
      <c r="Q50" s="216" t="s">
        <v>417</v>
      </c>
      <c r="R50" s="255" t="s">
        <v>418</v>
      </c>
      <c r="S50" s="260" t="s">
        <v>84</v>
      </c>
      <c r="T50" s="217" t="s">
        <v>43</v>
      </c>
      <c r="U50" s="215" t="s">
        <v>85</v>
      </c>
      <c r="V50" s="258" t="s">
        <v>79</v>
      </c>
      <c r="W50" s="215"/>
      <c r="X50" s="277" t="str">
        <f t="shared" si="1"/>
        <v>Efficiency</v>
      </c>
      <c r="Y50" s="383"/>
      <c r="Z50" s="383"/>
      <c r="AA50" s="384"/>
      <c r="AB50" s="383"/>
      <c r="AC50" s="254" t="s">
        <v>598</v>
      </c>
      <c r="AD50" s="215"/>
      <c r="AE50" s="388" t="s">
        <v>914</v>
      </c>
      <c r="AF50" s="389"/>
      <c r="AG50" s="389"/>
      <c r="AI50" s="419"/>
    </row>
    <row r="51" spans="1:35" s="361" customFormat="1" ht="40" customHeight="1">
      <c r="A51" s="216" t="s">
        <v>46</v>
      </c>
      <c r="B51" s="216" t="s">
        <v>139</v>
      </c>
      <c r="C51" s="216" t="s">
        <v>86</v>
      </c>
      <c r="D51" s="216" t="s">
        <v>140</v>
      </c>
      <c r="E51" s="254" t="s">
        <v>974</v>
      </c>
      <c r="F51" s="254" t="str">
        <f t="shared" si="2"/>
        <v>Process Objective</v>
      </c>
      <c r="G51" s="254" t="str">
        <f t="shared" si="2"/>
        <v>Improve Ontime and Speed of Delivery</v>
      </c>
      <c r="H51" s="254" t="str">
        <f t="shared" si="2"/>
        <v>Achieve Customer Satisfaction target and improve</v>
      </c>
      <c r="I51" s="216" t="s">
        <v>975</v>
      </c>
      <c r="J51" s="216" t="s">
        <v>425</v>
      </c>
      <c r="K51" s="216" t="s">
        <v>34</v>
      </c>
      <c r="L51" s="216" t="s">
        <v>426</v>
      </c>
      <c r="M51" s="216" t="s">
        <v>972</v>
      </c>
      <c r="N51" s="216" t="s">
        <v>415</v>
      </c>
      <c r="O51" s="216" t="s">
        <v>38</v>
      </c>
      <c r="P51" s="216" t="s">
        <v>427</v>
      </c>
      <c r="Q51" s="216" t="s">
        <v>417</v>
      </c>
      <c r="R51" s="255" t="s">
        <v>418</v>
      </c>
      <c r="S51" s="260" t="s">
        <v>84</v>
      </c>
      <c r="T51" s="217" t="s">
        <v>43</v>
      </c>
      <c r="U51" s="215" t="s">
        <v>85</v>
      </c>
      <c r="V51" s="258" t="s">
        <v>79</v>
      </c>
      <c r="W51" s="215"/>
      <c r="X51" s="277" t="str">
        <f t="shared" si="1"/>
        <v>Time &amp; Speed</v>
      </c>
      <c r="Y51" s="383"/>
      <c r="Z51" s="383"/>
      <c r="AA51" s="384"/>
      <c r="AB51" s="383"/>
      <c r="AC51" s="254" t="s">
        <v>598</v>
      </c>
      <c r="AD51" s="215" t="s">
        <v>913</v>
      </c>
      <c r="AE51" s="388" t="s">
        <v>914</v>
      </c>
      <c r="AF51" s="389"/>
      <c r="AG51" s="389"/>
      <c r="AI51" s="419"/>
    </row>
    <row r="52" spans="1:35" s="361" customFormat="1" ht="40" customHeight="1">
      <c r="A52" s="216" t="s">
        <v>46</v>
      </c>
      <c r="B52" s="216" t="s">
        <v>438</v>
      </c>
      <c r="C52" s="216" t="s">
        <v>86</v>
      </c>
      <c r="D52" s="216" t="s">
        <v>140</v>
      </c>
      <c r="E52" s="254" t="s">
        <v>976</v>
      </c>
      <c r="F52" s="254" t="str">
        <f t="shared" ref="F52" si="3">IF(A52&lt;&gt;"",A52,"")</f>
        <v>Process Objective</v>
      </c>
      <c r="G52" s="254" t="str">
        <f t="shared" ref="G52" si="4">IF(B52&lt;&gt;"",B52,"")</f>
        <v xml:space="preserve">Improve  Service Level Performance </v>
      </c>
      <c r="H52" s="254" t="str">
        <f t="shared" ref="H52" si="5">IF(C52&lt;&gt;"",C52,"")</f>
        <v>Achieve Customer Satisfaction target and improve</v>
      </c>
      <c r="I52" s="216" t="s">
        <v>977</v>
      </c>
      <c r="J52" s="216" t="s">
        <v>33</v>
      </c>
      <c r="K52" s="216" t="s">
        <v>34</v>
      </c>
      <c r="L52" s="216" t="s">
        <v>35</v>
      </c>
      <c r="M52" s="216" t="s">
        <v>978</v>
      </c>
      <c r="N52" s="216" t="s">
        <v>442</v>
      </c>
      <c r="O52" s="216" t="s">
        <v>38</v>
      </c>
      <c r="P52" s="216" t="s">
        <v>1686</v>
      </c>
      <c r="Q52" s="216" t="s">
        <v>444</v>
      </c>
      <c r="R52" s="255" t="s">
        <v>41</v>
      </c>
      <c r="S52" s="260" t="s">
        <v>137</v>
      </c>
      <c r="T52" s="217" t="s">
        <v>43</v>
      </c>
      <c r="U52" s="215" t="s">
        <v>85</v>
      </c>
      <c r="V52" s="258" t="s">
        <v>44</v>
      </c>
      <c r="W52" s="215" t="s">
        <v>445</v>
      </c>
      <c r="X52" s="277" t="str">
        <f t="shared" ref="X52" si="6">IF(D52&lt;&gt;"",D52,"")</f>
        <v>Time &amp; Speed</v>
      </c>
      <c r="Y52" s="383">
        <v>95</v>
      </c>
      <c r="Z52" s="383">
        <v>90</v>
      </c>
      <c r="AA52" s="384"/>
      <c r="AB52" s="383"/>
      <c r="AC52" s="254" t="s">
        <v>147</v>
      </c>
      <c r="AD52" s="215"/>
      <c r="AE52" s="388" t="s">
        <v>914</v>
      </c>
      <c r="AF52" s="389"/>
      <c r="AG52" s="389"/>
      <c r="AI52" s="419"/>
    </row>
    <row r="53" spans="1:35" s="361" customFormat="1" ht="40" customHeight="1">
      <c r="A53" s="216" t="s">
        <v>46</v>
      </c>
      <c r="B53" s="216" t="s">
        <v>438</v>
      </c>
      <c r="C53" s="216" t="s">
        <v>86</v>
      </c>
      <c r="D53" s="216" t="s">
        <v>140</v>
      </c>
      <c r="E53" s="254" t="s">
        <v>979</v>
      </c>
      <c r="F53" s="254" t="str">
        <f t="shared" si="2"/>
        <v>Process Objective</v>
      </c>
      <c r="G53" s="254" t="str">
        <f t="shared" si="2"/>
        <v xml:space="preserve">Improve  Service Level Performance </v>
      </c>
      <c r="H53" s="254" t="str">
        <f t="shared" si="2"/>
        <v>Achieve Customer Satisfaction target and improve</v>
      </c>
      <c r="I53" s="216" t="s">
        <v>980</v>
      </c>
      <c r="J53" s="216" t="s">
        <v>33</v>
      </c>
      <c r="K53" s="216" t="s">
        <v>34</v>
      </c>
      <c r="L53" s="216" t="s">
        <v>35</v>
      </c>
      <c r="M53" s="216" t="s">
        <v>978</v>
      </c>
      <c r="N53" s="216" t="s">
        <v>442</v>
      </c>
      <c r="O53" s="216" t="s">
        <v>38</v>
      </c>
      <c r="P53" s="216" t="s">
        <v>1688</v>
      </c>
      <c r="Q53" s="216" t="s">
        <v>444</v>
      </c>
      <c r="R53" s="255" t="s">
        <v>41</v>
      </c>
      <c r="S53" s="260" t="s">
        <v>137</v>
      </c>
      <c r="T53" s="217" t="s">
        <v>110</v>
      </c>
      <c r="U53" s="215" t="s">
        <v>85</v>
      </c>
      <c r="V53" s="258" t="s">
        <v>44</v>
      </c>
      <c r="W53" s="215" t="s">
        <v>445</v>
      </c>
      <c r="X53" s="277" t="str">
        <f t="shared" si="1"/>
        <v>Time &amp; Speed</v>
      </c>
      <c r="Y53" s="383">
        <v>95</v>
      </c>
      <c r="Z53" s="383">
        <v>90</v>
      </c>
      <c r="AA53" s="384"/>
      <c r="AB53" s="383"/>
      <c r="AC53" s="254" t="s">
        <v>147</v>
      </c>
      <c r="AD53" s="215"/>
      <c r="AE53" s="388" t="s">
        <v>914</v>
      </c>
      <c r="AF53" s="389"/>
      <c r="AG53" s="389"/>
      <c r="AI53" s="419"/>
    </row>
    <row r="54" spans="1:35" s="361" customFormat="1" ht="40" customHeight="1">
      <c r="A54" s="216" t="s">
        <v>46</v>
      </c>
      <c r="B54" s="216" t="s">
        <v>438</v>
      </c>
      <c r="C54" s="216" t="s">
        <v>86</v>
      </c>
      <c r="D54" s="216" t="s">
        <v>140</v>
      </c>
      <c r="E54" s="254" t="s">
        <v>981</v>
      </c>
      <c r="F54" s="254" t="str">
        <f t="shared" si="2"/>
        <v>Process Objective</v>
      </c>
      <c r="G54" s="254" t="str">
        <f t="shared" si="2"/>
        <v xml:space="preserve">Improve  Service Level Performance </v>
      </c>
      <c r="H54" s="254" t="str">
        <f t="shared" si="2"/>
        <v>Achieve Customer Satisfaction target and improve</v>
      </c>
      <c r="I54" s="216" t="s">
        <v>982</v>
      </c>
      <c r="J54" s="216" t="s">
        <v>33</v>
      </c>
      <c r="K54" s="216" t="s">
        <v>34</v>
      </c>
      <c r="L54" s="216" t="s">
        <v>35</v>
      </c>
      <c r="M54" s="216" t="s">
        <v>978</v>
      </c>
      <c r="N54" s="216" t="s">
        <v>442</v>
      </c>
      <c r="O54" s="216" t="s">
        <v>38</v>
      </c>
      <c r="P54" s="216" t="s">
        <v>1689</v>
      </c>
      <c r="Q54" s="216" t="s">
        <v>444</v>
      </c>
      <c r="R54" s="255" t="s">
        <v>41</v>
      </c>
      <c r="S54" s="260" t="s">
        <v>137</v>
      </c>
      <c r="T54" s="217" t="s">
        <v>110</v>
      </c>
      <c r="U54" s="215" t="s">
        <v>85</v>
      </c>
      <c r="V54" s="258" t="s">
        <v>44</v>
      </c>
      <c r="W54" s="215" t="s">
        <v>445</v>
      </c>
      <c r="X54" s="277" t="str">
        <f t="shared" si="1"/>
        <v>Time &amp; Speed</v>
      </c>
      <c r="Y54" s="383">
        <v>95</v>
      </c>
      <c r="Z54" s="383">
        <v>90</v>
      </c>
      <c r="AA54" s="384"/>
      <c r="AB54" s="383"/>
      <c r="AC54" s="254" t="s">
        <v>147</v>
      </c>
      <c r="AD54" s="215"/>
      <c r="AE54" s="388" t="s">
        <v>914</v>
      </c>
      <c r="AF54" s="389"/>
      <c r="AG54" s="389"/>
      <c r="AI54" s="419"/>
    </row>
    <row r="55" spans="1:35" s="361" customFormat="1" ht="40" customHeight="1">
      <c r="A55" s="216" t="s">
        <v>46</v>
      </c>
      <c r="B55" s="216" t="s">
        <v>438</v>
      </c>
      <c r="C55" s="216" t="s">
        <v>86</v>
      </c>
      <c r="D55" s="216" t="s">
        <v>140</v>
      </c>
      <c r="E55" s="254" t="s">
        <v>983</v>
      </c>
      <c r="F55" s="254" t="str">
        <f t="shared" si="2"/>
        <v>Process Objective</v>
      </c>
      <c r="G55" s="254" t="str">
        <f t="shared" si="2"/>
        <v xml:space="preserve">Improve  Service Level Performance </v>
      </c>
      <c r="H55" s="254" t="str">
        <f t="shared" si="2"/>
        <v>Achieve Customer Satisfaction target and improve</v>
      </c>
      <c r="I55" s="216" t="s">
        <v>984</v>
      </c>
      <c r="J55" s="216" t="s">
        <v>33</v>
      </c>
      <c r="K55" s="216" t="s">
        <v>34</v>
      </c>
      <c r="L55" s="216" t="s">
        <v>35</v>
      </c>
      <c r="M55" s="216" t="s">
        <v>978</v>
      </c>
      <c r="N55" s="216" t="s">
        <v>442</v>
      </c>
      <c r="O55" s="216" t="s">
        <v>38</v>
      </c>
      <c r="P55" s="216" t="s">
        <v>1690</v>
      </c>
      <c r="Q55" s="216" t="s">
        <v>444</v>
      </c>
      <c r="R55" s="255" t="s">
        <v>41</v>
      </c>
      <c r="S55" s="260" t="s">
        <v>137</v>
      </c>
      <c r="T55" s="217" t="s">
        <v>110</v>
      </c>
      <c r="U55" s="215" t="s">
        <v>85</v>
      </c>
      <c r="V55" s="258" t="s">
        <v>44</v>
      </c>
      <c r="W55" s="215" t="s">
        <v>445</v>
      </c>
      <c r="X55" s="277" t="str">
        <f t="shared" si="1"/>
        <v>Time &amp; Speed</v>
      </c>
      <c r="Y55" s="383">
        <v>95</v>
      </c>
      <c r="Z55" s="383">
        <v>90</v>
      </c>
      <c r="AA55" s="384"/>
      <c r="AB55" s="383"/>
      <c r="AC55" s="254" t="s">
        <v>147</v>
      </c>
      <c r="AD55" s="215" t="s">
        <v>913</v>
      </c>
      <c r="AE55" s="388" t="s">
        <v>914</v>
      </c>
      <c r="AF55" s="389"/>
      <c r="AG55" s="389"/>
      <c r="AI55" s="419"/>
    </row>
    <row r="56" spans="1:35" s="361" customFormat="1" ht="40" customHeight="1">
      <c r="A56" s="216" t="s">
        <v>46</v>
      </c>
      <c r="B56" s="216" t="s">
        <v>438</v>
      </c>
      <c r="C56" s="216" t="s">
        <v>86</v>
      </c>
      <c r="D56" s="216" t="s">
        <v>140</v>
      </c>
      <c r="E56" s="254" t="s">
        <v>985</v>
      </c>
      <c r="F56" s="254" t="str">
        <f t="shared" si="2"/>
        <v>Process Objective</v>
      </c>
      <c r="G56" s="254" t="str">
        <f t="shared" si="2"/>
        <v xml:space="preserve">Improve  Service Level Performance </v>
      </c>
      <c r="H56" s="254" t="str">
        <f t="shared" si="2"/>
        <v>Achieve Customer Satisfaction target and improve</v>
      </c>
      <c r="I56" s="216" t="s">
        <v>986</v>
      </c>
      <c r="J56" s="216" t="s">
        <v>33</v>
      </c>
      <c r="K56" s="216" t="s">
        <v>34</v>
      </c>
      <c r="L56" s="216" t="s">
        <v>35</v>
      </c>
      <c r="M56" s="216" t="s">
        <v>978</v>
      </c>
      <c r="N56" s="216" t="s">
        <v>442</v>
      </c>
      <c r="O56" s="216" t="s">
        <v>38</v>
      </c>
      <c r="P56" s="216" t="s">
        <v>1691</v>
      </c>
      <c r="Q56" s="216" t="s">
        <v>444</v>
      </c>
      <c r="R56" s="255" t="s">
        <v>41</v>
      </c>
      <c r="S56" s="260" t="s">
        <v>137</v>
      </c>
      <c r="T56" s="217" t="s">
        <v>110</v>
      </c>
      <c r="U56" s="215" t="s">
        <v>85</v>
      </c>
      <c r="V56" s="258" t="s">
        <v>44</v>
      </c>
      <c r="W56" s="215" t="s">
        <v>445</v>
      </c>
      <c r="X56" s="277" t="str">
        <f t="shared" si="1"/>
        <v>Time &amp; Speed</v>
      </c>
      <c r="Y56" s="383">
        <v>95</v>
      </c>
      <c r="Z56" s="383">
        <v>90</v>
      </c>
      <c r="AA56" s="384"/>
      <c r="AB56" s="383"/>
      <c r="AC56" s="254" t="s">
        <v>147</v>
      </c>
      <c r="AD56" s="215"/>
      <c r="AE56" s="388" t="s">
        <v>914</v>
      </c>
      <c r="AF56" s="389"/>
      <c r="AG56" s="389"/>
      <c r="AI56" s="419"/>
    </row>
    <row r="57" spans="1:35" s="361" customFormat="1" ht="40" customHeight="1">
      <c r="A57" s="216" t="s">
        <v>46</v>
      </c>
      <c r="B57" s="216" t="s">
        <v>438</v>
      </c>
      <c r="C57" s="216" t="s">
        <v>86</v>
      </c>
      <c r="D57" s="216" t="s">
        <v>140</v>
      </c>
      <c r="E57" s="254" t="s">
        <v>987</v>
      </c>
      <c r="F57" s="254" t="str">
        <f t="shared" si="2"/>
        <v>Process Objective</v>
      </c>
      <c r="G57" s="254" t="str">
        <f t="shared" si="2"/>
        <v xml:space="preserve">Improve  Service Level Performance </v>
      </c>
      <c r="H57" s="254" t="str">
        <f t="shared" si="2"/>
        <v>Achieve Customer Satisfaction target and improve</v>
      </c>
      <c r="I57" s="216" t="s">
        <v>988</v>
      </c>
      <c r="J57" s="216" t="s">
        <v>33</v>
      </c>
      <c r="K57" s="216" t="s">
        <v>34</v>
      </c>
      <c r="L57" s="216" t="s">
        <v>35</v>
      </c>
      <c r="M57" s="216" t="s">
        <v>978</v>
      </c>
      <c r="N57" s="216" t="s">
        <v>442</v>
      </c>
      <c r="O57" s="216" t="s">
        <v>38</v>
      </c>
      <c r="P57" s="216" t="s">
        <v>1692</v>
      </c>
      <c r="Q57" s="216" t="s">
        <v>444</v>
      </c>
      <c r="R57" s="255" t="s">
        <v>41</v>
      </c>
      <c r="S57" s="260" t="s">
        <v>137</v>
      </c>
      <c r="T57" s="217" t="s">
        <v>110</v>
      </c>
      <c r="U57" s="215" t="s">
        <v>85</v>
      </c>
      <c r="V57" s="258" t="s">
        <v>44</v>
      </c>
      <c r="W57" s="215" t="s">
        <v>445</v>
      </c>
      <c r="X57" s="277" t="str">
        <f t="shared" si="1"/>
        <v>Time &amp; Speed</v>
      </c>
      <c r="Y57" s="383">
        <v>95</v>
      </c>
      <c r="Z57" s="383">
        <v>90</v>
      </c>
      <c r="AA57" s="384"/>
      <c r="AB57" s="383"/>
      <c r="AC57" s="254" t="s">
        <v>147</v>
      </c>
      <c r="AD57" s="215"/>
      <c r="AE57" s="388" t="s">
        <v>914</v>
      </c>
      <c r="AF57" s="389"/>
      <c r="AG57" s="389"/>
      <c r="AI57" s="419"/>
    </row>
    <row r="58" spans="1:35" s="361" customFormat="1" ht="40" customHeight="1">
      <c r="A58" s="216" t="s">
        <v>46</v>
      </c>
      <c r="B58" s="216" t="s">
        <v>438</v>
      </c>
      <c r="C58" s="216" t="s">
        <v>86</v>
      </c>
      <c r="D58" s="216" t="s">
        <v>140</v>
      </c>
      <c r="E58" s="254" t="s">
        <v>446</v>
      </c>
      <c r="F58" s="254" t="str">
        <f t="shared" ref="F58" si="7">IF(A58&lt;&gt;"",A58,"")</f>
        <v>Process Objective</v>
      </c>
      <c r="G58" s="254" t="str">
        <f t="shared" ref="G58" si="8">IF(B58&lt;&gt;"",B58,"")</f>
        <v xml:space="preserve">Improve  Service Level Performance </v>
      </c>
      <c r="H58" s="254" t="str">
        <f t="shared" ref="H58" si="9">IF(C58&lt;&gt;"",C58,"")</f>
        <v>Achieve Customer Satisfaction target and improve</v>
      </c>
      <c r="I58" s="216" t="s">
        <v>989</v>
      </c>
      <c r="J58" s="216" t="s">
        <v>33</v>
      </c>
      <c r="K58" s="216" t="s">
        <v>34</v>
      </c>
      <c r="L58" s="216" t="s">
        <v>35</v>
      </c>
      <c r="M58" s="216" t="s">
        <v>978</v>
      </c>
      <c r="N58" s="216" t="s">
        <v>442</v>
      </c>
      <c r="O58" s="216" t="s">
        <v>38</v>
      </c>
      <c r="P58" s="216" t="s">
        <v>1687</v>
      </c>
      <c r="Q58" s="216" t="s">
        <v>444</v>
      </c>
      <c r="R58" s="255" t="s">
        <v>41</v>
      </c>
      <c r="S58" s="260" t="s">
        <v>137</v>
      </c>
      <c r="T58" s="217" t="s">
        <v>43</v>
      </c>
      <c r="U58" s="215" t="s">
        <v>85</v>
      </c>
      <c r="V58" s="258" t="s">
        <v>44</v>
      </c>
      <c r="W58" s="215" t="s">
        <v>445</v>
      </c>
      <c r="X58" s="277" t="str">
        <f t="shared" ref="X58" si="10">IF(D58&lt;&gt;"",D58,"")</f>
        <v>Time &amp; Speed</v>
      </c>
      <c r="Y58" s="383"/>
      <c r="Z58" s="383"/>
      <c r="AA58" s="384"/>
      <c r="AB58" s="383"/>
      <c r="AC58" s="254" t="s">
        <v>147</v>
      </c>
      <c r="AD58" s="215"/>
      <c r="AE58" s="388" t="s">
        <v>914</v>
      </c>
      <c r="AF58" s="389"/>
      <c r="AG58" s="389"/>
      <c r="AI58" s="419"/>
    </row>
    <row r="59" spans="1:35" s="361" customFormat="1" ht="40" customHeight="1">
      <c r="A59" s="216" t="s">
        <v>46</v>
      </c>
      <c r="B59" s="216" t="s">
        <v>438</v>
      </c>
      <c r="C59" s="216" t="s">
        <v>86</v>
      </c>
      <c r="D59" s="216" t="s">
        <v>140</v>
      </c>
      <c r="E59" s="254" t="s">
        <v>990</v>
      </c>
      <c r="F59" s="254" t="str">
        <f t="shared" si="2"/>
        <v>Process Objective</v>
      </c>
      <c r="G59" s="254" t="str">
        <f t="shared" si="2"/>
        <v xml:space="preserve">Improve  Service Level Performance </v>
      </c>
      <c r="H59" s="254" t="str">
        <f t="shared" si="2"/>
        <v>Achieve Customer Satisfaction target and improve</v>
      </c>
      <c r="I59" s="216" t="s">
        <v>991</v>
      </c>
      <c r="J59" s="216" t="s">
        <v>33</v>
      </c>
      <c r="K59" s="216" t="s">
        <v>34</v>
      </c>
      <c r="L59" s="216" t="s">
        <v>35</v>
      </c>
      <c r="M59" s="216" t="s">
        <v>978</v>
      </c>
      <c r="N59" s="216" t="s">
        <v>442</v>
      </c>
      <c r="O59" s="216" t="s">
        <v>38</v>
      </c>
      <c r="P59" s="216" t="s">
        <v>1693</v>
      </c>
      <c r="Q59" s="216" t="s">
        <v>444</v>
      </c>
      <c r="R59" s="255" t="s">
        <v>41</v>
      </c>
      <c r="S59" s="260" t="s">
        <v>137</v>
      </c>
      <c r="T59" s="217" t="s">
        <v>110</v>
      </c>
      <c r="U59" s="215" t="s">
        <v>85</v>
      </c>
      <c r="V59" s="258" t="s">
        <v>44</v>
      </c>
      <c r="W59" s="215" t="s">
        <v>445</v>
      </c>
      <c r="X59" s="277" t="str">
        <f t="shared" si="1"/>
        <v>Time &amp; Speed</v>
      </c>
      <c r="Y59" s="383"/>
      <c r="Z59" s="383"/>
      <c r="AA59" s="384"/>
      <c r="AB59" s="383"/>
      <c r="AC59" s="254" t="s">
        <v>147</v>
      </c>
      <c r="AD59" s="215"/>
      <c r="AE59" s="388" t="s">
        <v>914</v>
      </c>
      <c r="AF59" s="389"/>
      <c r="AG59" s="389"/>
      <c r="AI59" s="419"/>
    </row>
    <row r="60" spans="1:35" s="361" customFormat="1" ht="40" customHeight="1">
      <c r="A60" s="216" t="s">
        <v>46</v>
      </c>
      <c r="B60" s="216" t="s">
        <v>438</v>
      </c>
      <c r="C60" s="216" t="s">
        <v>86</v>
      </c>
      <c r="D60" s="216" t="s">
        <v>140</v>
      </c>
      <c r="E60" s="254" t="s">
        <v>992</v>
      </c>
      <c r="F60" s="254" t="str">
        <f t="shared" si="2"/>
        <v>Process Objective</v>
      </c>
      <c r="G60" s="254" t="str">
        <f t="shared" si="2"/>
        <v xml:space="preserve">Improve  Service Level Performance </v>
      </c>
      <c r="H60" s="254" t="str">
        <f t="shared" si="2"/>
        <v>Achieve Customer Satisfaction target and improve</v>
      </c>
      <c r="I60" s="216" t="s">
        <v>993</v>
      </c>
      <c r="J60" s="216" t="s">
        <v>33</v>
      </c>
      <c r="K60" s="216" t="s">
        <v>34</v>
      </c>
      <c r="L60" s="216" t="s">
        <v>35</v>
      </c>
      <c r="M60" s="216" t="s">
        <v>978</v>
      </c>
      <c r="N60" s="216" t="s">
        <v>442</v>
      </c>
      <c r="O60" s="216" t="s">
        <v>38</v>
      </c>
      <c r="P60" s="216" t="s">
        <v>1694</v>
      </c>
      <c r="Q60" s="216" t="s">
        <v>444</v>
      </c>
      <c r="R60" s="255" t="s">
        <v>41</v>
      </c>
      <c r="S60" s="260" t="s">
        <v>137</v>
      </c>
      <c r="T60" s="217" t="s">
        <v>110</v>
      </c>
      <c r="U60" s="215" t="s">
        <v>85</v>
      </c>
      <c r="V60" s="258" t="s">
        <v>44</v>
      </c>
      <c r="W60" s="215" t="s">
        <v>445</v>
      </c>
      <c r="X60" s="277" t="str">
        <f t="shared" si="1"/>
        <v>Time &amp; Speed</v>
      </c>
      <c r="Y60" s="383"/>
      <c r="Z60" s="383"/>
      <c r="AA60" s="384"/>
      <c r="AB60" s="383"/>
      <c r="AC60" s="254" t="s">
        <v>147</v>
      </c>
      <c r="AD60" s="215"/>
      <c r="AE60" s="388" t="s">
        <v>914</v>
      </c>
      <c r="AF60" s="389"/>
      <c r="AG60" s="389"/>
      <c r="AI60" s="419"/>
    </row>
    <row r="61" spans="1:35" s="361" customFormat="1" ht="40" customHeight="1">
      <c r="A61" s="216" t="s">
        <v>46</v>
      </c>
      <c r="B61" s="216" t="s">
        <v>438</v>
      </c>
      <c r="C61" s="216" t="s">
        <v>86</v>
      </c>
      <c r="D61" s="216" t="s">
        <v>140</v>
      </c>
      <c r="E61" s="254" t="s">
        <v>994</v>
      </c>
      <c r="F61" s="254" t="str">
        <f t="shared" si="2"/>
        <v>Process Objective</v>
      </c>
      <c r="G61" s="254" t="str">
        <f t="shared" si="2"/>
        <v xml:space="preserve">Improve  Service Level Performance </v>
      </c>
      <c r="H61" s="254" t="str">
        <f t="shared" si="2"/>
        <v>Achieve Customer Satisfaction target and improve</v>
      </c>
      <c r="I61" s="216" t="s">
        <v>995</v>
      </c>
      <c r="J61" s="216" t="s">
        <v>33</v>
      </c>
      <c r="K61" s="216" t="s">
        <v>34</v>
      </c>
      <c r="L61" s="216" t="s">
        <v>35</v>
      </c>
      <c r="M61" s="216" t="s">
        <v>978</v>
      </c>
      <c r="N61" s="216" t="s">
        <v>442</v>
      </c>
      <c r="O61" s="216" t="s">
        <v>38</v>
      </c>
      <c r="P61" s="216" t="s">
        <v>1695</v>
      </c>
      <c r="Q61" s="216" t="s">
        <v>444</v>
      </c>
      <c r="R61" s="255" t="s">
        <v>41</v>
      </c>
      <c r="S61" s="260" t="s">
        <v>137</v>
      </c>
      <c r="T61" s="217" t="s">
        <v>110</v>
      </c>
      <c r="U61" s="215" t="s">
        <v>85</v>
      </c>
      <c r="V61" s="258" t="s">
        <v>44</v>
      </c>
      <c r="W61" s="215" t="s">
        <v>445</v>
      </c>
      <c r="X61" s="277" t="str">
        <f t="shared" si="1"/>
        <v>Time &amp; Speed</v>
      </c>
      <c r="Y61" s="383"/>
      <c r="Z61" s="383"/>
      <c r="AA61" s="384"/>
      <c r="AB61" s="383"/>
      <c r="AC61" s="254" t="s">
        <v>147</v>
      </c>
      <c r="AD61" s="215"/>
      <c r="AE61" s="388" t="s">
        <v>914</v>
      </c>
      <c r="AF61" s="389"/>
      <c r="AG61" s="389"/>
      <c r="AI61" s="419"/>
    </row>
    <row r="62" spans="1:35" s="361" customFormat="1" ht="40" customHeight="1">
      <c r="A62" s="216" t="s">
        <v>46</v>
      </c>
      <c r="B62" s="216" t="s">
        <v>438</v>
      </c>
      <c r="C62" s="216" t="s">
        <v>86</v>
      </c>
      <c r="D62" s="216" t="s">
        <v>140</v>
      </c>
      <c r="E62" s="254" t="s">
        <v>996</v>
      </c>
      <c r="F62" s="254" t="str">
        <f t="shared" si="2"/>
        <v>Process Objective</v>
      </c>
      <c r="G62" s="254" t="str">
        <f t="shared" si="2"/>
        <v xml:space="preserve">Improve  Service Level Performance </v>
      </c>
      <c r="H62" s="254" t="str">
        <f t="shared" si="2"/>
        <v>Achieve Customer Satisfaction target and improve</v>
      </c>
      <c r="I62" s="216" t="s">
        <v>997</v>
      </c>
      <c r="J62" s="216" t="s">
        <v>33</v>
      </c>
      <c r="K62" s="216" t="s">
        <v>34</v>
      </c>
      <c r="L62" s="216" t="s">
        <v>35</v>
      </c>
      <c r="M62" s="216" t="s">
        <v>978</v>
      </c>
      <c r="N62" s="216" t="s">
        <v>442</v>
      </c>
      <c r="O62" s="216" t="s">
        <v>38</v>
      </c>
      <c r="P62" s="216" t="s">
        <v>1696</v>
      </c>
      <c r="Q62" s="216" t="s">
        <v>444</v>
      </c>
      <c r="R62" s="255" t="s">
        <v>41</v>
      </c>
      <c r="S62" s="260" t="s">
        <v>137</v>
      </c>
      <c r="T62" s="217" t="s">
        <v>110</v>
      </c>
      <c r="U62" s="215" t="s">
        <v>85</v>
      </c>
      <c r="V62" s="258" t="s">
        <v>44</v>
      </c>
      <c r="W62" s="215" t="s">
        <v>445</v>
      </c>
      <c r="X62" s="277" t="str">
        <f t="shared" si="1"/>
        <v>Time &amp; Speed</v>
      </c>
      <c r="Y62" s="383"/>
      <c r="Z62" s="383"/>
      <c r="AA62" s="384"/>
      <c r="AB62" s="383"/>
      <c r="AC62" s="254" t="s">
        <v>147</v>
      </c>
      <c r="AD62" s="215"/>
      <c r="AE62" s="388" t="s">
        <v>914</v>
      </c>
      <c r="AF62" s="389"/>
      <c r="AG62" s="389"/>
      <c r="AI62" s="419"/>
    </row>
    <row r="63" spans="1:35" s="361" customFormat="1" ht="40" customHeight="1">
      <c r="A63" s="216" t="s">
        <v>46</v>
      </c>
      <c r="B63" s="216" t="s">
        <v>438</v>
      </c>
      <c r="C63" s="216" t="s">
        <v>86</v>
      </c>
      <c r="D63" s="216" t="s">
        <v>140</v>
      </c>
      <c r="E63" s="254" t="s">
        <v>998</v>
      </c>
      <c r="F63" s="254" t="str">
        <f t="shared" si="2"/>
        <v>Process Objective</v>
      </c>
      <c r="G63" s="254" t="str">
        <f t="shared" si="2"/>
        <v xml:space="preserve">Improve  Service Level Performance </v>
      </c>
      <c r="H63" s="254" t="str">
        <f t="shared" si="2"/>
        <v>Achieve Customer Satisfaction target and improve</v>
      </c>
      <c r="I63" s="216" t="s">
        <v>999</v>
      </c>
      <c r="J63" s="216" t="s">
        <v>33</v>
      </c>
      <c r="K63" s="216" t="s">
        <v>34</v>
      </c>
      <c r="L63" s="216" t="s">
        <v>35</v>
      </c>
      <c r="M63" s="216" t="s">
        <v>978</v>
      </c>
      <c r="N63" s="216" t="s">
        <v>442</v>
      </c>
      <c r="O63" s="216" t="s">
        <v>38</v>
      </c>
      <c r="P63" s="216" t="s">
        <v>1697</v>
      </c>
      <c r="Q63" s="216" t="s">
        <v>444</v>
      </c>
      <c r="R63" s="255" t="s">
        <v>41</v>
      </c>
      <c r="S63" s="260" t="s">
        <v>137</v>
      </c>
      <c r="T63" s="217" t="s">
        <v>110</v>
      </c>
      <c r="U63" s="215" t="s">
        <v>85</v>
      </c>
      <c r="V63" s="258" t="s">
        <v>44</v>
      </c>
      <c r="W63" s="215" t="s">
        <v>445</v>
      </c>
      <c r="X63" s="277" t="str">
        <f t="shared" si="1"/>
        <v>Time &amp; Speed</v>
      </c>
      <c r="Y63" s="383"/>
      <c r="Z63" s="383"/>
      <c r="AA63" s="384"/>
      <c r="AB63" s="383"/>
      <c r="AC63" s="254" t="s">
        <v>147</v>
      </c>
      <c r="AD63" s="215" t="s">
        <v>913</v>
      </c>
      <c r="AE63" s="388" t="s">
        <v>914</v>
      </c>
      <c r="AF63" s="389"/>
      <c r="AG63" s="389"/>
      <c r="AI63" s="419"/>
    </row>
    <row r="64" spans="1:35" s="361" customFormat="1" ht="40" customHeight="1">
      <c r="A64" s="216" t="s">
        <v>46</v>
      </c>
      <c r="B64" s="216" t="s">
        <v>94</v>
      </c>
      <c r="C64" s="216" t="s">
        <v>86</v>
      </c>
      <c r="D64" s="216" t="s">
        <v>154</v>
      </c>
      <c r="E64" s="254" t="s">
        <v>449</v>
      </c>
      <c r="F64" s="254" t="str">
        <f t="shared" si="2"/>
        <v>Process Objective</v>
      </c>
      <c r="G64" s="254" t="str">
        <f t="shared" si="2"/>
        <v>Improve Quality of Delivery</v>
      </c>
      <c r="H64" s="254" t="str">
        <f t="shared" si="2"/>
        <v>Achieve Customer Satisfaction target and improve</v>
      </c>
      <c r="I64" s="216" t="s">
        <v>450</v>
      </c>
      <c r="J64" s="216" t="s">
        <v>33</v>
      </c>
      <c r="K64" s="216" t="s">
        <v>34</v>
      </c>
      <c r="L64" s="216" t="s">
        <v>35</v>
      </c>
      <c r="M64" s="216" t="s">
        <v>978</v>
      </c>
      <c r="N64" s="216" t="s">
        <v>442</v>
      </c>
      <c r="O64" s="216" t="s">
        <v>38</v>
      </c>
      <c r="P64" s="216" t="s">
        <v>1698</v>
      </c>
      <c r="Q64" s="216" t="s">
        <v>1000</v>
      </c>
      <c r="R64" s="255" t="s">
        <v>1001</v>
      </c>
      <c r="S64" s="260" t="s">
        <v>137</v>
      </c>
      <c r="T64" s="217" t="s">
        <v>43</v>
      </c>
      <c r="U64" s="215" t="s">
        <v>85</v>
      </c>
      <c r="V64" s="258" t="s">
        <v>44</v>
      </c>
      <c r="W64" s="215"/>
      <c r="X64" s="277" t="str">
        <f t="shared" si="1"/>
        <v>Delivered Quality</v>
      </c>
      <c r="Y64" s="383">
        <v>100</v>
      </c>
      <c r="Z64" s="383">
        <v>95</v>
      </c>
      <c r="AA64" s="384"/>
      <c r="AB64" s="383" t="s">
        <v>940</v>
      </c>
      <c r="AC64" s="254" t="s">
        <v>147</v>
      </c>
      <c r="AD64" s="215"/>
      <c r="AE64" s="388" t="s">
        <v>914</v>
      </c>
      <c r="AF64" s="389"/>
      <c r="AG64" s="389"/>
      <c r="AI64" s="419"/>
    </row>
    <row r="65" spans="1:35" s="361" customFormat="1" ht="40" customHeight="1">
      <c r="A65" s="216" t="s">
        <v>46</v>
      </c>
      <c r="B65" s="216" t="s">
        <v>148</v>
      </c>
      <c r="C65" s="216" t="s">
        <v>86</v>
      </c>
      <c r="D65" s="216" t="s">
        <v>149</v>
      </c>
      <c r="E65" s="254" t="s">
        <v>461</v>
      </c>
      <c r="F65" s="254" t="str">
        <f t="shared" si="2"/>
        <v>Process Objective</v>
      </c>
      <c r="G65" s="254" t="str">
        <f t="shared" si="2"/>
        <v>Deliver committed scope</v>
      </c>
      <c r="H65" s="254" t="str">
        <f t="shared" si="2"/>
        <v>Achieve Customer Satisfaction target and improve</v>
      </c>
      <c r="I65" s="216" t="s">
        <v>462</v>
      </c>
      <c r="J65" s="216" t="s">
        <v>33</v>
      </c>
      <c r="K65" s="216" t="s">
        <v>265</v>
      </c>
      <c r="L65" s="216" t="s">
        <v>67</v>
      </c>
      <c r="M65" s="216" t="s">
        <v>978</v>
      </c>
      <c r="N65" s="216" t="s">
        <v>442</v>
      </c>
      <c r="O65" s="216" t="s">
        <v>38</v>
      </c>
      <c r="P65" s="216" t="s">
        <v>463</v>
      </c>
      <c r="Q65" s="216" t="s">
        <v>444</v>
      </c>
      <c r="R65" s="255" t="s">
        <v>41</v>
      </c>
      <c r="S65" s="260" t="s">
        <v>137</v>
      </c>
      <c r="T65" s="217" t="s">
        <v>110</v>
      </c>
      <c r="U65" s="215"/>
      <c r="V65" s="258" t="s">
        <v>79</v>
      </c>
      <c r="W65" s="215"/>
      <c r="X65" s="277" t="str">
        <f t="shared" si="1"/>
        <v>Scope</v>
      </c>
      <c r="Y65" s="383">
        <v>1</v>
      </c>
      <c r="Z65" s="383">
        <v>0.95</v>
      </c>
      <c r="AA65" s="384"/>
      <c r="AB65" s="383"/>
      <c r="AC65" s="254" t="s">
        <v>147</v>
      </c>
      <c r="AD65" s="215"/>
      <c r="AE65" s="388" t="s">
        <v>914</v>
      </c>
      <c r="AF65" s="389"/>
      <c r="AG65" s="389"/>
      <c r="AI65" s="419"/>
    </row>
    <row r="66" spans="1:35" s="361" customFormat="1" ht="40" customHeight="1">
      <c r="A66" s="216" t="s">
        <v>102</v>
      </c>
      <c r="B66" s="216" t="s">
        <v>468</v>
      </c>
      <c r="C66" s="216" t="s">
        <v>139</v>
      </c>
      <c r="D66" s="216" t="s">
        <v>140</v>
      </c>
      <c r="E66" s="254" t="s">
        <v>469</v>
      </c>
      <c r="F66" s="254" t="str">
        <f t="shared" si="2"/>
        <v>Sub-process Objective</v>
      </c>
      <c r="G66" s="254" t="str">
        <f t="shared" si="2"/>
        <v>Improve Sub-process Cycle time</v>
      </c>
      <c r="H66" s="254" t="str">
        <f t="shared" si="2"/>
        <v>Improve Ontime and Speed of Delivery</v>
      </c>
      <c r="I66" s="216" t="s">
        <v>1002</v>
      </c>
      <c r="J66" s="216" t="s">
        <v>33</v>
      </c>
      <c r="K66" s="216" t="s">
        <v>34</v>
      </c>
      <c r="L66" s="216" t="s">
        <v>35</v>
      </c>
      <c r="M66" s="216" t="s">
        <v>978</v>
      </c>
      <c r="N66" s="216" t="s">
        <v>1003</v>
      </c>
      <c r="O66" s="216" t="s">
        <v>38</v>
      </c>
      <c r="P66" s="216" t="s">
        <v>1699</v>
      </c>
      <c r="Q66" s="216" t="s">
        <v>467</v>
      </c>
      <c r="R66" s="255" t="s">
        <v>41</v>
      </c>
      <c r="S66" s="260" t="s">
        <v>137</v>
      </c>
      <c r="T66" s="217" t="s">
        <v>110</v>
      </c>
      <c r="U66" s="215" t="s">
        <v>85</v>
      </c>
      <c r="V66" s="258" t="s">
        <v>79</v>
      </c>
      <c r="W66" s="215" t="s">
        <v>474</v>
      </c>
      <c r="X66" s="277" t="str">
        <f t="shared" si="1"/>
        <v>Time &amp; Speed</v>
      </c>
      <c r="Y66" s="383">
        <v>95</v>
      </c>
      <c r="Z66" s="383">
        <v>90</v>
      </c>
      <c r="AA66" s="384"/>
      <c r="AB66" s="383"/>
      <c r="AC66" s="254" t="s">
        <v>147</v>
      </c>
      <c r="AD66" s="215"/>
      <c r="AE66" s="388" t="s">
        <v>914</v>
      </c>
      <c r="AF66" s="389"/>
      <c r="AG66" s="389"/>
      <c r="AI66" s="419"/>
    </row>
    <row r="67" spans="1:35" s="361" customFormat="1" ht="40" customHeight="1">
      <c r="A67" s="216" t="s">
        <v>102</v>
      </c>
      <c r="B67" s="216" t="s">
        <v>468</v>
      </c>
      <c r="C67" s="216" t="s">
        <v>139</v>
      </c>
      <c r="D67" s="216" t="s">
        <v>140</v>
      </c>
      <c r="E67" s="254" t="s">
        <v>1004</v>
      </c>
      <c r="F67" s="254" t="str">
        <f t="shared" si="2"/>
        <v>Sub-process Objective</v>
      </c>
      <c r="G67" s="254" t="str">
        <f t="shared" si="2"/>
        <v>Improve Sub-process Cycle time</v>
      </c>
      <c r="H67" s="254" t="str">
        <f t="shared" si="2"/>
        <v>Improve Ontime and Speed of Delivery</v>
      </c>
      <c r="I67" s="216" t="s">
        <v>476</v>
      </c>
      <c r="J67" s="216" t="s">
        <v>477</v>
      </c>
      <c r="K67" s="216" t="s">
        <v>265</v>
      </c>
      <c r="L67" s="216" t="s">
        <v>61</v>
      </c>
      <c r="M67" s="216" t="s">
        <v>478</v>
      </c>
      <c r="N67" s="216" t="s">
        <v>442</v>
      </c>
      <c r="O67" s="216" t="s">
        <v>38</v>
      </c>
      <c r="P67" s="216" t="s">
        <v>479</v>
      </c>
      <c r="Q67" s="216" t="s">
        <v>467</v>
      </c>
      <c r="R67" s="255" t="s">
        <v>41</v>
      </c>
      <c r="S67" s="260" t="s">
        <v>137</v>
      </c>
      <c r="T67" s="217" t="s">
        <v>110</v>
      </c>
      <c r="U67" s="215"/>
      <c r="V67" s="258" t="s">
        <v>79</v>
      </c>
      <c r="W67" s="215" t="s">
        <v>445</v>
      </c>
      <c r="X67" s="277" t="str">
        <f t="shared" si="1"/>
        <v>Time &amp; Speed</v>
      </c>
      <c r="Y67" s="383"/>
      <c r="Z67" s="383"/>
      <c r="AA67" s="384"/>
      <c r="AB67" s="383"/>
      <c r="AC67" s="254" t="s">
        <v>598</v>
      </c>
      <c r="AD67" s="215"/>
      <c r="AE67" s="388" t="s">
        <v>914</v>
      </c>
      <c r="AF67" s="389"/>
      <c r="AG67" s="389"/>
      <c r="AI67" s="419"/>
    </row>
    <row r="68" spans="1:35" s="361" customFormat="1" ht="40" customHeight="1">
      <c r="A68" s="216" t="s">
        <v>102</v>
      </c>
      <c r="B68" s="216" t="s">
        <v>468</v>
      </c>
      <c r="C68" s="216" t="s">
        <v>139</v>
      </c>
      <c r="D68" s="216" t="s">
        <v>140</v>
      </c>
      <c r="E68" s="254" t="s">
        <v>480</v>
      </c>
      <c r="F68" s="254" t="str">
        <f t="shared" si="2"/>
        <v>Sub-process Objective</v>
      </c>
      <c r="G68" s="254" t="str">
        <f t="shared" si="2"/>
        <v>Improve Sub-process Cycle time</v>
      </c>
      <c r="H68" s="254" t="str">
        <f t="shared" si="2"/>
        <v>Improve Ontime and Speed of Delivery</v>
      </c>
      <c r="I68" s="216" t="s">
        <v>481</v>
      </c>
      <c r="J68" s="216" t="s">
        <v>482</v>
      </c>
      <c r="K68" s="216" t="s">
        <v>265</v>
      </c>
      <c r="L68" s="216" t="s">
        <v>61</v>
      </c>
      <c r="M68" s="216" t="s">
        <v>478</v>
      </c>
      <c r="N68" s="216" t="s">
        <v>442</v>
      </c>
      <c r="O68" s="216" t="s">
        <v>38</v>
      </c>
      <c r="P68" s="216" t="s">
        <v>483</v>
      </c>
      <c r="Q68" s="216" t="s">
        <v>467</v>
      </c>
      <c r="R68" s="255" t="s">
        <v>41</v>
      </c>
      <c r="S68" s="260" t="s">
        <v>137</v>
      </c>
      <c r="T68" s="217" t="s">
        <v>110</v>
      </c>
      <c r="U68" s="215"/>
      <c r="V68" s="258" t="s">
        <v>79</v>
      </c>
      <c r="W68" s="215" t="s">
        <v>445</v>
      </c>
      <c r="X68" s="277" t="str">
        <f t="shared" si="1"/>
        <v>Time &amp; Speed</v>
      </c>
      <c r="Y68" s="383"/>
      <c r="Z68" s="383"/>
      <c r="AA68" s="384"/>
      <c r="AB68" s="383"/>
      <c r="AC68" s="254" t="s">
        <v>598</v>
      </c>
      <c r="AD68" s="215"/>
      <c r="AE68" s="388" t="s">
        <v>914</v>
      </c>
      <c r="AF68" s="389"/>
      <c r="AG68" s="389"/>
      <c r="AI68" s="419"/>
    </row>
    <row r="69" spans="1:35" s="361" customFormat="1" ht="40" customHeight="1">
      <c r="A69" s="216" t="s">
        <v>46</v>
      </c>
      <c r="B69" s="216" t="s">
        <v>438</v>
      </c>
      <c r="C69" s="216" t="s">
        <v>86</v>
      </c>
      <c r="D69" s="216" t="s">
        <v>72</v>
      </c>
      <c r="E69" s="254" t="s">
        <v>484</v>
      </c>
      <c r="F69" s="254" t="str">
        <f t="shared" si="2"/>
        <v>Process Objective</v>
      </c>
      <c r="G69" s="254" t="str">
        <f t="shared" si="2"/>
        <v xml:space="preserve">Improve  Service Level Performance </v>
      </c>
      <c r="H69" s="254" t="str">
        <f t="shared" si="2"/>
        <v>Achieve Customer Satisfaction target and improve</v>
      </c>
      <c r="I69" s="216" t="s">
        <v>1005</v>
      </c>
      <c r="J69" s="216" t="s">
        <v>33</v>
      </c>
      <c r="K69" s="216" t="s">
        <v>34</v>
      </c>
      <c r="L69" s="216" t="s">
        <v>35</v>
      </c>
      <c r="M69" s="216" t="s">
        <v>478</v>
      </c>
      <c r="N69" s="216" t="s">
        <v>442</v>
      </c>
      <c r="O69" s="216" t="s">
        <v>38</v>
      </c>
      <c r="P69" s="216" t="s">
        <v>1705</v>
      </c>
      <c r="Q69" s="216" t="s">
        <v>487</v>
      </c>
      <c r="R69" s="255" t="s">
        <v>41</v>
      </c>
      <c r="S69" s="260" t="s">
        <v>137</v>
      </c>
      <c r="T69" s="217" t="s">
        <v>110</v>
      </c>
      <c r="U69" s="215" t="s">
        <v>85</v>
      </c>
      <c r="V69" s="258" t="s">
        <v>79</v>
      </c>
      <c r="W69" s="215"/>
      <c r="X69" s="277" t="str">
        <f t="shared" ref="X69:X84" si="11">IF(D69&lt;&gt;"",D69,"")</f>
        <v>Efficiency</v>
      </c>
      <c r="Y69" s="383"/>
      <c r="Z69" s="383"/>
      <c r="AA69" s="384"/>
      <c r="AB69" s="383"/>
      <c r="AC69" s="254" t="s">
        <v>598</v>
      </c>
      <c r="AD69" s="215" t="s">
        <v>913</v>
      </c>
      <c r="AE69" s="388" t="s">
        <v>914</v>
      </c>
      <c r="AF69" s="389"/>
      <c r="AG69" s="389"/>
      <c r="AI69" s="419"/>
    </row>
    <row r="70" spans="1:35" s="361" customFormat="1" ht="40" customHeight="1">
      <c r="A70" s="216" t="s">
        <v>46</v>
      </c>
      <c r="B70" s="216" t="s">
        <v>148</v>
      </c>
      <c r="C70" s="216" t="s">
        <v>86</v>
      </c>
      <c r="D70" s="216" t="s">
        <v>149</v>
      </c>
      <c r="E70" s="254" t="s">
        <v>488</v>
      </c>
      <c r="F70" s="254" t="str">
        <f t="shared" si="2"/>
        <v>Process Objective</v>
      </c>
      <c r="G70" s="254" t="str">
        <f t="shared" si="2"/>
        <v>Deliver committed scope</v>
      </c>
      <c r="H70" s="254" t="str">
        <f t="shared" si="2"/>
        <v>Achieve Customer Satisfaction target and improve</v>
      </c>
      <c r="I70" s="216" t="s">
        <v>1006</v>
      </c>
      <c r="J70" s="216" t="s">
        <v>33</v>
      </c>
      <c r="K70" s="216" t="s">
        <v>51</v>
      </c>
      <c r="L70" s="216" t="s">
        <v>61</v>
      </c>
      <c r="M70" s="216" t="s">
        <v>490</v>
      </c>
      <c r="N70" s="216" t="s">
        <v>442</v>
      </c>
      <c r="O70" s="216" t="s">
        <v>38</v>
      </c>
      <c r="P70" s="216" t="s">
        <v>491</v>
      </c>
      <c r="Q70" s="216" t="s">
        <v>467</v>
      </c>
      <c r="R70" s="255" t="s">
        <v>41</v>
      </c>
      <c r="S70" s="260" t="s">
        <v>137</v>
      </c>
      <c r="T70" s="217" t="s">
        <v>110</v>
      </c>
      <c r="U70" s="215" t="s">
        <v>85</v>
      </c>
      <c r="V70" s="258" t="s">
        <v>79</v>
      </c>
      <c r="W70" s="215"/>
      <c r="X70" s="277" t="str">
        <f t="shared" si="11"/>
        <v>Scope</v>
      </c>
      <c r="Y70" s="383"/>
      <c r="Z70" s="383"/>
      <c r="AA70" s="384"/>
      <c r="AB70" s="383"/>
      <c r="AC70" s="254" t="s">
        <v>147</v>
      </c>
      <c r="AD70" s="215"/>
      <c r="AE70" s="388" t="s">
        <v>914</v>
      </c>
      <c r="AF70" s="389"/>
      <c r="AG70" s="389"/>
      <c r="AI70" s="419"/>
    </row>
    <row r="71" spans="1:35" s="361" customFormat="1" ht="40" customHeight="1">
      <c r="A71" s="216" t="s">
        <v>102</v>
      </c>
      <c r="B71" s="216" t="s">
        <v>262</v>
      </c>
      <c r="C71" s="216" t="s">
        <v>57</v>
      </c>
      <c r="D71" s="216" t="s">
        <v>72</v>
      </c>
      <c r="E71" s="254" t="s">
        <v>495</v>
      </c>
      <c r="F71" s="254" t="str">
        <f t="shared" si="2"/>
        <v>Sub-process Objective</v>
      </c>
      <c r="G71" s="254" t="str">
        <f t="shared" si="2"/>
        <v xml:space="preserve">Improve Sub-process Productivity </v>
      </c>
      <c r="H71" s="254" t="str">
        <f t="shared" si="2"/>
        <v>Improve Productivity and Cost Efficiency</v>
      </c>
      <c r="I71" s="216" t="s">
        <v>1007</v>
      </c>
      <c r="J71" s="216" t="s">
        <v>497</v>
      </c>
      <c r="K71" s="216" t="s">
        <v>51</v>
      </c>
      <c r="L71" s="216" t="s">
        <v>35</v>
      </c>
      <c r="M71" s="216" t="s">
        <v>498</v>
      </c>
      <c r="N71" s="216" t="s">
        <v>499</v>
      </c>
      <c r="O71" s="216" t="s">
        <v>38</v>
      </c>
      <c r="P71" s="216" t="s">
        <v>1722</v>
      </c>
      <c r="Q71" s="216" t="s">
        <v>501</v>
      </c>
      <c r="R71" s="255" t="s">
        <v>437</v>
      </c>
      <c r="S71" s="260" t="s">
        <v>84</v>
      </c>
      <c r="T71" s="217" t="s">
        <v>43</v>
      </c>
      <c r="U71" s="215" t="s">
        <v>85</v>
      </c>
      <c r="V71" s="258" t="s">
        <v>79</v>
      </c>
      <c r="W71" s="215"/>
      <c r="X71" s="277" t="str">
        <f t="shared" si="11"/>
        <v>Efficiency</v>
      </c>
      <c r="Y71" s="383"/>
      <c r="Z71" s="383"/>
      <c r="AA71" s="384"/>
      <c r="AB71" s="383"/>
      <c r="AC71" s="254" t="s">
        <v>147</v>
      </c>
      <c r="AD71" s="215"/>
      <c r="AE71" s="388" t="s">
        <v>914</v>
      </c>
      <c r="AF71" s="389"/>
      <c r="AG71" s="389"/>
      <c r="AI71" s="419"/>
    </row>
    <row r="72" spans="1:35" s="361" customFormat="1" ht="40" customHeight="1">
      <c r="A72" s="216" t="s">
        <v>102</v>
      </c>
      <c r="B72" s="216" t="s">
        <v>262</v>
      </c>
      <c r="C72" s="216" t="s">
        <v>57</v>
      </c>
      <c r="D72" s="216" t="s">
        <v>72</v>
      </c>
      <c r="E72" s="254" t="s">
        <v>502</v>
      </c>
      <c r="F72" s="254" t="str">
        <f t="shared" si="2"/>
        <v>Sub-process Objective</v>
      </c>
      <c r="G72" s="254" t="str">
        <f t="shared" si="2"/>
        <v xml:space="preserve">Improve Sub-process Productivity </v>
      </c>
      <c r="H72" s="254" t="str">
        <f t="shared" si="2"/>
        <v>Improve Productivity and Cost Efficiency</v>
      </c>
      <c r="I72" s="216" t="s">
        <v>1008</v>
      </c>
      <c r="J72" s="216" t="s">
        <v>497</v>
      </c>
      <c r="K72" s="216" t="s">
        <v>51</v>
      </c>
      <c r="L72" s="216" t="s">
        <v>35</v>
      </c>
      <c r="M72" s="216" t="s">
        <v>498</v>
      </c>
      <c r="N72" s="216" t="s">
        <v>499</v>
      </c>
      <c r="O72" s="216" t="s">
        <v>38</v>
      </c>
      <c r="P72" s="216" t="s">
        <v>1723</v>
      </c>
      <c r="Q72" s="216" t="s">
        <v>501</v>
      </c>
      <c r="R72" s="255" t="s">
        <v>437</v>
      </c>
      <c r="S72" s="260" t="s">
        <v>84</v>
      </c>
      <c r="T72" s="217" t="s">
        <v>43</v>
      </c>
      <c r="U72" s="215" t="s">
        <v>85</v>
      </c>
      <c r="V72" s="258" t="s">
        <v>79</v>
      </c>
      <c r="W72" s="215"/>
      <c r="X72" s="277" t="str">
        <f t="shared" si="11"/>
        <v>Efficiency</v>
      </c>
      <c r="Y72" s="383"/>
      <c r="Z72" s="383"/>
      <c r="AA72" s="384"/>
      <c r="AB72" s="383"/>
      <c r="AC72" s="254" t="s">
        <v>147</v>
      </c>
      <c r="AD72" s="215"/>
      <c r="AE72" s="388" t="s">
        <v>914</v>
      </c>
      <c r="AF72" s="389"/>
      <c r="AG72" s="389"/>
      <c r="AI72" s="419"/>
    </row>
    <row r="73" spans="1:35" s="361" customFormat="1" ht="40" customHeight="1">
      <c r="A73" s="216" t="s">
        <v>102</v>
      </c>
      <c r="B73" s="216" t="s">
        <v>281</v>
      </c>
      <c r="C73" s="216" t="s">
        <v>94</v>
      </c>
      <c r="D73" s="216" t="s">
        <v>149</v>
      </c>
      <c r="E73" s="254" t="s">
        <v>505</v>
      </c>
      <c r="F73" s="254" t="str">
        <f t="shared" si="2"/>
        <v>Sub-process Objective</v>
      </c>
      <c r="G73" s="254" t="str">
        <f t="shared" si="2"/>
        <v>Improve Internal Quality</v>
      </c>
      <c r="H73" s="254" t="str">
        <f t="shared" si="2"/>
        <v>Improve Quality of Delivery</v>
      </c>
      <c r="I73" s="216" t="s">
        <v>506</v>
      </c>
      <c r="J73" s="216" t="s">
        <v>33</v>
      </c>
      <c r="K73" s="216" t="s">
        <v>51</v>
      </c>
      <c r="L73" s="216" t="s">
        <v>35</v>
      </c>
      <c r="M73" s="216" t="s">
        <v>507</v>
      </c>
      <c r="N73" s="216" t="s">
        <v>508</v>
      </c>
      <c r="O73" s="216" t="s">
        <v>38</v>
      </c>
      <c r="P73" s="216" t="s">
        <v>1700</v>
      </c>
      <c r="Q73" s="216" t="s">
        <v>510</v>
      </c>
      <c r="R73" s="255" t="s">
        <v>437</v>
      </c>
      <c r="S73" s="260" t="s">
        <v>84</v>
      </c>
      <c r="T73" s="217" t="s">
        <v>110</v>
      </c>
      <c r="U73" s="215" t="s">
        <v>85</v>
      </c>
      <c r="V73" s="258" t="s">
        <v>79</v>
      </c>
      <c r="W73" s="215"/>
      <c r="X73" s="277" t="str">
        <f t="shared" si="11"/>
        <v>Scope</v>
      </c>
      <c r="Y73" s="383">
        <v>100</v>
      </c>
      <c r="Z73" s="383">
        <v>95</v>
      </c>
      <c r="AA73" s="384"/>
      <c r="AB73" s="383"/>
      <c r="AC73" s="254" t="s">
        <v>147</v>
      </c>
      <c r="AD73" s="215"/>
      <c r="AE73" s="388" t="s">
        <v>914</v>
      </c>
      <c r="AF73" s="389"/>
      <c r="AG73" s="389"/>
      <c r="AI73" s="419"/>
    </row>
    <row r="74" spans="1:35" s="361" customFormat="1" ht="40" customHeight="1">
      <c r="A74" s="216" t="s">
        <v>102</v>
      </c>
      <c r="B74" s="216" t="s">
        <v>281</v>
      </c>
      <c r="C74" s="216" t="s">
        <v>94</v>
      </c>
      <c r="D74" s="216" t="s">
        <v>149</v>
      </c>
      <c r="E74" s="254" t="s">
        <v>515</v>
      </c>
      <c r="F74" s="254" t="str">
        <f t="shared" si="2"/>
        <v>Sub-process Objective</v>
      </c>
      <c r="G74" s="254" t="str">
        <f t="shared" si="2"/>
        <v>Improve Internal Quality</v>
      </c>
      <c r="H74" s="254" t="str">
        <f t="shared" si="2"/>
        <v>Improve Quality of Delivery</v>
      </c>
      <c r="I74" s="216" t="s">
        <v>516</v>
      </c>
      <c r="J74" s="216" t="s">
        <v>33</v>
      </c>
      <c r="K74" s="216" t="s">
        <v>51</v>
      </c>
      <c r="L74" s="216" t="s">
        <v>35</v>
      </c>
      <c r="M74" s="216" t="s">
        <v>507</v>
      </c>
      <c r="N74" s="216" t="s">
        <v>508</v>
      </c>
      <c r="O74" s="216" t="s">
        <v>38</v>
      </c>
      <c r="P74" s="216" t="s">
        <v>517</v>
      </c>
      <c r="Q74" s="216" t="s">
        <v>518</v>
      </c>
      <c r="R74" s="255" t="s">
        <v>437</v>
      </c>
      <c r="S74" s="260" t="s">
        <v>84</v>
      </c>
      <c r="T74" s="217" t="s">
        <v>110</v>
      </c>
      <c r="U74" s="215" t="s">
        <v>85</v>
      </c>
      <c r="V74" s="258" t="s">
        <v>79</v>
      </c>
      <c r="W74" s="215" t="s">
        <v>519</v>
      </c>
      <c r="X74" s="277" t="str">
        <f t="shared" si="11"/>
        <v>Scope</v>
      </c>
      <c r="Y74" s="383">
        <v>90</v>
      </c>
      <c r="Z74" s="383">
        <v>80</v>
      </c>
      <c r="AA74" s="384"/>
      <c r="AB74" s="383"/>
      <c r="AC74" s="254" t="s">
        <v>147</v>
      </c>
      <c r="AD74" s="215"/>
      <c r="AE74" s="388" t="s">
        <v>914</v>
      </c>
      <c r="AF74" s="389"/>
      <c r="AG74" s="389"/>
      <c r="AI74" s="419"/>
    </row>
    <row r="75" spans="1:35" s="361" customFormat="1" ht="40" customHeight="1">
      <c r="A75" s="216" t="s">
        <v>46</v>
      </c>
      <c r="B75" s="216" t="s">
        <v>94</v>
      </c>
      <c r="C75" s="216" t="s">
        <v>86</v>
      </c>
      <c r="D75" s="216" t="s">
        <v>95</v>
      </c>
      <c r="E75" s="254" t="s">
        <v>520</v>
      </c>
      <c r="F75" s="254" t="str">
        <f t="shared" si="2"/>
        <v>Process Objective</v>
      </c>
      <c r="G75" s="254" t="str">
        <f t="shared" si="2"/>
        <v>Improve Quality of Delivery</v>
      </c>
      <c r="H75" s="254" t="str">
        <f t="shared" si="2"/>
        <v>Achieve Customer Satisfaction target and improve</v>
      </c>
      <c r="I75" s="216" t="s">
        <v>521</v>
      </c>
      <c r="J75" s="216" t="s">
        <v>33</v>
      </c>
      <c r="K75" s="216" t="s">
        <v>51</v>
      </c>
      <c r="L75" s="216" t="s">
        <v>35</v>
      </c>
      <c r="M75" s="216" t="s">
        <v>507</v>
      </c>
      <c r="N75" s="216" t="s">
        <v>508</v>
      </c>
      <c r="O75" s="216" t="s">
        <v>38</v>
      </c>
      <c r="P75" s="216" t="s">
        <v>1724</v>
      </c>
      <c r="Q75" s="216" t="s">
        <v>523</v>
      </c>
      <c r="R75" s="255" t="s">
        <v>437</v>
      </c>
      <c r="S75" s="260" t="s">
        <v>84</v>
      </c>
      <c r="T75" s="217" t="s">
        <v>43</v>
      </c>
      <c r="U75" s="215" t="s">
        <v>85</v>
      </c>
      <c r="V75" s="258" t="s">
        <v>79</v>
      </c>
      <c r="W75" s="215"/>
      <c r="X75" s="277" t="str">
        <f t="shared" si="11"/>
        <v>Internal Quality</v>
      </c>
      <c r="Y75" s="383">
        <v>100</v>
      </c>
      <c r="Z75" s="383">
        <v>95</v>
      </c>
      <c r="AA75" s="384"/>
      <c r="AB75" s="383"/>
      <c r="AC75" s="254" t="s">
        <v>147</v>
      </c>
      <c r="AD75" s="215"/>
      <c r="AE75" s="388" t="s">
        <v>914</v>
      </c>
      <c r="AF75" s="389"/>
      <c r="AG75" s="389"/>
      <c r="AI75" s="419"/>
    </row>
    <row r="76" spans="1:35" s="361" customFormat="1" ht="40" customHeight="1">
      <c r="A76" s="216" t="s">
        <v>46</v>
      </c>
      <c r="B76" s="216" t="s">
        <v>94</v>
      </c>
      <c r="C76" s="216" t="s">
        <v>86</v>
      </c>
      <c r="D76" s="216" t="s">
        <v>95</v>
      </c>
      <c r="E76" s="254" t="s">
        <v>524</v>
      </c>
      <c r="F76" s="254" t="str">
        <f t="shared" si="2"/>
        <v>Process Objective</v>
      </c>
      <c r="G76" s="254" t="str">
        <f t="shared" si="2"/>
        <v>Improve Quality of Delivery</v>
      </c>
      <c r="H76" s="254" t="str">
        <f t="shared" si="2"/>
        <v>Achieve Customer Satisfaction target and improve</v>
      </c>
      <c r="I76" s="216" t="s">
        <v>525</v>
      </c>
      <c r="J76" s="216" t="s">
        <v>33</v>
      </c>
      <c r="K76" s="216" t="s">
        <v>51</v>
      </c>
      <c r="L76" s="216" t="s">
        <v>61</v>
      </c>
      <c r="M76" s="216" t="s">
        <v>507</v>
      </c>
      <c r="N76" s="216" t="s">
        <v>508</v>
      </c>
      <c r="O76" s="216" t="s">
        <v>38</v>
      </c>
      <c r="P76" s="216" t="s">
        <v>1725</v>
      </c>
      <c r="Q76" s="216" t="s">
        <v>518</v>
      </c>
      <c r="R76" s="255" t="s">
        <v>437</v>
      </c>
      <c r="S76" s="260" t="s">
        <v>84</v>
      </c>
      <c r="T76" s="217" t="s">
        <v>110</v>
      </c>
      <c r="U76" s="215" t="s">
        <v>85</v>
      </c>
      <c r="V76" s="258" t="s">
        <v>79</v>
      </c>
      <c r="W76" s="215" t="s">
        <v>519</v>
      </c>
      <c r="X76" s="277" t="str">
        <f t="shared" si="11"/>
        <v>Internal Quality</v>
      </c>
      <c r="Y76" s="383">
        <v>0</v>
      </c>
      <c r="Z76" s="383"/>
      <c r="AA76" s="384">
        <v>3</v>
      </c>
      <c r="AB76" s="383"/>
      <c r="AC76" s="254" t="s">
        <v>147</v>
      </c>
      <c r="AD76" s="215"/>
      <c r="AE76" s="388" t="s">
        <v>914</v>
      </c>
      <c r="AF76" s="389"/>
      <c r="AG76" s="389"/>
      <c r="AI76" s="419"/>
    </row>
    <row r="77" spans="1:35" s="361" customFormat="1" ht="40" customHeight="1">
      <c r="A77" s="216" t="s">
        <v>46</v>
      </c>
      <c r="B77" s="216" t="s">
        <v>94</v>
      </c>
      <c r="C77" s="216" t="s">
        <v>86</v>
      </c>
      <c r="D77" s="216" t="s">
        <v>154</v>
      </c>
      <c r="E77" s="254" t="s">
        <v>893</v>
      </c>
      <c r="F77" s="254" t="s">
        <v>46</v>
      </c>
      <c r="G77" s="254" t="s">
        <v>94</v>
      </c>
      <c r="H77" s="254" t="s">
        <v>86</v>
      </c>
      <c r="I77" s="216" t="s">
        <v>1009</v>
      </c>
      <c r="J77" s="216" t="s">
        <v>33</v>
      </c>
      <c r="K77" s="216" t="s">
        <v>34</v>
      </c>
      <c r="L77" s="216" t="s">
        <v>35</v>
      </c>
      <c r="M77" s="216" t="s">
        <v>507</v>
      </c>
      <c r="N77" s="216" t="s">
        <v>532</v>
      </c>
      <c r="O77" s="216" t="s">
        <v>38</v>
      </c>
      <c r="P77" s="216" t="s">
        <v>533</v>
      </c>
      <c r="Q77" s="216" t="s">
        <v>523</v>
      </c>
      <c r="R77" s="255" t="s">
        <v>1010</v>
      </c>
      <c r="S77" s="260" t="s">
        <v>84</v>
      </c>
      <c r="T77" s="217" t="s">
        <v>43</v>
      </c>
      <c r="U77" s="215" t="s">
        <v>85</v>
      </c>
      <c r="V77" s="258" t="s">
        <v>44</v>
      </c>
      <c r="W77" s="215"/>
      <c r="X77" s="277" t="str">
        <f t="shared" si="11"/>
        <v>Delivered Quality</v>
      </c>
      <c r="Y77" s="383">
        <v>0</v>
      </c>
      <c r="Z77" s="383"/>
      <c r="AA77" s="384">
        <v>5</v>
      </c>
      <c r="AB77" s="383"/>
      <c r="AC77" s="254" t="s">
        <v>147</v>
      </c>
      <c r="AD77" s="215"/>
      <c r="AE77" s="388" t="s">
        <v>914</v>
      </c>
      <c r="AF77" s="389"/>
      <c r="AG77" s="389"/>
      <c r="AI77" s="419"/>
    </row>
    <row r="78" spans="1:35" s="361" customFormat="1" ht="40" customHeight="1">
      <c r="A78" s="216" t="s">
        <v>46</v>
      </c>
      <c r="B78" s="216" t="s">
        <v>94</v>
      </c>
      <c r="C78" s="216" t="s">
        <v>86</v>
      </c>
      <c r="D78" s="216" t="s">
        <v>154</v>
      </c>
      <c r="E78" s="254" t="s">
        <v>530</v>
      </c>
      <c r="F78" s="254" t="str">
        <f t="shared" si="2"/>
        <v>Process Objective</v>
      </c>
      <c r="G78" s="254" t="str">
        <f t="shared" si="2"/>
        <v>Improve Quality of Delivery</v>
      </c>
      <c r="H78" s="254" t="str">
        <f t="shared" si="2"/>
        <v>Achieve Customer Satisfaction target and improve</v>
      </c>
      <c r="I78" s="216" t="s">
        <v>1011</v>
      </c>
      <c r="J78" s="216" t="s">
        <v>33</v>
      </c>
      <c r="K78" s="216" t="s">
        <v>34</v>
      </c>
      <c r="L78" s="216" t="s">
        <v>35</v>
      </c>
      <c r="M78" s="216" t="s">
        <v>507</v>
      </c>
      <c r="N78" s="216" t="s">
        <v>532</v>
      </c>
      <c r="O78" s="216" t="s">
        <v>38</v>
      </c>
      <c r="P78" s="216" t="s">
        <v>533</v>
      </c>
      <c r="Q78" s="216" t="s">
        <v>523</v>
      </c>
      <c r="R78" s="255" t="s">
        <v>1010</v>
      </c>
      <c r="S78" s="260" t="s">
        <v>84</v>
      </c>
      <c r="T78" s="217" t="s">
        <v>43</v>
      </c>
      <c r="U78" s="215" t="s">
        <v>85</v>
      </c>
      <c r="V78" s="258" t="s">
        <v>44</v>
      </c>
      <c r="W78" s="215"/>
      <c r="X78" s="277" t="str">
        <f t="shared" si="11"/>
        <v>Delivered Quality</v>
      </c>
      <c r="Y78" s="383">
        <v>97</v>
      </c>
      <c r="Z78" s="383">
        <v>95</v>
      </c>
      <c r="AA78" s="384"/>
      <c r="AB78" s="383" t="s">
        <v>940</v>
      </c>
      <c r="AC78" s="254" t="s">
        <v>147</v>
      </c>
      <c r="AD78" s="215"/>
      <c r="AE78" s="388" t="s">
        <v>914</v>
      </c>
      <c r="AF78" s="389"/>
      <c r="AG78" s="389"/>
      <c r="AI78" s="419"/>
    </row>
    <row r="79" spans="1:35" ht="40" customHeight="1">
      <c r="A79" s="216" t="s">
        <v>46</v>
      </c>
      <c r="B79" s="216" t="s">
        <v>94</v>
      </c>
      <c r="C79" s="216" t="s">
        <v>86</v>
      </c>
      <c r="D79" s="216" t="s">
        <v>154</v>
      </c>
      <c r="E79" s="254" t="s">
        <v>1012</v>
      </c>
      <c r="F79" s="254" t="s">
        <v>46</v>
      </c>
      <c r="G79" s="254" t="s">
        <v>94</v>
      </c>
      <c r="H79" s="254" t="s">
        <v>86</v>
      </c>
      <c r="I79" s="216" t="s">
        <v>1013</v>
      </c>
      <c r="J79" s="216" t="s">
        <v>33</v>
      </c>
      <c r="K79" s="216" t="s">
        <v>34</v>
      </c>
      <c r="L79" s="216" t="s">
        <v>35</v>
      </c>
      <c r="M79" s="216" t="s">
        <v>1014</v>
      </c>
      <c r="N79" s="216" t="s">
        <v>532</v>
      </c>
      <c r="O79" s="216" t="s">
        <v>38</v>
      </c>
      <c r="P79" s="216" t="s">
        <v>1726</v>
      </c>
      <c r="Q79" s="216" t="s">
        <v>523</v>
      </c>
      <c r="R79" s="255" t="s">
        <v>1010</v>
      </c>
      <c r="S79" s="256" t="s">
        <v>84</v>
      </c>
      <c r="T79" s="257" t="s">
        <v>43</v>
      </c>
      <c r="U79" s="215" t="s">
        <v>85</v>
      </c>
      <c r="V79" s="262" t="s">
        <v>44</v>
      </c>
      <c r="W79" s="215"/>
      <c r="X79" s="277" t="str">
        <f t="shared" si="11"/>
        <v>Delivered Quality</v>
      </c>
      <c r="Y79" s="383">
        <v>95</v>
      </c>
      <c r="Z79" s="383"/>
      <c r="AA79" s="384" t="s">
        <v>940</v>
      </c>
      <c r="AB79" s="383"/>
      <c r="AC79" s="254" t="s">
        <v>147</v>
      </c>
      <c r="AD79" s="215"/>
      <c r="AE79" s="388" t="s">
        <v>914</v>
      </c>
      <c r="AF79" s="389"/>
      <c r="AG79" s="389"/>
      <c r="AH79" s="361"/>
    </row>
    <row r="80" spans="1:35" ht="40" customHeight="1">
      <c r="A80" s="216" t="s">
        <v>46</v>
      </c>
      <c r="B80" s="216" t="s">
        <v>139</v>
      </c>
      <c r="C80" s="216" t="s">
        <v>29</v>
      </c>
      <c r="D80" s="216" t="s">
        <v>140</v>
      </c>
      <c r="E80" s="264" t="s">
        <v>534</v>
      </c>
      <c r="F80" s="254" t="str">
        <f t="shared" si="2"/>
        <v>Process Objective</v>
      </c>
      <c r="G80" s="254" t="str">
        <f t="shared" si="2"/>
        <v>Improve Ontime and Speed of Delivery</v>
      </c>
      <c r="H80" s="254" t="str">
        <f t="shared" si="2"/>
        <v>Achieve Gross Margin target and improve</v>
      </c>
      <c r="I80" s="265" t="s">
        <v>535</v>
      </c>
      <c r="J80" s="265" t="s">
        <v>536</v>
      </c>
      <c r="K80" s="216" t="s">
        <v>51</v>
      </c>
      <c r="L80" s="216" t="s">
        <v>61</v>
      </c>
      <c r="M80" s="216" t="s">
        <v>537</v>
      </c>
      <c r="N80" s="216" t="s">
        <v>538</v>
      </c>
      <c r="O80" s="216" t="s">
        <v>75</v>
      </c>
      <c r="P80" s="265" t="s">
        <v>539</v>
      </c>
      <c r="Q80" s="265" t="s">
        <v>108</v>
      </c>
      <c r="R80" s="266" t="s">
        <v>109</v>
      </c>
      <c r="S80" s="256" t="s">
        <v>84</v>
      </c>
      <c r="T80" s="216" t="s">
        <v>43</v>
      </c>
      <c r="U80" s="215"/>
      <c r="V80" s="260" t="s">
        <v>79</v>
      </c>
      <c r="W80" s="215"/>
      <c r="X80" s="277" t="str">
        <f t="shared" si="11"/>
        <v>Time &amp; Speed</v>
      </c>
      <c r="Y80" s="383"/>
      <c r="Z80" s="383"/>
      <c r="AA80" s="384"/>
      <c r="AB80" s="383"/>
      <c r="AC80" s="264" t="s">
        <v>598</v>
      </c>
      <c r="AD80" s="215"/>
      <c r="AE80" s="388" t="s">
        <v>914</v>
      </c>
      <c r="AF80" s="389"/>
      <c r="AG80" s="389"/>
      <c r="AH80" s="361"/>
    </row>
    <row r="81" spans="1:34" ht="40" customHeight="1">
      <c r="A81" s="216" t="s">
        <v>46</v>
      </c>
      <c r="B81" s="216" t="s">
        <v>148</v>
      </c>
      <c r="C81" s="216" t="s">
        <v>86</v>
      </c>
      <c r="D81" s="216" t="s">
        <v>149</v>
      </c>
      <c r="E81" s="254" t="s">
        <v>1015</v>
      </c>
      <c r="F81" s="254" t="str">
        <f t="shared" si="2"/>
        <v>Process Objective</v>
      </c>
      <c r="G81" s="254" t="str">
        <f t="shared" si="2"/>
        <v>Deliver committed scope</v>
      </c>
      <c r="H81" s="254" t="str">
        <f t="shared" si="2"/>
        <v>Achieve Customer Satisfaction target and improve</v>
      </c>
      <c r="I81" s="216" t="s">
        <v>541</v>
      </c>
      <c r="J81" s="216" t="s">
        <v>33</v>
      </c>
      <c r="K81" s="216" t="s">
        <v>34</v>
      </c>
      <c r="L81" s="216" t="s">
        <v>61</v>
      </c>
      <c r="M81" s="216" t="s">
        <v>537</v>
      </c>
      <c r="N81" s="216" t="s">
        <v>538</v>
      </c>
      <c r="O81" s="216" t="s">
        <v>75</v>
      </c>
      <c r="P81" s="216" t="s">
        <v>542</v>
      </c>
      <c r="Q81" s="216" t="s">
        <v>108</v>
      </c>
      <c r="R81" s="255" t="s">
        <v>109</v>
      </c>
      <c r="S81" s="256" t="s">
        <v>84</v>
      </c>
      <c r="T81" s="257" t="s">
        <v>43</v>
      </c>
      <c r="U81" s="215"/>
      <c r="V81" s="258" t="s">
        <v>44</v>
      </c>
      <c r="W81" s="215"/>
      <c r="X81" s="277" t="str">
        <f t="shared" si="11"/>
        <v>Scope</v>
      </c>
      <c r="Y81" s="383"/>
      <c r="Z81" s="383"/>
      <c r="AA81" s="384"/>
      <c r="AB81" s="383"/>
      <c r="AC81" s="254" t="s">
        <v>147</v>
      </c>
      <c r="AD81" s="215"/>
      <c r="AE81" s="388" t="s">
        <v>914</v>
      </c>
      <c r="AF81" s="389"/>
      <c r="AG81" s="389"/>
      <c r="AH81" s="361"/>
    </row>
    <row r="82" spans="1:34" ht="40" customHeight="1">
      <c r="A82" s="216" t="s">
        <v>46</v>
      </c>
      <c r="B82" s="216" t="s">
        <v>57</v>
      </c>
      <c r="C82" s="216" t="s">
        <v>29</v>
      </c>
      <c r="D82" s="216" t="s">
        <v>72</v>
      </c>
      <c r="E82" s="254" t="s">
        <v>543</v>
      </c>
      <c r="F82" s="254" t="str">
        <f t="shared" si="2"/>
        <v>Process Objective</v>
      </c>
      <c r="G82" s="254" t="str">
        <f t="shared" si="2"/>
        <v>Improve Productivity and Cost Efficiency</v>
      </c>
      <c r="H82" s="254" t="str">
        <f t="shared" si="2"/>
        <v>Achieve Gross Margin target and improve</v>
      </c>
      <c r="I82" s="265" t="s">
        <v>544</v>
      </c>
      <c r="J82" s="265" t="s">
        <v>545</v>
      </c>
      <c r="K82" s="216" t="s">
        <v>34</v>
      </c>
      <c r="L82" s="216" t="s">
        <v>61</v>
      </c>
      <c r="M82" s="216" t="s">
        <v>537</v>
      </c>
      <c r="N82" s="216" t="s">
        <v>538</v>
      </c>
      <c r="O82" s="216" t="s">
        <v>75</v>
      </c>
      <c r="P82" s="265" t="s">
        <v>546</v>
      </c>
      <c r="Q82" s="216" t="s">
        <v>108</v>
      </c>
      <c r="R82" s="255" t="s">
        <v>109</v>
      </c>
      <c r="S82" s="256" t="s">
        <v>84</v>
      </c>
      <c r="T82" s="257" t="s">
        <v>43</v>
      </c>
      <c r="U82" s="215"/>
      <c r="V82" s="258" t="s">
        <v>44</v>
      </c>
      <c r="W82" s="215"/>
      <c r="X82" s="277" t="str">
        <f t="shared" si="11"/>
        <v>Efficiency</v>
      </c>
      <c r="Y82" s="383"/>
      <c r="Z82" s="383"/>
      <c r="AA82" s="384"/>
      <c r="AB82" s="383"/>
      <c r="AC82" s="254" t="s">
        <v>598</v>
      </c>
      <c r="AD82" s="215"/>
      <c r="AE82" s="388" t="s">
        <v>914</v>
      </c>
      <c r="AF82" s="389"/>
      <c r="AG82" s="389"/>
      <c r="AH82" s="361"/>
    </row>
    <row r="83" spans="1:34" ht="40" customHeight="1">
      <c r="A83" s="216" t="s">
        <v>46</v>
      </c>
      <c r="B83" s="216" t="s">
        <v>94</v>
      </c>
      <c r="C83" s="216" t="s">
        <v>86</v>
      </c>
      <c r="D83" s="216" t="s">
        <v>154</v>
      </c>
      <c r="E83" s="254" t="s">
        <v>547</v>
      </c>
      <c r="F83" s="254" t="str">
        <f t="shared" si="2"/>
        <v>Process Objective</v>
      </c>
      <c r="G83" s="254" t="str">
        <f t="shared" si="2"/>
        <v>Improve Quality of Delivery</v>
      </c>
      <c r="H83" s="254" t="str">
        <f t="shared" si="2"/>
        <v>Achieve Customer Satisfaction target and improve</v>
      </c>
      <c r="I83" s="216" t="s">
        <v>1016</v>
      </c>
      <c r="J83" s="216" t="s">
        <v>33</v>
      </c>
      <c r="K83" s="216" t="s">
        <v>34</v>
      </c>
      <c r="L83" s="216" t="s">
        <v>61</v>
      </c>
      <c r="M83" s="216" t="s">
        <v>537</v>
      </c>
      <c r="N83" s="216" t="s">
        <v>538</v>
      </c>
      <c r="O83" s="216" t="s">
        <v>75</v>
      </c>
      <c r="P83" s="216" t="s">
        <v>1727</v>
      </c>
      <c r="Q83" s="216" t="s">
        <v>108</v>
      </c>
      <c r="R83" s="255" t="s">
        <v>109</v>
      </c>
      <c r="S83" s="256" t="s">
        <v>84</v>
      </c>
      <c r="T83" s="257" t="s">
        <v>43</v>
      </c>
      <c r="U83" s="215" t="s">
        <v>85</v>
      </c>
      <c r="V83" s="258" t="s">
        <v>44</v>
      </c>
      <c r="W83" s="215"/>
      <c r="X83" s="277" t="str">
        <f t="shared" si="11"/>
        <v>Delivered Quality</v>
      </c>
      <c r="Y83" s="383"/>
      <c r="Z83" s="383"/>
      <c r="AA83" s="384"/>
      <c r="AB83" s="383" t="s">
        <v>940</v>
      </c>
      <c r="AC83" s="254" t="s">
        <v>147</v>
      </c>
      <c r="AD83" s="215"/>
      <c r="AE83" s="388" t="s">
        <v>914</v>
      </c>
      <c r="AF83" s="389"/>
      <c r="AG83" s="389"/>
      <c r="AH83" s="361"/>
    </row>
    <row r="84" spans="1:34" ht="40" customHeight="1">
      <c r="A84" s="216" t="s">
        <v>102</v>
      </c>
      <c r="B84" s="216" t="s">
        <v>281</v>
      </c>
      <c r="C84" s="216" t="s">
        <v>94</v>
      </c>
      <c r="D84" s="216" t="s">
        <v>95</v>
      </c>
      <c r="E84" s="254" t="s">
        <v>550</v>
      </c>
      <c r="F84" s="254" t="str">
        <f t="shared" si="2"/>
        <v>Sub-process Objective</v>
      </c>
      <c r="G84" s="254" t="str">
        <f t="shared" si="2"/>
        <v>Improve Internal Quality</v>
      </c>
      <c r="H84" s="254" t="str">
        <f t="shared" si="2"/>
        <v>Improve Quality of Delivery</v>
      </c>
      <c r="I84" s="216" t="s">
        <v>1017</v>
      </c>
      <c r="J84" s="216" t="s">
        <v>33</v>
      </c>
      <c r="K84" s="216" t="s">
        <v>34</v>
      </c>
      <c r="L84" s="216" t="s">
        <v>61</v>
      </c>
      <c r="M84" s="216" t="s">
        <v>537</v>
      </c>
      <c r="N84" s="216" t="s">
        <v>538</v>
      </c>
      <c r="O84" s="216" t="s">
        <v>75</v>
      </c>
      <c r="P84" s="216" t="s">
        <v>552</v>
      </c>
      <c r="Q84" s="216" t="s">
        <v>108</v>
      </c>
      <c r="R84" s="255" t="s">
        <v>109</v>
      </c>
      <c r="S84" s="256" t="s">
        <v>84</v>
      </c>
      <c r="T84" s="257" t="s">
        <v>43</v>
      </c>
      <c r="U84" s="215"/>
      <c r="V84" s="258" t="s">
        <v>44</v>
      </c>
      <c r="W84" s="215"/>
      <c r="X84" s="277" t="str">
        <f t="shared" si="11"/>
        <v>Internal Quality</v>
      </c>
      <c r="Y84" s="383"/>
      <c r="Z84" s="383"/>
      <c r="AA84" s="384"/>
      <c r="AB84" s="383"/>
      <c r="AC84" s="254" t="s">
        <v>147</v>
      </c>
      <c r="AD84" s="215"/>
      <c r="AE84" s="388" t="s">
        <v>914</v>
      </c>
      <c r="AF84" s="389"/>
      <c r="AG84" s="389"/>
      <c r="AH84" s="361"/>
    </row>
    <row r="85" spans="1:34" s="403" customFormat="1" ht="40" customHeight="1">
      <c r="A85" s="17"/>
      <c r="B85" s="17"/>
      <c r="C85" s="17"/>
      <c r="D85" s="17"/>
      <c r="E85" s="397"/>
      <c r="F85" s="397"/>
      <c r="G85" s="397"/>
      <c r="H85" s="397"/>
      <c r="I85" s="17"/>
      <c r="J85" s="17"/>
      <c r="K85" s="17"/>
      <c r="L85" s="17"/>
      <c r="M85" s="408"/>
      <c r="N85" s="17"/>
      <c r="O85" s="17"/>
      <c r="P85" s="17"/>
      <c r="Q85" s="17"/>
      <c r="R85" s="180"/>
      <c r="S85" s="398"/>
      <c r="T85" s="399"/>
      <c r="U85" s="400"/>
      <c r="V85" s="401"/>
      <c r="W85" s="400"/>
      <c r="X85" s="402"/>
      <c r="AA85" s="404"/>
      <c r="AC85" s="397"/>
      <c r="AD85" s="400"/>
      <c r="AE85" s="405"/>
      <c r="AG85" s="422"/>
    </row>
    <row r="86" spans="1:34" s="403" customFormat="1" ht="40" customHeight="1">
      <c r="A86" s="17"/>
      <c r="B86" s="17"/>
      <c r="C86" s="17"/>
      <c r="D86" s="17"/>
      <c r="E86" s="397"/>
      <c r="F86" s="397"/>
      <c r="G86" s="397"/>
      <c r="H86" s="397"/>
      <c r="I86" s="17"/>
      <c r="J86" s="17"/>
      <c r="K86" s="17"/>
      <c r="L86" s="17"/>
      <c r="M86" s="408"/>
      <c r="N86" s="17"/>
      <c r="O86" s="17"/>
      <c r="P86" s="17"/>
      <c r="Q86" s="17"/>
      <c r="R86" s="180"/>
      <c r="S86" s="398"/>
      <c r="T86" s="399"/>
      <c r="U86" s="400"/>
      <c r="V86" s="401"/>
      <c r="W86" s="400"/>
      <c r="X86" s="402"/>
      <c r="AA86" s="404"/>
      <c r="AC86" s="397"/>
      <c r="AD86" s="400"/>
      <c r="AE86" s="405"/>
      <c r="AG86" s="422"/>
    </row>
    <row r="87" spans="1:34" s="403" customFormat="1" ht="40" customHeight="1">
      <c r="A87" s="17"/>
      <c r="B87" s="17"/>
      <c r="C87" s="17"/>
      <c r="D87" s="17"/>
      <c r="E87" s="397"/>
      <c r="F87" s="397"/>
      <c r="G87" s="397"/>
      <c r="H87" s="397"/>
      <c r="I87" s="17"/>
      <c r="J87" s="17"/>
      <c r="K87" s="17"/>
      <c r="L87" s="17"/>
      <c r="M87" s="408"/>
      <c r="N87" s="17"/>
      <c r="O87" s="17"/>
      <c r="P87" s="17"/>
      <c r="Q87" s="17"/>
      <c r="R87" s="180"/>
      <c r="S87" s="398"/>
      <c r="T87" s="399"/>
      <c r="U87" s="400"/>
      <c r="V87" s="401"/>
      <c r="W87" s="400"/>
      <c r="X87" s="402"/>
      <c r="AA87" s="404"/>
      <c r="AC87" s="397"/>
      <c r="AD87" s="400"/>
      <c r="AE87" s="405"/>
      <c r="AG87" s="422"/>
    </row>
    <row r="88" spans="1:34" s="403" customFormat="1" ht="40" customHeight="1">
      <c r="A88" s="17"/>
      <c r="B88" s="17"/>
      <c r="C88" s="17"/>
      <c r="D88" s="17"/>
      <c r="E88" s="397"/>
      <c r="F88" s="397"/>
      <c r="G88" s="397"/>
      <c r="H88" s="397"/>
      <c r="I88" s="17"/>
      <c r="J88" s="17"/>
      <c r="K88" s="17"/>
      <c r="L88" s="17"/>
      <c r="M88" s="408"/>
      <c r="N88" s="17"/>
      <c r="O88" s="17"/>
      <c r="P88" s="17"/>
      <c r="Q88" s="17"/>
      <c r="R88" s="180"/>
      <c r="S88" s="398"/>
      <c r="T88" s="399"/>
      <c r="U88" s="400"/>
      <c r="V88" s="401"/>
      <c r="W88" s="400"/>
      <c r="X88" s="402"/>
      <c r="AA88" s="404"/>
      <c r="AC88" s="397"/>
      <c r="AD88" s="400"/>
      <c r="AE88" s="405"/>
      <c r="AG88" s="422"/>
    </row>
    <row r="89" spans="1:34" s="403" customFormat="1" ht="40" customHeight="1">
      <c r="A89" s="17"/>
      <c r="B89" s="17"/>
      <c r="C89" s="17"/>
      <c r="D89" s="17"/>
      <c r="E89" s="397"/>
      <c r="F89" s="397"/>
      <c r="G89" s="397"/>
      <c r="H89" s="397"/>
      <c r="I89" s="17"/>
      <c r="J89" s="17"/>
      <c r="K89" s="17"/>
      <c r="L89" s="17"/>
      <c r="M89" s="408"/>
      <c r="N89" s="17"/>
      <c r="O89" s="17"/>
      <c r="P89" s="17"/>
      <c r="Q89" s="17"/>
      <c r="R89" s="180"/>
      <c r="S89" s="398"/>
      <c r="T89" s="399"/>
      <c r="U89" s="400"/>
      <c r="V89" s="401"/>
      <c r="W89" s="400"/>
      <c r="X89" s="402"/>
      <c r="AA89" s="404"/>
      <c r="AC89" s="397"/>
      <c r="AD89" s="400"/>
      <c r="AE89" s="405"/>
      <c r="AG89" s="422"/>
    </row>
    <row r="90" spans="1:34" s="403" customFormat="1" ht="40" customHeight="1">
      <c r="A90" s="17"/>
      <c r="B90" s="17"/>
      <c r="C90" s="17"/>
      <c r="D90" s="17"/>
      <c r="E90" s="397"/>
      <c r="F90" s="397"/>
      <c r="G90" s="397"/>
      <c r="H90" s="397"/>
      <c r="I90" s="17"/>
      <c r="J90" s="17"/>
      <c r="K90" s="17"/>
      <c r="L90" s="17"/>
      <c r="M90" s="408"/>
      <c r="N90" s="17"/>
      <c r="O90" s="17"/>
      <c r="P90" s="17"/>
      <c r="Q90" s="17"/>
      <c r="R90" s="180"/>
      <c r="S90" s="398"/>
      <c r="T90" s="399"/>
      <c r="U90" s="400"/>
      <c r="V90" s="401"/>
      <c r="W90" s="400"/>
      <c r="X90" s="402"/>
      <c r="AA90" s="404"/>
      <c r="AC90" s="397"/>
      <c r="AD90" s="400"/>
      <c r="AE90" s="405"/>
      <c r="AG90" s="422"/>
    </row>
    <row r="91" spans="1:34" s="403" customFormat="1" ht="40" customHeight="1">
      <c r="A91" s="17"/>
      <c r="B91" s="17"/>
      <c r="C91" s="17"/>
      <c r="D91" s="17"/>
      <c r="E91" s="397"/>
      <c r="F91" s="397"/>
      <c r="G91" s="397"/>
      <c r="H91" s="397"/>
      <c r="I91" s="17"/>
      <c r="J91" s="17"/>
      <c r="K91" s="17"/>
      <c r="L91" s="17"/>
      <c r="M91" s="408"/>
      <c r="N91" s="17"/>
      <c r="O91" s="17"/>
      <c r="P91" s="17"/>
      <c r="Q91" s="17"/>
      <c r="R91" s="180"/>
      <c r="S91" s="398"/>
      <c r="T91" s="399"/>
      <c r="U91" s="400"/>
      <c r="V91" s="401"/>
      <c r="W91" s="400"/>
      <c r="X91" s="402"/>
      <c r="AA91" s="404"/>
      <c r="AC91" s="397"/>
      <c r="AD91" s="400"/>
      <c r="AE91" s="405"/>
      <c r="AG91" s="422"/>
    </row>
    <row r="92" spans="1:34" s="403" customFormat="1" ht="40" customHeight="1">
      <c r="A92" s="17"/>
      <c r="B92" s="17"/>
      <c r="C92" s="17"/>
      <c r="D92" s="17"/>
      <c r="E92" s="397"/>
      <c r="F92" s="397"/>
      <c r="G92" s="397"/>
      <c r="H92" s="397"/>
      <c r="I92" s="17"/>
      <c r="J92" s="17"/>
      <c r="K92" s="17"/>
      <c r="L92" s="17"/>
      <c r="M92" s="408"/>
      <c r="N92" s="17"/>
      <c r="O92" s="17"/>
      <c r="P92" s="17"/>
      <c r="Q92" s="17"/>
      <c r="R92" s="180"/>
      <c r="S92" s="398"/>
      <c r="T92" s="399"/>
      <c r="U92" s="400"/>
      <c r="V92" s="401"/>
      <c r="W92" s="400"/>
      <c r="X92" s="402"/>
      <c r="AA92" s="404"/>
      <c r="AC92" s="397"/>
      <c r="AD92" s="400"/>
      <c r="AE92" s="405"/>
      <c r="AG92" s="422"/>
    </row>
    <row r="93" spans="1:34" s="403" customFormat="1" ht="40" customHeight="1">
      <c r="A93" s="17"/>
      <c r="B93" s="17"/>
      <c r="C93" s="17"/>
      <c r="D93" s="17"/>
      <c r="E93" s="397"/>
      <c r="F93" s="397"/>
      <c r="G93" s="397"/>
      <c r="H93" s="397"/>
      <c r="I93" s="17"/>
      <c r="J93" s="17"/>
      <c r="K93" s="17"/>
      <c r="L93" s="17"/>
      <c r="M93" s="408"/>
      <c r="N93" s="17"/>
      <c r="O93" s="17"/>
      <c r="P93" s="17"/>
      <c r="Q93" s="17"/>
      <c r="R93" s="180"/>
      <c r="S93" s="398"/>
      <c r="T93" s="399"/>
      <c r="U93" s="400"/>
      <c r="V93" s="401"/>
      <c r="W93" s="400"/>
      <c r="X93" s="402"/>
      <c r="AA93" s="404"/>
      <c r="AC93" s="397"/>
      <c r="AD93" s="400"/>
      <c r="AE93" s="405"/>
      <c r="AG93" s="422"/>
    </row>
    <row r="94" spans="1:34" s="403" customFormat="1" ht="40" customHeight="1">
      <c r="A94" s="17"/>
      <c r="B94" s="17"/>
      <c r="C94" s="17"/>
      <c r="D94" s="17"/>
      <c r="E94" s="397"/>
      <c r="F94" s="397"/>
      <c r="G94" s="397"/>
      <c r="H94" s="397"/>
      <c r="I94" s="17"/>
      <c r="J94" s="17"/>
      <c r="K94" s="17"/>
      <c r="L94" s="17"/>
      <c r="M94" s="408"/>
      <c r="N94" s="17"/>
      <c r="O94" s="17"/>
      <c r="P94" s="17"/>
      <c r="Q94" s="17"/>
      <c r="R94" s="180"/>
      <c r="S94" s="398"/>
      <c r="T94" s="399"/>
      <c r="U94" s="400"/>
      <c r="V94" s="401"/>
      <c r="W94" s="400"/>
      <c r="X94" s="402"/>
      <c r="AA94" s="404"/>
      <c r="AC94" s="397"/>
      <c r="AD94" s="400"/>
      <c r="AE94" s="405"/>
      <c r="AG94" s="422"/>
    </row>
    <row r="95" spans="1:34" ht="40" customHeight="1">
      <c r="A95" s="393"/>
      <c r="B95" s="393"/>
      <c r="C95" s="393"/>
      <c r="D95" s="393"/>
      <c r="E95" s="393"/>
      <c r="F95" s="393"/>
      <c r="G95" s="393"/>
      <c r="H95" s="393"/>
      <c r="I95" s="393"/>
      <c r="J95" s="393"/>
      <c r="K95" s="393"/>
      <c r="L95" s="393"/>
      <c r="M95" s="393"/>
      <c r="N95" s="393"/>
      <c r="O95" s="393"/>
      <c r="P95" s="393"/>
      <c r="Q95" s="393"/>
      <c r="R95" s="393"/>
      <c r="S95" s="394"/>
      <c r="T95" s="395"/>
      <c r="U95" s="395"/>
      <c r="V95" s="395"/>
      <c r="W95" s="395"/>
      <c r="X95" s="393"/>
      <c r="Y95" s="393"/>
      <c r="Z95" s="393"/>
      <c r="AA95" s="393"/>
      <c r="AB95" s="393"/>
      <c r="AC95" s="393"/>
      <c r="AD95" s="395"/>
      <c r="AE95" s="396"/>
      <c r="AF95" s="393"/>
      <c r="AG95" s="422"/>
    </row>
    <row r="96" spans="1:34" ht="40" customHeight="1">
      <c r="A96" s="393"/>
      <c r="B96" s="393"/>
      <c r="C96" s="393"/>
      <c r="D96" s="393"/>
      <c r="E96" s="393"/>
      <c r="F96" s="393"/>
      <c r="G96" s="393"/>
      <c r="H96" s="393"/>
      <c r="I96" s="393"/>
      <c r="J96" s="393"/>
      <c r="K96" s="393"/>
      <c r="L96" s="393"/>
      <c r="M96" s="393"/>
      <c r="N96" s="393"/>
      <c r="O96" s="393"/>
      <c r="P96" s="393"/>
      <c r="Q96" s="393"/>
      <c r="R96" s="393"/>
      <c r="S96" s="394"/>
      <c r="T96" s="395"/>
      <c r="U96" s="395"/>
      <c r="V96" s="395"/>
      <c r="W96" s="395"/>
      <c r="X96" s="393"/>
      <c r="Y96" s="393"/>
      <c r="Z96" s="393"/>
      <c r="AA96" s="393"/>
      <c r="AB96" s="393"/>
      <c r="AC96" s="393"/>
      <c r="AD96" s="395"/>
      <c r="AE96" s="396"/>
      <c r="AF96" s="393"/>
      <c r="AG96" s="422"/>
    </row>
    <row r="97" spans="1:33" ht="40" customHeight="1">
      <c r="A97" s="393"/>
      <c r="B97" s="393"/>
      <c r="C97" s="393"/>
      <c r="D97" s="393"/>
      <c r="E97" s="393"/>
      <c r="F97" s="393"/>
      <c r="G97" s="393"/>
      <c r="H97" s="393"/>
      <c r="I97" s="393"/>
      <c r="J97" s="393"/>
      <c r="K97" s="393"/>
      <c r="L97" s="393"/>
      <c r="M97" s="393"/>
      <c r="N97" s="393"/>
      <c r="O97" s="393"/>
      <c r="P97" s="393"/>
      <c r="Q97" s="393"/>
      <c r="R97" s="393"/>
      <c r="S97" s="394"/>
      <c r="T97" s="395"/>
      <c r="U97" s="395"/>
      <c r="V97" s="395"/>
      <c r="W97" s="395"/>
      <c r="X97" s="393"/>
      <c r="Y97" s="393"/>
      <c r="Z97" s="393"/>
      <c r="AA97" s="393"/>
      <c r="AB97" s="393"/>
      <c r="AC97" s="393"/>
      <c r="AD97" s="395"/>
      <c r="AE97" s="396"/>
      <c r="AF97" s="393"/>
      <c r="AG97" s="422"/>
    </row>
    <row r="98" spans="1:33" ht="40" customHeight="1">
      <c r="A98" s="393"/>
      <c r="B98" s="393"/>
      <c r="C98" s="393"/>
      <c r="D98" s="393"/>
      <c r="E98" s="393"/>
      <c r="F98" s="393"/>
      <c r="G98" s="393"/>
      <c r="H98" s="393"/>
      <c r="I98" s="393"/>
      <c r="J98" s="393"/>
      <c r="K98" s="393"/>
      <c r="L98" s="393"/>
      <c r="M98" s="393"/>
      <c r="N98" s="393"/>
      <c r="O98" s="393"/>
      <c r="P98" s="393"/>
      <c r="Q98" s="393"/>
      <c r="R98" s="393"/>
      <c r="S98" s="394"/>
      <c r="T98" s="395"/>
      <c r="U98" s="395"/>
      <c r="V98" s="395"/>
      <c r="W98" s="395"/>
      <c r="X98" s="393"/>
      <c r="Y98" s="393"/>
      <c r="Z98" s="393"/>
      <c r="AA98" s="393"/>
      <c r="AB98" s="393"/>
      <c r="AC98" s="393"/>
      <c r="AD98" s="395"/>
      <c r="AE98" s="396"/>
      <c r="AF98" s="393"/>
      <c r="AG98" s="422"/>
    </row>
    <row r="99" spans="1:33" ht="40" customHeight="1">
      <c r="A99" s="393"/>
      <c r="B99" s="393"/>
      <c r="C99" s="393"/>
      <c r="D99" s="393"/>
      <c r="E99" s="393"/>
      <c r="F99" s="393"/>
      <c r="G99" s="393"/>
      <c r="H99" s="393"/>
      <c r="I99" s="393"/>
      <c r="J99" s="393"/>
      <c r="K99" s="393"/>
      <c r="L99" s="393"/>
      <c r="M99" s="393"/>
      <c r="N99" s="393"/>
      <c r="O99" s="393"/>
      <c r="P99" s="393"/>
      <c r="Q99" s="393"/>
      <c r="R99" s="393"/>
      <c r="S99" s="394"/>
      <c r="T99" s="395"/>
      <c r="U99" s="395"/>
      <c r="V99" s="395"/>
      <c r="W99" s="395"/>
      <c r="X99" s="393"/>
      <c r="Y99" s="393"/>
      <c r="Z99" s="393"/>
      <c r="AA99" s="393"/>
      <c r="AB99" s="393"/>
      <c r="AC99" s="393"/>
      <c r="AD99" s="395"/>
      <c r="AE99" s="396"/>
      <c r="AF99" s="393"/>
      <c r="AG99" s="422"/>
    </row>
    <row r="100" spans="1:33" ht="40" customHeight="1">
      <c r="A100" s="393"/>
      <c r="B100" s="393"/>
      <c r="C100" s="393"/>
      <c r="D100" s="393"/>
      <c r="E100" s="393"/>
      <c r="F100" s="393"/>
      <c r="G100" s="393"/>
      <c r="H100" s="393"/>
      <c r="I100" s="393"/>
      <c r="J100" s="393"/>
      <c r="K100" s="393"/>
      <c r="L100" s="393"/>
      <c r="M100" s="393"/>
      <c r="N100" s="393"/>
      <c r="O100" s="393"/>
      <c r="P100" s="393"/>
      <c r="Q100" s="393"/>
      <c r="R100" s="393"/>
      <c r="S100" s="394"/>
      <c r="T100" s="395"/>
      <c r="U100" s="395"/>
      <c r="V100" s="395"/>
      <c r="W100" s="395"/>
      <c r="X100" s="393"/>
      <c r="Y100" s="393"/>
      <c r="Z100" s="393"/>
      <c r="AA100" s="393"/>
      <c r="AB100" s="393"/>
      <c r="AC100" s="393"/>
      <c r="AD100" s="395"/>
      <c r="AE100" s="396"/>
      <c r="AF100" s="393"/>
      <c r="AG100" s="422"/>
    </row>
    <row r="101" spans="1:33" ht="40" customHeight="1">
      <c r="A101" s="393"/>
      <c r="B101" s="393"/>
      <c r="C101" s="393"/>
      <c r="D101" s="393"/>
      <c r="E101" s="393"/>
      <c r="F101" s="393"/>
      <c r="G101" s="393"/>
      <c r="H101" s="393"/>
      <c r="I101" s="393"/>
      <c r="J101" s="393"/>
      <c r="K101" s="393"/>
      <c r="L101" s="393"/>
      <c r="M101" s="393"/>
      <c r="N101" s="393"/>
      <c r="O101" s="393"/>
      <c r="P101" s="393"/>
      <c r="Q101" s="393"/>
      <c r="R101" s="393"/>
      <c r="S101" s="394"/>
      <c r="T101" s="395"/>
      <c r="U101" s="395"/>
      <c r="V101" s="395"/>
      <c r="W101" s="395"/>
      <c r="X101" s="393"/>
      <c r="Y101" s="393"/>
      <c r="Z101" s="393"/>
      <c r="AA101" s="393"/>
      <c r="AB101" s="393"/>
      <c r="AC101" s="393"/>
      <c r="AD101" s="395"/>
      <c r="AE101" s="396"/>
      <c r="AF101" s="393"/>
      <c r="AG101" s="422"/>
    </row>
    <row r="102" spans="1:33" ht="40" customHeight="1">
      <c r="A102" s="393"/>
      <c r="B102" s="393"/>
      <c r="C102" s="393"/>
      <c r="D102" s="393"/>
      <c r="E102" s="393"/>
      <c r="F102" s="393"/>
      <c r="G102" s="393"/>
      <c r="H102" s="393"/>
      <c r="I102" s="393"/>
      <c r="J102" s="393"/>
      <c r="K102" s="393"/>
      <c r="L102" s="393"/>
      <c r="M102" s="393"/>
      <c r="N102" s="393"/>
      <c r="O102" s="393"/>
      <c r="P102" s="393"/>
      <c r="Q102" s="393"/>
      <c r="R102" s="393"/>
      <c r="S102" s="394"/>
      <c r="T102" s="395"/>
      <c r="U102" s="395"/>
      <c r="V102" s="395"/>
      <c r="W102" s="395"/>
      <c r="X102" s="393"/>
      <c r="Y102" s="393"/>
      <c r="Z102" s="393"/>
      <c r="AA102" s="393"/>
      <c r="AB102" s="393"/>
      <c r="AC102" s="393"/>
      <c r="AD102" s="395"/>
      <c r="AE102" s="396"/>
      <c r="AF102" s="393"/>
      <c r="AG102" s="422"/>
    </row>
    <row r="103" spans="1:33" ht="40" customHeight="1">
      <c r="A103" s="393"/>
      <c r="B103" s="393"/>
      <c r="C103" s="393"/>
      <c r="D103" s="393"/>
      <c r="E103" s="393"/>
      <c r="F103" s="393"/>
      <c r="G103" s="393"/>
      <c r="H103" s="393"/>
      <c r="I103" s="393"/>
      <c r="J103" s="393"/>
      <c r="K103" s="393"/>
      <c r="L103" s="393"/>
      <c r="M103" s="393"/>
      <c r="N103" s="393"/>
      <c r="O103" s="393"/>
      <c r="P103" s="393"/>
      <c r="Q103" s="393"/>
      <c r="R103" s="393"/>
      <c r="S103" s="394"/>
      <c r="T103" s="395"/>
      <c r="U103" s="395"/>
      <c r="V103" s="395"/>
      <c r="W103" s="395"/>
      <c r="X103" s="393"/>
      <c r="Y103" s="393"/>
      <c r="Z103" s="393"/>
      <c r="AA103" s="393"/>
      <c r="AB103" s="393"/>
      <c r="AC103" s="393"/>
      <c r="AD103" s="395"/>
      <c r="AE103" s="396"/>
      <c r="AF103" s="393"/>
      <c r="AG103" s="422"/>
    </row>
    <row r="104" spans="1:33" ht="40" customHeight="1">
      <c r="A104" s="393"/>
      <c r="B104" s="393"/>
      <c r="C104" s="393"/>
      <c r="D104" s="393"/>
      <c r="E104" s="393"/>
      <c r="F104" s="393"/>
      <c r="G104" s="393"/>
      <c r="H104" s="393"/>
      <c r="I104" s="393"/>
      <c r="J104" s="393"/>
      <c r="K104" s="393"/>
      <c r="L104" s="393"/>
      <c r="M104" s="393"/>
      <c r="N104" s="393"/>
      <c r="O104" s="393"/>
      <c r="P104" s="393"/>
      <c r="Q104" s="393"/>
      <c r="R104" s="393"/>
      <c r="S104" s="394"/>
      <c r="T104" s="395"/>
      <c r="U104" s="395"/>
      <c r="V104" s="395"/>
      <c r="W104" s="395"/>
      <c r="X104" s="393"/>
      <c r="Y104" s="393"/>
      <c r="Z104" s="393"/>
      <c r="AA104" s="393"/>
      <c r="AB104" s="393"/>
      <c r="AC104" s="393"/>
      <c r="AD104" s="395"/>
      <c r="AE104" s="396"/>
      <c r="AF104" s="393"/>
      <c r="AG104" s="422"/>
    </row>
    <row r="105" spans="1:33" ht="40" customHeight="1">
      <c r="A105" s="393"/>
      <c r="B105" s="393"/>
      <c r="C105" s="393"/>
      <c r="D105" s="393"/>
      <c r="E105" s="393"/>
      <c r="F105" s="393"/>
      <c r="G105" s="393"/>
      <c r="H105" s="393"/>
      <c r="I105" s="393"/>
      <c r="J105" s="393"/>
      <c r="K105" s="393"/>
      <c r="L105" s="393"/>
      <c r="M105" s="393"/>
      <c r="N105" s="393"/>
      <c r="O105" s="393"/>
      <c r="P105" s="393"/>
      <c r="Q105" s="393"/>
      <c r="R105" s="393"/>
      <c r="S105" s="394"/>
      <c r="T105" s="395"/>
      <c r="U105" s="395"/>
      <c r="V105" s="395"/>
      <c r="W105" s="395"/>
      <c r="X105" s="393"/>
      <c r="Y105" s="393"/>
      <c r="Z105" s="393"/>
      <c r="AA105" s="393"/>
      <c r="AB105" s="393"/>
      <c r="AC105" s="393"/>
      <c r="AD105" s="395"/>
      <c r="AE105" s="396"/>
      <c r="AF105" s="393"/>
      <c r="AG105" s="422"/>
    </row>
    <row r="106" spans="1:33" ht="40" customHeight="1">
      <c r="A106" s="393"/>
      <c r="B106" s="393"/>
      <c r="C106" s="393"/>
      <c r="D106" s="393"/>
      <c r="E106" s="393"/>
      <c r="F106" s="393"/>
      <c r="G106" s="393"/>
      <c r="H106" s="393"/>
      <c r="I106" s="393"/>
      <c r="J106" s="393"/>
      <c r="K106" s="393"/>
      <c r="L106" s="393"/>
      <c r="M106" s="393"/>
      <c r="N106" s="393"/>
      <c r="O106" s="393"/>
      <c r="P106" s="393"/>
      <c r="Q106" s="393"/>
      <c r="R106" s="393"/>
      <c r="S106" s="394"/>
      <c r="T106" s="395"/>
      <c r="U106" s="395"/>
      <c r="V106" s="395"/>
      <c r="W106" s="395"/>
      <c r="X106" s="393"/>
      <c r="Y106" s="393"/>
      <c r="Z106" s="393"/>
      <c r="AA106" s="393"/>
      <c r="AB106" s="393"/>
      <c r="AC106" s="393"/>
      <c r="AD106" s="395"/>
      <c r="AE106" s="396"/>
      <c r="AF106" s="393"/>
      <c r="AG106" s="422"/>
    </row>
    <row r="107" spans="1:33" ht="40" customHeight="1">
      <c r="A107" s="393"/>
      <c r="B107" s="393"/>
      <c r="C107" s="393"/>
      <c r="D107" s="393"/>
      <c r="E107" s="393"/>
      <c r="F107" s="393"/>
      <c r="G107" s="393"/>
      <c r="H107" s="393"/>
      <c r="I107" s="393"/>
      <c r="J107" s="393"/>
      <c r="K107" s="393"/>
      <c r="L107" s="393"/>
      <c r="M107" s="393"/>
      <c r="N107" s="393"/>
      <c r="O107" s="393"/>
      <c r="P107" s="393"/>
      <c r="Q107" s="393"/>
      <c r="R107" s="393"/>
      <c r="S107" s="394"/>
      <c r="T107" s="395"/>
      <c r="U107" s="395"/>
      <c r="V107" s="395"/>
      <c r="W107" s="395"/>
      <c r="X107" s="393"/>
      <c r="Y107" s="393"/>
      <c r="Z107" s="393"/>
      <c r="AA107" s="393"/>
      <c r="AB107" s="393"/>
      <c r="AC107" s="393"/>
      <c r="AD107" s="395"/>
      <c r="AE107" s="396"/>
      <c r="AF107" s="393"/>
      <c r="AG107" s="422"/>
    </row>
    <row r="108" spans="1:33" ht="40" customHeight="1">
      <c r="A108" s="393"/>
      <c r="B108" s="393"/>
      <c r="C108" s="393"/>
      <c r="D108" s="393"/>
      <c r="E108" s="393"/>
      <c r="F108" s="393"/>
      <c r="G108" s="393"/>
      <c r="H108" s="393"/>
      <c r="I108" s="393"/>
      <c r="J108" s="393"/>
      <c r="K108" s="393"/>
      <c r="L108" s="393"/>
      <c r="M108" s="393"/>
      <c r="N108" s="393"/>
      <c r="O108" s="393"/>
      <c r="P108" s="393"/>
      <c r="Q108" s="393"/>
      <c r="R108" s="393"/>
      <c r="S108" s="394"/>
      <c r="T108" s="395"/>
      <c r="U108" s="395"/>
      <c r="V108" s="395"/>
      <c r="W108" s="395"/>
      <c r="X108" s="393"/>
      <c r="Y108" s="393"/>
      <c r="Z108" s="393"/>
      <c r="AA108" s="393"/>
      <c r="AB108" s="393"/>
      <c r="AC108" s="393"/>
      <c r="AD108" s="395"/>
      <c r="AE108" s="396"/>
      <c r="AF108" s="393"/>
      <c r="AG108" s="422"/>
    </row>
    <row r="109" spans="1:33" ht="40" customHeight="1">
      <c r="A109" s="393"/>
      <c r="B109" s="393"/>
      <c r="C109" s="393"/>
      <c r="D109" s="393"/>
      <c r="E109" s="393"/>
      <c r="F109" s="393"/>
      <c r="G109" s="393"/>
      <c r="H109" s="393"/>
      <c r="I109" s="393"/>
      <c r="J109" s="393"/>
      <c r="K109" s="393"/>
      <c r="L109" s="393"/>
      <c r="M109" s="393"/>
      <c r="N109" s="393"/>
      <c r="O109" s="393"/>
      <c r="P109" s="393"/>
      <c r="Q109" s="393"/>
      <c r="R109" s="393"/>
      <c r="S109" s="394"/>
      <c r="T109" s="395"/>
      <c r="U109" s="395"/>
      <c r="V109" s="395"/>
      <c r="W109" s="395"/>
      <c r="X109" s="393"/>
      <c r="Y109" s="393"/>
      <c r="Z109" s="393"/>
      <c r="AA109" s="393"/>
      <c r="AB109" s="393"/>
      <c r="AC109" s="393"/>
      <c r="AD109" s="395"/>
      <c r="AE109" s="396"/>
      <c r="AF109" s="393"/>
      <c r="AG109" s="422"/>
    </row>
    <row r="110" spans="1:33" ht="40" customHeight="1">
      <c r="A110" s="393"/>
      <c r="B110" s="393"/>
      <c r="C110" s="393"/>
      <c r="D110" s="393"/>
      <c r="E110" s="393"/>
      <c r="F110" s="393"/>
      <c r="G110" s="393"/>
      <c r="H110" s="393"/>
      <c r="I110" s="393"/>
      <c r="J110" s="393"/>
      <c r="K110" s="393"/>
      <c r="L110" s="393"/>
      <c r="M110" s="393"/>
      <c r="N110" s="393"/>
      <c r="O110" s="393"/>
      <c r="P110" s="393"/>
      <c r="Q110" s="393"/>
      <c r="R110" s="393"/>
      <c r="S110" s="394"/>
      <c r="T110" s="395"/>
      <c r="U110" s="395"/>
      <c r="V110" s="395"/>
      <c r="W110" s="395"/>
      <c r="X110" s="393"/>
      <c r="Y110" s="393"/>
      <c r="Z110" s="393"/>
      <c r="AA110" s="393"/>
      <c r="AB110" s="393"/>
      <c r="AC110" s="393"/>
      <c r="AD110" s="395"/>
      <c r="AE110" s="396"/>
      <c r="AF110" s="393"/>
      <c r="AG110" s="422"/>
    </row>
    <row r="111" spans="1:33" ht="40" customHeight="1">
      <c r="A111" s="393"/>
      <c r="B111" s="393"/>
      <c r="C111" s="393"/>
      <c r="D111" s="393"/>
      <c r="E111" s="393"/>
      <c r="F111" s="393"/>
      <c r="G111" s="393"/>
      <c r="H111" s="393"/>
      <c r="I111" s="393"/>
      <c r="J111" s="393"/>
      <c r="K111" s="393"/>
      <c r="L111" s="393"/>
      <c r="M111" s="393"/>
      <c r="N111" s="393"/>
      <c r="O111" s="393"/>
      <c r="P111" s="393"/>
      <c r="Q111" s="393"/>
      <c r="R111" s="393"/>
      <c r="S111" s="394"/>
      <c r="T111" s="395"/>
      <c r="U111" s="395"/>
      <c r="V111" s="395"/>
      <c r="W111" s="395"/>
      <c r="X111" s="393"/>
      <c r="Y111" s="393"/>
      <c r="Z111" s="393"/>
      <c r="AA111" s="393"/>
      <c r="AB111" s="393"/>
      <c r="AC111" s="393"/>
      <c r="AD111" s="395"/>
      <c r="AE111" s="396"/>
      <c r="AF111" s="393"/>
      <c r="AG111" s="422"/>
    </row>
    <row r="112" spans="1:33" ht="40" customHeight="1">
      <c r="A112" s="393"/>
      <c r="B112" s="393"/>
      <c r="C112" s="393"/>
      <c r="D112" s="393"/>
      <c r="E112" s="393"/>
      <c r="F112" s="393"/>
      <c r="G112" s="393"/>
      <c r="H112" s="393"/>
      <c r="I112" s="393"/>
      <c r="J112" s="393"/>
      <c r="K112" s="393"/>
      <c r="L112" s="393"/>
      <c r="M112" s="393"/>
      <c r="N112" s="393"/>
      <c r="O112" s="393"/>
      <c r="P112" s="393"/>
      <c r="Q112" s="393"/>
      <c r="R112" s="393"/>
      <c r="S112" s="394"/>
      <c r="T112" s="395"/>
      <c r="U112" s="395"/>
      <c r="V112" s="395"/>
      <c r="W112" s="395"/>
      <c r="X112" s="393"/>
      <c r="Y112" s="393"/>
      <c r="Z112" s="393"/>
      <c r="AA112" s="393"/>
      <c r="AB112" s="393"/>
      <c r="AC112" s="393"/>
      <c r="AD112" s="395"/>
      <c r="AE112" s="396"/>
      <c r="AF112" s="393"/>
      <c r="AG112" s="422"/>
    </row>
    <row r="113" spans="1:33" ht="40" customHeight="1">
      <c r="A113" s="393"/>
      <c r="B113" s="393"/>
      <c r="C113" s="393"/>
      <c r="D113" s="393"/>
      <c r="E113" s="393"/>
      <c r="F113" s="393"/>
      <c r="G113" s="393"/>
      <c r="H113" s="393"/>
      <c r="I113" s="393"/>
      <c r="J113" s="393"/>
      <c r="K113" s="393"/>
      <c r="L113" s="393"/>
      <c r="M113" s="393"/>
      <c r="N113" s="393"/>
      <c r="O113" s="393"/>
      <c r="P113" s="393"/>
      <c r="Q113" s="393"/>
      <c r="R113" s="393"/>
      <c r="S113" s="394"/>
      <c r="T113" s="395"/>
      <c r="U113" s="395"/>
      <c r="V113" s="395"/>
      <c r="W113" s="395"/>
      <c r="X113" s="393"/>
      <c r="Y113" s="393"/>
      <c r="Z113" s="393"/>
      <c r="AA113" s="393"/>
      <c r="AB113" s="393"/>
      <c r="AC113" s="393"/>
      <c r="AD113" s="395"/>
      <c r="AE113" s="396"/>
      <c r="AF113" s="393"/>
      <c r="AG113" s="422"/>
    </row>
    <row r="114" spans="1:33" ht="40" customHeight="1">
      <c r="A114" s="393"/>
      <c r="B114" s="393"/>
      <c r="C114" s="393"/>
      <c r="D114" s="393"/>
      <c r="E114" s="393"/>
      <c r="F114" s="393"/>
      <c r="G114" s="393"/>
      <c r="H114" s="393"/>
      <c r="I114" s="393"/>
      <c r="J114" s="393"/>
      <c r="K114" s="393"/>
      <c r="L114" s="393"/>
      <c r="M114" s="393"/>
      <c r="N114" s="393"/>
      <c r="O114" s="393"/>
      <c r="P114" s="393"/>
      <c r="Q114" s="393"/>
      <c r="R114" s="393"/>
      <c r="S114" s="394"/>
      <c r="T114" s="395"/>
      <c r="U114" s="395"/>
      <c r="V114" s="395"/>
      <c r="W114" s="395"/>
      <c r="X114" s="393"/>
      <c r="Y114" s="393"/>
      <c r="Z114" s="393"/>
      <c r="AA114" s="393"/>
      <c r="AB114" s="393"/>
      <c r="AC114" s="393"/>
      <c r="AD114" s="395"/>
      <c r="AE114" s="396"/>
      <c r="AF114" s="393"/>
      <c r="AG114" s="422"/>
    </row>
    <row r="115" spans="1:33" ht="40" customHeight="1">
      <c r="A115" s="393"/>
      <c r="B115" s="393"/>
      <c r="C115" s="393"/>
      <c r="D115" s="393"/>
      <c r="E115" s="393"/>
      <c r="F115" s="393"/>
      <c r="G115" s="393"/>
      <c r="H115" s="393"/>
      <c r="I115" s="393"/>
      <c r="J115" s="393"/>
      <c r="K115" s="393"/>
      <c r="L115" s="393"/>
      <c r="M115" s="393"/>
      <c r="N115" s="393"/>
      <c r="O115" s="393"/>
      <c r="P115" s="393"/>
      <c r="Q115" s="393"/>
      <c r="R115" s="393"/>
      <c r="S115" s="394"/>
      <c r="T115" s="395"/>
      <c r="U115" s="395"/>
      <c r="V115" s="395"/>
      <c r="W115" s="395"/>
      <c r="X115" s="393"/>
      <c r="Y115" s="393"/>
      <c r="Z115" s="393"/>
      <c r="AA115" s="393"/>
      <c r="AB115" s="393"/>
      <c r="AC115" s="393"/>
      <c r="AD115" s="395"/>
      <c r="AE115" s="396"/>
      <c r="AF115" s="393"/>
      <c r="AG115" s="422"/>
    </row>
    <row r="116" spans="1:33" ht="40" customHeight="1">
      <c r="A116" s="393"/>
      <c r="B116" s="393"/>
      <c r="C116" s="393"/>
      <c r="D116" s="393"/>
      <c r="E116" s="393"/>
      <c r="F116" s="393"/>
      <c r="G116" s="393"/>
      <c r="H116" s="393"/>
      <c r="I116" s="393"/>
      <c r="J116" s="393"/>
      <c r="K116" s="393"/>
      <c r="L116" s="393"/>
      <c r="M116" s="393"/>
      <c r="N116" s="393"/>
      <c r="O116" s="393"/>
      <c r="P116" s="393"/>
      <c r="Q116" s="393"/>
      <c r="R116" s="393"/>
      <c r="S116" s="394"/>
      <c r="T116" s="395"/>
      <c r="U116" s="395"/>
      <c r="V116" s="395"/>
      <c r="W116" s="395"/>
      <c r="X116" s="393"/>
      <c r="Y116" s="393"/>
      <c r="Z116" s="393"/>
      <c r="AA116" s="393"/>
      <c r="AB116" s="393"/>
      <c r="AC116" s="393"/>
      <c r="AD116" s="395"/>
      <c r="AE116" s="396"/>
      <c r="AF116" s="393"/>
      <c r="AG116" s="422"/>
    </row>
    <row r="117" spans="1:33" ht="40" customHeight="1">
      <c r="A117" s="393"/>
      <c r="B117" s="393"/>
      <c r="C117" s="393"/>
      <c r="D117" s="393"/>
      <c r="E117" s="393"/>
      <c r="F117" s="393"/>
      <c r="G117" s="393"/>
      <c r="H117" s="393"/>
      <c r="I117" s="393"/>
      <c r="J117" s="393"/>
      <c r="K117" s="393"/>
      <c r="L117" s="393"/>
      <c r="M117" s="393"/>
      <c r="N117" s="393"/>
      <c r="O117" s="393"/>
      <c r="P117" s="393"/>
      <c r="Q117" s="393"/>
      <c r="R117" s="393"/>
      <c r="S117" s="394"/>
      <c r="T117" s="395"/>
      <c r="U117" s="395"/>
      <c r="V117" s="395"/>
      <c r="W117" s="395"/>
      <c r="X117" s="393"/>
      <c r="Y117" s="393"/>
      <c r="Z117" s="393"/>
      <c r="AA117" s="393"/>
      <c r="AB117" s="393"/>
      <c r="AC117" s="393"/>
      <c r="AD117" s="395"/>
      <c r="AE117" s="396"/>
      <c r="AF117" s="393"/>
      <c r="AG117" s="422"/>
    </row>
    <row r="118" spans="1:33" ht="40" customHeight="1">
      <c r="A118" s="393"/>
      <c r="B118" s="393"/>
      <c r="C118" s="393"/>
      <c r="D118" s="393"/>
      <c r="E118" s="393"/>
      <c r="F118" s="393"/>
      <c r="G118" s="393"/>
      <c r="H118" s="393"/>
      <c r="I118" s="393"/>
      <c r="J118" s="393"/>
      <c r="K118" s="393"/>
      <c r="L118" s="393"/>
      <c r="M118" s="393"/>
      <c r="N118" s="393"/>
      <c r="O118" s="393"/>
      <c r="P118" s="393"/>
      <c r="Q118" s="393"/>
      <c r="R118" s="393"/>
      <c r="S118" s="394"/>
      <c r="T118" s="395"/>
      <c r="U118" s="395"/>
      <c r="V118" s="395"/>
      <c r="W118" s="395"/>
      <c r="X118" s="393"/>
      <c r="Y118" s="393"/>
      <c r="Z118" s="393"/>
      <c r="AA118" s="393"/>
      <c r="AB118" s="393"/>
      <c r="AC118" s="393"/>
      <c r="AD118" s="395"/>
      <c r="AE118" s="396"/>
      <c r="AF118" s="393"/>
      <c r="AG118" s="422"/>
    </row>
    <row r="119" spans="1:33" ht="40" customHeight="1">
      <c r="A119" s="393"/>
      <c r="B119" s="393"/>
      <c r="C119" s="393"/>
      <c r="D119" s="393"/>
      <c r="E119" s="393"/>
      <c r="F119" s="393"/>
      <c r="G119" s="393"/>
      <c r="H119" s="393"/>
      <c r="I119" s="393"/>
      <c r="J119" s="393"/>
      <c r="K119" s="393"/>
      <c r="L119" s="393"/>
      <c r="M119" s="393"/>
      <c r="N119" s="393"/>
      <c r="O119" s="393"/>
      <c r="P119" s="393"/>
      <c r="Q119" s="393"/>
      <c r="R119" s="393"/>
      <c r="S119" s="394"/>
      <c r="T119" s="395"/>
      <c r="U119" s="395"/>
      <c r="V119" s="395"/>
      <c r="W119" s="395"/>
      <c r="X119" s="393"/>
      <c r="Y119" s="393"/>
      <c r="Z119" s="393"/>
      <c r="AA119" s="393"/>
      <c r="AB119" s="393"/>
      <c r="AC119" s="393"/>
      <c r="AD119" s="395"/>
      <c r="AE119" s="396"/>
      <c r="AF119" s="393"/>
      <c r="AG119" s="422"/>
    </row>
    <row r="120" spans="1:33" ht="40" customHeight="1">
      <c r="A120" s="393"/>
      <c r="B120" s="393"/>
      <c r="C120" s="393"/>
      <c r="D120" s="393"/>
      <c r="E120" s="393"/>
      <c r="F120" s="393"/>
      <c r="G120" s="393"/>
      <c r="H120" s="393"/>
      <c r="I120" s="393"/>
      <c r="J120" s="393"/>
      <c r="K120" s="393"/>
      <c r="L120" s="393"/>
      <c r="M120" s="393"/>
      <c r="N120" s="393"/>
      <c r="O120" s="393"/>
      <c r="P120" s="393"/>
      <c r="Q120" s="393"/>
      <c r="R120" s="393"/>
      <c r="S120" s="394"/>
      <c r="T120" s="395"/>
      <c r="U120" s="395"/>
      <c r="V120" s="395"/>
      <c r="W120" s="395"/>
      <c r="X120" s="393"/>
      <c r="Y120" s="393"/>
      <c r="Z120" s="393"/>
      <c r="AA120" s="393"/>
      <c r="AB120" s="393"/>
      <c r="AC120" s="393"/>
      <c r="AD120" s="395"/>
      <c r="AE120" s="396"/>
      <c r="AF120" s="393"/>
      <c r="AG120" s="422"/>
    </row>
    <row r="121" spans="1:33" ht="40" customHeight="1">
      <c r="A121" s="393"/>
      <c r="B121" s="393"/>
      <c r="C121" s="393"/>
      <c r="D121" s="393"/>
      <c r="E121" s="393"/>
      <c r="F121" s="393"/>
      <c r="G121" s="393"/>
      <c r="H121" s="393"/>
      <c r="I121" s="393"/>
      <c r="J121" s="393"/>
      <c r="K121" s="393"/>
      <c r="L121" s="393"/>
      <c r="M121" s="393"/>
      <c r="N121" s="393"/>
      <c r="O121" s="393"/>
      <c r="P121" s="393"/>
      <c r="Q121" s="393"/>
      <c r="R121" s="393"/>
      <c r="S121" s="394"/>
      <c r="T121" s="395"/>
      <c r="U121" s="395"/>
      <c r="V121" s="395"/>
      <c r="W121" s="395"/>
      <c r="X121" s="393"/>
      <c r="Y121" s="393"/>
      <c r="Z121" s="393"/>
      <c r="AA121" s="393"/>
      <c r="AB121" s="393"/>
      <c r="AC121" s="393"/>
      <c r="AD121" s="395"/>
      <c r="AE121" s="396"/>
      <c r="AF121" s="393"/>
      <c r="AG121" s="422"/>
    </row>
    <row r="122" spans="1:33" ht="40" customHeight="1">
      <c r="A122" s="393"/>
      <c r="B122" s="393"/>
      <c r="C122" s="393"/>
      <c r="D122" s="393"/>
      <c r="E122" s="393"/>
      <c r="F122" s="393"/>
      <c r="G122" s="393"/>
      <c r="H122" s="393"/>
      <c r="I122" s="393"/>
      <c r="J122" s="393"/>
      <c r="K122" s="393"/>
      <c r="L122" s="393"/>
      <c r="M122" s="393"/>
      <c r="N122" s="393"/>
      <c r="O122" s="393"/>
      <c r="P122" s="393"/>
      <c r="Q122" s="393"/>
      <c r="R122" s="393"/>
      <c r="S122" s="394"/>
      <c r="T122" s="395"/>
      <c r="U122" s="395"/>
      <c r="V122" s="395"/>
      <c r="W122" s="395"/>
      <c r="X122" s="393"/>
      <c r="Y122" s="393"/>
      <c r="Z122" s="393"/>
      <c r="AA122" s="393"/>
      <c r="AB122" s="393"/>
      <c r="AC122" s="393"/>
      <c r="AD122" s="395"/>
      <c r="AE122" s="396"/>
      <c r="AF122" s="393"/>
      <c r="AG122" s="422"/>
    </row>
    <row r="123" spans="1:33" ht="40" customHeight="1">
      <c r="A123" s="393"/>
      <c r="B123" s="393"/>
      <c r="C123" s="393"/>
      <c r="D123" s="393"/>
      <c r="E123" s="393"/>
      <c r="F123" s="393"/>
      <c r="G123" s="393"/>
      <c r="H123" s="393"/>
      <c r="I123" s="393"/>
      <c r="J123" s="393"/>
      <c r="K123" s="393"/>
      <c r="L123" s="393"/>
      <c r="M123" s="393"/>
      <c r="N123" s="393"/>
      <c r="O123" s="393"/>
      <c r="P123" s="393"/>
      <c r="Q123" s="393"/>
      <c r="R123" s="393"/>
      <c r="S123" s="394"/>
      <c r="T123" s="395"/>
      <c r="U123" s="395"/>
      <c r="V123" s="395"/>
      <c r="W123" s="395"/>
      <c r="X123" s="393"/>
      <c r="Y123" s="393"/>
      <c r="Z123" s="393"/>
      <c r="AA123" s="393"/>
      <c r="AB123" s="393"/>
      <c r="AC123" s="393"/>
      <c r="AD123" s="395"/>
      <c r="AE123" s="396"/>
      <c r="AF123" s="393"/>
      <c r="AG123" s="422"/>
    </row>
    <row r="124" spans="1:33" ht="40" customHeight="1">
      <c r="A124" s="393"/>
      <c r="B124" s="393"/>
      <c r="C124" s="393"/>
      <c r="D124" s="393"/>
      <c r="E124" s="393"/>
      <c r="F124" s="393"/>
      <c r="G124" s="393"/>
      <c r="H124" s="393"/>
      <c r="I124" s="393"/>
      <c r="J124" s="393"/>
      <c r="K124" s="393"/>
      <c r="L124" s="393"/>
      <c r="M124" s="393"/>
      <c r="N124" s="393"/>
      <c r="O124" s="393"/>
      <c r="P124" s="393"/>
      <c r="Q124" s="393"/>
      <c r="R124" s="393"/>
      <c r="S124" s="394"/>
      <c r="T124" s="395"/>
      <c r="U124" s="395"/>
      <c r="V124" s="395"/>
      <c r="W124" s="395"/>
      <c r="X124" s="393"/>
      <c r="Y124" s="393"/>
      <c r="Z124" s="393"/>
      <c r="AA124" s="393"/>
      <c r="AB124" s="393"/>
      <c r="AC124" s="393"/>
      <c r="AD124" s="395"/>
      <c r="AE124" s="396"/>
      <c r="AF124" s="393"/>
      <c r="AG124" s="422"/>
    </row>
    <row r="125" spans="1:33" ht="40" customHeight="1">
      <c r="A125" s="393"/>
      <c r="B125" s="393"/>
      <c r="C125" s="393"/>
      <c r="D125" s="393"/>
      <c r="E125" s="393"/>
      <c r="F125" s="393"/>
      <c r="G125" s="393"/>
      <c r="H125" s="393"/>
      <c r="I125" s="393"/>
      <c r="J125" s="393"/>
      <c r="K125" s="393"/>
      <c r="L125" s="393"/>
      <c r="M125" s="393"/>
      <c r="N125" s="393"/>
      <c r="O125" s="393"/>
      <c r="P125" s="393"/>
      <c r="Q125" s="393"/>
      <c r="R125" s="393"/>
      <c r="S125" s="394"/>
      <c r="T125" s="395"/>
      <c r="U125" s="395"/>
      <c r="V125" s="395"/>
      <c r="W125" s="395"/>
      <c r="X125" s="393"/>
      <c r="Y125" s="393"/>
      <c r="Z125" s="393"/>
      <c r="AA125" s="393"/>
      <c r="AB125" s="393"/>
      <c r="AC125" s="393"/>
      <c r="AD125" s="395"/>
      <c r="AE125" s="396"/>
      <c r="AF125" s="393"/>
      <c r="AG125" s="422"/>
    </row>
    <row r="126" spans="1:33" ht="40" customHeight="1">
      <c r="A126" s="393"/>
      <c r="B126" s="393"/>
      <c r="C126" s="393"/>
      <c r="D126" s="393"/>
      <c r="E126" s="393"/>
      <c r="F126" s="393"/>
      <c r="G126" s="393"/>
      <c r="H126" s="393"/>
      <c r="I126" s="393"/>
      <c r="J126" s="393"/>
      <c r="K126" s="393"/>
      <c r="L126" s="393"/>
      <c r="M126" s="393"/>
      <c r="N126" s="393"/>
      <c r="O126" s="393"/>
      <c r="P126" s="393"/>
      <c r="Q126" s="393"/>
      <c r="R126" s="393"/>
      <c r="S126" s="394"/>
      <c r="T126" s="395"/>
      <c r="U126" s="395"/>
      <c r="V126" s="395"/>
      <c r="W126" s="395"/>
      <c r="X126" s="393"/>
      <c r="Y126" s="393"/>
      <c r="Z126" s="393"/>
      <c r="AA126" s="393"/>
      <c r="AB126" s="393"/>
      <c r="AC126" s="393"/>
      <c r="AD126" s="395"/>
      <c r="AE126" s="396"/>
      <c r="AF126" s="393"/>
      <c r="AG126" s="422"/>
    </row>
    <row r="127" spans="1:33" ht="40" customHeight="1">
      <c r="A127" s="393"/>
      <c r="B127" s="393"/>
      <c r="C127" s="393"/>
      <c r="D127" s="393"/>
      <c r="E127" s="393"/>
      <c r="F127" s="393"/>
      <c r="G127" s="393"/>
      <c r="H127" s="393"/>
      <c r="I127" s="393"/>
      <c r="J127" s="393"/>
      <c r="K127" s="393"/>
      <c r="L127" s="393"/>
      <c r="M127" s="393"/>
      <c r="N127" s="393"/>
      <c r="O127" s="393"/>
      <c r="P127" s="393"/>
      <c r="Q127" s="393"/>
      <c r="R127" s="393"/>
      <c r="S127" s="394"/>
      <c r="T127" s="395"/>
      <c r="U127" s="395"/>
      <c r="V127" s="395"/>
      <c r="W127" s="395"/>
      <c r="X127" s="393"/>
      <c r="Y127" s="393"/>
      <c r="Z127" s="393"/>
      <c r="AA127" s="393"/>
      <c r="AB127" s="393"/>
      <c r="AC127" s="393"/>
      <c r="AD127" s="395"/>
      <c r="AE127" s="396"/>
      <c r="AF127" s="393"/>
      <c r="AG127" s="422"/>
    </row>
    <row r="128" spans="1:33" ht="40" customHeight="1">
      <c r="A128" s="393"/>
      <c r="B128" s="393"/>
      <c r="C128" s="393"/>
      <c r="D128" s="393"/>
      <c r="E128" s="393"/>
      <c r="F128" s="393"/>
      <c r="G128" s="393"/>
      <c r="H128" s="393"/>
      <c r="I128" s="393"/>
      <c r="J128" s="393"/>
      <c r="K128" s="393"/>
      <c r="L128" s="393"/>
      <c r="M128" s="393"/>
      <c r="N128" s="393"/>
      <c r="O128" s="393"/>
      <c r="P128" s="393"/>
      <c r="Q128" s="393"/>
      <c r="R128" s="393"/>
      <c r="S128" s="394"/>
      <c r="T128" s="395"/>
      <c r="U128" s="395"/>
      <c r="V128" s="395"/>
      <c r="W128" s="395"/>
      <c r="X128" s="393"/>
      <c r="Y128" s="393"/>
      <c r="Z128" s="393"/>
      <c r="AA128" s="393"/>
      <c r="AB128" s="393"/>
      <c r="AC128" s="393"/>
      <c r="AD128" s="395"/>
      <c r="AE128" s="396"/>
      <c r="AF128" s="393"/>
      <c r="AG128" s="422"/>
    </row>
    <row r="129" spans="1:33" ht="40" customHeight="1">
      <c r="A129" s="393"/>
      <c r="B129" s="393"/>
      <c r="C129" s="393"/>
      <c r="D129" s="393"/>
      <c r="E129" s="393"/>
      <c r="F129" s="393"/>
      <c r="G129" s="393"/>
      <c r="H129" s="393"/>
      <c r="I129" s="393"/>
      <c r="J129" s="393"/>
      <c r="K129" s="393"/>
      <c r="L129" s="393"/>
      <c r="M129" s="393"/>
      <c r="N129" s="393"/>
      <c r="O129" s="393"/>
      <c r="P129" s="393"/>
      <c r="Q129" s="393"/>
      <c r="R129" s="393"/>
      <c r="S129" s="394"/>
      <c r="T129" s="395"/>
      <c r="U129" s="395"/>
      <c r="V129" s="395"/>
      <c r="W129" s="395"/>
      <c r="X129" s="393"/>
      <c r="Y129" s="393"/>
      <c r="Z129" s="393"/>
      <c r="AA129" s="393"/>
      <c r="AB129" s="393"/>
      <c r="AC129" s="393"/>
      <c r="AD129" s="395"/>
      <c r="AE129" s="396"/>
      <c r="AF129" s="393"/>
      <c r="AG129" s="422"/>
    </row>
    <row r="130" spans="1:33" ht="40" customHeight="1">
      <c r="A130" s="393"/>
      <c r="B130" s="393"/>
      <c r="C130" s="393"/>
      <c r="D130" s="393"/>
      <c r="E130" s="393"/>
      <c r="F130" s="393"/>
      <c r="G130" s="393"/>
      <c r="H130" s="393"/>
      <c r="I130" s="393"/>
      <c r="J130" s="393"/>
      <c r="K130" s="393"/>
      <c r="L130" s="393"/>
      <c r="M130" s="393"/>
      <c r="N130" s="393"/>
      <c r="O130" s="393"/>
      <c r="P130" s="393"/>
      <c r="Q130" s="393"/>
      <c r="R130" s="393"/>
      <c r="S130" s="394"/>
      <c r="T130" s="395"/>
      <c r="U130" s="395"/>
      <c r="V130" s="395"/>
      <c r="W130" s="395"/>
      <c r="X130" s="393"/>
      <c r="Y130" s="393"/>
      <c r="Z130" s="393"/>
      <c r="AA130" s="393"/>
      <c r="AB130" s="393"/>
      <c r="AC130" s="393"/>
      <c r="AD130" s="395"/>
      <c r="AE130" s="396"/>
      <c r="AF130" s="393"/>
      <c r="AG130" s="422"/>
    </row>
    <row r="131" spans="1:33" ht="40" customHeight="1">
      <c r="A131" s="393"/>
      <c r="B131" s="393"/>
      <c r="C131" s="393"/>
      <c r="D131" s="393"/>
      <c r="E131" s="393"/>
      <c r="F131" s="393"/>
      <c r="G131" s="393"/>
      <c r="H131" s="393"/>
      <c r="I131" s="393"/>
      <c r="J131" s="393"/>
      <c r="K131" s="393"/>
      <c r="L131" s="393"/>
      <c r="M131" s="393"/>
      <c r="N131" s="393"/>
      <c r="O131" s="393"/>
      <c r="P131" s="393"/>
      <c r="Q131" s="393"/>
      <c r="R131" s="393"/>
      <c r="S131" s="394"/>
      <c r="T131" s="395"/>
      <c r="U131" s="395"/>
      <c r="V131" s="395"/>
      <c r="W131" s="395"/>
      <c r="X131" s="393"/>
      <c r="Y131" s="393"/>
      <c r="Z131" s="393"/>
      <c r="AA131" s="393"/>
      <c r="AB131" s="393"/>
      <c r="AC131" s="393"/>
      <c r="AD131" s="395"/>
      <c r="AE131" s="396"/>
      <c r="AF131" s="393"/>
      <c r="AG131" s="422"/>
    </row>
    <row r="132" spans="1:33" ht="40" customHeight="1">
      <c r="A132" s="393"/>
      <c r="B132" s="393"/>
      <c r="C132" s="393"/>
      <c r="D132" s="393"/>
      <c r="E132" s="393"/>
      <c r="F132" s="393"/>
      <c r="G132" s="393"/>
      <c r="H132" s="393"/>
      <c r="I132" s="393"/>
      <c r="J132" s="393"/>
      <c r="K132" s="393"/>
      <c r="L132" s="393"/>
      <c r="M132" s="393"/>
      <c r="N132" s="393"/>
      <c r="O132" s="393"/>
      <c r="P132" s="393"/>
      <c r="Q132" s="393"/>
      <c r="R132" s="393"/>
      <c r="S132" s="394"/>
      <c r="T132" s="395"/>
      <c r="U132" s="395"/>
      <c r="V132" s="395"/>
      <c r="W132" s="395"/>
      <c r="X132" s="393"/>
      <c r="Y132" s="393"/>
      <c r="Z132" s="393"/>
      <c r="AA132" s="393"/>
      <c r="AB132" s="393"/>
      <c r="AC132" s="393"/>
      <c r="AD132" s="395"/>
      <c r="AE132" s="396"/>
      <c r="AF132" s="393"/>
      <c r="AG132" s="422"/>
    </row>
    <row r="133" spans="1:33" ht="40" customHeight="1">
      <c r="A133" s="393"/>
      <c r="B133" s="393"/>
      <c r="C133" s="393"/>
      <c r="D133" s="393"/>
      <c r="E133" s="393"/>
      <c r="F133" s="393"/>
      <c r="G133" s="393"/>
      <c r="H133" s="393"/>
      <c r="I133" s="393"/>
      <c r="J133" s="393"/>
      <c r="K133" s="393"/>
      <c r="L133" s="393"/>
      <c r="M133" s="393"/>
      <c r="N133" s="393"/>
      <c r="O133" s="393"/>
      <c r="P133" s="393"/>
      <c r="Q133" s="393"/>
      <c r="R133" s="393"/>
      <c r="S133" s="394"/>
      <c r="T133" s="395"/>
      <c r="U133" s="395"/>
      <c r="V133" s="395"/>
      <c r="W133" s="395"/>
      <c r="X133" s="393"/>
      <c r="Y133" s="393"/>
      <c r="Z133" s="393"/>
      <c r="AA133" s="393"/>
      <c r="AB133" s="393"/>
      <c r="AC133" s="393"/>
      <c r="AD133" s="395"/>
      <c r="AE133" s="396"/>
      <c r="AF133" s="393"/>
      <c r="AG133" s="422"/>
    </row>
    <row r="134" spans="1:33" ht="40" customHeight="1">
      <c r="A134" s="393"/>
      <c r="B134" s="393"/>
      <c r="C134" s="393"/>
      <c r="D134" s="393"/>
      <c r="E134" s="393"/>
      <c r="F134" s="393"/>
      <c r="G134" s="393"/>
      <c r="H134" s="393"/>
      <c r="I134" s="393"/>
      <c r="J134" s="393"/>
      <c r="K134" s="393"/>
      <c r="L134" s="393"/>
      <c r="M134" s="393"/>
      <c r="N134" s="393"/>
      <c r="O134" s="393"/>
      <c r="P134" s="393"/>
      <c r="Q134" s="393"/>
      <c r="R134" s="393"/>
      <c r="S134" s="394"/>
      <c r="T134" s="395"/>
      <c r="U134" s="395"/>
      <c r="V134" s="395"/>
      <c r="W134" s="395"/>
      <c r="X134" s="393"/>
      <c r="Y134" s="393"/>
      <c r="Z134" s="393"/>
      <c r="AA134" s="393"/>
      <c r="AB134" s="393"/>
      <c r="AC134" s="393"/>
      <c r="AD134" s="395"/>
      <c r="AE134" s="396"/>
      <c r="AF134" s="393"/>
      <c r="AG134" s="422"/>
    </row>
    <row r="135" spans="1:33" ht="40" customHeight="1">
      <c r="A135" s="393"/>
      <c r="B135" s="393"/>
      <c r="C135" s="393"/>
      <c r="D135" s="393"/>
      <c r="E135" s="393"/>
      <c r="F135" s="393"/>
      <c r="G135" s="393"/>
      <c r="H135" s="393"/>
      <c r="I135" s="393"/>
      <c r="J135" s="393"/>
      <c r="K135" s="393"/>
      <c r="L135" s="393"/>
      <c r="M135" s="393"/>
      <c r="N135" s="393"/>
      <c r="O135" s="393"/>
      <c r="P135" s="393"/>
      <c r="Q135" s="393"/>
      <c r="R135" s="393"/>
      <c r="S135" s="394"/>
      <c r="T135" s="395"/>
      <c r="U135" s="395"/>
      <c r="V135" s="395"/>
      <c r="W135" s="395"/>
      <c r="X135" s="393"/>
      <c r="Y135" s="393"/>
      <c r="Z135" s="393"/>
      <c r="AA135" s="393"/>
      <c r="AB135" s="393"/>
      <c r="AC135" s="393"/>
      <c r="AD135" s="395"/>
      <c r="AE135" s="396"/>
      <c r="AF135" s="393"/>
      <c r="AG135" s="422"/>
    </row>
    <row r="136" spans="1:33" ht="40" customHeight="1">
      <c r="A136" s="393"/>
      <c r="B136" s="393"/>
      <c r="C136" s="393"/>
      <c r="D136" s="393"/>
      <c r="E136" s="393"/>
      <c r="F136" s="393"/>
      <c r="G136" s="393"/>
      <c r="H136" s="393"/>
      <c r="I136" s="393"/>
      <c r="J136" s="393"/>
      <c r="K136" s="393"/>
      <c r="L136" s="393"/>
      <c r="M136" s="393"/>
      <c r="N136" s="393"/>
      <c r="O136" s="393"/>
      <c r="P136" s="393"/>
      <c r="Q136" s="393"/>
      <c r="R136" s="393"/>
      <c r="S136" s="394"/>
      <c r="T136" s="395"/>
      <c r="U136" s="395"/>
      <c r="V136" s="395"/>
      <c r="W136" s="395"/>
      <c r="X136" s="393"/>
      <c r="Y136" s="393"/>
      <c r="Z136" s="393"/>
      <c r="AA136" s="393"/>
      <c r="AB136" s="393"/>
      <c r="AC136" s="393"/>
      <c r="AD136" s="395"/>
      <c r="AE136" s="396"/>
      <c r="AF136" s="393"/>
      <c r="AG136" s="422"/>
    </row>
    <row r="137" spans="1:33" ht="40" customHeight="1">
      <c r="A137" s="393"/>
      <c r="B137" s="393"/>
      <c r="C137" s="393"/>
      <c r="D137" s="393"/>
      <c r="E137" s="393"/>
      <c r="F137" s="393"/>
      <c r="G137" s="393"/>
      <c r="H137" s="393"/>
      <c r="I137" s="393"/>
      <c r="J137" s="393"/>
      <c r="K137" s="393"/>
      <c r="L137" s="393"/>
      <c r="M137" s="393"/>
      <c r="N137" s="393"/>
      <c r="O137" s="393"/>
      <c r="P137" s="393"/>
      <c r="Q137" s="393"/>
      <c r="R137" s="393"/>
      <c r="S137" s="394"/>
      <c r="T137" s="395"/>
      <c r="U137" s="395"/>
      <c r="V137" s="395"/>
      <c r="W137" s="395"/>
      <c r="X137" s="393"/>
      <c r="Y137" s="393"/>
      <c r="Z137" s="393"/>
      <c r="AA137" s="393"/>
      <c r="AB137" s="393"/>
      <c r="AC137" s="393"/>
      <c r="AD137" s="395"/>
      <c r="AE137" s="396"/>
      <c r="AF137" s="393"/>
      <c r="AG137" s="422"/>
    </row>
    <row r="138" spans="1:33" ht="40" customHeight="1">
      <c r="A138" s="393"/>
      <c r="B138" s="393"/>
      <c r="C138" s="393"/>
      <c r="D138" s="393"/>
      <c r="E138" s="393"/>
      <c r="F138" s="393"/>
      <c r="G138" s="393"/>
      <c r="H138" s="393"/>
      <c r="I138" s="393"/>
      <c r="J138" s="393"/>
      <c r="K138" s="393"/>
      <c r="L138" s="393"/>
      <c r="M138" s="393"/>
      <c r="N138" s="393"/>
      <c r="O138" s="393"/>
      <c r="P138" s="393"/>
      <c r="Q138" s="393"/>
      <c r="R138" s="393"/>
      <c r="S138" s="394"/>
      <c r="T138" s="395"/>
      <c r="U138" s="395"/>
      <c r="V138" s="395"/>
      <c r="W138" s="395"/>
      <c r="X138" s="393"/>
      <c r="Y138" s="393"/>
      <c r="Z138" s="393"/>
      <c r="AA138" s="393"/>
      <c r="AB138" s="393"/>
      <c r="AC138" s="393"/>
      <c r="AD138" s="395"/>
      <c r="AE138" s="396"/>
      <c r="AF138" s="393"/>
      <c r="AG138" s="422"/>
    </row>
    <row r="139" spans="1:33" ht="40" customHeight="1">
      <c r="A139" s="393"/>
      <c r="B139" s="393"/>
      <c r="C139" s="393"/>
      <c r="D139" s="393"/>
      <c r="E139" s="393"/>
      <c r="F139" s="393"/>
      <c r="G139" s="393"/>
      <c r="H139" s="393"/>
      <c r="I139" s="393"/>
      <c r="J139" s="393"/>
      <c r="K139" s="393"/>
      <c r="L139" s="393"/>
      <c r="M139" s="393"/>
      <c r="N139" s="393"/>
      <c r="O139" s="393"/>
      <c r="P139" s="393"/>
      <c r="Q139" s="393"/>
      <c r="R139" s="393"/>
      <c r="S139" s="394"/>
      <c r="T139" s="395"/>
      <c r="U139" s="395"/>
      <c r="V139" s="395"/>
      <c r="W139" s="395"/>
      <c r="X139" s="393"/>
      <c r="Y139" s="393"/>
      <c r="Z139" s="393"/>
      <c r="AA139" s="393"/>
      <c r="AB139" s="393"/>
      <c r="AC139" s="393"/>
      <c r="AD139" s="395"/>
      <c r="AE139" s="396"/>
      <c r="AF139" s="393"/>
      <c r="AG139" s="422"/>
    </row>
    <row r="140" spans="1:33" ht="40" customHeight="1">
      <c r="A140" s="393"/>
      <c r="B140" s="393"/>
      <c r="C140" s="393"/>
      <c r="D140" s="393"/>
      <c r="E140" s="393"/>
      <c r="F140" s="393"/>
      <c r="G140" s="393"/>
      <c r="H140" s="393"/>
      <c r="I140" s="393"/>
      <c r="J140" s="393"/>
      <c r="K140" s="393"/>
      <c r="L140" s="393"/>
      <c r="M140" s="393"/>
      <c r="N140" s="393"/>
      <c r="O140" s="393"/>
      <c r="P140" s="393"/>
      <c r="Q140" s="393"/>
      <c r="R140" s="393"/>
      <c r="S140" s="394"/>
      <c r="T140" s="395"/>
      <c r="U140" s="395"/>
      <c r="V140" s="395"/>
      <c r="W140" s="395"/>
      <c r="X140" s="393"/>
      <c r="Y140" s="393"/>
      <c r="Z140" s="393"/>
      <c r="AA140" s="393"/>
      <c r="AB140" s="393"/>
      <c r="AC140" s="393"/>
      <c r="AD140" s="395"/>
      <c r="AE140" s="396"/>
      <c r="AF140" s="393"/>
      <c r="AG140" s="422"/>
    </row>
    <row r="141" spans="1:33" ht="40" customHeight="1">
      <c r="A141" s="393"/>
      <c r="B141" s="393"/>
      <c r="C141" s="393"/>
      <c r="D141" s="393"/>
      <c r="E141" s="393"/>
      <c r="F141" s="393"/>
      <c r="G141" s="393"/>
      <c r="H141" s="393"/>
      <c r="I141" s="393"/>
      <c r="J141" s="393"/>
      <c r="K141" s="393"/>
      <c r="L141" s="393"/>
      <c r="M141" s="393"/>
      <c r="N141" s="393"/>
      <c r="O141" s="393"/>
      <c r="P141" s="393"/>
      <c r="Q141" s="393"/>
      <c r="R141" s="393"/>
      <c r="S141" s="394"/>
      <c r="T141" s="395"/>
      <c r="U141" s="395"/>
      <c r="V141" s="395"/>
      <c r="W141" s="395"/>
      <c r="X141" s="393"/>
      <c r="Y141" s="393"/>
      <c r="Z141" s="393"/>
      <c r="AA141" s="393"/>
      <c r="AB141" s="393"/>
      <c r="AC141" s="393"/>
      <c r="AD141" s="395"/>
      <c r="AE141" s="396"/>
      <c r="AF141" s="393"/>
      <c r="AG141" s="422"/>
    </row>
    <row r="142" spans="1:33" ht="40" customHeight="1">
      <c r="A142" s="393"/>
      <c r="B142" s="393"/>
      <c r="C142" s="393"/>
      <c r="D142" s="393"/>
      <c r="E142" s="393"/>
      <c r="F142" s="393"/>
      <c r="G142" s="393"/>
      <c r="H142" s="393"/>
      <c r="I142" s="393"/>
      <c r="J142" s="393"/>
      <c r="K142" s="393"/>
      <c r="L142" s="393"/>
      <c r="M142" s="393"/>
      <c r="N142" s="393"/>
      <c r="O142" s="393"/>
      <c r="P142" s="393"/>
      <c r="Q142" s="393"/>
      <c r="R142" s="393"/>
      <c r="S142" s="394"/>
      <c r="T142" s="395"/>
      <c r="U142" s="395"/>
      <c r="V142" s="395"/>
      <c r="W142" s="395"/>
      <c r="X142" s="393"/>
      <c r="Y142" s="393"/>
      <c r="Z142" s="393"/>
      <c r="AA142" s="393"/>
      <c r="AB142" s="393"/>
      <c r="AC142" s="393"/>
      <c r="AD142" s="395"/>
      <c r="AE142" s="396"/>
      <c r="AF142" s="393"/>
      <c r="AG142" s="422"/>
    </row>
    <row r="143" spans="1:33" ht="40" customHeight="1">
      <c r="A143" s="393"/>
      <c r="B143" s="393"/>
      <c r="C143" s="393"/>
      <c r="D143" s="393"/>
      <c r="E143" s="393"/>
      <c r="F143" s="393"/>
      <c r="G143" s="393"/>
      <c r="H143" s="393"/>
      <c r="I143" s="393"/>
      <c r="J143" s="393"/>
      <c r="K143" s="393"/>
      <c r="L143" s="393"/>
      <c r="M143" s="393"/>
      <c r="N143" s="393"/>
      <c r="O143" s="393"/>
      <c r="P143" s="393"/>
      <c r="Q143" s="393"/>
      <c r="R143" s="393"/>
      <c r="S143" s="394"/>
      <c r="T143" s="395"/>
      <c r="U143" s="395"/>
      <c r="V143" s="395"/>
      <c r="W143" s="395"/>
      <c r="X143" s="393"/>
      <c r="Y143" s="393"/>
      <c r="Z143" s="393"/>
      <c r="AA143" s="393"/>
      <c r="AB143" s="393"/>
      <c r="AC143" s="393"/>
      <c r="AD143" s="395"/>
      <c r="AE143" s="396"/>
      <c r="AF143" s="393"/>
      <c r="AG143" s="422"/>
    </row>
    <row r="144" spans="1:33" ht="40" customHeight="1">
      <c r="A144" s="393"/>
      <c r="B144" s="393"/>
      <c r="C144" s="393"/>
      <c r="D144" s="393"/>
      <c r="E144" s="393"/>
      <c r="F144" s="393"/>
      <c r="G144" s="393"/>
      <c r="H144" s="393"/>
      <c r="I144" s="393"/>
      <c r="J144" s="393"/>
      <c r="K144" s="393"/>
      <c r="L144" s="393"/>
      <c r="M144" s="393"/>
      <c r="N144" s="393"/>
      <c r="O144" s="393"/>
      <c r="P144" s="393"/>
      <c r="Q144" s="393"/>
      <c r="R144" s="393"/>
      <c r="S144" s="394"/>
      <c r="T144" s="395"/>
      <c r="U144" s="395"/>
      <c r="V144" s="395"/>
      <c r="W144" s="395"/>
      <c r="X144" s="393"/>
      <c r="Y144" s="393"/>
      <c r="Z144" s="393"/>
      <c r="AA144" s="393"/>
      <c r="AB144" s="393"/>
      <c r="AC144" s="393"/>
      <c r="AD144" s="395"/>
      <c r="AE144" s="396"/>
      <c r="AF144" s="393"/>
      <c r="AG144" s="422"/>
    </row>
    <row r="145" spans="1:33" ht="40" customHeight="1">
      <c r="A145" s="393"/>
      <c r="B145" s="393"/>
      <c r="C145" s="393"/>
      <c r="D145" s="393"/>
      <c r="E145" s="393"/>
      <c r="F145" s="393"/>
      <c r="G145" s="393"/>
      <c r="H145" s="393"/>
      <c r="I145" s="393"/>
      <c r="J145" s="393"/>
      <c r="K145" s="393"/>
      <c r="L145" s="393"/>
      <c r="M145" s="393"/>
      <c r="N145" s="393"/>
      <c r="O145" s="393"/>
      <c r="P145" s="393"/>
      <c r="Q145" s="393"/>
      <c r="R145" s="393"/>
      <c r="S145" s="394"/>
      <c r="T145" s="395"/>
      <c r="U145" s="395"/>
      <c r="V145" s="395"/>
      <c r="W145" s="395"/>
      <c r="X145" s="393"/>
      <c r="Y145" s="393"/>
      <c r="Z145" s="393"/>
      <c r="AA145" s="393"/>
      <c r="AB145" s="393"/>
      <c r="AC145" s="393"/>
      <c r="AD145" s="395"/>
      <c r="AE145" s="396"/>
      <c r="AF145" s="393"/>
      <c r="AG145" s="422"/>
    </row>
    <row r="146" spans="1:33" ht="40" customHeight="1">
      <c r="A146" s="393"/>
      <c r="B146" s="393"/>
      <c r="C146" s="393"/>
      <c r="D146" s="393"/>
      <c r="E146" s="393"/>
      <c r="F146" s="393"/>
      <c r="G146" s="393"/>
      <c r="H146" s="393"/>
      <c r="I146" s="393"/>
      <c r="J146" s="393"/>
      <c r="K146" s="393"/>
      <c r="L146" s="393"/>
      <c r="M146" s="393"/>
      <c r="N146" s="393"/>
      <c r="O146" s="393"/>
      <c r="P146" s="393"/>
      <c r="Q146" s="393"/>
      <c r="R146" s="393"/>
      <c r="S146" s="394"/>
      <c r="T146" s="395"/>
      <c r="U146" s="395"/>
      <c r="V146" s="395"/>
      <c r="W146" s="395"/>
      <c r="X146" s="393"/>
      <c r="Y146" s="393"/>
      <c r="Z146" s="393"/>
      <c r="AA146" s="393"/>
      <c r="AB146" s="393"/>
      <c r="AC146" s="393"/>
      <c r="AD146" s="395"/>
      <c r="AE146" s="396"/>
      <c r="AF146" s="393"/>
      <c r="AG146" s="422"/>
    </row>
    <row r="147" spans="1:33" ht="40" customHeight="1">
      <c r="A147" s="393"/>
      <c r="B147" s="393"/>
      <c r="C147" s="393"/>
      <c r="D147" s="393"/>
      <c r="E147" s="393"/>
      <c r="F147" s="393"/>
      <c r="G147" s="393"/>
      <c r="H147" s="393"/>
      <c r="I147" s="393"/>
      <c r="J147" s="393"/>
      <c r="K147" s="393"/>
      <c r="L147" s="393"/>
      <c r="M147" s="393"/>
      <c r="N147" s="393"/>
      <c r="O147" s="393"/>
      <c r="P147" s="393"/>
      <c r="Q147" s="393"/>
      <c r="R147" s="393"/>
      <c r="S147" s="394"/>
      <c r="T147" s="395"/>
      <c r="U147" s="395"/>
      <c r="V147" s="395"/>
      <c r="W147" s="395"/>
      <c r="X147" s="393"/>
      <c r="Y147" s="393"/>
      <c r="Z147" s="393"/>
      <c r="AA147" s="393"/>
      <c r="AB147" s="393"/>
      <c r="AC147" s="393"/>
      <c r="AD147" s="395"/>
      <c r="AE147" s="396"/>
      <c r="AF147" s="393"/>
      <c r="AG147" s="422"/>
    </row>
    <row r="148" spans="1:33" ht="40" customHeight="1">
      <c r="A148" s="393"/>
      <c r="B148" s="393"/>
      <c r="C148" s="393"/>
      <c r="D148" s="393"/>
      <c r="E148" s="393"/>
      <c r="F148" s="393"/>
      <c r="G148" s="393"/>
      <c r="H148" s="393"/>
      <c r="I148" s="393"/>
      <c r="J148" s="393"/>
      <c r="K148" s="393"/>
      <c r="L148" s="393"/>
      <c r="M148" s="393"/>
      <c r="N148" s="393"/>
      <c r="O148" s="393"/>
      <c r="P148" s="393"/>
      <c r="Q148" s="393"/>
      <c r="R148" s="393"/>
      <c r="S148" s="394"/>
      <c r="T148" s="395"/>
      <c r="U148" s="395"/>
      <c r="V148" s="395"/>
      <c r="W148" s="395"/>
      <c r="X148" s="393"/>
      <c r="Y148" s="393"/>
      <c r="Z148" s="393"/>
      <c r="AA148" s="393"/>
      <c r="AB148" s="393"/>
      <c r="AC148" s="393"/>
      <c r="AD148" s="395"/>
      <c r="AE148" s="396"/>
      <c r="AF148" s="393"/>
      <c r="AG148" s="422"/>
    </row>
    <row r="149" spans="1:33" ht="40" customHeight="1">
      <c r="A149" s="393"/>
      <c r="B149" s="393"/>
      <c r="C149" s="393"/>
      <c r="D149" s="393"/>
      <c r="E149" s="393"/>
      <c r="F149" s="393"/>
      <c r="G149" s="393"/>
      <c r="H149" s="393"/>
      <c r="I149" s="393"/>
      <c r="J149" s="393"/>
      <c r="K149" s="393"/>
      <c r="L149" s="393"/>
      <c r="M149" s="393"/>
      <c r="N149" s="393"/>
      <c r="O149" s="393"/>
      <c r="P149" s="393"/>
      <c r="Q149" s="393"/>
      <c r="R149" s="393"/>
      <c r="S149" s="394"/>
      <c r="T149" s="395"/>
      <c r="U149" s="395"/>
      <c r="V149" s="395"/>
      <c r="W149" s="395"/>
      <c r="X149" s="393"/>
      <c r="Y149" s="393"/>
      <c r="Z149" s="393"/>
      <c r="AA149" s="393"/>
      <c r="AB149" s="393"/>
      <c r="AC149" s="393"/>
      <c r="AD149" s="395"/>
      <c r="AE149" s="396"/>
      <c r="AF149" s="393"/>
      <c r="AG149" s="422"/>
    </row>
    <row r="150" spans="1:33" ht="40" customHeight="1">
      <c r="A150" s="393"/>
      <c r="B150" s="393"/>
      <c r="C150" s="393"/>
      <c r="D150" s="393"/>
      <c r="E150" s="393"/>
      <c r="F150" s="393"/>
      <c r="G150" s="393"/>
      <c r="H150" s="393"/>
      <c r="I150" s="393"/>
      <c r="J150" s="393"/>
      <c r="K150" s="393"/>
      <c r="L150" s="393"/>
      <c r="M150" s="393"/>
      <c r="N150" s="393"/>
      <c r="O150" s="393"/>
      <c r="P150" s="393"/>
      <c r="Q150" s="393"/>
      <c r="R150" s="393"/>
      <c r="S150" s="394"/>
      <c r="T150" s="395"/>
      <c r="U150" s="395"/>
      <c r="V150" s="395"/>
      <c r="W150" s="395"/>
      <c r="X150" s="393"/>
      <c r="Y150" s="393"/>
      <c r="Z150" s="393"/>
      <c r="AA150" s="393"/>
      <c r="AB150" s="393"/>
      <c r="AC150" s="393"/>
      <c r="AD150" s="395"/>
      <c r="AE150" s="396"/>
      <c r="AF150" s="393"/>
      <c r="AG150" s="422"/>
    </row>
    <row r="151" spans="1:33" ht="40" customHeight="1">
      <c r="A151" s="393"/>
      <c r="B151" s="393"/>
      <c r="C151" s="393"/>
      <c r="D151" s="393"/>
      <c r="E151" s="393"/>
      <c r="F151" s="393"/>
      <c r="G151" s="393"/>
      <c r="H151" s="393"/>
      <c r="I151" s="393"/>
      <c r="J151" s="393"/>
      <c r="K151" s="393"/>
      <c r="L151" s="393"/>
      <c r="M151" s="393"/>
      <c r="N151" s="393"/>
      <c r="O151" s="393"/>
      <c r="P151" s="393"/>
      <c r="Q151" s="393"/>
      <c r="R151" s="393"/>
      <c r="S151" s="394"/>
      <c r="T151" s="395"/>
      <c r="U151" s="395"/>
      <c r="V151" s="395"/>
      <c r="W151" s="395"/>
      <c r="X151" s="393"/>
      <c r="Y151" s="393"/>
      <c r="Z151" s="393"/>
      <c r="AA151" s="393"/>
      <c r="AB151" s="393"/>
      <c r="AC151" s="393"/>
      <c r="AD151" s="395"/>
      <c r="AE151" s="396"/>
      <c r="AF151" s="393"/>
      <c r="AG151" s="422"/>
    </row>
    <row r="152" spans="1:33" ht="40" customHeight="1">
      <c r="A152" s="393"/>
      <c r="B152" s="393"/>
      <c r="C152" s="393"/>
      <c r="D152" s="393"/>
      <c r="E152" s="393"/>
      <c r="F152" s="393"/>
      <c r="G152" s="393"/>
      <c r="H152" s="393"/>
      <c r="I152" s="393"/>
      <c r="J152" s="393"/>
      <c r="K152" s="393"/>
      <c r="L152" s="393"/>
      <c r="M152" s="393"/>
      <c r="N152" s="393"/>
      <c r="O152" s="393"/>
      <c r="P152" s="393"/>
      <c r="Q152" s="393"/>
      <c r="R152" s="393"/>
      <c r="S152" s="394"/>
      <c r="T152" s="395"/>
      <c r="U152" s="395"/>
      <c r="V152" s="395"/>
      <c r="W152" s="395"/>
      <c r="X152" s="393"/>
      <c r="Y152" s="393"/>
      <c r="Z152" s="393"/>
      <c r="AA152" s="393"/>
      <c r="AB152" s="393"/>
      <c r="AC152" s="393"/>
      <c r="AD152" s="395"/>
      <c r="AE152" s="396"/>
      <c r="AF152" s="393"/>
      <c r="AG152" s="422"/>
    </row>
    <row r="153" spans="1:33" ht="40" customHeight="1">
      <c r="A153" s="393"/>
      <c r="B153" s="393"/>
      <c r="C153" s="393"/>
      <c r="D153" s="393"/>
      <c r="E153" s="393"/>
      <c r="F153" s="393"/>
      <c r="G153" s="393"/>
      <c r="H153" s="393"/>
      <c r="I153" s="393"/>
      <c r="J153" s="393"/>
      <c r="K153" s="393"/>
      <c r="L153" s="393"/>
      <c r="M153" s="393"/>
      <c r="N153" s="393"/>
      <c r="O153" s="393"/>
      <c r="P153" s="393"/>
      <c r="Q153" s="393"/>
      <c r="R153" s="393"/>
      <c r="S153" s="394"/>
      <c r="T153" s="395"/>
      <c r="U153" s="395"/>
      <c r="V153" s="395"/>
      <c r="W153" s="395"/>
      <c r="X153" s="393"/>
      <c r="Y153" s="393"/>
      <c r="Z153" s="393"/>
      <c r="AA153" s="393"/>
      <c r="AB153" s="393"/>
      <c r="AC153" s="393"/>
      <c r="AD153" s="395"/>
      <c r="AE153" s="396"/>
      <c r="AF153" s="393"/>
      <c r="AG153" s="422"/>
    </row>
    <row r="154" spans="1:33" ht="40" customHeight="1">
      <c r="A154" s="393"/>
      <c r="B154" s="393"/>
      <c r="C154" s="393"/>
      <c r="D154" s="393"/>
      <c r="E154" s="393"/>
      <c r="F154" s="393"/>
      <c r="G154" s="393"/>
      <c r="H154" s="393"/>
      <c r="I154" s="393"/>
      <c r="J154" s="393"/>
      <c r="K154" s="393"/>
      <c r="L154" s="393"/>
      <c r="M154" s="393"/>
      <c r="N154" s="393"/>
      <c r="O154" s="393"/>
      <c r="P154" s="393"/>
      <c r="Q154" s="393"/>
      <c r="R154" s="393"/>
      <c r="S154" s="394"/>
      <c r="T154" s="395"/>
      <c r="U154" s="395"/>
      <c r="V154" s="395"/>
      <c r="W154" s="395"/>
      <c r="X154" s="393"/>
      <c r="Y154" s="393"/>
      <c r="Z154" s="393"/>
      <c r="AA154" s="393"/>
      <c r="AB154" s="393"/>
      <c r="AC154" s="393"/>
      <c r="AD154" s="395"/>
      <c r="AE154" s="396"/>
      <c r="AF154" s="393"/>
      <c r="AG154" s="422"/>
    </row>
    <row r="155" spans="1:33" ht="40" customHeight="1">
      <c r="A155" s="393"/>
      <c r="B155" s="393"/>
      <c r="C155" s="393"/>
      <c r="D155" s="393"/>
      <c r="E155" s="393"/>
      <c r="F155" s="393"/>
      <c r="G155" s="393"/>
      <c r="H155" s="393"/>
      <c r="I155" s="393"/>
      <c r="J155" s="393"/>
      <c r="K155" s="393"/>
      <c r="L155" s="393"/>
      <c r="M155" s="393"/>
      <c r="N155" s="393"/>
      <c r="O155" s="393"/>
      <c r="P155" s="393"/>
      <c r="Q155" s="393"/>
      <c r="R155" s="393"/>
      <c r="S155" s="394"/>
      <c r="T155" s="395"/>
      <c r="U155" s="395"/>
      <c r="V155" s="395"/>
      <c r="W155" s="395"/>
      <c r="X155" s="393"/>
      <c r="Y155" s="393"/>
      <c r="Z155" s="393"/>
      <c r="AA155" s="393"/>
      <c r="AB155" s="393"/>
      <c r="AC155" s="393"/>
      <c r="AD155" s="395"/>
      <c r="AE155" s="396"/>
      <c r="AF155" s="393"/>
      <c r="AG155" s="422"/>
    </row>
    <row r="156" spans="1:33" ht="40" customHeight="1">
      <c r="A156" s="393"/>
      <c r="B156" s="393"/>
      <c r="C156" s="393"/>
      <c r="D156" s="393"/>
      <c r="E156" s="393"/>
      <c r="F156" s="393"/>
      <c r="G156" s="393"/>
      <c r="H156" s="393"/>
      <c r="I156" s="393"/>
      <c r="J156" s="393"/>
      <c r="K156" s="393"/>
      <c r="L156" s="393"/>
      <c r="M156" s="393"/>
      <c r="N156" s="393"/>
      <c r="O156" s="393"/>
      <c r="P156" s="393"/>
      <c r="Q156" s="393"/>
      <c r="R156" s="393"/>
      <c r="S156" s="394"/>
      <c r="T156" s="395"/>
      <c r="U156" s="395"/>
      <c r="V156" s="395"/>
      <c r="W156" s="395"/>
      <c r="X156" s="393"/>
      <c r="Y156" s="393"/>
      <c r="Z156" s="393"/>
      <c r="AA156" s="393"/>
      <c r="AB156" s="393"/>
      <c r="AC156" s="393"/>
      <c r="AD156" s="395"/>
      <c r="AE156" s="396"/>
      <c r="AF156" s="393"/>
      <c r="AG156" s="422"/>
    </row>
    <row r="157" spans="1:33" ht="40" customHeight="1">
      <c r="A157" s="393"/>
      <c r="B157" s="393"/>
      <c r="C157" s="393"/>
      <c r="D157" s="393"/>
      <c r="E157" s="393"/>
      <c r="F157" s="393"/>
      <c r="G157" s="393"/>
      <c r="H157" s="393"/>
      <c r="I157" s="393"/>
      <c r="J157" s="393"/>
      <c r="K157" s="393"/>
      <c r="L157" s="393"/>
      <c r="M157" s="393"/>
      <c r="N157" s="393"/>
      <c r="O157" s="393"/>
      <c r="P157" s="393"/>
      <c r="Q157" s="393"/>
      <c r="R157" s="393"/>
      <c r="S157" s="394"/>
      <c r="T157" s="395"/>
      <c r="U157" s="395"/>
      <c r="V157" s="395"/>
      <c r="W157" s="395"/>
      <c r="X157" s="393"/>
      <c r="Y157" s="393"/>
      <c r="Z157" s="393"/>
      <c r="AA157" s="393"/>
      <c r="AB157" s="393"/>
      <c r="AC157" s="393"/>
      <c r="AD157" s="395"/>
      <c r="AE157" s="396"/>
      <c r="AF157" s="393"/>
      <c r="AG157" s="422"/>
    </row>
    <row r="158" spans="1:33" ht="40" customHeight="1">
      <c r="A158" s="393"/>
      <c r="B158" s="393"/>
      <c r="C158" s="393"/>
      <c r="D158" s="393"/>
      <c r="E158" s="393"/>
      <c r="F158" s="393"/>
      <c r="G158" s="393"/>
      <c r="H158" s="393"/>
      <c r="I158" s="393"/>
      <c r="J158" s="393"/>
      <c r="K158" s="393"/>
      <c r="L158" s="393"/>
      <c r="M158" s="393"/>
      <c r="N158" s="393"/>
      <c r="O158" s="393"/>
      <c r="P158" s="393"/>
      <c r="Q158" s="393"/>
      <c r="R158" s="393"/>
      <c r="S158" s="394"/>
      <c r="T158" s="395"/>
      <c r="U158" s="395"/>
      <c r="V158" s="395"/>
      <c r="W158" s="395"/>
      <c r="X158" s="393"/>
      <c r="Y158" s="393"/>
      <c r="Z158" s="393"/>
      <c r="AA158" s="393"/>
      <c r="AB158" s="393"/>
      <c r="AC158" s="393"/>
      <c r="AD158" s="395"/>
      <c r="AE158" s="396"/>
      <c r="AF158" s="393"/>
      <c r="AG158" s="422"/>
    </row>
    <row r="159" spans="1:33" ht="40" customHeight="1">
      <c r="A159" s="393"/>
      <c r="B159" s="393"/>
      <c r="C159" s="393"/>
      <c r="D159" s="393"/>
      <c r="E159" s="393"/>
      <c r="F159" s="393"/>
      <c r="G159" s="393"/>
      <c r="H159" s="393"/>
      <c r="I159" s="393"/>
      <c r="J159" s="393"/>
      <c r="K159" s="393"/>
      <c r="L159" s="393"/>
      <c r="M159" s="393"/>
      <c r="N159" s="393"/>
      <c r="O159" s="393"/>
      <c r="P159" s="393"/>
      <c r="Q159" s="393"/>
      <c r="R159" s="393"/>
      <c r="S159" s="394"/>
      <c r="T159" s="395"/>
      <c r="U159" s="395"/>
      <c r="V159" s="395"/>
      <c r="W159" s="395"/>
      <c r="X159" s="393"/>
      <c r="Y159" s="393"/>
      <c r="Z159" s="393"/>
      <c r="AA159" s="393"/>
      <c r="AB159" s="393"/>
      <c r="AC159" s="393"/>
      <c r="AD159" s="395"/>
      <c r="AE159" s="396"/>
      <c r="AF159" s="393"/>
      <c r="AG159" s="422"/>
    </row>
    <row r="160" spans="1:33" ht="40" customHeight="1">
      <c r="A160" s="393"/>
      <c r="B160" s="393"/>
      <c r="C160" s="393"/>
      <c r="D160" s="393"/>
      <c r="E160" s="393"/>
      <c r="F160" s="393"/>
      <c r="G160" s="393"/>
      <c r="H160" s="393"/>
      <c r="I160" s="393"/>
      <c r="J160" s="393"/>
      <c r="K160" s="393"/>
      <c r="L160" s="393"/>
      <c r="M160" s="393"/>
      <c r="N160" s="393"/>
      <c r="O160" s="393"/>
      <c r="P160" s="393"/>
      <c r="Q160" s="393"/>
      <c r="R160" s="393"/>
      <c r="S160" s="394"/>
      <c r="T160" s="395"/>
      <c r="U160" s="395"/>
      <c r="V160" s="395"/>
      <c r="W160" s="395"/>
      <c r="X160" s="393"/>
      <c r="Y160" s="393"/>
      <c r="Z160" s="393"/>
      <c r="AA160" s="393"/>
      <c r="AB160" s="393"/>
      <c r="AC160" s="393"/>
      <c r="AD160" s="395"/>
      <c r="AE160" s="396"/>
      <c r="AF160" s="393"/>
      <c r="AG160" s="422"/>
    </row>
    <row r="161" spans="1:33" ht="40" customHeight="1">
      <c r="A161" s="393"/>
      <c r="B161" s="393"/>
      <c r="C161" s="393"/>
      <c r="D161" s="393"/>
      <c r="E161" s="393"/>
      <c r="F161" s="393"/>
      <c r="G161" s="393"/>
      <c r="H161" s="393"/>
      <c r="I161" s="393"/>
      <c r="J161" s="393"/>
      <c r="K161" s="393"/>
      <c r="L161" s="393"/>
      <c r="M161" s="393"/>
      <c r="N161" s="393"/>
      <c r="O161" s="393"/>
      <c r="P161" s="393"/>
      <c r="Q161" s="393"/>
      <c r="R161" s="393"/>
      <c r="S161" s="394"/>
      <c r="T161" s="395"/>
      <c r="U161" s="395"/>
      <c r="V161" s="395"/>
      <c r="W161" s="395"/>
      <c r="X161" s="393"/>
      <c r="Y161" s="393"/>
      <c r="Z161" s="393"/>
      <c r="AA161" s="393"/>
      <c r="AB161" s="393"/>
      <c r="AC161" s="393"/>
      <c r="AD161" s="395"/>
      <c r="AE161" s="396"/>
      <c r="AF161" s="393"/>
      <c r="AG161" s="422"/>
    </row>
    <row r="162" spans="1:33" ht="40" customHeight="1">
      <c r="A162" s="393"/>
      <c r="B162" s="393"/>
      <c r="C162" s="393"/>
      <c r="D162" s="393"/>
      <c r="E162" s="393"/>
      <c r="F162" s="393"/>
      <c r="G162" s="393"/>
      <c r="H162" s="393"/>
      <c r="I162" s="393"/>
      <c r="J162" s="393"/>
      <c r="K162" s="393"/>
      <c r="L162" s="393"/>
      <c r="M162" s="393"/>
      <c r="N162" s="393"/>
      <c r="O162" s="393"/>
      <c r="P162" s="393"/>
      <c r="Q162" s="393"/>
      <c r="R162" s="393"/>
      <c r="S162" s="394"/>
      <c r="T162" s="395"/>
      <c r="U162" s="395"/>
      <c r="V162" s="395"/>
      <c r="W162" s="395"/>
      <c r="X162" s="393"/>
      <c r="Y162" s="393"/>
      <c r="Z162" s="393"/>
      <c r="AA162" s="393"/>
      <c r="AB162" s="393"/>
      <c r="AC162" s="393"/>
      <c r="AD162" s="395"/>
      <c r="AE162" s="396"/>
      <c r="AF162" s="393"/>
      <c r="AG162" s="422"/>
    </row>
    <row r="163" spans="1:33" ht="40" customHeight="1">
      <c r="A163" s="393"/>
      <c r="B163" s="393"/>
      <c r="C163" s="393"/>
      <c r="D163" s="393"/>
      <c r="E163" s="393"/>
      <c r="F163" s="393"/>
      <c r="G163" s="393"/>
      <c r="H163" s="393"/>
      <c r="I163" s="393"/>
      <c r="J163" s="393"/>
      <c r="K163" s="393"/>
      <c r="L163" s="393"/>
      <c r="M163" s="393"/>
      <c r="N163" s="393"/>
      <c r="O163" s="393"/>
      <c r="P163" s="393"/>
      <c r="Q163" s="393"/>
      <c r="R163" s="393"/>
      <c r="S163" s="394"/>
      <c r="T163" s="395"/>
      <c r="U163" s="395"/>
      <c r="V163" s="395"/>
      <c r="W163" s="395"/>
      <c r="X163" s="393"/>
      <c r="Y163" s="393"/>
      <c r="Z163" s="393"/>
      <c r="AA163" s="393"/>
      <c r="AB163" s="393"/>
      <c r="AC163" s="393"/>
      <c r="AD163" s="395"/>
      <c r="AE163" s="396"/>
      <c r="AF163" s="393"/>
      <c r="AG163" s="422"/>
    </row>
    <row r="164" spans="1:33" ht="40" customHeight="1">
      <c r="A164" s="393"/>
      <c r="B164" s="393"/>
      <c r="C164" s="393"/>
      <c r="D164" s="393"/>
      <c r="E164" s="393"/>
      <c r="F164" s="393"/>
      <c r="G164" s="393"/>
      <c r="H164" s="393"/>
      <c r="I164" s="393"/>
      <c r="J164" s="393"/>
      <c r="K164" s="393"/>
      <c r="L164" s="393"/>
      <c r="M164" s="393"/>
      <c r="N164" s="393"/>
      <c r="O164" s="393"/>
      <c r="P164" s="393"/>
      <c r="Q164" s="393"/>
      <c r="R164" s="393"/>
      <c r="S164" s="394"/>
      <c r="T164" s="395"/>
      <c r="U164" s="395"/>
      <c r="V164" s="395"/>
      <c r="W164" s="395"/>
      <c r="X164" s="393"/>
      <c r="Y164" s="393"/>
      <c r="Z164" s="393"/>
      <c r="AA164" s="393"/>
      <c r="AB164" s="393"/>
      <c r="AC164" s="393"/>
      <c r="AD164" s="395"/>
      <c r="AE164" s="396"/>
      <c r="AF164" s="393"/>
      <c r="AG164" s="422"/>
    </row>
    <row r="165" spans="1:33" ht="40" customHeight="1">
      <c r="A165" s="393"/>
      <c r="B165" s="393"/>
      <c r="C165" s="393"/>
      <c r="D165" s="393"/>
      <c r="E165" s="393"/>
      <c r="F165" s="393"/>
      <c r="G165" s="393"/>
      <c r="H165" s="393"/>
      <c r="I165" s="393"/>
      <c r="J165" s="393"/>
      <c r="K165" s="393"/>
      <c r="L165" s="393"/>
      <c r="M165" s="393"/>
      <c r="N165" s="393"/>
      <c r="O165" s="393"/>
      <c r="P165" s="393"/>
      <c r="Q165" s="393"/>
      <c r="R165" s="393"/>
      <c r="S165" s="394"/>
      <c r="T165" s="395"/>
      <c r="U165" s="395"/>
      <c r="V165" s="395"/>
      <c r="W165" s="395"/>
      <c r="X165" s="393"/>
      <c r="Y165" s="393"/>
      <c r="Z165" s="393"/>
      <c r="AA165" s="393"/>
      <c r="AB165" s="393"/>
      <c r="AC165" s="393"/>
      <c r="AD165" s="395"/>
      <c r="AE165" s="396"/>
      <c r="AF165" s="393"/>
      <c r="AG165" s="422"/>
    </row>
    <row r="166" spans="1:33" ht="40" customHeight="1">
      <c r="A166" s="393"/>
      <c r="B166" s="393"/>
      <c r="C166" s="393"/>
      <c r="D166" s="393"/>
      <c r="E166" s="393"/>
      <c r="F166" s="393"/>
      <c r="G166" s="393"/>
      <c r="H166" s="393"/>
      <c r="I166" s="393"/>
      <c r="J166" s="393"/>
      <c r="K166" s="393"/>
      <c r="L166" s="393"/>
      <c r="M166" s="393"/>
      <c r="N166" s="393"/>
      <c r="O166" s="393"/>
      <c r="P166" s="393"/>
      <c r="Q166" s="393"/>
      <c r="R166" s="393"/>
      <c r="S166" s="394"/>
      <c r="T166" s="395"/>
      <c r="U166" s="395"/>
      <c r="V166" s="395"/>
      <c r="W166" s="395"/>
      <c r="X166" s="393"/>
      <c r="Y166" s="393"/>
      <c r="Z166" s="393"/>
      <c r="AA166" s="393"/>
      <c r="AB166" s="393"/>
      <c r="AC166" s="393"/>
      <c r="AD166" s="395"/>
      <c r="AE166" s="396"/>
      <c r="AF166" s="393"/>
      <c r="AG166" s="422"/>
    </row>
    <row r="167" spans="1:33" ht="40" customHeight="1">
      <c r="A167" s="393"/>
      <c r="B167" s="393"/>
      <c r="C167" s="393"/>
      <c r="D167" s="393"/>
      <c r="E167" s="393"/>
      <c r="F167" s="393"/>
      <c r="G167" s="393"/>
      <c r="H167" s="393"/>
      <c r="I167" s="393"/>
      <c r="J167" s="393"/>
      <c r="K167" s="393"/>
      <c r="L167" s="393"/>
      <c r="M167" s="393"/>
      <c r="N167" s="393"/>
      <c r="O167" s="393"/>
      <c r="P167" s="393"/>
      <c r="Q167" s="393"/>
      <c r="R167" s="393"/>
      <c r="S167" s="394"/>
      <c r="T167" s="395"/>
      <c r="U167" s="395"/>
      <c r="V167" s="395"/>
      <c r="W167" s="395"/>
      <c r="X167" s="393"/>
      <c r="Y167" s="393"/>
      <c r="Z167" s="393"/>
      <c r="AA167" s="393"/>
      <c r="AB167" s="393"/>
      <c r="AC167" s="393"/>
      <c r="AD167" s="395"/>
      <c r="AE167" s="396"/>
      <c r="AF167" s="393"/>
      <c r="AG167" s="422"/>
    </row>
    <row r="168" spans="1:33" ht="40" customHeight="1">
      <c r="A168" s="393"/>
      <c r="B168" s="393"/>
      <c r="C168" s="393"/>
      <c r="D168" s="393"/>
      <c r="E168" s="393"/>
      <c r="F168" s="393"/>
      <c r="G168" s="393"/>
      <c r="H168" s="393"/>
      <c r="I168" s="393"/>
      <c r="J168" s="393"/>
      <c r="K168" s="393"/>
      <c r="L168" s="393"/>
      <c r="M168" s="393"/>
      <c r="N168" s="393"/>
      <c r="O168" s="393"/>
      <c r="P168" s="393"/>
      <c r="Q168" s="393"/>
      <c r="R168" s="393"/>
      <c r="S168" s="394"/>
      <c r="T168" s="395"/>
      <c r="U168" s="395"/>
      <c r="V168" s="395"/>
      <c r="W168" s="395"/>
      <c r="X168" s="393"/>
      <c r="Y168" s="393"/>
      <c r="Z168" s="393"/>
      <c r="AA168" s="393"/>
      <c r="AB168" s="393"/>
      <c r="AC168" s="393"/>
      <c r="AD168" s="395"/>
      <c r="AE168" s="396"/>
      <c r="AF168" s="393"/>
      <c r="AG168" s="422"/>
    </row>
    <row r="169" spans="1:33" ht="40" customHeight="1">
      <c r="A169" s="393"/>
      <c r="B169" s="393"/>
      <c r="C169" s="393"/>
      <c r="D169" s="393"/>
      <c r="E169" s="393"/>
      <c r="F169" s="393"/>
      <c r="G169" s="393"/>
      <c r="H169" s="393"/>
      <c r="I169" s="393"/>
      <c r="J169" s="393"/>
      <c r="K169" s="393"/>
      <c r="L169" s="393"/>
      <c r="M169" s="393"/>
      <c r="N169" s="393"/>
      <c r="O169" s="393"/>
      <c r="P169" s="393"/>
      <c r="Q169" s="393"/>
      <c r="R169" s="393"/>
      <c r="S169" s="394"/>
      <c r="T169" s="395"/>
      <c r="U169" s="395"/>
      <c r="V169" s="395"/>
      <c r="W169" s="395"/>
      <c r="X169" s="393"/>
      <c r="Y169" s="393"/>
      <c r="Z169" s="393"/>
      <c r="AA169" s="393"/>
      <c r="AB169" s="393"/>
      <c r="AC169" s="393"/>
      <c r="AD169" s="395"/>
      <c r="AE169" s="396"/>
      <c r="AF169" s="393"/>
      <c r="AG169" s="422"/>
    </row>
    <row r="170" spans="1:33" ht="40" customHeight="1">
      <c r="A170" s="393"/>
      <c r="B170" s="393"/>
      <c r="C170" s="393"/>
      <c r="D170" s="393"/>
      <c r="E170" s="393"/>
      <c r="F170" s="393"/>
      <c r="G170" s="393"/>
      <c r="H170" s="393"/>
      <c r="I170" s="393"/>
      <c r="J170" s="393"/>
      <c r="K170" s="393"/>
      <c r="L170" s="393"/>
      <c r="M170" s="393"/>
      <c r="N170" s="393"/>
      <c r="O170" s="393"/>
      <c r="P170" s="393"/>
      <c r="Q170" s="393"/>
      <c r="R170" s="393"/>
      <c r="S170" s="394"/>
      <c r="T170" s="395"/>
      <c r="U170" s="395"/>
      <c r="V170" s="395"/>
      <c r="W170" s="395"/>
      <c r="X170" s="393"/>
      <c r="Y170" s="393"/>
      <c r="Z170" s="393"/>
      <c r="AA170" s="393"/>
      <c r="AB170" s="393"/>
      <c r="AC170" s="393"/>
      <c r="AD170" s="395"/>
      <c r="AE170" s="396"/>
      <c r="AF170" s="393"/>
      <c r="AG170" s="422"/>
    </row>
    <row r="171" spans="1:33" ht="40" customHeight="1">
      <c r="A171" s="393"/>
      <c r="B171" s="393"/>
      <c r="C171" s="393"/>
      <c r="D171" s="393"/>
      <c r="E171" s="393"/>
      <c r="F171" s="393"/>
      <c r="G171" s="393"/>
      <c r="H171" s="393"/>
      <c r="I171" s="393"/>
      <c r="J171" s="393"/>
      <c r="K171" s="393"/>
      <c r="L171" s="393"/>
      <c r="M171" s="393"/>
      <c r="N171" s="393"/>
      <c r="O171" s="393"/>
      <c r="P171" s="393"/>
      <c r="Q171" s="393"/>
      <c r="R171" s="393"/>
      <c r="S171" s="394"/>
      <c r="T171" s="395"/>
      <c r="U171" s="395"/>
      <c r="V171" s="395"/>
      <c r="W171" s="395"/>
      <c r="X171" s="393"/>
      <c r="Y171" s="393"/>
      <c r="Z171" s="393"/>
      <c r="AA171" s="393"/>
      <c r="AB171" s="393"/>
      <c r="AC171" s="393"/>
      <c r="AD171" s="395"/>
      <c r="AE171" s="396"/>
      <c r="AF171" s="393"/>
      <c r="AG171" s="422"/>
    </row>
    <row r="172" spans="1:33" ht="40" customHeight="1">
      <c r="A172" s="393"/>
      <c r="B172" s="393"/>
      <c r="C172" s="393"/>
      <c r="D172" s="393"/>
      <c r="E172" s="393"/>
      <c r="F172" s="393"/>
      <c r="G172" s="393"/>
      <c r="H172" s="393"/>
      <c r="I172" s="393"/>
      <c r="J172" s="393"/>
      <c r="K172" s="393"/>
      <c r="L172" s="393"/>
      <c r="M172" s="393"/>
      <c r="N172" s="393"/>
      <c r="O172" s="393"/>
      <c r="P172" s="393"/>
      <c r="Q172" s="393"/>
      <c r="R172" s="393"/>
      <c r="S172" s="394"/>
      <c r="T172" s="395"/>
      <c r="U172" s="395"/>
      <c r="V172" s="395"/>
      <c r="W172" s="395"/>
      <c r="X172" s="393"/>
      <c r="Y172" s="393"/>
      <c r="Z172" s="393"/>
      <c r="AA172" s="393"/>
      <c r="AB172" s="393"/>
      <c r="AC172" s="393"/>
      <c r="AD172" s="395"/>
      <c r="AE172" s="396"/>
      <c r="AF172" s="393"/>
      <c r="AG172" s="422"/>
    </row>
    <row r="173" spans="1:33" ht="40" customHeight="1">
      <c r="A173" s="393"/>
      <c r="B173" s="393"/>
      <c r="C173" s="393"/>
      <c r="D173" s="393"/>
      <c r="E173" s="393"/>
      <c r="F173" s="393"/>
      <c r="G173" s="393"/>
      <c r="H173" s="393"/>
      <c r="I173" s="393"/>
      <c r="J173" s="393"/>
      <c r="K173" s="393"/>
      <c r="L173" s="393"/>
      <c r="M173" s="393"/>
      <c r="N173" s="393"/>
      <c r="O173" s="393"/>
      <c r="P173" s="393"/>
      <c r="Q173" s="393"/>
      <c r="R173" s="393"/>
      <c r="S173" s="394"/>
      <c r="T173" s="395"/>
      <c r="U173" s="395"/>
      <c r="V173" s="395"/>
      <c r="W173" s="395"/>
      <c r="X173" s="393"/>
      <c r="Y173" s="393"/>
      <c r="Z173" s="393"/>
      <c r="AA173" s="393"/>
      <c r="AB173" s="393"/>
      <c r="AC173" s="393"/>
      <c r="AD173" s="395"/>
      <c r="AE173" s="396"/>
      <c r="AF173" s="393"/>
      <c r="AG173" s="422"/>
    </row>
    <row r="174" spans="1:33" ht="40" customHeight="1">
      <c r="A174" s="393"/>
      <c r="B174" s="393"/>
      <c r="C174" s="393"/>
      <c r="D174" s="393"/>
      <c r="E174" s="393"/>
      <c r="F174" s="393"/>
      <c r="G174" s="393"/>
      <c r="H174" s="393"/>
      <c r="I174" s="393"/>
      <c r="J174" s="393"/>
      <c r="K174" s="393"/>
      <c r="L174" s="393"/>
      <c r="M174" s="393"/>
      <c r="N174" s="393"/>
      <c r="O174" s="393"/>
      <c r="P174" s="393"/>
      <c r="Q174" s="393"/>
      <c r="R174" s="393"/>
      <c r="S174" s="394"/>
      <c r="T174" s="395"/>
      <c r="U174" s="395"/>
      <c r="V174" s="395"/>
      <c r="W174" s="395"/>
      <c r="X174" s="393"/>
      <c r="Y174" s="393"/>
      <c r="Z174" s="393"/>
      <c r="AA174" s="393"/>
      <c r="AB174" s="393"/>
      <c r="AC174" s="393"/>
      <c r="AD174" s="395"/>
      <c r="AE174" s="396"/>
      <c r="AF174" s="393"/>
      <c r="AG174" s="422"/>
    </row>
    <row r="175" spans="1:33" ht="40" customHeight="1">
      <c r="A175" s="393"/>
      <c r="B175" s="393"/>
      <c r="C175" s="393"/>
      <c r="D175" s="393"/>
      <c r="E175" s="393"/>
      <c r="F175" s="393"/>
      <c r="G175" s="393"/>
      <c r="H175" s="393"/>
      <c r="I175" s="393"/>
      <c r="J175" s="393"/>
      <c r="K175" s="393"/>
      <c r="L175" s="393"/>
      <c r="M175" s="393"/>
      <c r="N175" s="393"/>
      <c r="O175" s="393"/>
      <c r="P175" s="393"/>
      <c r="Q175" s="393"/>
      <c r="R175" s="393"/>
      <c r="S175" s="394"/>
      <c r="T175" s="395"/>
      <c r="U175" s="395"/>
      <c r="V175" s="395"/>
      <c r="W175" s="395"/>
      <c r="X175" s="393"/>
      <c r="Y175" s="393"/>
      <c r="Z175" s="393"/>
      <c r="AA175" s="393"/>
      <c r="AB175" s="393"/>
      <c r="AC175" s="393"/>
      <c r="AD175" s="395"/>
      <c r="AE175" s="396"/>
      <c r="AF175" s="393"/>
      <c r="AG175" s="422"/>
    </row>
    <row r="176" spans="1:33" ht="40" customHeight="1">
      <c r="A176" s="393"/>
      <c r="B176" s="393"/>
      <c r="C176" s="393"/>
      <c r="D176" s="393"/>
      <c r="E176" s="393"/>
      <c r="F176" s="393"/>
      <c r="G176" s="393"/>
      <c r="H176" s="393"/>
      <c r="I176" s="393"/>
      <c r="J176" s="393"/>
      <c r="K176" s="393"/>
      <c r="L176" s="393"/>
      <c r="M176" s="393"/>
      <c r="N176" s="393"/>
      <c r="O176" s="393"/>
      <c r="P176" s="393"/>
      <c r="Q176" s="393"/>
      <c r="R176" s="393"/>
      <c r="S176" s="394"/>
      <c r="T176" s="395"/>
      <c r="U176" s="395"/>
      <c r="V176" s="395"/>
      <c r="W176" s="395"/>
      <c r="X176" s="393"/>
      <c r="Y176" s="393"/>
      <c r="Z176" s="393"/>
      <c r="AA176" s="393"/>
      <c r="AB176" s="393"/>
      <c r="AC176" s="393"/>
      <c r="AD176" s="395"/>
      <c r="AE176" s="396"/>
      <c r="AF176" s="393"/>
      <c r="AG176" s="422"/>
    </row>
    <row r="177" spans="1:33" ht="40" customHeight="1">
      <c r="A177" s="393"/>
      <c r="B177" s="393"/>
      <c r="C177" s="393"/>
      <c r="D177" s="393"/>
      <c r="E177" s="393"/>
      <c r="F177" s="393"/>
      <c r="G177" s="393"/>
      <c r="H177" s="393"/>
      <c r="I177" s="393"/>
      <c r="J177" s="393"/>
      <c r="K177" s="393"/>
      <c r="L177" s="393"/>
      <c r="M177" s="393"/>
      <c r="N177" s="393"/>
      <c r="O177" s="393"/>
      <c r="P177" s="393"/>
      <c r="Q177" s="393"/>
      <c r="R177" s="393"/>
      <c r="S177" s="394"/>
      <c r="T177" s="395"/>
      <c r="U177" s="395"/>
      <c r="V177" s="395"/>
      <c r="W177" s="395"/>
      <c r="X177" s="393"/>
      <c r="Y177" s="393"/>
      <c r="Z177" s="393"/>
      <c r="AA177" s="393"/>
      <c r="AB177" s="393"/>
      <c r="AC177" s="393"/>
      <c r="AD177" s="395"/>
      <c r="AE177" s="396"/>
      <c r="AF177" s="393"/>
      <c r="AG177" s="422"/>
    </row>
    <row r="178" spans="1:33" ht="40" customHeight="1">
      <c r="A178" s="393"/>
      <c r="B178" s="393"/>
      <c r="C178" s="393"/>
      <c r="D178" s="393"/>
      <c r="E178" s="393"/>
      <c r="F178" s="393"/>
      <c r="G178" s="393"/>
      <c r="H178" s="393"/>
      <c r="I178" s="393"/>
      <c r="J178" s="393"/>
      <c r="K178" s="393"/>
      <c r="L178" s="393"/>
      <c r="M178" s="393"/>
      <c r="N178" s="393"/>
      <c r="O178" s="393"/>
      <c r="P178" s="393"/>
      <c r="Q178" s="393"/>
      <c r="R178" s="393"/>
      <c r="S178" s="394"/>
      <c r="T178" s="395"/>
      <c r="U178" s="395"/>
      <c r="V178" s="395"/>
      <c r="W178" s="395"/>
      <c r="X178" s="393"/>
      <c r="Y178" s="393"/>
      <c r="Z178" s="393"/>
      <c r="AA178" s="393"/>
      <c r="AB178" s="393"/>
      <c r="AC178" s="393"/>
      <c r="AD178" s="395"/>
      <c r="AE178" s="396"/>
      <c r="AF178" s="393"/>
      <c r="AG178" s="422"/>
    </row>
    <row r="179" spans="1:33" ht="40" customHeight="1">
      <c r="A179" s="393"/>
      <c r="B179" s="393"/>
      <c r="C179" s="393"/>
      <c r="D179" s="393"/>
      <c r="E179" s="393"/>
      <c r="F179" s="393"/>
      <c r="G179" s="393"/>
      <c r="H179" s="393"/>
      <c r="I179" s="393"/>
      <c r="J179" s="393"/>
      <c r="K179" s="393"/>
      <c r="L179" s="393"/>
      <c r="M179" s="393"/>
      <c r="N179" s="393"/>
      <c r="O179" s="393"/>
      <c r="P179" s="393"/>
      <c r="Q179" s="393"/>
      <c r="R179" s="393"/>
      <c r="S179" s="394"/>
      <c r="T179" s="395"/>
      <c r="U179" s="395"/>
      <c r="V179" s="395"/>
      <c r="W179" s="395"/>
      <c r="X179" s="393"/>
      <c r="Y179" s="393"/>
      <c r="Z179" s="393"/>
      <c r="AA179" s="393"/>
      <c r="AB179" s="393"/>
      <c r="AC179" s="393"/>
      <c r="AD179" s="395"/>
      <c r="AE179" s="396"/>
      <c r="AF179" s="393"/>
      <c r="AG179" s="422"/>
    </row>
    <row r="180" spans="1:33" ht="40" customHeight="1">
      <c r="A180" s="393"/>
      <c r="B180" s="393"/>
      <c r="C180" s="393"/>
      <c r="D180" s="393"/>
      <c r="E180" s="393"/>
      <c r="F180" s="393"/>
      <c r="G180" s="393"/>
      <c r="H180" s="393"/>
      <c r="I180" s="393"/>
      <c r="J180" s="393"/>
      <c r="K180" s="393"/>
      <c r="L180" s="393"/>
      <c r="M180" s="393"/>
      <c r="N180" s="393"/>
      <c r="O180" s="393"/>
      <c r="P180" s="393"/>
      <c r="Q180" s="393"/>
      <c r="R180" s="393"/>
      <c r="S180" s="394"/>
      <c r="T180" s="395"/>
      <c r="U180" s="395"/>
      <c r="V180" s="395"/>
      <c r="W180" s="395"/>
      <c r="X180" s="393"/>
      <c r="Y180" s="393"/>
      <c r="Z180" s="393"/>
      <c r="AA180" s="393"/>
      <c r="AB180" s="393"/>
      <c r="AC180" s="393"/>
      <c r="AD180" s="395"/>
      <c r="AE180" s="396"/>
      <c r="AF180" s="393"/>
      <c r="AG180" s="422"/>
    </row>
    <row r="181" spans="1:33" ht="40" customHeight="1">
      <c r="A181" s="393"/>
      <c r="B181" s="393"/>
      <c r="C181" s="393"/>
      <c r="D181" s="393"/>
      <c r="E181" s="393"/>
      <c r="F181" s="393"/>
      <c r="G181" s="393"/>
      <c r="H181" s="393"/>
      <c r="I181" s="393"/>
      <c r="J181" s="393"/>
      <c r="K181" s="393"/>
      <c r="L181" s="393"/>
      <c r="M181" s="393"/>
      <c r="N181" s="393"/>
      <c r="O181" s="393"/>
      <c r="P181" s="393"/>
      <c r="Q181" s="393"/>
      <c r="R181" s="393"/>
      <c r="S181" s="394"/>
      <c r="T181" s="395"/>
      <c r="U181" s="395"/>
      <c r="V181" s="395"/>
      <c r="W181" s="395"/>
      <c r="X181" s="393"/>
      <c r="Y181" s="393"/>
      <c r="Z181" s="393"/>
      <c r="AA181" s="393"/>
      <c r="AB181" s="393"/>
      <c r="AC181" s="393"/>
      <c r="AD181" s="395"/>
      <c r="AE181" s="396"/>
      <c r="AF181" s="393"/>
      <c r="AG181" s="422"/>
    </row>
    <row r="182" spans="1:33" ht="40" customHeight="1">
      <c r="A182" s="393"/>
      <c r="B182" s="393"/>
      <c r="C182" s="393"/>
      <c r="D182" s="393"/>
      <c r="E182" s="393"/>
      <c r="F182" s="393"/>
      <c r="G182" s="393"/>
      <c r="H182" s="393"/>
      <c r="I182" s="393"/>
      <c r="J182" s="393"/>
      <c r="K182" s="393"/>
      <c r="L182" s="393"/>
      <c r="M182" s="393"/>
      <c r="N182" s="393"/>
      <c r="O182" s="393"/>
      <c r="P182" s="393"/>
      <c r="Q182" s="393"/>
      <c r="R182" s="393"/>
      <c r="S182" s="394"/>
      <c r="T182" s="395"/>
      <c r="U182" s="395"/>
      <c r="V182" s="395"/>
      <c r="W182" s="395"/>
      <c r="X182" s="393"/>
      <c r="Y182" s="393"/>
      <c r="Z182" s="393"/>
      <c r="AA182" s="393"/>
      <c r="AB182" s="393"/>
      <c r="AC182" s="393"/>
      <c r="AD182" s="395"/>
      <c r="AE182" s="396"/>
      <c r="AF182" s="393"/>
      <c r="AG182" s="422"/>
    </row>
    <row r="183" spans="1:33" ht="40" customHeight="1">
      <c r="A183" s="393"/>
      <c r="B183" s="393"/>
      <c r="C183" s="393"/>
      <c r="D183" s="393"/>
      <c r="E183" s="393"/>
      <c r="F183" s="393"/>
      <c r="G183" s="393"/>
      <c r="H183" s="393"/>
      <c r="I183" s="393"/>
      <c r="J183" s="393"/>
      <c r="K183" s="393"/>
      <c r="L183" s="393"/>
      <c r="M183" s="393"/>
      <c r="N183" s="393"/>
      <c r="O183" s="393"/>
      <c r="P183" s="393"/>
      <c r="Q183" s="393"/>
      <c r="R183" s="393"/>
      <c r="S183" s="394"/>
      <c r="T183" s="395"/>
      <c r="U183" s="395"/>
      <c r="V183" s="395"/>
      <c r="W183" s="395"/>
      <c r="X183" s="393"/>
      <c r="Y183" s="393"/>
      <c r="Z183" s="393"/>
      <c r="AA183" s="393"/>
      <c r="AB183" s="393"/>
      <c r="AC183" s="393"/>
      <c r="AD183" s="395"/>
      <c r="AE183" s="396"/>
      <c r="AF183" s="393"/>
      <c r="AG183" s="422"/>
    </row>
    <row r="184" spans="1:33" ht="40" customHeight="1">
      <c r="A184" s="393"/>
      <c r="B184" s="393"/>
      <c r="C184" s="393"/>
      <c r="D184" s="393"/>
      <c r="E184" s="393"/>
      <c r="F184" s="393"/>
      <c r="G184" s="393"/>
      <c r="H184" s="393"/>
      <c r="I184" s="393"/>
      <c r="J184" s="393"/>
      <c r="K184" s="393"/>
      <c r="L184" s="393"/>
      <c r="M184" s="393"/>
      <c r="N184" s="393"/>
      <c r="O184" s="393"/>
      <c r="P184" s="393"/>
      <c r="Q184" s="393"/>
      <c r="R184" s="393"/>
      <c r="S184" s="394"/>
      <c r="T184" s="395"/>
      <c r="U184" s="395"/>
      <c r="V184" s="395"/>
      <c r="W184" s="395"/>
      <c r="X184" s="393"/>
      <c r="Y184" s="393"/>
      <c r="Z184" s="393"/>
      <c r="AA184" s="393"/>
      <c r="AB184" s="393"/>
      <c r="AC184" s="393"/>
      <c r="AD184" s="395"/>
      <c r="AE184" s="396"/>
      <c r="AF184" s="393"/>
      <c r="AG184" s="422"/>
    </row>
    <row r="185" spans="1:33" ht="40" customHeight="1">
      <c r="A185" s="393"/>
      <c r="B185" s="393"/>
      <c r="C185" s="393"/>
      <c r="D185" s="393"/>
      <c r="E185" s="393"/>
      <c r="F185" s="393"/>
      <c r="G185" s="393"/>
      <c r="H185" s="393"/>
      <c r="I185" s="393"/>
      <c r="J185" s="393"/>
      <c r="K185" s="393"/>
      <c r="L185" s="393"/>
      <c r="M185" s="393"/>
      <c r="N185" s="393"/>
      <c r="O185" s="393"/>
      <c r="P185" s="393"/>
      <c r="Q185" s="393"/>
      <c r="R185" s="393"/>
      <c r="S185" s="394"/>
      <c r="T185" s="395"/>
      <c r="U185" s="395"/>
      <c r="V185" s="395"/>
      <c r="W185" s="395"/>
      <c r="X185" s="393"/>
      <c r="Y185" s="393"/>
      <c r="Z185" s="393"/>
      <c r="AA185" s="393"/>
      <c r="AB185" s="393"/>
      <c r="AC185" s="393"/>
      <c r="AD185" s="395"/>
      <c r="AE185" s="396"/>
      <c r="AF185" s="393"/>
      <c r="AG185" s="422"/>
    </row>
    <row r="186" spans="1:33" ht="40" customHeight="1">
      <c r="A186" s="393"/>
      <c r="B186" s="393"/>
      <c r="C186" s="393"/>
      <c r="D186" s="393"/>
      <c r="E186" s="393"/>
      <c r="F186" s="393"/>
      <c r="G186" s="393"/>
      <c r="H186" s="393"/>
      <c r="I186" s="393"/>
      <c r="J186" s="393"/>
      <c r="K186" s="393"/>
      <c r="L186" s="393"/>
      <c r="M186" s="393"/>
      <c r="N186" s="393"/>
      <c r="O186" s="393"/>
      <c r="P186" s="393"/>
      <c r="Q186" s="393"/>
      <c r="R186" s="393"/>
      <c r="S186" s="394"/>
      <c r="T186" s="395"/>
      <c r="U186" s="395"/>
      <c r="V186" s="395"/>
      <c r="W186" s="395"/>
      <c r="X186" s="393"/>
      <c r="Y186" s="393"/>
      <c r="Z186" s="393"/>
      <c r="AA186" s="393"/>
      <c r="AB186" s="393"/>
      <c r="AC186" s="393"/>
      <c r="AD186" s="395"/>
      <c r="AE186" s="396"/>
      <c r="AF186" s="393"/>
      <c r="AG186" s="422"/>
    </row>
    <row r="187" spans="1:33" ht="40" customHeight="1">
      <c r="A187" s="393"/>
      <c r="B187" s="393"/>
      <c r="C187" s="393"/>
      <c r="D187" s="393"/>
      <c r="E187" s="393"/>
      <c r="F187" s="393"/>
      <c r="G187" s="393"/>
      <c r="H187" s="393"/>
      <c r="I187" s="393"/>
      <c r="J187" s="393"/>
      <c r="K187" s="393"/>
      <c r="L187" s="393"/>
      <c r="M187" s="393"/>
      <c r="N187" s="393"/>
      <c r="O187" s="393"/>
      <c r="P187" s="393"/>
      <c r="Q187" s="393"/>
      <c r="R187" s="393"/>
      <c r="S187" s="394"/>
      <c r="T187" s="395"/>
      <c r="U187" s="395"/>
      <c r="V187" s="395"/>
      <c r="W187" s="395"/>
      <c r="X187" s="393"/>
      <c r="Y187" s="393"/>
      <c r="Z187" s="393"/>
      <c r="AA187" s="393"/>
      <c r="AB187" s="393"/>
      <c r="AC187" s="393"/>
      <c r="AD187" s="395"/>
      <c r="AE187" s="396"/>
      <c r="AF187" s="393"/>
      <c r="AG187" s="422"/>
    </row>
    <row r="188" spans="1:33" ht="40" customHeight="1">
      <c r="A188" s="393"/>
      <c r="B188" s="393"/>
      <c r="C188" s="393"/>
      <c r="D188" s="393"/>
      <c r="E188" s="393"/>
      <c r="F188" s="393"/>
      <c r="G188" s="393"/>
      <c r="H188" s="393"/>
      <c r="I188" s="393"/>
      <c r="J188" s="393"/>
      <c r="K188" s="393"/>
      <c r="L188" s="393"/>
      <c r="M188" s="393"/>
      <c r="N188" s="393"/>
      <c r="O188" s="393"/>
      <c r="P188" s="393"/>
      <c r="Q188" s="393"/>
      <c r="R188" s="393"/>
      <c r="S188" s="394"/>
      <c r="T188" s="395"/>
      <c r="U188" s="395"/>
      <c r="V188" s="395"/>
      <c r="W188" s="395"/>
      <c r="X188" s="393"/>
      <c r="Y188" s="393"/>
      <c r="Z188" s="393"/>
      <c r="AA188" s="393"/>
      <c r="AB188" s="393"/>
      <c r="AC188" s="393"/>
      <c r="AD188" s="395"/>
      <c r="AE188" s="396"/>
      <c r="AF188" s="393"/>
      <c r="AG188" s="422"/>
    </row>
    <row r="189" spans="1:33" ht="40" customHeight="1">
      <c r="A189" s="393"/>
      <c r="B189" s="393"/>
      <c r="C189" s="393"/>
      <c r="D189" s="393"/>
      <c r="E189" s="393"/>
      <c r="F189" s="393"/>
      <c r="G189" s="393"/>
      <c r="H189" s="393"/>
      <c r="I189" s="393"/>
      <c r="J189" s="393"/>
      <c r="K189" s="393"/>
      <c r="L189" s="393"/>
      <c r="M189" s="393"/>
      <c r="N189" s="393"/>
      <c r="O189" s="393"/>
      <c r="P189" s="393"/>
      <c r="Q189" s="393"/>
      <c r="R189" s="393"/>
      <c r="S189" s="394"/>
      <c r="T189" s="395"/>
      <c r="U189" s="395"/>
      <c r="V189" s="395"/>
      <c r="W189" s="395"/>
      <c r="X189" s="393"/>
      <c r="Y189" s="393"/>
      <c r="Z189" s="393"/>
      <c r="AA189" s="393"/>
      <c r="AB189" s="393"/>
      <c r="AC189" s="393"/>
      <c r="AD189" s="395"/>
      <c r="AE189" s="396"/>
      <c r="AF189" s="393"/>
      <c r="AG189" s="422"/>
    </row>
    <row r="190" spans="1:33" ht="40" customHeight="1">
      <c r="A190" s="393"/>
      <c r="B190" s="393"/>
      <c r="C190" s="393"/>
      <c r="D190" s="393"/>
      <c r="E190" s="393"/>
      <c r="F190" s="393"/>
      <c r="G190" s="393"/>
      <c r="H190" s="393"/>
      <c r="I190" s="393"/>
      <c r="J190" s="393"/>
      <c r="K190" s="393"/>
      <c r="L190" s="393"/>
      <c r="M190" s="393"/>
      <c r="N190" s="393"/>
      <c r="O190" s="393"/>
      <c r="P190" s="393"/>
      <c r="Q190" s="393"/>
      <c r="R190" s="393"/>
      <c r="S190" s="394"/>
      <c r="T190" s="395"/>
      <c r="U190" s="395"/>
      <c r="V190" s="395"/>
      <c r="W190" s="395"/>
      <c r="X190" s="393"/>
      <c r="Y190" s="393"/>
      <c r="Z190" s="393"/>
      <c r="AA190" s="393"/>
      <c r="AB190" s="393"/>
      <c r="AC190" s="393"/>
      <c r="AD190" s="395"/>
      <c r="AE190" s="396"/>
      <c r="AF190" s="393"/>
      <c r="AG190" s="422"/>
    </row>
    <row r="191" spans="1:33" ht="40" customHeight="1">
      <c r="A191" s="393"/>
      <c r="B191" s="393"/>
      <c r="C191" s="393"/>
      <c r="D191" s="393"/>
      <c r="E191" s="393"/>
      <c r="F191" s="393"/>
      <c r="G191" s="393"/>
      <c r="H191" s="393"/>
      <c r="I191" s="393"/>
      <c r="J191" s="393"/>
      <c r="K191" s="393"/>
      <c r="L191" s="393"/>
      <c r="M191" s="393"/>
      <c r="N191" s="393"/>
      <c r="O191" s="393"/>
      <c r="P191" s="393"/>
      <c r="Q191" s="393"/>
      <c r="R191" s="393"/>
      <c r="S191" s="394"/>
      <c r="T191" s="395"/>
      <c r="U191" s="395"/>
      <c r="V191" s="395"/>
      <c r="W191" s="395"/>
      <c r="X191" s="393"/>
      <c r="Y191" s="393"/>
      <c r="Z191" s="393"/>
      <c r="AA191" s="393"/>
      <c r="AB191" s="393"/>
      <c r="AC191" s="393"/>
      <c r="AD191" s="395"/>
      <c r="AE191" s="396"/>
      <c r="AF191" s="393"/>
      <c r="AG191" s="422"/>
    </row>
    <row r="192" spans="1:33" ht="40" customHeight="1">
      <c r="A192" s="393"/>
      <c r="B192" s="393"/>
      <c r="C192" s="393"/>
      <c r="D192" s="393"/>
      <c r="E192" s="393"/>
      <c r="F192" s="393"/>
      <c r="G192" s="393"/>
      <c r="H192" s="393"/>
      <c r="I192" s="393"/>
      <c r="J192" s="393"/>
      <c r="K192" s="393"/>
      <c r="L192" s="393"/>
      <c r="M192" s="393"/>
      <c r="N192" s="393"/>
      <c r="O192" s="393"/>
      <c r="P192" s="393"/>
      <c r="Q192" s="393"/>
      <c r="R192" s="393"/>
      <c r="S192" s="394"/>
      <c r="T192" s="395"/>
      <c r="U192" s="395"/>
      <c r="V192" s="395"/>
      <c r="W192" s="395"/>
      <c r="X192" s="393"/>
      <c r="Y192" s="393"/>
      <c r="Z192" s="393"/>
      <c r="AA192" s="393"/>
      <c r="AB192" s="393"/>
      <c r="AC192" s="393"/>
      <c r="AD192" s="395"/>
      <c r="AE192" s="396"/>
      <c r="AF192" s="393"/>
      <c r="AG192" s="422"/>
    </row>
    <row r="193" spans="1:33" ht="40" customHeight="1">
      <c r="A193" s="393"/>
      <c r="B193" s="393"/>
      <c r="C193" s="393"/>
      <c r="D193" s="393"/>
      <c r="E193" s="393"/>
      <c r="F193" s="393"/>
      <c r="G193" s="393"/>
      <c r="H193" s="393"/>
      <c r="I193" s="393"/>
      <c r="J193" s="393"/>
      <c r="K193" s="393"/>
      <c r="L193" s="393"/>
      <c r="M193" s="393"/>
      <c r="N193" s="393"/>
      <c r="O193" s="393"/>
      <c r="P193" s="393"/>
      <c r="Q193" s="393"/>
      <c r="R193" s="393"/>
      <c r="S193" s="394"/>
      <c r="T193" s="395"/>
      <c r="U193" s="395"/>
      <c r="V193" s="395"/>
      <c r="W193" s="395"/>
      <c r="X193" s="393"/>
      <c r="Y193" s="393"/>
      <c r="Z193" s="393"/>
      <c r="AA193" s="393"/>
      <c r="AB193" s="393"/>
      <c r="AC193" s="393"/>
      <c r="AD193" s="395"/>
      <c r="AE193" s="396"/>
      <c r="AF193" s="393"/>
      <c r="AG193" s="422"/>
    </row>
    <row r="194" spans="1:33" ht="40" customHeight="1">
      <c r="A194" s="393"/>
      <c r="B194" s="393"/>
      <c r="C194" s="393"/>
      <c r="D194" s="393"/>
      <c r="E194" s="393"/>
      <c r="F194" s="393"/>
      <c r="G194" s="393"/>
      <c r="H194" s="393"/>
      <c r="I194" s="393"/>
      <c r="J194" s="393"/>
      <c r="K194" s="393"/>
      <c r="L194" s="393"/>
      <c r="M194" s="393"/>
      <c r="N194" s="393"/>
      <c r="O194" s="393"/>
      <c r="P194" s="393"/>
      <c r="Q194" s="393"/>
      <c r="R194" s="393"/>
      <c r="S194" s="394"/>
      <c r="T194" s="395"/>
      <c r="U194" s="395"/>
      <c r="V194" s="395"/>
      <c r="W194" s="395"/>
      <c r="X194" s="393"/>
      <c r="Y194" s="393"/>
      <c r="Z194" s="393"/>
      <c r="AA194" s="393"/>
      <c r="AB194" s="393"/>
      <c r="AC194" s="393"/>
      <c r="AD194" s="395"/>
      <c r="AE194" s="396"/>
      <c r="AF194" s="393"/>
      <c r="AG194" s="422"/>
    </row>
    <row r="195" spans="1:33" ht="40" customHeight="1">
      <c r="A195" s="393"/>
      <c r="B195" s="393"/>
      <c r="C195" s="393"/>
      <c r="D195" s="393"/>
      <c r="E195" s="393"/>
      <c r="F195" s="393"/>
      <c r="G195" s="393"/>
      <c r="H195" s="393"/>
      <c r="I195" s="393"/>
      <c r="J195" s="393"/>
      <c r="K195" s="393"/>
      <c r="L195" s="393"/>
      <c r="M195" s="393"/>
      <c r="N195" s="393"/>
      <c r="O195" s="393"/>
      <c r="P195" s="393"/>
      <c r="Q195" s="393"/>
      <c r="R195" s="393"/>
      <c r="S195" s="394"/>
      <c r="T195" s="395"/>
      <c r="U195" s="395"/>
      <c r="V195" s="395"/>
      <c r="W195" s="395"/>
      <c r="X195" s="393"/>
      <c r="Y195" s="393"/>
      <c r="Z195" s="393"/>
      <c r="AA195" s="393"/>
      <c r="AB195" s="393"/>
      <c r="AC195" s="393"/>
      <c r="AD195" s="395"/>
      <c r="AE195" s="396"/>
      <c r="AF195" s="393"/>
      <c r="AG195" s="422"/>
    </row>
    <row r="196" spans="1:33" ht="40" customHeight="1">
      <c r="A196" s="393"/>
      <c r="B196" s="393"/>
      <c r="C196" s="393"/>
      <c r="D196" s="393"/>
      <c r="E196" s="393"/>
      <c r="F196" s="393"/>
      <c r="G196" s="393"/>
      <c r="H196" s="393"/>
      <c r="I196" s="393"/>
      <c r="J196" s="393"/>
      <c r="K196" s="393"/>
      <c r="L196" s="393"/>
      <c r="M196" s="393"/>
      <c r="N196" s="393"/>
      <c r="O196" s="393"/>
      <c r="P196" s="393"/>
      <c r="Q196" s="393"/>
      <c r="R196" s="393"/>
      <c r="S196" s="394"/>
      <c r="T196" s="395"/>
      <c r="U196" s="395"/>
      <c r="V196" s="395"/>
      <c r="W196" s="395"/>
      <c r="X196" s="393"/>
      <c r="Y196" s="393"/>
      <c r="Z196" s="393"/>
      <c r="AA196" s="393"/>
      <c r="AB196" s="393"/>
      <c r="AC196" s="393"/>
      <c r="AD196" s="395"/>
      <c r="AE196" s="396"/>
      <c r="AF196" s="393"/>
      <c r="AG196" s="422"/>
    </row>
    <row r="197" spans="1:33" ht="40" customHeight="1">
      <c r="A197" s="393"/>
      <c r="B197" s="393"/>
      <c r="C197" s="393"/>
      <c r="D197" s="393"/>
      <c r="E197" s="393"/>
      <c r="F197" s="393"/>
      <c r="G197" s="393"/>
      <c r="H197" s="393"/>
      <c r="I197" s="393"/>
      <c r="J197" s="393"/>
      <c r="K197" s="393"/>
      <c r="L197" s="393"/>
      <c r="M197" s="393"/>
      <c r="N197" s="393"/>
      <c r="O197" s="393"/>
      <c r="P197" s="393"/>
      <c r="Q197" s="393"/>
      <c r="R197" s="393"/>
      <c r="S197" s="394"/>
      <c r="T197" s="395"/>
      <c r="U197" s="395"/>
      <c r="V197" s="395"/>
      <c r="W197" s="395"/>
      <c r="X197" s="393"/>
      <c r="Y197" s="393"/>
      <c r="Z197" s="393"/>
      <c r="AA197" s="393"/>
      <c r="AB197" s="393"/>
      <c r="AC197" s="393"/>
      <c r="AD197" s="395"/>
      <c r="AE197" s="396"/>
      <c r="AF197" s="393"/>
      <c r="AG197" s="422"/>
    </row>
    <row r="198" spans="1:33" ht="40" customHeight="1">
      <c r="A198" s="393"/>
      <c r="B198" s="393"/>
      <c r="C198" s="393"/>
      <c r="D198" s="393"/>
      <c r="E198" s="393"/>
      <c r="F198" s="393"/>
      <c r="G198" s="393"/>
      <c r="H198" s="393"/>
      <c r="I198" s="393"/>
      <c r="J198" s="393"/>
      <c r="K198" s="393"/>
      <c r="L198" s="393"/>
      <c r="M198" s="393"/>
      <c r="N198" s="393"/>
      <c r="O198" s="393"/>
      <c r="P198" s="393"/>
      <c r="Q198" s="393"/>
      <c r="R198" s="393"/>
      <c r="S198" s="394"/>
      <c r="T198" s="395"/>
      <c r="U198" s="395"/>
      <c r="V198" s="395"/>
      <c r="W198" s="395"/>
      <c r="X198" s="393"/>
      <c r="Y198" s="393"/>
      <c r="Z198" s="393"/>
      <c r="AA198" s="393"/>
      <c r="AB198" s="393"/>
      <c r="AC198" s="393"/>
      <c r="AD198" s="395"/>
      <c r="AE198" s="396"/>
      <c r="AF198" s="393"/>
      <c r="AG198" s="422"/>
    </row>
    <row r="199" spans="1:33" ht="40" customHeight="1">
      <c r="A199" s="393"/>
      <c r="B199" s="393"/>
      <c r="C199" s="393"/>
      <c r="D199" s="393"/>
      <c r="E199" s="393"/>
      <c r="F199" s="393"/>
      <c r="G199" s="393"/>
      <c r="H199" s="393"/>
      <c r="I199" s="393"/>
      <c r="J199" s="393"/>
      <c r="K199" s="393"/>
      <c r="L199" s="393"/>
      <c r="M199" s="393"/>
      <c r="N199" s="393"/>
      <c r="O199" s="393"/>
      <c r="P199" s="393"/>
      <c r="Q199" s="393"/>
      <c r="R199" s="393"/>
      <c r="S199" s="394"/>
      <c r="T199" s="395"/>
      <c r="U199" s="395"/>
      <c r="V199" s="395"/>
      <c r="W199" s="395"/>
      <c r="X199" s="393"/>
      <c r="Y199" s="393"/>
      <c r="Z199" s="393"/>
      <c r="AA199" s="393"/>
      <c r="AB199" s="393"/>
      <c r="AC199" s="393"/>
      <c r="AD199" s="395"/>
      <c r="AE199" s="396"/>
      <c r="AF199" s="393"/>
      <c r="AG199" s="422"/>
    </row>
    <row r="200" spans="1:33" ht="40" customHeight="1">
      <c r="A200" s="393"/>
      <c r="B200" s="393"/>
      <c r="C200" s="393"/>
      <c r="D200" s="393"/>
      <c r="E200" s="393"/>
      <c r="F200" s="393"/>
      <c r="G200" s="393"/>
      <c r="H200" s="393"/>
      <c r="I200" s="393"/>
      <c r="J200" s="393"/>
      <c r="K200" s="393"/>
      <c r="L200" s="393"/>
      <c r="M200" s="393"/>
      <c r="N200" s="393"/>
      <c r="O200" s="393"/>
      <c r="P200" s="393"/>
      <c r="Q200" s="393"/>
      <c r="R200" s="393"/>
      <c r="S200" s="394"/>
      <c r="T200" s="395"/>
      <c r="U200" s="395"/>
      <c r="V200" s="395"/>
      <c r="W200" s="395"/>
      <c r="X200" s="393"/>
      <c r="Y200" s="393"/>
      <c r="Z200" s="393"/>
      <c r="AA200" s="393"/>
      <c r="AB200" s="393"/>
      <c r="AC200" s="393"/>
      <c r="AD200" s="395"/>
      <c r="AE200" s="396"/>
      <c r="AF200" s="393"/>
      <c r="AG200" s="393"/>
    </row>
    <row r="201" spans="1:33" ht="40" customHeight="1">
      <c r="A201" s="393"/>
      <c r="B201" s="393"/>
      <c r="C201" s="393"/>
      <c r="D201" s="393"/>
      <c r="E201" s="393"/>
      <c r="F201" s="393"/>
      <c r="G201" s="393"/>
      <c r="H201" s="393"/>
      <c r="I201" s="393"/>
      <c r="J201" s="393"/>
      <c r="K201" s="393"/>
      <c r="L201" s="393"/>
      <c r="M201" s="393"/>
      <c r="N201" s="393"/>
      <c r="O201" s="393"/>
      <c r="P201" s="393"/>
      <c r="Q201" s="393"/>
      <c r="R201" s="393"/>
      <c r="S201" s="394"/>
      <c r="T201" s="395"/>
      <c r="U201" s="395"/>
      <c r="V201" s="395"/>
      <c r="W201" s="395"/>
      <c r="X201" s="393"/>
      <c r="Y201" s="393"/>
      <c r="Z201" s="393"/>
      <c r="AA201" s="393"/>
      <c r="AB201" s="393"/>
      <c r="AC201" s="393"/>
      <c r="AD201" s="395"/>
      <c r="AE201" s="396"/>
      <c r="AF201" s="393"/>
      <c r="AG201" s="393"/>
    </row>
    <row r="202" spans="1:33" ht="40" customHeight="1">
      <c r="A202" s="393"/>
      <c r="B202" s="393"/>
      <c r="C202" s="393"/>
      <c r="D202" s="393"/>
      <c r="E202" s="393"/>
      <c r="F202" s="393"/>
      <c r="G202" s="393"/>
      <c r="H202" s="393"/>
      <c r="I202" s="393"/>
      <c r="J202" s="393"/>
      <c r="K202" s="393"/>
      <c r="L202" s="393"/>
      <c r="M202" s="393"/>
      <c r="N202" s="393"/>
      <c r="O202" s="393"/>
      <c r="P202" s="393"/>
      <c r="Q202" s="393"/>
      <c r="R202" s="393"/>
      <c r="S202" s="394"/>
      <c r="T202" s="395"/>
      <c r="U202" s="395"/>
      <c r="V202" s="395"/>
      <c r="W202" s="395"/>
      <c r="X202" s="393"/>
      <c r="Y202" s="393"/>
      <c r="Z202" s="393"/>
      <c r="AA202" s="393"/>
      <c r="AB202" s="393"/>
      <c r="AC202" s="393"/>
      <c r="AD202" s="395"/>
      <c r="AE202" s="396"/>
      <c r="AF202" s="393"/>
      <c r="AG202" s="393"/>
    </row>
    <row r="203" spans="1:33" ht="40" customHeight="1">
      <c r="A203" s="393"/>
      <c r="B203" s="393"/>
      <c r="C203" s="393"/>
      <c r="D203" s="393"/>
      <c r="E203" s="393"/>
      <c r="F203" s="393"/>
      <c r="G203" s="393"/>
      <c r="H203" s="393"/>
      <c r="I203" s="393"/>
      <c r="J203" s="393"/>
      <c r="K203" s="393"/>
      <c r="L203" s="393"/>
      <c r="M203" s="393"/>
      <c r="N203" s="393"/>
      <c r="O203" s="393"/>
      <c r="P203" s="393"/>
      <c r="Q203" s="393"/>
      <c r="R203" s="393"/>
      <c r="S203" s="394"/>
      <c r="T203" s="395"/>
      <c r="U203" s="395"/>
      <c r="V203" s="395"/>
      <c r="W203" s="395"/>
      <c r="X203" s="393"/>
      <c r="Y203" s="393"/>
      <c r="Z203" s="393"/>
      <c r="AA203" s="393"/>
      <c r="AB203" s="393"/>
      <c r="AC203" s="393"/>
      <c r="AD203" s="395"/>
      <c r="AE203" s="396"/>
      <c r="AF203" s="393"/>
      <c r="AG203" s="393"/>
    </row>
    <row r="204" spans="1:33" ht="40" customHeight="1">
      <c r="A204" s="393"/>
      <c r="B204" s="393"/>
      <c r="C204" s="393"/>
      <c r="D204" s="393"/>
      <c r="E204" s="393"/>
      <c r="F204" s="393"/>
      <c r="G204" s="393"/>
      <c r="H204" s="393"/>
      <c r="I204" s="393"/>
      <c r="J204" s="393"/>
      <c r="K204" s="393"/>
      <c r="L204" s="393"/>
      <c r="M204" s="393"/>
      <c r="N204" s="393"/>
      <c r="O204" s="393"/>
      <c r="P204" s="393"/>
      <c r="Q204" s="393"/>
      <c r="R204" s="393"/>
      <c r="S204" s="394"/>
      <c r="T204" s="395"/>
      <c r="U204" s="395"/>
      <c r="V204" s="395"/>
      <c r="W204" s="395"/>
      <c r="X204" s="393"/>
      <c r="Y204" s="393"/>
      <c r="Z204" s="393"/>
      <c r="AA204" s="393"/>
      <c r="AB204" s="393"/>
      <c r="AC204" s="393"/>
      <c r="AD204" s="395"/>
      <c r="AE204" s="396"/>
      <c r="AF204" s="393"/>
      <c r="AG204" s="393"/>
    </row>
    <row r="205" spans="1:33" ht="40" customHeight="1">
      <c r="A205" s="393"/>
      <c r="B205" s="393"/>
      <c r="C205" s="393"/>
      <c r="D205" s="393"/>
      <c r="E205" s="393"/>
      <c r="F205" s="393"/>
      <c r="G205" s="393"/>
      <c r="H205" s="393"/>
      <c r="I205" s="393"/>
      <c r="J205" s="393"/>
      <c r="K205" s="393"/>
      <c r="L205" s="393"/>
      <c r="M205" s="393"/>
      <c r="N205" s="393"/>
      <c r="O205" s="393"/>
      <c r="P205" s="393"/>
      <c r="Q205" s="393"/>
      <c r="R205" s="393"/>
      <c r="S205" s="394"/>
      <c r="T205" s="395"/>
      <c r="U205" s="395"/>
      <c r="V205" s="395"/>
      <c r="W205" s="395"/>
      <c r="X205" s="393"/>
      <c r="Y205" s="393"/>
      <c r="Z205" s="393"/>
      <c r="AA205" s="393"/>
      <c r="AB205" s="393"/>
      <c r="AC205" s="393"/>
      <c r="AD205" s="395"/>
      <c r="AE205" s="396"/>
      <c r="AF205" s="393"/>
      <c r="AG205" s="393"/>
    </row>
    <row r="206" spans="1:33" ht="40" customHeight="1">
      <c r="A206" s="393"/>
      <c r="B206" s="393"/>
      <c r="C206" s="393"/>
      <c r="D206" s="393"/>
      <c r="E206" s="393"/>
      <c r="F206" s="393"/>
      <c r="G206" s="393"/>
      <c r="H206" s="393"/>
      <c r="I206" s="393"/>
      <c r="J206" s="393"/>
      <c r="K206" s="393"/>
      <c r="L206" s="393"/>
      <c r="M206" s="393"/>
      <c r="N206" s="393"/>
      <c r="O206" s="393"/>
      <c r="P206" s="393"/>
      <c r="Q206" s="393"/>
      <c r="R206" s="393"/>
      <c r="S206" s="394"/>
      <c r="T206" s="395"/>
      <c r="U206" s="395"/>
      <c r="V206" s="395"/>
      <c r="W206" s="395"/>
      <c r="X206" s="393"/>
      <c r="Y206" s="393"/>
      <c r="Z206" s="393"/>
      <c r="AA206" s="393"/>
      <c r="AB206" s="393"/>
      <c r="AC206" s="393"/>
      <c r="AD206" s="395"/>
      <c r="AE206" s="396"/>
      <c r="AF206" s="393"/>
      <c r="AG206" s="393"/>
    </row>
    <row r="207" spans="1:33" ht="40" customHeight="1">
      <c r="A207" s="393"/>
      <c r="B207" s="393"/>
      <c r="C207" s="393"/>
      <c r="D207" s="393"/>
      <c r="E207" s="393"/>
      <c r="F207" s="393"/>
      <c r="G207" s="393"/>
      <c r="H207" s="393"/>
      <c r="I207" s="393"/>
      <c r="J207" s="393"/>
      <c r="K207" s="393"/>
      <c r="L207" s="393"/>
      <c r="M207" s="393"/>
      <c r="N207" s="393"/>
      <c r="O207" s="393"/>
      <c r="P207" s="393"/>
      <c r="Q207" s="393"/>
      <c r="R207" s="393"/>
      <c r="S207" s="394"/>
      <c r="T207" s="395"/>
      <c r="U207" s="395"/>
      <c r="V207" s="395"/>
      <c r="W207" s="395"/>
      <c r="X207" s="393"/>
      <c r="Y207" s="393"/>
      <c r="Z207" s="393"/>
      <c r="AA207" s="393"/>
      <c r="AB207" s="393"/>
      <c r="AC207" s="393"/>
      <c r="AD207" s="395"/>
      <c r="AE207" s="396"/>
      <c r="AF207" s="393"/>
      <c r="AG207" s="393"/>
    </row>
    <row r="208" spans="1:33" ht="40" customHeight="1">
      <c r="A208" s="393"/>
      <c r="B208" s="393"/>
      <c r="C208" s="393"/>
      <c r="D208" s="393"/>
      <c r="E208" s="393"/>
      <c r="F208" s="393"/>
      <c r="G208" s="393"/>
      <c r="H208" s="393"/>
      <c r="I208" s="393"/>
      <c r="J208" s="393"/>
      <c r="K208" s="393"/>
      <c r="L208" s="393"/>
      <c r="M208" s="393"/>
      <c r="N208" s="393"/>
      <c r="O208" s="393"/>
      <c r="P208" s="393"/>
      <c r="Q208" s="393"/>
      <c r="R208" s="393"/>
      <c r="S208" s="394"/>
      <c r="T208" s="395"/>
      <c r="U208" s="395"/>
      <c r="V208" s="395"/>
      <c r="W208" s="395"/>
      <c r="X208" s="393"/>
      <c r="Y208" s="393"/>
      <c r="Z208" s="393"/>
      <c r="AA208" s="393"/>
      <c r="AB208" s="393"/>
      <c r="AC208" s="393"/>
      <c r="AD208" s="395"/>
      <c r="AE208" s="396"/>
      <c r="AF208" s="393"/>
      <c r="AG208" s="393"/>
    </row>
    <row r="209" spans="1:33" ht="40" customHeight="1">
      <c r="A209" s="393"/>
      <c r="B209" s="393"/>
      <c r="C209" s="393"/>
      <c r="D209" s="393"/>
      <c r="E209" s="393"/>
      <c r="F209" s="393"/>
      <c r="G209" s="393"/>
      <c r="H209" s="393"/>
      <c r="I209" s="393"/>
      <c r="J209" s="393"/>
      <c r="K209" s="393"/>
      <c r="L209" s="393"/>
      <c r="M209" s="393"/>
      <c r="N209" s="393"/>
      <c r="O209" s="393"/>
      <c r="P209" s="393"/>
      <c r="Q209" s="393"/>
      <c r="R209" s="393"/>
      <c r="S209" s="394"/>
      <c r="T209" s="395"/>
      <c r="U209" s="395"/>
      <c r="V209" s="395"/>
      <c r="W209" s="395"/>
      <c r="X209" s="393"/>
      <c r="Y209" s="393"/>
      <c r="Z209" s="393"/>
      <c r="AA209" s="393"/>
      <c r="AB209" s="393"/>
      <c r="AC209" s="393"/>
      <c r="AD209" s="395"/>
      <c r="AE209" s="396"/>
      <c r="AF209" s="393"/>
      <c r="AG209" s="393"/>
    </row>
    <row r="210" spans="1:33" ht="40" customHeight="1">
      <c r="A210" s="393"/>
      <c r="B210" s="393"/>
      <c r="C210" s="393"/>
      <c r="D210" s="393"/>
      <c r="E210" s="393"/>
      <c r="F210" s="393"/>
      <c r="G210" s="393"/>
      <c r="H210" s="393"/>
      <c r="I210" s="393"/>
      <c r="J210" s="393"/>
      <c r="K210" s="393"/>
      <c r="L210" s="393"/>
      <c r="M210" s="393"/>
      <c r="N210" s="393"/>
      <c r="O210" s="393"/>
      <c r="P210" s="393"/>
      <c r="Q210" s="393"/>
      <c r="R210" s="393"/>
      <c r="S210" s="394"/>
      <c r="T210" s="395"/>
      <c r="U210" s="395"/>
      <c r="V210" s="395"/>
      <c r="W210" s="395"/>
      <c r="X210" s="393"/>
      <c r="Y210" s="393"/>
      <c r="Z210" s="393"/>
      <c r="AA210" s="393"/>
      <c r="AB210" s="393"/>
      <c r="AC210" s="393"/>
      <c r="AD210" s="395"/>
      <c r="AE210" s="396"/>
      <c r="AF210" s="393"/>
      <c r="AG210" s="393"/>
    </row>
    <row r="211" spans="1:33" ht="40" customHeight="1">
      <c r="A211" s="393"/>
      <c r="B211" s="393"/>
      <c r="C211" s="393"/>
      <c r="D211" s="393"/>
      <c r="E211" s="393"/>
      <c r="F211" s="393"/>
      <c r="G211" s="393"/>
      <c r="H211" s="393"/>
      <c r="I211" s="393"/>
      <c r="J211" s="393"/>
      <c r="K211" s="393"/>
      <c r="L211" s="393"/>
      <c r="M211" s="393"/>
      <c r="N211" s="393"/>
      <c r="O211" s="393"/>
      <c r="P211" s="393"/>
      <c r="Q211" s="393"/>
      <c r="R211" s="393"/>
      <c r="S211" s="394"/>
      <c r="T211" s="395"/>
      <c r="U211" s="395"/>
      <c r="V211" s="395"/>
      <c r="W211" s="395"/>
      <c r="X211" s="393"/>
      <c r="Y211" s="393"/>
      <c r="Z211" s="393"/>
      <c r="AA211" s="393"/>
      <c r="AB211" s="393"/>
      <c r="AC211" s="393"/>
      <c r="AD211" s="395"/>
      <c r="AE211" s="396"/>
      <c r="AF211" s="393"/>
      <c r="AG211" s="393"/>
    </row>
    <row r="212" spans="1:33" ht="40" customHeight="1">
      <c r="A212" s="393"/>
      <c r="B212" s="393"/>
      <c r="C212" s="393"/>
      <c r="D212" s="393"/>
      <c r="E212" s="393"/>
      <c r="F212" s="393"/>
      <c r="G212" s="393"/>
      <c r="H212" s="393"/>
      <c r="I212" s="393"/>
      <c r="J212" s="393"/>
      <c r="K212" s="393"/>
      <c r="L212" s="393"/>
      <c r="M212" s="393"/>
      <c r="N212" s="393"/>
      <c r="O212" s="393"/>
      <c r="P212" s="393"/>
      <c r="Q212" s="393"/>
      <c r="R212" s="393"/>
      <c r="S212" s="394"/>
      <c r="T212" s="395"/>
      <c r="U212" s="395"/>
      <c r="V212" s="395"/>
      <c r="W212" s="395"/>
      <c r="X212" s="393"/>
      <c r="Y212" s="393"/>
      <c r="Z212" s="393"/>
      <c r="AA212" s="393"/>
      <c r="AB212" s="393"/>
      <c r="AC212" s="393"/>
      <c r="AD212" s="395"/>
      <c r="AE212" s="396"/>
      <c r="AF212" s="393"/>
      <c r="AG212" s="393"/>
    </row>
    <row r="213" spans="1:33" ht="40" customHeight="1">
      <c r="A213" s="393"/>
      <c r="B213" s="393"/>
      <c r="C213" s="393"/>
      <c r="D213" s="393"/>
      <c r="E213" s="393"/>
      <c r="F213" s="393"/>
      <c r="G213" s="393"/>
      <c r="H213" s="393"/>
      <c r="I213" s="393"/>
      <c r="J213" s="393"/>
      <c r="K213" s="393"/>
      <c r="L213" s="393"/>
      <c r="M213" s="393"/>
      <c r="N213" s="393"/>
      <c r="O213" s="393"/>
      <c r="P213" s="393"/>
      <c r="Q213" s="393"/>
      <c r="R213" s="393"/>
      <c r="S213" s="394"/>
      <c r="T213" s="395"/>
      <c r="U213" s="395"/>
      <c r="V213" s="395"/>
      <c r="W213" s="395"/>
      <c r="X213" s="393"/>
      <c r="Y213" s="393"/>
      <c r="Z213" s="393"/>
      <c r="AA213" s="393"/>
      <c r="AB213" s="393"/>
      <c r="AC213" s="393"/>
      <c r="AD213" s="395"/>
      <c r="AE213" s="396"/>
      <c r="AF213" s="393"/>
      <c r="AG213" s="393"/>
    </row>
    <row r="214" spans="1:33" ht="40" customHeight="1">
      <c r="A214" s="393"/>
      <c r="B214" s="393"/>
      <c r="C214" s="393"/>
      <c r="D214" s="393"/>
      <c r="E214" s="393"/>
      <c r="F214" s="393"/>
      <c r="G214" s="393"/>
      <c r="H214" s="393"/>
      <c r="I214" s="393"/>
      <c r="J214" s="393"/>
      <c r="K214" s="393"/>
      <c r="L214" s="393"/>
      <c r="M214" s="393"/>
      <c r="N214" s="393"/>
      <c r="O214" s="393"/>
      <c r="P214" s="393"/>
      <c r="Q214" s="393"/>
      <c r="R214" s="393"/>
      <c r="S214" s="394"/>
      <c r="T214" s="395"/>
      <c r="U214" s="395"/>
      <c r="V214" s="395"/>
      <c r="W214" s="395"/>
      <c r="X214" s="393"/>
      <c r="Y214" s="393"/>
      <c r="Z214" s="393"/>
      <c r="AA214" s="393"/>
      <c r="AB214" s="393"/>
      <c r="AC214" s="393"/>
      <c r="AD214" s="395"/>
      <c r="AE214" s="396"/>
      <c r="AF214" s="393"/>
      <c r="AG214" s="393"/>
    </row>
    <row r="215" spans="1:33" ht="40" customHeight="1">
      <c r="A215" s="393"/>
      <c r="B215" s="393"/>
      <c r="C215" s="393"/>
      <c r="D215" s="393"/>
      <c r="E215" s="393"/>
      <c r="F215" s="393"/>
      <c r="G215" s="393"/>
      <c r="H215" s="393"/>
      <c r="I215" s="393"/>
      <c r="J215" s="393"/>
      <c r="K215" s="393"/>
      <c r="L215" s="393"/>
      <c r="M215" s="393"/>
      <c r="N215" s="393"/>
      <c r="O215" s="393"/>
      <c r="P215" s="393"/>
      <c r="Q215" s="393"/>
      <c r="R215" s="393"/>
      <c r="S215" s="394"/>
      <c r="T215" s="395"/>
      <c r="U215" s="395"/>
      <c r="V215" s="395"/>
      <c r="W215" s="395"/>
      <c r="X215" s="393"/>
      <c r="Y215" s="393"/>
      <c r="Z215" s="393"/>
      <c r="AA215" s="393"/>
      <c r="AB215" s="393"/>
      <c r="AC215" s="393"/>
      <c r="AD215" s="395"/>
      <c r="AE215" s="396"/>
      <c r="AF215" s="393"/>
      <c r="AG215" s="393"/>
    </row>
    <row r="216" spans="1:33" ht="40" customHeight="1">
      <c r="A216" s="393"/>
      <c r="B216" s="393"/>
      <c r="C216" s="393"/>
      <c r="D216" s="393"/>
      <c r="E216" s="393"/>
      <c r="F216" s="393"/>
      <c r="G216" s="393"/>
      <c r="H216" s="393"/>
      <c r="I216" s="393"/>
      <c r="J216" s="393"/>
      <c r="K216" s="393"/>
      <c r="L216" s="393"/>
      <c r="M216" s="393"/>
      <c r="N216" s="393"/>
      <c r="O216" s="393"/>
      <c r="P216" s="393"/>
      <c r="Q216" s="393"/>
      <c r="R216" s="393"/>
      <c r="S216" s="394"/>
      <c r="T216" s="395"/>
      <c r="U216" s="395"/>
      <c r="V216" s="395"/>
      <c r="W216" s="395"/>
      <c r="X216" s="393"/>
      <c r="Y216" s="393"/>
      <c r="Z216" s="393"/>
      <c r="AA216" s="393"/>
      <c r="AB216" s="393"/>
      <c r="AC216" s="393"/>
      <c r="AD216" s="395"/>
      <c r="AE216" s="396"/>
      <c r="AF216" s="393"/>
      <c r="AG216" s="393"/>
    </row>
    <row r="217" spans="1:33" ht="40" customHeight="1">
      <c r="A217" s="393"/>
      <c r="B217" s="393"/>
      <c r="C217" s="393"/>
      <c r="D217" s="393"/>
      <c r="E217" s="393"/>
      <c r="F217" s="393"/>
      <c r="G217" s="393"/>
      <c r="H217" s="393"/>
      <c r="I217" s="393"/>
      <c r="J217" s="393"/>
      <c r="K217" s="393"/>
      <c r="L217" s="393"/>
      <c r="M217" s="393"/>
      <c r="N217" s="393"/>
      <c r="O217" s="393"/>
      <c r="P217" s="393"/>
      <c r="Q217" s="393"/>
      <c r="R217" s="393"/>
      <c r="S217" s="394"/>
      <c r="T217" s="395"/>
      <c r="U217" s="395"/>
      <c r="V217" s="395"/>
      <c r="W217" s="395"/>
      <c r="X217" s="393"/>
      <c r="Y217" s="393"/>
      <c r="Z217" s="393"/>
      <c r="AA217" s="393"/>
      <c r="AB217" s="393"/>
      <c r="AC217" s="393"/>
      <c r="AD217" s="395"/>
      <c r="AE217" s="396"/>
      <c r="AF217" s="393"/>
      <c r="AG217" s="393"/>
    </row>
    <row r="218" spans="1:33" ht="40" customHeight="1">
      <c r="A218" s="393"/>
      <c r="B218" s="393"/>
      <c r="C218" s="393"/>
      <c r="D218" s="393"/>
      <c r="E218" s="393"/>
      <c r="F218" s="393"/>
      <c r="G218" s="393"/>
      <c r="H218" s="393"/>
      <c r="I218" s="393"/>
      <c r="J218" s="393"/>
      <c r="K218" s="393"/>
      <c r="L218" s="393"/>
      <c r="M218" s="393"/>
      <c r="N218" s="393"/>
      <c r="O218" s="393"/>
      <c r="P218" s="393"/>
      <c r="Q218" s="393"/>
      <c r="R218" s="393"/>
      <c r="S218" s="394"/>
      <c r="T218" s="395"/>
      <c r="U218" s="395"/>
      <c r="V218" s="395"/>
      <c r="W218" s="395"/>
      <c r="X218" s="393"/>
      <c r="Y218" s="393"/>
      <c r="Z218" s="393"/>
      <c r="AA218" s="393"/>
      <c r="AB218" s="393"/>
      <c r="AC218" s="393"/>
      <c r="AD218" s="395"/>
      <c r="AE218" s="396"/>
      <c r="AF218" s="393"/>
      <c r="AG218" s="393"/>
    </row>
    <row r="219" spans="1:33" ht="40" customHeight="1">
      <c r="A219" s="393"/>
      <c r="B219" s="393"/>
      <c r="C219" s="393"/>
      <c r="D219" s="393"/>
      <c r="E219" s="393"/>
      <c r="F219" s="393"/>
      <c r="G219" s="393"/>
      <c r="H219" s="393"/>
      <c r="I219" s="393"/>
      <c r="J219" s="393"/>
      <c r="K219" s="393"/>
      <c r="L219" s="393"/>
      <c r="M219" s="393"/>
      <c r="N219" s="393"/>
      <c r="O219" s="393"/>
      <c r="P219" s="393"/>
      <c r="Q219" s="393"/>
      <c r="R219" s="393"/>
      <c r="S219" s="394"/>
      <c r="T219" s="395"/>
      <c r="U219" s="395"/>
      <c r="V219" s="395"/>
      <c r="W219" s="395"/>
      <c r="X219" s="393"/>
      <c r="Y219" s="393"/>
      <c r="Z219" s="393"/>
      <c r="AA219" s="393"/>
      <c r="AB219" s="393"/>
      <c r="AC219" s="393"/>
      <c r="AD219" s="395"/>
      <c r="AE219" s="396"/>
      <c r="AF219" s="393"/>
      <c r="AG219" s="393"/>
    </row>
    <row r="220" spans="1:33" ht="40" customHeight="1">
      <c r="A220" s="393"/>
      <c r="B220" s="393"/>
      <c r="C220" s="393"/>
      <c r="D220" s="393"/>
      <c r="E220" s="393"/>
      <c r="F220" s="393"/>
      <c r="G220" s="393"/>
      <c r="H220" s="393"/>
      <c r="I220" s="393"/>
      <c r="J220" s="393"/>
      <c r="K220" s="393"/>
      <c r="L220" s="393"/>
      <c r="M220" s="393"/>
      <c r="N220" s="393"/>
      <c r="O220" s="393"/>
      <c r="P220" s="393"/>
      <c r="Q220" s="393"/>
      <c r="R220" s="393"/>
      <c r="S220" s="394"/>
      <c r="T220" s="395"/>
      <c r="U220" s="395"/>
      <c r="V220" s="395"/>
      <c r="W220" s="395"/>
      <c r="X220" s="393"/>
      <c r="Y220" s="393"/>
      <c r="Z220" s="393"/>
      <c r="AA220" s="393"/>
      <c r="AB220" s="393"/>
      <c r="AC220" s="393"/>
      <c r="AD220" s="395"/>
      <c r="AE220" s="396"/>
      <c r="AF220" s="393"/>
      <c r="AG220" s="393"/>
    </row>
    <row r="221" spans="1:33" ht="40" customHeight="1">
      <c r="A221" s="393"/>
      <c r="B221" s="393"/>
      <c r="C221" s="393"/>
      <c r="D221" s="393"/>
      <c r="E221" s="393"/>
      <c r="F221" s="393"/>
      <c r="G221" s="393"/>
      <c r="H221" s="393"/>
      <c r="I221" s="393"/>
      <c r="J221" s="393"/>
      <c r="K221" s="393"/>
      <c r="L221" s="393"/>
      <c r="M221" s="393"/>
      <c r="N221" s="393"/>
      <c r="O221" s="393"/>
      <c r="P221" s="393"/>
      <c r="Q221" s="393"/>
      <c r="R221" s="393"/>
      <c r="S221" s="394"/>
      <c r="T221" s="395"/>
      <c r="U221" s="395"/>
      <c r="V221" s="395"/>
      <c r="W221" s="395"/>
      <c r="X221" s="393"/>
      <c r="Y221" s="393"/>
      <c r="Z221" s="393"/>
      <c r="AA221" s="393"/>
      <c r="AB221" s="393"/>
      <c r="AC221" s="393"/>
      <c r="AD221" s="395"/>
      <c r="AE221" s="396"/>
      <c r="AF221" s="393"/>
      <c r="AG221" s="393"/>
    </row>
    <row r="222" spans="1:33" ht="40" customHeight="1">
      <c r="A222" s="393"/>
      <c r="B222" s="393"/>
      <c r="C222" s="393"/>
      <c r="D222" s="393"/>
      <c r="E222" s="393"/>
      <c r="F222" s="393"/>
      <c r="G222" s="393"/>
      <c r="H222" s="393"/>
      <c r="I222" s="393"/>
      <c r="J222" s="393"/>
      <c r="K222" s="393"/>
      <c r="L222" s="393"/>
      <c r="M222" s="393"/>
      <c r="N222" s="393"/>
      <c r="O222" s="393"/>
      <c r="P222" s="393"/>
      <c r="Q222" s="393"/>
      <c r="R222" s="393"/>
      <c r="S222" s="394"/>
      <c r="T222" s="395"/>
      <c r="U222" s="395"/>
      <c r="V222" s="395"/>
      <c r="W222" s="395"/>
      <c r="X222" s="393"/>
      <c r="Y222" s="393"/>
      <c r="Z222" s="393"/>
      <c r="AA222" s="393"/>
      <c r="AB222" s="393"/>
      <c r="AC222" s="393"/>
      <c r="AD222" s="395"/>
      <c r="AE222" s="396"/>
      <c r="AF222" s="393"/>
      <c r="AG222" s="393"/>
    </row>
    <row r="223" spans="1:33" ht="40" customHeight="1">
      <c r="A223" s="393"/>
      <c r="B223" s="393"/>
      <c r="C223" s="393"/>
      <c r="D223" s="393"/>
      <c r="E223" s="393"/>
      <c r="F223" s="393"/>
      <c r="G223" s="393"/>
      <c r="H223" s="393"/>
      <c r="I223" s="393"/>
      <c r="J223" s="393"/>
      <c r="K223" s="393"/>
      <c r="L223" s="393"/>
      <c r="M223" s="393"/>
      <c r="N223" s="393"/>
      <c r="O223" s="393"/>
      <c r="P223" s="393"/>
      <c r="Q223" s="393"/>
      <c r="R223" s="393"/>
      <c r="S223" s="394"/>
      <c r="T223" s="395"/>
      <c r="U223" s="395"/>
      <c r="V223" s="395"/>
      <c r="W223" s="395"/>
      <c r="X223" s="393"/>
      <c r="Y223" s="393"/>
      <c r="Z223" s="393"/>
      <c r="AA223" s="393"/>
      <c r="AB223" s="393"/>
      <c r="AC223" s="393"/>
      <c r="AD223" s="395"/>
      <c r="AE223" s="396"/>
      <c r="AF223" s="393"/>
      <c r="AG223" s="393"/>
    </row>
    <row r="224" spans="1:33" ht="40" customHeight="1">
      <c r="A224" s="393"/>
      <c r="B224" s="393"/>
      <c r="C224" s="393"/>
      <c r="D224" s="393"/>
      <c r="E224" s="393"/>
      <c r="F224" s="393"/>
      <c r="G224" s="393"/>
      <c r="H224" s="393"/>
      <c r="I224" s="393"/>
      <c r="J224" s="393"/>
      <c r="K224" s="393"/>
      <c r="L224" s="393"/>
      <c r="M224" s="393"/>
      <c r="N224" s="393"/>
      <c r="O224" s="393"/>
      <c r="P224" s="393"/>
      <c r="Q224" s="393"/>
      <c r="R224" s="393"/>
      <c r="S224" s="394"/>
      <c r="T224" s="395"/>
      <c r="U224" s="395"/>
      <c r="V224" s="395"/>
      <c r="W224" s="395"/>
      <c r="X224" s="393"/>
      <c r="Y224" s="393"/>
      <c r="Z224" s="393"/>
      <c r="AA224" s="393"/>
      <c r="AB224" s="393"/>
      <c r="AC224" s="393"/>
      <c r="AD224" s="395"/>
      <c r="AE224" s="396"/>
      <c r="AF224" s="393"/>
      <c r="AG224" s="393"/>
    </row>
    <row r="225" spans="1:33" ht="40" customHeight="1">
      <c r="A225" s="393"/>
      <c r="B225" s="393"/>
      <c r="C225" s="393"/>
      <c r="D225" s="393"/>
      <c r="E225" s="393"/>
      <c r="F225" s="393"/>
      <c r="G225" s="393"/>
      <c r="H225" s="393"/>
      <c r="I225" s="393"/>
      <c r="J225" s="393"/>
      <c r="K225" s="393"/>
      <c r="L225" s="393"/>
      <c r="M225" s="393"/>
      <c r="N225" s="393"/>
      <c r="O225" s="393"/>
      <c r="P225" s="393"/>
      <c r="Q225" s="393"/>
      <c r="R225" s="393"/>
      <c r="S225" s="394"/>
      <c r="T225" s="395"/>
      <c r="U225" s="395"/>
      <c r="V225" s="395"/>
      <c r="W225" s="395"/>
      <c r="X225" s="393"/>
      <c r="Y225" s="393"/>
      <c r="Z225" s="393"/>
      <c r="AA225" s="393"/>
      <c r="AB225" s="393"/>
      <c r="AC225" s="393"/>
      <c r="AD225" s="395"/>
      <c r="AE225" s="396"/>
      <c r="AF225" s="393"/>
      <c r="AG225" s="393"/>
    </row>
    <row r="226" spans="1:33" ht="40" customHeight="1">
      <c r="A226" s="393"/>
      <c r="B226" s="393"/>
      <c r="C226" s="393"/>
      <c r="D226" s="393"/>
      <c r="E226" s="393"/>
      <c r="F226" s="393"/>
      <c r="G226" s="393"/>
      <c r="H226" s="393"/>
      <c r="I226" s="393"/>
      <c r="J226" s="393"/>
      <c r="K226" s="393"/>
      <c r="L226" s="393"/>
      <c r="M226" s="393"/>
      <c r="N226" s="393"/>
      <c r="O226" s="393"/>
      <c r="P226" s="393"/>
      <c r="Q226" s="393"/>
      <c r="R226" s="393"/>
      <c r="S226" s="394"/>
      <c r="T226" s="395"/>
      <c r="U226" s="395"/>
      <c r="V226" s="395"/>
      <c r="W226" s="395"/>
      <c r="X226" s="393"/>
      <c r="Y226" s="393"/>
      <c r="Z226" s="393"/>
      <c r="AA226" s="393"/>
      <c r="AB226" s="393"/>
      <c r="AC226" s="393"/>
      <c r="AD226" s="395"/>
      <c r="AE226" s="396"/>
      <c r="AF226" s="393"/>
      <c r="AG226" s="393"/>
    </row>
    <row r="227" spans="1:33" ht="40" customHeight="1">
      <c r="A227" s="393"/>
      <c r="B227" s="393"/>
      <c r="C227" s="393"/>
      <c r="D227" s="393"/>
      <c r="E227" s="393"/>
      <c r="F227" s="393"/>
      <c r="G227" s="393"/>
      <c r="H227" s="393"/>
      <c r="I227" s="393"/>
      <c r="J227" s="393"/>
      <c r="K227" s="393"/>
      <c r="L227" s="393"/>
      <c r="M227" s="393"/>
      <c r="N227" s="393"/>
      <c r="O227" s="393"/>
      <c r="P227" s="393"/>
      <c r="Q227" s="393"/>
      <c r="R227" s="393"/>
      <c r="S227" s="394"/>
      <c r="T227" s="395"/>
      <c r="U227" s="395"/>
      <c r="V227" s="395"/>
      <c r="W227" s="395"/>
      <c r="X227" s="393"/>
      <c r="Y227" s="393"/>
      <c r="Z227" s="393"/>
      <c r="AA227" s="393"/>
      <c r="AB227" s="393"/>
      <c r="AC227" s="393"/>
      <c r="AD227" s="395"/>
      <c r="AE227" s="396"/>
      <c r="AF227" s="393"/>
      <c r="AG227" s="393"/>
    </row>
    <row r="228" spans="1:33" ht="40" customHeight="1">
      <c r="A228" s="393"/>
      <c r="B228" s="393"/>
      <c r="C228" s="393"/>
      <c r="D228" s="393"/>
      <c r="E228" s="393"/>
      <c r="F228" s="393"/>
      <c r="G228" s="393"/>
      <c r="H228" s="393"/>
      <c r="I228" s="393"/>
      <c r="J228" s="393"/>
      <c r="K228" s="393"/>
      <c r="L228" s="393"/>
      <c r="M228" s="393"/>
      <c r="N228" s="393"/>
      <c r="O228" s="393"/>
      <c r="P228" s="393"/>
      <c r="Q228" s="393"/>
      <c r="R228" s="393"/>
      <c r="S228" s="394"/>
      <c r="T228" s="395"/>
      <c r="U228" s="395"/>
      <c r="V228" s="395"/>
      <c r="W228" s="395"/>
      <c r="X228" s="393"/>
      <c r="Y228" s="393"/>
      <c r="Z228" s="393"/>
      <c r="AA228" s="393"/>
      <c r="AB228" s="393"/>
      <c r="AC228" s="393"/>
      <c r="AD228" s="395"/>
      <c r="AE228" s="396"/>
      <c r="AF228" s="393"/>
      <c r="AG228" s="393"/>
    </row>
    <row r="229" spans="1:33" ht="40" customHeight="1">
      <c r="A229" s="393"/>
      <c r="B229" s="393"/>
      <c r="C229" s="393"/>
      <c r="D229" s="393"/>
      <c r="E229" s="393"/>
      <c r="F229" s="393"/>
      <c r="G229" s="393"/>
      <c r="H229" s="393"/>
      <c r="I229" s="393"/>
      <c r="J229" s="393"/>
      <c r="K229" s="393"/>
      <c r="L229" s="393"/>
      <c r="M229" s="393"/>
      <c r="N229" s="393"/>
      <c r="O229" s="393"/>
      <c r="P229" s="393"/>
      <c r="Q229" s="393"/>
      <c r="R229" s="393"/>
      <c r="S229" s="394"/>
      <c r="T229" s="395"/>
      <c r="U229" s="395"/>
      <c r="V229" s="395"/>
      <c r="W229" s="395"/>
      <c r="X229" s="393"/>
      <c r="Y229" s="393"/>
      <c r="Z229" s="393"/>
      <c r="AA229" s="393"/>
      <c r="AB229" s="393"/>
      <c r="AC229" s="393"/>
      <c r="AD229" s="395"/>
      <c r="AE229" s="396"/>
      <c r="AF229" s="393"/>
      <c r="AG229" s="393"/>
    </row>
    <row r="230" spans="1:33" ht="40" customHeight="1">
      <c r="A230" s="393"/>
      <c r="B230" s="393"/>
      <c r="C230" s="393"/>
      <c r="D230" s="393"/>
      <c r="E230" s="393"/>
      <c r="F230" s="393"/>
      <c r="G230" s="393"/>
      <c r="H230" s="393"/>
      <c r="I230" s="393"/>
      <c r="J230" s="393"/>
      <c r="K230" s="393"/>
      <c r="L230" s="393"/>
      <c r="M230" s="393"/>
      <c r="N230" s="393"/>
      <c r="O230" s="393"/>
      <c r="P230" s="393"/>
      <c r="Q230" s="393"/>
      <c r="R230" s="393"/>
      <c r="S230" s="394"/>
      <c r="T230" s="395"/>
      <c r="U230" s="395"/>
      <c r="V230" s="395"/>
      <c r="W230" s="395"/>
      <c r="X230" s="393"/>
      <c r="Y230" s="393"/>
      <c r="Z230" s="393"/>
      <c r="AA230" s="393"/>
      <c r="AB230" s="393"/>
      <c r="AC230" s="393"/>
      <c r="AD230" s="395"/>
      <c r="AE230" s="396"/>
      <c r="AF230" s="393"/>
      <c r="AG230" s="393"/>
    </row>
    <row r="231" spans="1:33" ht="40" customHeight="1">
      <c r="A231" s="393"/>
      <c r="B231" s="393"/>
      <c r="C231" s="393"/>
      <c r="D231" s="393"/>
      <c r="E231" s="393"/>
      <c r="F231" s="393"/>
      <c r="G231" s="393"/>
      <c r="H231" s="393"/>
      <c r="I231" s="393"/>
      <c r="J231" s="393"/>
      <c r="K231" s="393"/>
      <c r="L231" s="393"/>
      <c r="M231" s="393"/>
      <c r="N231" s="393"/>
      <c r="O231" s="393"/>
      <c r="P231" s="393"/>
      <c r="Q231" s="393"/>
      <c r="R231" s="393"/>
      <c r="S231" s="394"/>
      <c r="T231" s="395"/>
      <c r="U231" s="395"/>
      <c r="V231" s="395"/>
      <c r="W231" s="395"/>
      <c r="X231" s="393"/>
      <c r="Y231" s="393"/>
      <c r="Z231" s="393"/>
      <c r="AA231" s="393"/>
      <c r="AB231" s="393"/>
      <c r="AC231" s="393"/>
      <c r="AD231" s="395"/>
      <c r="AE231" s="396"/>
      <c r="AF231" s="393"/>
      <c r="AG231" s="393"/>
    </row>
    <row r="232" spans="1:33" ht="40" customHeight="1">
      <c r="A232" s="393"/>
      <c r="B232" s="393"/>
      <c r="C232" s="393"/>
      <c r="D232" s="393"/>
      <c r="E232" s="393"/>
      <c r="F232" s="393"/>
      <c r="G232" s="393"/>
      <c r="H232" s="393"/>
      <c r="I232" s="393"/>
      <c r="J232" s="393"/>
      <c r="K232" s="393"/>
      <c r="L232" s="393"/>
      <c r="M232" s="393"/>
      <c r="N232" s="393"/>
      <c r="O232" s="393"/>
      <c r="P232" s="393"/>
      <c r="Q232" s="393"/>
      <c r="R232" s="393"/>
      <c r="S232" s="394"/>
      <c r="T232" s="395"/>
      <c r="U232" s="395"/>
      <c r="V232" s="395"/>
      <c r="W232" s="395"/>
      <c r="X232" s="393"/>
      <c r="Y232" s="393"/>
      <c r="Z232" s="393"/>
      <c r="AA232" s="393"/>
      <c r="AB232" s="393"/>
      <c r="AC232" s="393"/>
      <c r="AD232" s="395"/>
      <c r="AE232" s="396"/>
      <c r="AF232" s="393"/>
      <c r="AG232" s="393"/>
    </row>
    <row r="233" spans="1:33" ht="40" customHeight="1">
      <c r="A233" s="393"/>
      <c r="B233" s="393"/>
      <c r="C233" s="393"/>
      <c r="D233" s="393"/>
      <c r="E233" s="393"/>
      <c r="F233" s="393"/>
      <c r="G233" s="393"/>
      <c r="H233" s="393"/>
      <c r="I233" s="393"/>
      <c r="J233" s="393"/>
      <c r="K233" s="393"/>
      <c r="L233" s="393"/>
      <c r="M233" s="393"/>
      <c r="N233" s="393"/>
      <c r="O233" s="393"/>
      <c r="P233" s="393"/>
      <c r="Q233" s="393"/>
      <c r="R233" s="393"/>
      <c r="S233" s="394"/>
      <c r="T233" s="395"/>
      <c r="U233" s="395"/>
      <c r="V233" s="395"/>
      <c r="W233" s="395"/>
      <c r="X233" s="393"/>
      <c r="Y233" s="393"/>
      <c r="Z233" s="393"/>
      <c r="AA233" s="393"/>
      <c r="AB233" s="393"/>
      <c r="AC233" s="393"/>
      <c r="AD233" s="395"/>
      <c r="AE233" s="396"/>
      <c r="AF233" s="393"/>
      <c r="AG233" s="393"/>
    </row>
    <row r="234" spans="1:33" ht="40" customHeight="1">
      <c r="A234" s="393"/>
      <c r="B234" s="393"/>
      <c r="C234" s="393"/>
      <c r="D234" s="393"/>
      <c r="E234" s="393"/>
      <c r="F234" s="393"/>
      <c r="G234" s="393"/>
      <c r="H234" s="393"/>
      <c r="I234" s="393"/>
      <c r="J234" s="393"/>
      <c r="K234" s="393"/>
      <c r="L234" s="393"/>
      <c r="M234" s="393"/>
      <c r="N234" s="393"/>
      <c r="O234" s="393"/>
      <c r="P234" s="393"/>
      <c r="Q234" s="393"/>
      <c r="R234" s="393"/>
      <c r="S234" s="394"/>
      <c r="T234" s="395"/>
      <c r="U234" s="395"/>
      <c r="V234" s="395"/>
      <c r="W234" s="395"/>
      <c r="X234" s="393"/>
      <c r="Y234" s="393"/>
      <c r="Z234" s="393"/>
      <c r="AA234" s="393"/>
      <c r="AB234" s="393"/>
      <c r="AC234" s="393"/>
      <c r="AD234" s="395"/>
      <c r="AE234" s="396"/>
      <c r="AF234" s="393"/>
      <c r="AG234" s="393"/>
    </row>
    <row r="235" spans="1:33" ht="40" customHeight="1">
      <c r="A235" s="393"/>
      <c r="B235" s="393"/>
      <c r="C235" s="393"/>
      <c r="D235" s="393"/>
      <c r="E235" s="393"/>
      <c r="F235" s="393"/>
      <c r="G235" s="393"/>
      <c r="H235" s="393"/>
      <c r="I235" s="393"/>
      <c r="J235" s="393"/>
      <c r="K235" s="393"/>
      <c r="L235" s="393"/>
      <c r="M235" s="393"/>
      <c r="N235" s="393"/>
      <c r="O235" s="393"/>
      <c r="P235" s="393"/>
      <c r="Q235" s="393"/>
      <c r="R235" s="393"/>
      <c r="S235" s="394"/>
      <c r="T235" s="395"/>
      <c r="U235" s="395"/>
      <c r="V235" s="395"/>
      <c r="W235" s="395"/>
      <c r="X235" s="393"/>
      <c r="Y235" s="393"/>
      <c r="Z235" s="393"/>
      <c r="AA235" s="393"/>
      <c r="AB235" s="393"/>
      <c r="AC235" s="393"/>
      <c r="AD235" s="395"/>
      <c r="AE235" s="396"/>
      <c r="AF235" s="393"/>
      <c r="AG235" s="393"/>
    </row>
    <row r="236" spans="1:33" ht="40" customHeight="1">
      <c r="A236" s="393"/>
      <c r="B236" s="393"/>
      <c r="C236" s="393"/>
      <c r="D236" s="393"/>
      <c r="E236" s="393"/>
      <c r="F236" s="393"/>
      <c r="G236" s="393"/>
      <c r="H236" s="393"/>
      <c r="I236" s="393"/>
      <c r="J236" s="393"/>
      <c r="K236" s="393"/>
      <c r="L236" s="393"/>
      <c r="M236" s="393"/>
      <c r="N236" s="393"/>
      <c r="O236" s="393"/>
      <c r="P236" s="393"/>
      <c r="Q236" s="393"/>
      <c r="R236" s="393"/>
      <c r="S236" s="394"/>
      <c r="T236" s="395"/>
      <c r="U236" s="395"/>
      <c r="V236" s="395"/>
      <c r="W236" s="395"/>
      <c r="X236" s="393"/>
      <c r="Y236" s="393"/>
      <c r="Z236" s="393"/>
      <c r="AA236" s="393"/>
      <c r="AB236" s="393"/>
      <c r="AC236" s="393"/>
      <c r="AD236" s="395"/>
      <c r="AE236" s="396"/>
      <c r="AF236" s="393"/>
      <c r="AG236" s="393"/>
    </row>
    <row r="237" spans="1:33" ht="40" customHeight="1">
      <c r="A237" s="393"/>
      <c r="B237" s="393"/>
      <c r="C237" s="393"/>
      <c r="D237" s="393"/>
      <c r="E237" s="393"/>
      <c r="F237" s="393"/>
      <c r="G237" s="393"/>
      <c r="H237" s="393"/>
      <c r="I237" s="393"/>
      <c r="J237" s="393"/>
      <c r="K237" s="393"/>
      <c r="L237" s="393"/>
      <c r="M237" s="393"/>
      <c r="N237" s="393"/>
      <c r="O237" s="393"/>
      <c r="P237" s="393"/>
      <c r="Q237" s="393"/>
      <c r="R237" s="393"/>
      <c r="S237" s="394"/>
      <c r="T237" s="395"/>
      <c r="U237" s="395"/>
      <c r="V237" s="395"/>
      <c r="W237" s="395"/>
      <c r="X237" s="393"/>
      <c r="Y237" s="393"/>
      <c r="Z237" s="393"/>
      <c r="AA237" s="393"/>
      <c r="AB237" s="393"/>
      <c r="AC237" s="393"/>
      <c r="AD237" s="395"/>
      <c r="AE237" s="396"/>
      <c r="AF237" s="393"/>
      <c r="AG237" s="393"/>
    </row>
    <row r="238" spans="1:33" ht="40" customHeight="1">
      <c r="A238" s="393"/>
      <c r="B238" s="393"/>
      <c r="C238" s="393"/>
      <c r="D238" s="393"/>
      <c r="E238" s="393"/>
      <c r="F238" s="393"/>
      <c r="G238" s="393"/>
      <c r="H238" s="393"/>
      <c r="I238" s="393"/>
      <c r="J238" s="393"/>
      <c r="K238" s="393"/>
      <c r="L238" s="393"/>
      <c r="M238" s="393"/>
      <c r="N238" s="393"/>
      <c r="O238" s="393"/>
      <c r="P238" s="393"/>
      <c r="Q238" s="393"/>
      <c r="R238" s="393"/>
      <c r="S238" s="394"/>
      <c r="T238" s="395"/>
      <c r="U238" s="395"/>
      <c r="V238" s="395"/>
      <c r="W238" s="395"/>
      <c r="X238" s="393"/>
      <c r="Y238" s="393"/>
      <c r="Z238" s="393"/>
      <c r="AA238" s="393"/>
      <c r="AB238" s="393"/>
      <c r="AC238" s="393"/>
      <c r="AD238" s="395"/>
      <c r="AE238" s="396"/>
      <c r="AF238" s="393"/>
      <c r="AG238" s="393"/>
    </row>
    <row r="239" spans="1:33" ht="40" customHeight="1">
      <c r="A239" s="393"/>
      <c r="B239" s="393"/>
      <c r="C239" s="393"/>
      <c r="D239" s="393"/>
      <c r="E239" s="393"/>
      <c r="F239" s="393"/>
      <c r="G239" s="393"/>
      <c r="H239" s="393"/>
      <c r="I239" s="393"/>
      <c r="J239" s="393"/>
      <c r="K239" s="393"/>
      <c r="L239" s="393"/>
      <c r="M239" s="393"/>
      <c r="N239" s="393"/>
      <c r="O239" s="393"/>
      <c r="P239" s="393"/>
      <c r="Q239" s="393"/>
      <c r="R239" s="393"/>
      <c r="S239" s="394"/>
      <c r="T239" s="395"/>
      <c r="U239" s="395"/>
      <c r="V239" s="395"/>
      <c r="W239" s="395"/>
      <c r="X239" s="393"/>
      <c r="Y239" s="393"/>
      <c r="Z239" s="393"/>
      <c r="AA239" s="393"/>
      <c r="AB239" s="393"/>
      <c r="AC239" s="393"/>
      <c r="AD239" s="395"/>
      <c r="AE239" s="396"/>
      <c r="AF239" s="393"/>
      <c r="AG239" s="393"/>
    </row>
    <row r="240" spans="1:33" ht="40" customHeight="1">
      <c r="A240" s="393"/>
      <c r="B240" s="393"/>
      <c r="C240" s="393"/>
      <c r="D240" s="393"/>
      <c r="E240" s="393"/>
      <c r="F240" s="393"/>
      <c r="G240" s="393"/>
      <c r="H240" s="393"/>
      <c r="I240" s="393"/>
      <c r="J240" s="393"/>
      <c r="K240" s="393"/>
      <c r="L240" s="393"/>
      <c r="M240" s="393"/>
      <c r="N240" s="393"/>
      <c r="O240" s="393"/>
      <c r="P240" s="393"/>
      <c r="Q240" s="393"/>
      <c r="R240" s="393"/>
      <c r="S240" s="394"/>
      <c r="T240" s="395"/>
      <c r="U240" s="395"/>
      <c r="V240" s="395"/>
      <c r="W240" s="395"/>
      <c r="X240" s="393"/>
      <c r="Y240" s="393"/>
      <c r="Z240" s="393"/>
      <c r="AA240" s="393"/>
      <c r="AB240" s="393"/>
      <c r="AC240" s="393"/>
      <c r="AD240" s="395"/>
      <c r="AE240" s="396"/>
      <c r="AF240" s="393"/>
      <c r="AG240" s="393"/>
    </row>
    <row r="241" spans="1:33" ht="40" customHeight="1">
      <c r="A241" s="393"/>
      <c r="B241" s="393"/>
      <c r="C241" s="393"/>
      <c r="D241" s="393"/>
      <c r="E241" s="393"/>
      <c r="F241" s="393"/>
      <c r="G241" s="393"/>
      <c r="H241" s="393"/>
      <c r="I241" s="393"/>
      <c r="J241" s="393"/>
      <c r="K241" s="393"/>
      <c r="L241" s="393"/>
      <c r="M241" s="393"/>
      <c r="N241" s="393"/>
      <c r="O241" s="393"/>
      <c r="P241" s="393"/>
      <c r="Q241" s="393"/>
      <c r="R241" s="393"/>
      <c r="S241" s="394"/>
      <c r="T241" s="395"/>
      <c r="U241" s="395"/>
      <c r="V241" s="395"/>
      <c r="W241" s="395"/>
      <c r="X241" s="393"/>
      <c r="Y241" s="393"/>
      <c r="Z241" s="393"/>
      <c r="AA241" s="393"/>
      <c r="AB241" s="393"/>
      <c r="AC241" s="393"/>
      <c r="AD241" s="395"/>
      <c r="AE241" s="396"/>
      <c r="AF241" s="393"/>
      <c r="AG241" s="393"/>
    </row>
    <row r="242" spans="1:33" ht="40" customHeight="1">
      <c r="A242" s="393"/>
      <c r="B242" s="393"/>
      <c r="C242" s="393"/>
      <c r="D242" s="393"/>
      <c r="E242" s="393"/>
      <c r="F242" s="393"/>
      <c r="G242" s="393"/>
      <c r="H242" s="393"/>
      <c r="I242" s="393"/>
      <c r="J242" s="393"/>
      <c r="K242" s="393"/>
      <c r="L242" s="393"/>
      <c r="M242" s="393"/>
      <c r="N242" s="393"/>
      <c r="O242" s="393"/>
      <c r="P242" s="393"/>
      <c r="Q242" s="393"/>
      <c r="R242" s="393"/>
      <c r="S242" s="394"/>
      <c r="T242" s="395"/>
      <c r="U242" s="395"/>
      <c r="V242" s="395"/>
      <c r="W242" s="395"/>
      <c r="X242" s="393"/>
      <c r="Y242" s="393"/>
      <c r="Z242" s="393"/>
      <c r="AA242" s="393"/>
      <c r="AB242" s="393"/>
      <c r="AC242" s="393"/>
      <c r="AD242" s="395"/>
      <c r="AE242" s="396"/>
      <c r="AF242" s="393"/>
      <c r="AG242" s="393"/>
    </row>
    <row r="243" spans="1:33" ht="40" customHeight="1">
      <c r="A243" s="393"/>
      <c r="B243" s="393"/>
      <c r="C243" s="393"/>
      <c r="D243" s="393"/>
      <c r="E243" s="393"/>
      <c r="F243" s="393"/>
      <c r="G243" s="393"/>
      <c r="H243" s="393"/>
      <c r="I243" s="393"/>
      <c r="J243" s="393"/>
      <c r="K243" s="393"/>
      <c r="L243" s="393"/>
      <c r="M243" s="393"/>
      <c r="N243" s="393"/>
      <c r="O243" s="393"/>
      <c r="P243" s="393"/>
      <c r="Q243" s="393"/>
      <c r="R243" s="393"/>
      <c r="S243" s="394"/>
      <c r="T243" s="395"/>
      <c r="U243" s="395"/>
      <c r="V243" s="395"/>
      <c r="W243" s="395"/>
      <c r="X243" s="393"/>
      <c r="Y243" s="393"/>
      <c r="Z243" s="393"/>
      <c r="AA243" s="393"/>
      <c r="AB243" s="393"/>
      <c r="AC243" s="393"/>
      <c r="AD243" s="395"/>
      <c r="AE243" s="396"/>
      <c r="AF243" s="393"/>
      <c r="AG243" s="393"/>
    </row>
    <row r="244" spans="1:33" ht="40" customHeight="1">
      <c r="A244" s="393"/>
      <c r="B244" s="393"/>
      <c r="C244" s="393"/>
      <c r="D244" s="393"/>
      <c r="E244" s="393"/>
      <c r="F244" s="393"/>
      <c r="G244" s="393"/>
      <c r="H244" s="393"/>
      <c r="I244" s="393"/>
      <c r="J244" s="393"/>
      <c r="K244" s="393"/>
      <c r="L244" s="393"/>
      <c r="M244" s="393"/>
      <c r="N244" s="393"/>
      <c r="O244" s="393"/>
      <c r="P244" s="393"/>
      <c r="Q244" s="393"/>
      <c r="R244" s="393"/>
      <c r="S244" s="394"/>
      <c r="T244" s="395"/>
      <c r="U244" s="395"/>
      <c r="V244" s="395"/>
      <c r="W244" s="395"/>
      <c r="X244" s="393"/>
      <c r="Y244" s="393"/>
      <c r="Z244" s="393"/>
      <c r="AA244" s="393"/>
      <c r="AB244" s="393"/>
      <c r="AC244" s="393"/>
      <c r="AD244" s="395"/>
      <c r="AE244" s="396"/>
      <c r="AF244" s="393"/>
      <c r="AG244" s="393"/>
    </row>
    <row r="245" spans="1:33" ht="40" customHeight="1">
      <c r="A245" s="393"/>
      <c r="B245" s="393"/>
      <c r="C245" s="393"/>
      <c r="D245" s="393"/>
      <c r="E245" s="393"/>
      <c r="F245" s="393"/>
      <c r="G245" s="393"/>
      <c r="H245" s="393"/>
      <c r="I245" s="393"/>
      <c r="J245" s="393"/>
      <c r="K245" s="393"/>
      <c r="L245" s="393"/>
      <c r="M245" s="393"/>
      <c r="N245" s="393"/>
      <c r="O245" s="393"/>
      <c r="P245" s="393"/>
      <c r="Q245" s="393"/>
      <c r="R245" s="393"/>
      <c r="S245" s="394"/>
      <c r="T245" s="395"/>
      <c r="U245" s="395"/>
      <c r="V245" s="395"/>
      <c r="W245" s="395"/>
      <c r="X245" s="393"/>
      <c r="Y245" s="393"/>
      <c r="Z245" s="393"/>
      <c r="AA245" s="393"/>
      <c r="AB245" s="393"/>
      <c r="AC245" s="393"/>
      <c r="AD245" s="395"/>
      <c r="AE245" s="396"/>
      <c r="AF245" s="393"/>
      <c r="AG245" s="393"/>
    </row>
    <row r="246" spans="1:33" ht="40" customHeight="1">
      <c r="A246" s="393"/>
      <c r="B246" s="393"/>
      <c r="C246" s="393"/>
      <c r="D246" s="393"/>
      <c r="E246" s="393"/>
      <c r="F246" s="393"/>
      <c r="G246" s="393"/>
      <c r="H246" s="393"/>
      <c r="I246" s="393"/>
      <c r="J246" s="393"/>
      <c r="K246" s="393"/>
      <c r="L246" s="393"/>
      <c r="M246" s="393"/>
      <c r="N246" s="393"/>
      <c r="O246" s="393"/>
      <c r="P246" s="393"/>
      <c r="Q246" s="393"/>
      <c r="R246" s="393"/>
      <c r="S246" s="394"/>
      <c r="T246" s="395"/>
      <c r="U246" s="395"/>
      <c r="V246" s="395"/>
      <c r="W246" s="395"/>
      <c r="X246" s="393"/>
      <c r="Y246" s="393"/>
      <c r="Z246" s="393"/>
      <c r="AA246" s="393"/>
      <c r="AB246" s="393"/>
      <c r="AC246" s="393"/>
      <c r="AD246" s="395"/>
      <c r="AE246" s="396"/>
      <c r="AF246" s="393"/>
      <c r="AG246" s="393"/>
    </row>
    <row r="247" spans="1:33" ht="40" customHeight="1">
      <c r="A247" s="393"/>
      <c r="B247" s="393"/>
      <c r="C247" s="393"/>
      <c r="D247" s="393"/>
      <c r="E247" s="393"/>
      <c r="F247" s="393"/>
      <c r="G247" s="393"/>
      <c r="H247" s="393"/>
      <c r="I247" s="393"/>
      <c r="J247" s="393"/>
      <c r="K247" s="393"/>
      <c r="L247" s="393"/>
      <c r="M247" s="393"/>
      <c r="N247" s="393"/>
      <c r="O247" s="393"/>
      <c r="P247" s="393"/>
      <c r="Q247" s="393"/>
      <c r="R247" s="393"/>
      <c r="S247" s="394"/>
      <c r="T247" s="395"/>
      <c r="U247" s="395"/>
      <c r="V247" s="395"/>
      <c r="W247" s="395"/>
      <c r="X247" s="393"/>
      <c r="Y247" s="393"/>
      <c r="Z247" s="393"/>
      <c r="AA247" s="393"/>
      <c r="AB247" s="393"/>
      <c r="AC247" s="393"/>
      <c r="AD247" s="395"/>
      <c r="AE247" s="396"/>
      <c r="AF247" s="393"/>
      <c r="AG247" s="393"/>
    </row>
    <row r="248" spans="1:33" ht="40" customHeight="1">
      <c r="A248" s="393"/>
      <c r="B248" s="393"/>
      <c r="C248" s="393"/>
      <c r="D248" s="393"/>
      <c r="E248" s="393"/>
      <c r="F248" s="393"/>
      <c r="G248" s="393"/>
      <c r="H248" s="393"/>
      <c r="I248" s="393"/>
      <c r="J248" s="393"/>
      <c r="K248" s="393"/>
      <c r="L248" s="393"/>
      <c r="M248" s="393"/>
      <c r="N248" s="393"/>
      <c r="O248" s="393"/>
      <c r="P248" s="393"/>
      <c r="Q248" s="393"/>
      <c r="R248" s="393"/>
      <c r="S248" s="394"/>
      <c r="T248" s="395"/>
      <c r="U248" s="395"/>
      <c r="V248" s="395"/>
      <c r="W248" s="395"/>
      <c r="X248" s="393"/>
      <c r="Y248" s="393"/>
      <c r="Z248" s="393"/>
      <c r="AA248" s="393"/>
      <c r="AB248" s="393"/>
      <c r="AC248" s="393"/>
      <c r="AD248" s="395"/>
      <c r="AE248" s="396"/>
      <c r="AF248" s="393"/>
      <c r="AG248" s="393"/>
    </row>
    <row r="249" spans="1:33" ht="40" customHeight="1">
      <c r="A249" s="393"/>
      <c r="B249" s="393"/>
      <c r="C249" s="393"/>
      <c r="D249" s="393"/>
      <c r="E249" s="393"/>
      <c r="F249" s="393"/>
      <c r="G249" s="393"/>
      <c r="H249" s="393"/>
      <c r="I249" s="393"/>
      <c r="J249" s="393"/>
      <c r="K249" s="393"/>
      <c r="L249" s="393"/>
      <c r="M249" s="393"/>
      <c r="N249" s="393"/>
      <c r="O249" s="393"/>
      <c r="P249" s="393"/>
      <c r="Q249" s="393"/>
      <c r="R249" s="393"/>
      <c r="S249" s="394"/>
      <c r="T249" s="395"/>
      <c r="U249" s="395"/>
      <c r="V249" s="395"/>
      <c r="W249" s="395"/>
      <c r="X249" s="393"/>
      <c r="Y249" s="393"/>
      <c r="Z249" s="393"/>
      <c r="AA249" s="393"/>
      <c r="AB249" s="393"/>
      <c r="AC249" s="393"/>
      <c r="AD249" s="395"/>
      <c r="AE249" s="396"/>
      <c r="AF249" s="393"/>
      <c r="AG249" s="393"/>
    </row>
    <row r="250" spans="1:33" ht="40" customHeight="1">
      <c r="A250" s="393"/>
      <c r="B250" s="393"/>
      <c r="C250" s="393"/>
      <c r="D250" s="393"/>
      <c r="E250" s="393"/>
      <c r="F250" s="393"/>
      <c r="G250" s="393"/>
      <c r="H250" s="393"/>
      <c r="I250" s="393"/>
      <c r="J250" s="393"/>
      <c r="K250" s="393"/>
      <c r="L250" s="393"/>
      <c r="M250" s="393"/>
      <c r="N250" s="393"/>
      <c r="O250" s="393"/>
      <c r="P250" s="393"/>
      <c r="Q250" s="393"/>
      <c r="R250" s="393"/>
      <c r="S250" s="394"/>
      <c r="T250" s="395"/>
      <c r="U250" s="395"/>
      <c r="V250" s="395"/>
      <c r="W250" s="395"/>
      <c r="X250" s="393"/>
      <c r="Y250" s="393"/>
      <c r="Z250" s="393"/>
      <c r="AA250" s="393"/>
      <c r="AB250" s="393"/>
      <c r="AC250" s="393"/>
      <c r="AD250" s="395"/>
      <c r="AE250" s="396"/>
      <c r="AF250" s="393"/>
      <c r="AG250" s="393"/>
    </row>
    <row r="251" spans="1:33" ht="40" customHeight="1">
      <c r="A251" s="393"/>
      <c r="B251" s="393"/>
      <c r="C251" s="393"/>
      <c r="D251" s="393"/>
      <c r="E251" s="393"/>
      <c r="F251" s="393"/>
      <c r="G251" s="393"/>
      <c r="H251" s="393"/>
      <c r="I251" s="393"/>
      <c r="J251" s="393"/>
      <c r="K251" s="393"/>
      <c r="L251" s="393"/>
      <c r="M251" s="393"/>
      <c r="N251" s="393"/>
      <c r="O251" s="393"/>
      <c r="P251" s="393"/>
      <c r="Q251" s="393"/>
      <c r="R251" s="393"/>
      <c r="S251" s="394"/>
      <c r="T251" s="395"/>
      <c r="U251" s="395"/>
      <c r="V251" s="395"/>
      <c r="W251" s="395"/>
      <c r="X251" s="393"/>
      <c r="Y251" s="393"/>
      <c r="Z251" s="393"/>
      <c r="AA251" s="393"/>
      <c r="AB251" s="393"/>
      <c r="AC251" s="393"/>
      <c r="AD251" s="395"/>
      <c r="AE251" s="396"/>
      <c r="AF251" s="393"/>
      <c r="AG251" s="393"/>
    </row>
    <row r="252" spans="1:33" ht="40" customHeight="1">
      <c r="A252" s="393"/>
      <c r="B252" s="393"/>
      <c r="C252" s="393"/>
      <c r="D252" s="393"/>
      <c r="E252" s="393"/>
      <c r="F252" s="393"/>
      <c r="G252" s="393"/>
      <c r="H252" s="393"/>
      <c r="I252" s="393"/>
      <c r="J252" s="393"/>
      <c r="K252" s="393"/>
      <c r="L252" s="393"/>
      <c r="M252" s="393"/>
      <c r="N252" s="393"/>
      <c r="O252" s="393"/>
      <c r="P252" s="393"/>
      <c r="Q252" s="393"/>
      <c r="R252" s="393"/>
      <c r="S252" s="394"/>
      <c r="T252" s="395"/>
      <c r="U252" s="395"/>
      <c r="V252" s="395"/>
      <c r="W252" s="395"/>
      <c r="X252" s="393"/>
      <c r="Y252" s="393"/>
      <c r="Z252" s="393"/>
      <c r="AA252" s="393"/>
      <c r="AB252" s="393"/>
      <c r="AC252" s="393"/>
      <c r="AD252" s="395"/>
      <c r="AE252" s="396"/>
      <c r="AF252" s="393"/>
      <c r="AG252" s="393"/>
    </row>
    <row r="253" spans="1:33" ht="40" customHeight="1">
      <c r="A253" s="393"/>
      <c r="B253" s="393"/>
      <c r="C253" s="393"/>
      <c r="D253" s="393"/>
      <c r="E253" s="393"/>
      <c r="F253" s="393"/>
      <c r="G253" s="393"/>
      <c r="H253" s="393"/>
      <c r="I253" s="393"/>
      <c r="J253" s="393"/>
      <c r="K253" s="393"/>
      <c r="L253" s="393"/>
      <c r="M253" s="393"/>
      <c r="N253" s="393"/>
      <c r="O253" s="393"/>
      <c r="P253" s="393"/>
      <c r="Q253" s="393"/>
      <c r="R253" s="393"/>
      <c r="S253" s="394"/>
      <c r="T253" s="395"/>
      <c r="U253" s="395"/>
      <c r="V253" s="395"/>
      <c r="W253" s="395"/>
      <c r="X253" s="393"/>
      <c r="Y253" s="393"/>
      <c r="Z253" s="393"/>
      <c r="AA253" s="393"/>
      <c r="AB253" s="393"/>
      <c r="AC253" s="393"/>
      <c r="AD253" s="395"/>
      <c r="AE253" s="396"/>
      <c r="AF253" s="393"/>
      <c r="AG253" s="393"/>
    </row>
    <row r="254" spans="1:33" ht="40" customHeight="1">
      <c r="A254" s="393"/>
      <c r="B254" s="393"/>
      <c r="C254" s="393"/>
      <c r="D254" s="393"/>
      <c r="E254" s="393"/>
      <c r="F254" s="393"/>
      <c r="G254" s="393"/>
      <c r="H254" s="393"/>
      <c r="I254" s="393"/>
      <c r="J254" s="393"/>
      <c r="K254" s="393"/>
      <c r="L254" s="393"/>
      <c r="M254" s="393"/>
      <c r="N254" s="393"/>
      <c r="O254" s="393"/>
      <c r="P254" s="393"/>
      <c r="Q254" s="393"/>
      <c r="R254" s="393"/>
      <c r="S254" s="394"/>
      <c r="T254" s="395"/>
      <c r="U254" s="395"/>
      <c r="V254" s="395"/>
      <c r="W254" s="395"/>
      <c r="X254" s="393"/>
      <c r="Y254" s="393"/>
      <c r="Z254" s="393"/>
      <c r="AA254" s="393"/>
      <c r="AB254" s="393"/>
      <c r="AC254" s="393"/>
      <c r="AD254" s="395"/>
      <c r="AE254" s="396"/>
      <c r="AF254" s="393"/>
      <c r="AG254" s="393"/>
    </row>
    <row r="255" spans="1:33" ht="40" customHeight="1">
      <c r="A255" s="393"/>
      <c r="B255" s="393"/>
      <c r="C255" s="393"/>
      <c r="D255" s="393"/>
      <c r="E255" s="393"/>
      <c r="F255" s="393"/>
      <c r="G255" s="393"/>
      <c r="H255" s="393"/>
      <c r="I255" s="393"/>
      <c r="J255" s="393"/>
      <c r="K255" s="393"/>
      <c r="L255" s="393"/>
      <c r="M255" s="393"/>
      <c r="N255" s="393"/>
      <c r="O255" s="393"/>
      <c r="P255" s="393"/>
      <c r="Q255" s="393"/>
      <c r="R255" s="393"/>
      <c r="S255" s="394"/>
      <c r="T255" s="395"/>
      <c r="U255" s="395"/>
      <c r="V255" s="395"/>
      <c r="W255" s="395"/>
      <c r="X255" s="393"/>
      <c r="Y255" s="393"/>
      <c r="Z255" s="393"/>
      <c r="AA255" s="393"/>
      <c r="AB255" s="393"/>
      <c r="AC255" s="393"/>
      <c r="AD255" s="395"/>
      <c r="AE255" s="396"/>
      <c r="AF255" s="393"/>
      <c r="AG255" s="393"/>
    </row>
    <row r="256" spans="1:33" ht="40" customHeight="1">
      <c r="A256" s="393"/>
      <c r="B256" s="393"/>
      <c r="C256" s="393"/>
      <c r="D256" s="393"/>
      <c r="E256" s="393"/>
      <c r="F256" s="393"/>
      <c r="G256" s="393"/>
      <c r="H256" s="393"/>
      <c r="I256" s="393"/>
      <c r="J256" s="393"/>
      <c r="K256" s="393"/>
      <c r="L256" s="393"/>
      <c r="M256" s="393"/>
      <c r="N256" s="393"/>
      <c r="O256" s="393"/>
      <c r="P256" s="393"/>
      <c r="Q256" s="393"/>
      <c r="R256" s="393"/>
      <c r="S256" s="394"/>
      <c r="T256" s="395"/>
      <c r="U256" s="395"/>
      <c r="V256" s="395"/>
      <c r="W256" s="395"/>
      <c r="X256" s="393"/>
      <c r="Y256" s="393"/>
      <c r="Z256" s="393"/>
      <c r="AA256" s="393"/>
      <c r="AB256" s="393"/>
      <c r="AC256" s="393"/>
      <c r="AD256" s="395"/>
      <c r="AE256" s="396"/>
      <c r="AF256" s="393"/>
      <c r="AG256" s="393"/>
    </row>
    <row r="257" spans="1:33" ht="40" customHeight="1">
      <c r="A257" s="393"/>
      <c r="B257" s="393"/>
      <c r="C257" s="393"/>
      <c r="D257" s="393"/>
      <c r="E257" s="393"/>
      <c r="F257" s="393"/>
      <c r="G257" s="393"/>
      <c r="H257" s="393"/>
      <c r="I257" s="393"/>
      <c r="J257" s="393"/>
      <c r="K257" s="393"/>
      <c r="L257" s="393"/>
      <c r="M257" s="393"/>
      <c r="N257" s="393"/>
      <c r="O257" s="393"/>
      <c r="P257" s="393"/>
      <c r="Q257" s="393"/>
      <c r="R257" s="393"/>
      <c r="S257" s="394"/>
      <c r="T257" s="395"/>
      <c r="U257" s="395"/>
      <c r="V257" s="395"/>
      <c r="W257" s="395"/>
      <c r="X257" s="393"/>
      <c r="Y257" s="393"/>
      <c r="Z257" s="393"/>
      <c r="AA257" s="393"/>
      <c r="AB257" s="393"/>
      <c r="AC257" s="393"/>
      <c r="AD257" s="395"/>
      <c r="AE257" s="396"/>
      <c r="AF257" s="393"/>
      <c r="AG257" s="393"/>
    </row>
    <row r="258" spans="1:33" ht="40" customHeight="1">
      <c r="A258" s="393"/>
      <c r="B258" s="393"/>
      <c r="C258" s="393"/>
      <c r="D258" s="393"/>
      <c r="E258" s="393"/>
      <c r="F258" s="393"/>
      <c r="G258" s="393"/>
      <c r="H258" s="393"/>
      <c r="I258" s="393"/>
      <c r="J258" s="393"/>
      <c r="K258" s="393"/>
      <c r="L258" s="393"/>
      <c r="M258" s="393"/>
      <c r="N258" s="393"/>
      <c r="O258" s="393"/>
      <c r="P258" s="393"/>
      <c r="Q258" s="393"/>
      <c r="R258" s="393"/>
      <c r="S258" s="394"/>
      <c r="T258" s="395"/>
      <c r="U258" s="395"/>
      <c r="V258" s="395"/>
      <c r="W258" s="395"/>
      <c r="X258" s="393"/>
      <c r="Y258" s="393"/>
      <c r="Z258" s="393"/>
      <c r="AA258" s="393"/>
      <c r="AB258" s="393"/>
      <c r="AC258" s="393"/>
      <c r="AD258" s="395"/>
      <c r="AE258" s="396"/>
      <c r="AF258" s="393"/>
      <c r="AG258" s="393"/>
    </row>
    <row r="259" spans="1:33" ht="40" customHeight="1">
      <c r="A259" s="393"/>
      <c r="B259" s="393"/>
      <c r="C259" s="393"/>
      <c r="D259" s="393"/>
      <c r="E259" s="393"/>
      <c r="F259" s="393"/>
      <c r="G259" s="393"/>
      <c r="H259" s="393"/>
      <c r="I259" s="393"/>
      <c r="J259" s="393"/>
      <c r="K259" s="393"/>
      <c r="L259" s="393"/>
      <c r="M259" s="393"/>
      <c r="N259" s="393"/>
      <c r="O259" s="393"/>
      <c r="P259" s="393"/>
      <c r="Q259" s="393"/>
      <c r="R259" s="393"/>
      <c r="S259" s="394"/>
      <c r="T259" s="395"/>
      <c r="U259" s="395"/>
      <c r="V259" s="395"/>
      <c r="W259" s="395"/>
      <c r="X259" s="393"/>
      <c r="Y259" s="393"/>
      <c r="Z259" s="393"/>
      <c r="AA259" s="393"/>
      <c r="AB259" s="393"/>
      <c r="AC259" s="393"/>
      <c r="AD259" s="395"/>
      <c r="AE259" s="396"/>
      <c r="AF259" s="393"/>
      <c r="AG259" s="393"/>
    </row>
    <row r="260" spans="1:33" ht="40" customHeight="1">
      <c r="A260" s="393"/>
      <c r="B260" s="393"/>
      <c r="C260" s="393"/>
      <c r="D260" s="393"/>
      <c r="E260" s="393"/>
      <c r="F260" s="393"/>
      <c r="G260" s="393"/>
      <c r="H260" s="393"/>
      <c r="I260" s="393"/>
      <c r="J260" s="393"/>
      <c r="K260" s="393"/>
      <c r="L260" s="393"/>
      <c r="M260" s="393"/>
      <c r="N260" s="393"/>
      <c r="O260" s="393"/>
      <c r="P260" s="393"/>
      <c r="Q260" s="393"/>
      <c r="R260" s="393"/>
      <c r="S260" s="394"/>
      <c r="T260" s="395"/>
      <c r="U260" s="395"/>
      <c r="V260" s="395"/>
      <c r="W260" s="395"/>
      <c r="X260" s="393"/>
      <c r="Y260" s="393"/>
      <c r="Z260" s="393"/>
      <c r="AA260" s="393"/>
      <c r="AB260" s="393"/>
      <c r="AC260" s="393"/>
      <c r="AD260" s="395"/>
      <c r="AE260" s="396"/>
      <c r="AF260" s="393"/>
      <c r="AG260" s="393"/>
    </row>
    <row r="261" spans="1:33" ht="40" customHeight="1">
      <c r="A261" s="393"/>
      <c r="B261" s="393"/>
      <c r="C261" s="393"/>
      <c r="D261" s="393"/>
      <c r="E261" s="393"/>
      <c r="F261" s="393"/>
      <c r="G261" s="393"/>
      <c r="H261" s="393"/>
      <c r="I261" s="393"/>
      <c r="J261" s="393"/>
      <c r="K261" s="393"/>
      <c r="L261" s="393"/>
      <c r="M261" s="393"/>
      <c r="N261" s="393"/>
      <c r="O261" s="393"/>
      <c r="P261" s="393"/>
      <c r="Q261" s="393"/>
      <c r="R261" s="393"/>
      <c r="S261" s="394"/>
      <c r="T261" s="395"/>
      <c r="U261" s="395"/>
      <c r="V261" s="395"/>
      <c r="W261" s="395"/>
      <c r="X261" s="393"/>
      <c r="Y261" s="393"/>
      <c r="Z261" s="393"/>
      <c r="AA261" s="393"/>
      <c r="AB261" s="393"/>
      <c r="AC261" s="393"/>
      <c r="AD261" s="395"/>
      <c r="AE261" s="396"/>
      <c r="AF261" s="393"/>
      <c r="AG261" s="393"/>
    </row>
    <row r="262" spans="1:33" ht="40" customHeight="1">
      <c r="A262" s="393"/>
      <c r="B262" s="393"/>
      <c r="C262" s="393"/>
      <c r="D262" s="393"/>
      <c r="E262" s="393"/>
      <c r="F262" s="393"/>
      <c r="G262" s="393"/>
      <c r="H262" s="393"/>
      <c r="I262" s="393"/>
      <c r="J262" s="393"/>
      <c r="K262" s="393"/>
      <c r="L262" s="393"/>
      <c r="M262" s="393"/>
      <c r="N262" s="393"/>
      <c r="O262" s="393"/>
      <c r="P262" s="393"/>
      <c r="Q262" s="393"/>
      <c r="R262" s="393"/>
      <c r="S262" s="394"/>
      <c r="T262" s="395"/>
      <c r="U262" s="395"/>
      <c r="V262" s="395"/>
      <c r="W262" s="395"/>
      <c r="X262" s="393"/>
      <c r="Y262" s="393"/>
      <c r="Z262" s="393"/>
      <c r="AA262" s="393"/>
      <c r="AB262" s="393"/>
      <c r="AC262" s="393"/>
      <c r="AD262" s="395"/>
      <c r="AE262" s="396"/>
      <c r="AF262" s="393"/>
      <c r="AG262" s="393"/>
    </row>
    <row r="263" spans="1:33" ht="40" customHeight="1">
      <c r="A263" s="393"/>
      <c r="B263" s="393"/>
      <c r="C263" s="393"/>
      <c r="D263" s="393"/>
      <c r="E263" s="393"/>
      <c r="F263" s="393"/>
      <c r="G263" s="393"/>
      <c r="H263" s="393"/>
      <c r="I263" s="393"/>
      <c r="J263" s="393"/>
      <c r="K263" s="393"/>
      <c r="L263" s="393"/>
      <c r="M263" s="393"/>
      <c r="N263" s="393"/>
      <c r="O263" s="393"/>
      <c r="P263" s="393"/>
      <c r="Q263" s="393"/>
      <c r="R263" s="393"/>
      <c r="S263" s="394"/>
      <c r="T263" s="395"/>
      <c r="U263" s="395"/>
      <c r="V263" s="395"/>
      <c r="W263" s="395"/>
      <c r="X263" s="393"/>
      <c r="Y263" s="393"/>
      <c r="Z263" s="393"/>
      <c r="AA263" s="393"/>
      <c r="AB263" s="393"/>
      <c r="AC263" s="393"/>
      <c r="AD263" s="395"/>
      <c r="AE263" s="396"/>
      <c r="AF263" s="393"/>
      <c r="AG263" s="393"/>
    </row>
    <row r="264" spans="1:33" ht="40" customHeight="1">
      <c r="A264" s="393"/>
      <c r="B264" s="393"/>
      <c r="C264" s="393"/>
      <c r="D264" s="393"/>
      <c r="E264" s="393"/>
      <c r="F264" s="393"/>
      <c r="G264" s="393"/>
      <c r="H264" s="393"/>
      <c r="I264" s="393"/>
      <c r="J264" s="393"/>
      <c r="K264" s="393"/>
      <c r="L264" s="393"/>
      <c r="M264" s="393"/>
      <c r="N264" s="393"/>
      <c r="O264" s="393"/>
      <c r="P264" s="393"/>
      <c r="Q264" s="393"/>
      <c r="R264" s="393"/>
      <c r="S264" s="394"/>
      <c r="T264" s="395"/>
      <c r="U264" s="395"/>
      <c r="V264" s="395"/>
      <c r="W264" s="395"/>
      <c r="X264" s="393"/>
      <c r="Y264" s="393"/>
      <c r="Z264" s="393"/>
      <c r="AA264" s="393"/>
      <c r="AB264" s="393"/>
      <c r="AC264" s="393"/>
      <c r="AD264" s="395"/>
      <c r="AE264" s="396"/>
      <c r="AF264" s="393"/>
      <c r="AG264" s="393"/>
    </row>
    <row r="265" spans="1:33" ht="40" customHeight="1">
      <c r="A265" s="393"/>
      <c r="B265" s="393"/>
      <c r="C265" s="393"/>
      <c r="D265" s="393"/>
      <c r="E265" s="393"/>
      <c r="F265" s="393"/>
      <c r="G265" s="393"/>
      <c r="H265" s="393"/>
      <c r="I265" s="393"/>
      <c r="J265" s="393"/>
      <c r="K265" s="393"/>
      <c r="L265" s="393"/>
      <c r="M265" s="393"/>
      <c r="N265" s="393"/>
      <c r="O265" s="393"/>
      <c r="P265" s="393"/>
      <c r="Q265" s="393"/>
      <c r="R265" s="393"/>
      <c r="S265" s="394"/>
      <c r="T265" s="395"/>
      <c r="U265" s="395"/>
      <c r="V265" s="395"/>
      <c r="W265" s="395"/>
      <c r="X265" s="393"/>
      <c r="Y265" s="393"/>
      <c r="Z265" s="393"/>
      <c r="AA265" s="393"/>
      <c r="AB265" s="393"/>
      <c r="AC265" s="393"/>
      <c r="AD265" s="395"/>
      <c r="AE265" s="396"/>
      <c r="AF265" s="393"/>
      <c r="AG265" s="393"/>
    </row>
    <row r="266" spans="1:33" ht="40" customHeight="1">
      <c r="A266" s="393"/>
      <c r="B266" s="393"/>
      <c r="C266" s="393"/>
      <c r="D266" s="393"/>
      <c r="E266" s="393"/>
      <c r="F266" s="393"/>
      <c r="G266" s="393"/>
      <c r="H266" s="393"/>
      <c r="I266" s="393"/>
      <c r="J266" s="393"/>
      <c r="K266" s="393"/>
      <c r="L266" s="393"/>
      <c r="M266" s="393"/>
      <c r="N266" s="393"/>
      <c r="O266" s="393"/>
      <c r="P266" s="393"/>
      <c r="Q266" s="393"/>
      <c r="R266" s="393"/>
      <c r="S266" s="394"/>
      <c r="T266" s="395"/>
      <c r="U266" s="395"/>
      <c r="V266" s="395"/>
      <c r="W266" s="395"/>
      <c r="X266" s="393"/>
      <c r="Y266" s="393"/>
      <c r="Z266" s="393"/>
      <c r="AA266" s="393"/>
      <c r="AB266" s="393"/>
      <c r="AC266" s="393"/>
      <c r="AD266" s="395"/>
      <c r="AE266" s="396"/>
      <c r="AF266" s="393"/>
      <c r="AG266" s="393"/>
    </row>
    <row r="267" spans="1:33" ht="40" customHeight="1">
      <c r="A267" s="393"/>
      <c r="B267" s="393"/>
      <c r="C267" s="393"/>
      <c r="D267" s="393"/>
      <c r="E267" s="393"/>
      <c r="F267" s="393"/>
      <c r="G267" s="393"/>
      <c r="H267" s="393"/>
      <c r="I267" s="393"/>
      <c r="J267" s="393"/>
      <c r="K267" s="393"/>
      <c r="L267" s="393"/>
      <c r="M267" s="393"/>
      <c r="N267" s="393"/>
      <c r="O267" s="393"/>
      <c r="P267" s="393"/>
      <c r="Q267" s="393"/>
      <c r="R267" s="393"/>
      <c r="S267" s="394"/>
      <c r="T267" s="395"/>
      <c r="U267" s="395"/>
      <c r="V267" s="395"/>
      <c r="W267" s="395"/>
      <c r="X267" s="393"/>
      <c r="Y267" s="393"/>
      <c r="Z267" s="393"/>
      <c r="AA267" s="393"/>
      <c r="AB267" s="393"/>
      <c r="AC267" s="393"/>
      <c r="AD267" s="395"/>
      <c r="AE267" s="396"/>
      <c r="AF267" s="393"/>
      <c r="AG267" s="393"/>
    </row>
    <row r="268" spans="1:33" ht="40" customHeight="1">
      <c r="A268" s="393"/>
      <c r="B268" s="393"/>
      <c r="C268" s="393"/>
      <c r="D268" s="393"/>
      <c r="E268" s="393"/>
      <c r="F268" s="393"/>
      <c r="G268" s="393"/>
      <c r="H268" s="393"/>
      <c r="I268" s="393"/>
      <c r="J268" s="393"/>
      <c r="K268" s="393"/>
      <c r="L268" s="393"/>
      <c r="M268" s="393"/>
      <c r="N268" s="393"/>
      <c r="O268" s="393"/>
      <c r="P268" s="393"/>
      <c r="Q268" s="393"/>
      <c r="R268" s="393"/>
      <c r="S268" s="394"/>
      <c r="T268" s="395"/>
      <c r="U268" s="395"/>
      <c r="V268" s="395"/>
      <c r="W268" s="395"/>
      <c r="X268" s="393"/>
      <c r="Y268" s="393"/>
      <c r="Z268" s="393"/>
      <c r="AA268" s="393"/>
      <c r="AB268" s="393"/>
      <c r="AC268" s="393"/>
      <c r="AD268" s="395"/>
      <c r="AE268" s="396"/>
      <c r="AF268" s="393"/>
      <c r="AG268" s="393"/>
    </row>
    <row r="269" spans="1:33" ht="40" customHeight="1">
      <c r="A269" s="393"/>
      <c r="B269" s="393"/>
      <c r="C269" s="393"/>
      <c r="D269" s="393"/>
      <c r="E269" s="393"/>
      <c r="F269" s="393"/>
      <c r="G269" s="393"/>
      <c r="H269" s="393"/>
      <c r="I269" s="393"/>
      <c r="J269" s="393"/>
      <c r="K269" s="393"/>
      <c r="L269" s="393"/>
      <c r="M269" s="393"/>
      <c r="N269" s="393"/>
      <c r="O269" s="393"/>
      <c r="P269" s="393"/>
      <c r="Q269" s="393"/>
      <c r="R269" s="393"/>
      <c r="S269" s="394"/>
      <c r="T269" s="395"/>
      <c r="U269" s="395"/>
      <c r="V269" s="395"/>
      <c r="W269" s="395"/>
      <c r="X269" s="393"/>
      <c r="Y269" s="393"/>
      <c r="Z269" s="393"/>
      <c r="AA269" s="393"/>
      <c r="AB269" s="393"/>
      <c r="AC269" s="393"/>
      <c r="AD269" s="395"/>
      <c r="AE269" s="396"/>
      <c r="AF269" s="393"/>
      <c r="AG269" s="393"/>
    </row>
    <row r="270" spans="1:33" ht="40" customHeight="1">
      <c r="A270" s="393"/>
      <c r="B270" s="393"/>
      <c r="C270" s="393"/>
      <c r="D270" s="393"/>
      <c r="E270" s="393"/>
      <c r="F270" s="393"/>
      <c r="G270" s="393"/>
      <c r="H270" s="393"/>
      <c r="I270" s="393"/>
      <c r="J270" s="393"/>
      <c r="K270" s="393"/>
      <c r="L270" s="393"/>
      <c r="M270" s="393"/>
      <c r="N270" s="393"/>
      <c r="O270" s="393"/>
      <c r="P270" s="393"/>
      <c r="Q270" s="393"/>
      <c r="R270" s="393"/>
      <c r="S270" s="394"/>
      <c r="T270" s="395"/>
      <c r="U270" s="395"/>
      <c r="V270" s="395"/>
      <c r="W270" s="395"/>
      <c r="X270" s="393"/>
      <c r="Y270" s="393"/>
      <c r="Z270" s="393"/>
      <c r="AA270" s="393"/>
      <c r="AB270" s="393"/>
      <c r="AC270" s="393"/>
      <c r="AD270" s="395"/>
      <c r="AE270" s="396"/>
      <c r="AF270" s="393"/>
      <c r="AG270" s="393"/>
    </row>
    <row r="271" spans="1:33" ht="40" customHeight="1">
      <c r="A271" s="393"/>
      <c r="B271" s="393"/>
      <c r="C271" s="393"/>
      <c r="D271" s="393"/>
      <c r="E271" s="393"/>
      <c r="F271" s="393"/>
      <c r="G271" s="393"/>
      <c r="H271" s="393"/>
      <c r="I271" s="393"/>
      <c r="J271" s="393"/>
      <c r="K271" s="393"/>
      <c r="L271" s="393"/>
      <c r="M271" s="393"/>
      <c r="N271" s="393"/>
      <c r="O271" s="393"/>
      <c r="P271" s="393"/>
      <c r="Q271" s="393"/>
      <c r="R271" s="393"/>
      <c r="S271" s="394"/>
      <c r="T271" s="395"/>
      <c r="U271" s="395"/>
      <c r="V271" s="395"/>
      <c r="W271" s="395"/>
      <c r="X271" s="393"/>
      <c r="Y271" s="393"/>
      <c r="Z271" s="393"/>
      <c r="AA271" s="393"/>
      <c r="AB271" s="393"/>
      <c r="AC271" s="393"/>
      <c r="AD271" s="395"/>
      <c r="AE271" s="396"/>
      <c r="AF271" s="393"/>
      <c r="AG271" s="393"/>
    </row>
    <row r="272" spans="1:33" ht="40" customHeight="1">
      <c r="A272" s="393"/>
      <c r="B272" s="393"/>
      <c r="C272" s="393"/>
      <c r="D272" s="393"/>
      <c r="E272" s="393"/>
      <c r="F272" s="393"/>
      <c r="G272" s="393"/>
      <c r="H272" s="393"/>
      <c r="I272" s="393"/>
      <c r="J272" s="393"/>
      <c r="K272" s="393"/>
      <c r="L272" s="393"/>
      <c r="M272" s="393"/>
      <c r="N272" s="393"/>
      <c r="O272" s="393"/>
      <c r="P272" s="393"/>
      <c r="Q272" s="393"/>
      <c r="R272" s="393"/>
      <c r="S272" s="394"/>
      <c r="T272" s="395"/>
      <c r="U272" s="395"/>
      <c r="V272" s="395"/>
      <c r="W272" s="395"/>
      <c r="X272" s="393"/>
      <c r="Y272" s="393"/>
      <c r="Z272" s="393"/>
      <c r="AA272" s="393"/>
      <c r="AB272" s="393"/>
      <c r="AC272" s="393"/>
      <c r="AD272" s="395"/>
      <c r="AE272" s="396"/>
      <c r="AF272" s="393"/>
      <c r="AG272" s="393"/>
    </row>
    <row r="273" spans="1:33" ht="40" customHeight="1">
      <c r="A273" s="393"/>
      <c r="B273" s="393"/>
      <c r="C273" s="393"/>
      <c r="D273" s="393"/>
      <c r="E273" s="393"/>
      <c r="F273" s="393"/>
      <c r="G273" s="393"/>
      <c r="H273" s="393"/>
      <c r="I273" s="393"/>
      <c r="J273" s="393"/>
      <c r="K273" s="393"/>
      <c r="L273" s="393"/>
      <c r="M273" s="393"/>
      <c r="N273" s="393"/>
      <c r="O273" s="393"/>
      <c r="P273" s="393"/>
      <c r="Q273" s="393"/>
      <c r="R273" s="393"/>
      <c r="S273" s="394"/>
      <c r="T273" s="395"/>
      <c r="U273" s="395"/>
      <c r="V273" s="395"/>
      <c r="W273" s="395"/>
      <c r="X273" s="393"/>
      <c r="Y273" s="393"/>
      <c r="Z273" s="393"/>
      <c r="AA273" s="393"/>
      <c r="AB273" s="393"/>
      <c r="AC273" s="393"/>
      <c r="AD273" s="395"/>
      <c r="AE273" s="396"/>
      <c r="AF273" s="393"/>
      <c r="AG273" s="393"/>
    </row>
    <row r="274" spans="1:33" ht="40" customHeight="1">
      <c r="A274" s="393"/>
      <c r="B274" s="393"/>
      <c r="C274" s="393"/>
      <c r="D274" s="393"/>
      <c r="E274" s="393"/>
      <c r="F274" s="393"/>
      <c r="G274" s="393"/>
      <c r="H274" s="393"/>
      <c r="I274" s="393"/>
      <c r="J274" s="393"/>
      <c r="K274" s="393"/>
      <c r="L274" s="393"/>
      <c r="M274" s="393"/>
      <c r="N274" s="393"/>
      <c r="O274" s="393"/>
      <c r="P274" s="393"/>
      <c r="Q274" s="393"/>
      <c r="R274" s="393"/>
      <c r="S274" s="394"/>
      <c r="T274" s="395"/>
      <c r="U274" s="395"/>
      <c r="V274" s="395"/>
      <c r="W274" s="395"/>
      <c r="X274" s="393"/>
      <c r="Y274" s="393"/>
      <c r="Z274" s="393"/>
      <c r="AA274" s="393"/>
      <c r="AB274" s="393"/>
      <c r="AC274" s="393"/>
      <c r="AD274" s="395"/>
      <c r="AE274" s="396"/>
      <c r="AF274" s="393"/>
      <c r="AG274" s="393"/>
    </row>
    <row r="275" spans="1:33" ht="40" customHeight="1">
      <c r="A275" s="393"/>
      <c r="B275" s="393"/>
      <c r="C275" s="393"/>
      <c r="D275" s="393"/>
      <c r="E275" s="393"/>
      <c r="F275" s="393"/>
      <c r="G275" s="393"/>
      <c r="H275" s="393"/>
      <c r="I275" s="393"/>
      <c r="J275" s="393"/>
      <c r="K275" s="393"/>
      <c r="L275" s="393"/>
      <c r="M275" s="393"/>
      <c r="N275" s="393"/>
      <c r="O275" s="393"/>
      <c r="P275" s="393"/>
      <c r="Q275" s="393"/>
      <c r="R275" s="393"/>
      <c r="S275" s="394"/>
      <c r="T275" s="395"/>
      <c r="U275" s="395"/>
      <c r="V275" s="395"/>
      <c r="W275" s="395"/>
      <c r="X275" s="393"/>
      <c r="Y275" s="393"/>
      <c r="Z275" s="393"/>
      <c r="AA275" s="393"/>
      <c r="AB275" s="393"/>
      <c r="AC275" s="393"/>
      <c r="AD275" s="395"/>
      <c r="AE275" s="396"/>
      <c r="AF275" s="393"/>
      <c r="AG275" s="393"/>
    </row>
    <row r="276" spans="1:33" ht="40" customHeight="1">
      <c r="A276" s="393"/>
      <c r="B276" s="393"/>
      <c r="C276" s="393"/>
      <c r="D276" s="393"/>
      <c r="E276" s="393"/>
      <c r="F276" s="393"/>
      <c r="G276" s="393"/>
      <c r="H276" s="393"/>
      <c r="I276" s="393"/>
      <c r="J276" s="393"/>
      <c r="K276" s="393"/>
      <c r="L276" s="393"/>
      <c r="M276" s="393"/>
      <c r="N276" s="393"/>
      <c r="O276" s="393"/>
      <c r="P276" s="393"/>
      <c r="Q276" s="393"/>
      <c r="R276" s="393"/>
      <c r="S276" s="394"/>
      <c r="T276" s="395"/>
      <c r="U276" s="395"/>
      <c r="V276" s="395"/>
      <c r="W276" s="395"/>
      <c r="X276" s="393"/>
      <c r="Y276" s="393"/>
      <c r="Z276" s="393"/>
      <c r="AA276" s="393"/>
      <c r="AB276" s="393"/>
      <c r="AC276" s="393"/>
      <c r="AD276" s="395"/>
      <c r="AE276" s="396"/>
      <c r="AF276" s="393"/>
      <c r="AG276" s="393"/>
    </row>
    <row r="277" spans="1:33" ht="40" customHeight="1">
      <c r="A277" s="393"/>
      <c r="B277" s="393"/>
      <c r="C277" s="393"/>
      <c r="D277" s="393"/>
      <c r="E277" s="393"/>
      <c r="F277" s="393"/>
      <c r="G277" s="393"/>
      <c r="H277" s="393"/>
      <c r="I277" s="393"/>
      <c r="J277" s="393"/>
      <c r="K277" s="393"/>
      <c r="L277" s="393"/>
      <c r="M277" s="393"/>
      <c r="N277" s="393"/>
      <c r="O277" s="393"/>
      <c r="P277" s="393"/>
      <c r="Q277" s="393"/>
      <c r="R277" s="393"/>
      <c r="S277" s="394"/>
      <c r="T277" s="395"/>
      <c r="U277" s="395"/>
      <c r="V277" s="395"/>
      <c r="W277" s="395"/>
      <c r="X277" s="393"/>
      <c r="Y277" s="393"/>
      <c r="Z277" s="393"/>
      <c r="AA277" s="393"/>
      <c r="AB277" s="393"/>
      <c r="AC277" s="393"/>
      <c r="AD277" s="395"/>
      <c r="AE277" s="396"/>
      <c r="AF277" s="393"/>
      <c r="AG277" s="393"/>
    </row>
    <row r="278" spans="1:33" ht="40" customHeight="1">
      <c r="A278" s="393"/>
      <c r="B278" s="393"/>
      <c r="C278" s="393"/>
      <c r="D278" s="393"/>
      <c r="E278" s="393"/>
      <c r="F278" s="393"/>
      <c r="G278" s="393"/>
      <c r="H278" s="393"/>
      <c r="I278" s="393"/>
      <c r="J278" s="393"/>
      <c r="K278" s="393"/>
      <c r="L278" s="393"/>
      <c r="M278" s="393"/>
      <c r="N278" s="393"/>
      <c r="O278" s="393"/>
      <c r="P278" s="393"/>
      <c r="Q278" s="393"/>
      <c r="R278" s="393"/>
      <c r="S278" s="394"/>
      <c r="T278" s="395"/>
      <c r="U278" s="395"/>
      <c r="V278" s="395"/>
      <c r="W278" s="395"/>
      <c r="X278" s="393"/>
      <c r="Y278" s="393"/>
      <c r="Z278" s="393"/>
      <c r="AA278" s="393"/>
      <c r="AB278" s="393"/>
      <c r="AC278" s="393"/>
      <c r="AD278" s="395"/>
      <c r="AE278" s="396"/>
      <c r="AF278" s="393"/>
      <c r="AG278" s="393"/>
    </row>
    <row r="279" spans="1:33" ht="40" customHeight="1">
      <c r="A279" s="393"/>
      <c r="B279" s="393"/>
      <c r="C279" s="393"/>
      <c r="D279" s="393"/>
      <c r="E279" s="393"/>
      <c r="F279" s="393"/>
      <c r="G279" s="393"/>
      <c r="H279" s="393"/>
      <c r="I279" s="393"/>
      <c r="J279" s="393"/>
      <c r="K279" s="393"/>
      <c r="L279" s="393"/>
      <c r="M279" s="393"/>
      <c r="N279" s="393"/>
      <c r="O279" s="393"/>
      <c r="P279" s="393"/>
      <c r="Q279" s="393"/>
      <c r="R279" s="393"/>
      <c r="S279" s="394"/>
      <c r="T279" s="395"/>
      <c r="U279" s="395"/>
      <c r="V279" s="395"/>
      <c r="W279" s="395"/>
      <c r="X279" s="393"/>
      <c r="Y279" s="393"/>
      <c r="Z279" s="393"/>
      <c r="AA279" s="393"/>
      <c r="AB279" s="393"/>
      <c r="AC279" s="393"/>
      <c r="AD279" s="395"/>
      <c r="AE279" s="396"/>
      <c r="AF279" s="393"/>
      <c r="AG279" s="393"/>
    </row>
    <row r="280" spans="1:33" ht="40" customHeight="1">
      <c r="A280" s="393"/>
      <c r="B280" s="393"/>
      <c r="C280" s="393"/>
      <c r="D280" s="393"/>
      <c r="E280" s="393"/>
      <c r="F280" s="393"/>
      <c r="G280" s="393"/>
      <c r="H280" s="393"/>
      <c r="I280" s="393"/>
      <c r="J280" s="393"/>
      <c r="K280" s="393"/>
      <c r="L280" s="393"/>
      <c r="M280" s="393"/>
      <c r="N280" s="393"/>
      <c r="O280" s="393"/>
      <c r="P280" s="393"/>
      <c r="Q280" s="393"/>
      <c r="R280" s="393"/>
      <c r="S280" s="394"/>
      <c r="T280" s="395"/>
      <c r="U280" s="395"/>
      <c r="V280" s="395"/>
      <c r="W280" s="395"/>
      <c r="X280" s="393"/>
      <c r="Y280" s="393"/>
      <c r="Z280" s="393"/>
      <c r="AA280" s="393"/>
      <c r="AB280" s="393"/>
      <c r="AC280" s="393"/>
      <c r="AD280" s="395"/>
      <c r="AE280" s="396"/>
      <c r="AF280" s="393"/>
      <c r="AG280" s="393"/>
    </row>
    <row r="281" spans="1:33" ht="40" customHeight="1">
      <c r="A281" s="393"/>
      <c r="B281" s="393"/>
      <c r="C281" s="393"/>
      <c r="D281" s="393"/>
      <c r="E281" s="393"/>
      <c r="F281" s="393"/>
      <c r="G281" s="393"/>
      <c r="H281" s="393"/>
      <c r="I281" s="393"/>
      <c r="J281" s="393"/>
      <c r="K281" s="393"/>
      <c r="L281" s="393"/>
      <c r="M281" s="393"/>
      <c r="N281" s="393"/>
      <c r="O281" s="393"/>
      <c r="P281" s="393"/>
      <c r="Q281" s="393"/>
      <c r="R281" s="393"/>
      <c r="S281" s="394"/>
      <c r="T281" s="395"/>
      <c r="U281" s="395"/>
      <c r="V281" s="395"/>
      <c r="W281" s="395"/>
      <c r="X281" s="393"/>
      <c r="Y281" s="393"/>
      <c r="Z281" s="393"/>
      <c r="AA281" s="393"/>
      <c r="AB281" s="393"/>
      <c r="AC281" s="393"/>
      <c r="AD281" s="395"/>
      <c r="AE281" s="396"/>
      <c r="AF281" s="393"/>
      <c r="AG281" s="393"/>
    </row>
    <row r="282" spans="1:33" ht="40" customHeight="1">
      <c r="A282" s="393"/>
      <c r="B282" s="393"/>
      <c r="C282" s="393"/>
      <c r="D282" s="393"/>
      <c r="E282" s="393"/>
      <c r="F282" s="393"/>
      <c r="G282" s="393"/>
      <c r="H282" s="393"/>
      <c r="I282" s="393"/>
      <c r="J282" s="393"/>
      <c r="K282" s="393"/>
      <c r="L282" s="393"/>
      <c r="M282" s="393"/>
      <c r="N282" s="393"/>
      <c r="O282" s="393"/>
      <c r="P282" s="393"/>
      <c r="Q282" s="393"/>
      <c r="R282" s="393"/>
      <c r="S282" s="394"/>
      <c r="T282" s="395"/>
      <c r="U282" s="395"/>
      <c r="V282" s="395"/>
      <c r="W282" s="395"/>
      <c r="X282" s="393"/>
      <c r="Y282" s="393"/>
      <c r="Z282" s="393"/>
      <c r="AA282" s="393"/>
      <c r="AB282" s="393"/>
      <c r="AC282" s="393"/>
      <c r="AD282" s="395"/>
      <c r="AE282" s="396"/>
      <c r="AF282" s="393"/>
      <c r="AG282" s="393"/>
    </row>
    <row r="283" spans="1:33" ht="40" customHeight="1">
      <c r="A283" s="393"/>
      <c r="B283" s="393"/>
      <c r="C283" s="393"/>
      <c r="D283" s="393"/>
      <c r="E283" s="393"/>
      <c r="F283" s="393"/>
      <c r="G283" s="393"/>
      <c r="H283" s="393"/>
      <c r="I283" s="393"/>
      <c r="J283" s="393"/>
      <c r="K283" s="393"/>
      <c r="L283" s="393"/>
      <c r="M283" s="393"/>
      <c r="N283" s="393"/>
      <c r="O283" s="393"/>
      <c r="P283" s="393"/>
      <c r="Q283" s="393"/>
      <c r="R283" s="393"/>
      <c r="S283" s="394"/>
      <c r="T283" s="395"/>
      <c r="U283" s="395"/>
      <c r="V283" s="395"/>
      <c r="W283" s="395"/>
      <c r="X283" s="393"/>
      <c r="Y283" s="393"/>
      <c r="Z283" s="393"/>
      <c r="AA283" s="393"/>
      <c r="AB283" s="393"/>
      <c r="AC283" s="393"/>
      <c r="AD283" s="395"/>
      <c r="AE283" s="396"/>
      <c r="AF283" s="393"/>
      <c r="AG283" s="393"/>
    </row>
    <row r="284" spans="1:33" ht="40" customHeight="1">
      <c r="A284" s="393"/>
      <c r="B284" s="393"/>
      <c r="C284" s="393"/>
      <c r="D284" s="393"/>
      <c r="E284" s="393"/>
      <c r="F284" s="393"/>
      <c r="G284" s="393"/>
      <c r="H284" s="393"/>
      <c r="I284" s="393"/>
      <c r="J284" s="393"/>
      <c r="K284" s="393"/>
      <c r="L284" s="393"/>
      <c r="M284" s="393"/>
      <c r="N284" s="393"/>
      <c r="O284" s="393"/>
      <c r="P284" s="393"/>
      <c r="Q284" s="393"/>
      <c r="R284" s="393"/>
      <c r="S284" s="394"/>
      <c r="T284" s="395"/>
      <c r="U284" s="395"/>
      <c r="V284" s="395"/>
      <c r="W284" s="395"/>
      <c r="X284" s="393"/>
      <c r="Y284" s="393"/>
      <c r="Z284" s="393"/>
      <c r="AA284" s="393"/>
      <c r="AB284" s="393"/>
      <c r="AC284" s="393"/>
      <c r="AD284" s="395"/>
      <c r="AE284" s="396"/>
      <c r="AF284" s="393"/>
      <c r="AG284" s="393"/>
    </row>
    <row r="285" spans="1:33" ht="40" customHeight="1">
      <c r="A285" s="393"/>
      <c r="B285" s="393"/>
      <c r="C285" s="393"/>
      <c r="D285" s="393"/>
      <c r="E285" s="393"/>
      <c r="F285" s="393"/>
      <c r="G285" s="393"/>
      <c r="H285" s="393"/>
      <c r="I285" s="393"/>
      <c r="J285" s="393"/>
      <c r="K285" s="393"/>
      <c r="L285" s="393"/>
      <c r="M285" s="393"/>
      <c r="N285" s="393"/>
      <c r="O285" s="393"/>
      <c r="P285" s="393"/>
      <c r="Q285" s="393"/>
      <c r="R285" s="393"/>
      <c r="S285" s="394"/>
      <c r="T285" s="395"/>
      <c r="U285" s="395"/>
      <c r="V285" s="395"/>
      <c r="W285" s="395"/>
      <c r="X285" s="393"/>
      <c r="Y285" s="393"/>
      <c r="Z285" s="393"/>
      <c r="AA285" s="393"/>
      <c r="AB285" s="393"/>
      <c r="AC285" s="393"/>
      <c r="AD285" s="395"/>
      <c r="AE285" s="396"/>
      <c r="AF285" s="393"/>
      <c r="AG285" s="393"/>
    </row>
    <row r="286" spans="1:33" ht="40" customHeight="1">
      <c r="A286" s="393"/>
      <c r="B286" s="393"/>
      <c r="C286" s="393"/>
      <c r="D286" s="393"/>
      <c r="E286" s="393"/>
      <c r="F286" s="393"/>
      <c r="G286" s="393"/>
      <c r="H286" s="393"/>
      <c r="I286" s="393"/>
      <c r="J286" s="393"/>
      <c r="K286" s="393"/>
      <c r="L286" s="393"/>
      <c r="M286" s="393"/>
      <c r="N286" s="393"/>
      <c r="O286" s="393"/>
      <c r="P286" s="393"/>
      <c r="Q286" s="393"/>
      <c r="R286" s="393"/>
      <c r="S286" s="394"/>
      <c r="T286" s="395"/>
      <c r="U286" s="395"/>
      <c r="V286" s="395"/>
      <c r="W286" s="395"/>
      <c r="X286" s="393"/>
      <c r="Y286" s="393"/>
      <c r="Z286" s="393"/>
      <c r="AA286" s="393"/>
      <c r="AB286" s="393"/>
      <c r="AC286" s="393"/>
      <c r="AD286" s="395"/>
      <c r="AE286" s="396"/>
      <c r="AF286" s="393"/>
      <c r="AG286" s="393"/>
    </row>
    <row r="287" spans="1:33" ht="40" customHeight="1">
      <c r="A287" s="393"/>
      <c r="B287" s="393"/>
      <c r="C287" s="393"/>
      <c r="D287" s="393"/>
      <c r="E287" s="393"/>
      <c r="F287" s="393"/>
      <c r="G287" s="393"/>
      <c r="H287" s="393"/>
      <c r="I287" s="393"/>
      <c r="J287" s="393"/>
      <c r="K287" s="393"/>
      <c r="L287" s="393"/>
      <c r="M287" s="393"/>
      <c r="N287" s="393"/>
      <c r="O287" s="393"/>
      <c r="P287" s="393"/>
      <c r="Q287" s="393"/>
      <c r="R287" s="393"/>
      <c r="S287" s="394"/>
      <c r="T287" s="395"/>
      <c r="U287" s="395"/>
      <c r="V287" s="395"/>
      <c r="W287" s="395"/>
      <c r="X287" s="393"/>
      <c r="Y287" s="393"/>
      <c r="Z287" s="393"/>
      <c r="AA287" s="393"/>
      <c r="AB287" s="393"/>
      <c r="AC287" s="393"/>
      <c r="AD287" s="395"/>
      <c r="AE287" s="396"/>
      <c r="AF287" s="393"/>
      <c r="AG287" s="393"/>
    </row>
    <row r="288" spans="1:33" ht="40" customHeight="1">
      <c r="A288" s="393"/>
      <c r="B288" s="393"/>
      <c r="C288" s="393"/>
      <c r="D288" s="393"/>
      <c r="E288" s="393"/>
      <c r="F288" s="393"/>
      <c r="G288" s="393"/>
      <c r="H288" s="393"/>
      <c r="I288" s="393"/>
      <c r="J288" s="393"/>
      <c r="K288" s="393"/>
      <c r="L288" s="393"/>
      <c r="M288" s="393"/>
      <c r="N288" s="393"/>
      <c r="O288" s="393"/>
      <c r="P288" s="393"/>
      <c r="Q288" s="393"/>
      <c r="R288" s="393"/>
      <c r="S288" s="394"/>
      <c r="T288" s="395"/>
      <c r="U288" s="395"/>
      <c r="V288" s="395"/>
      <c r="W288" s="395"/>
      <c r="X288" s="393"/>
      <c r="Y288" s="393"/>
      <c r="Z288" s="393"/>
      <c r="AA288" s="393"/>
      <c r="AB288" s="393"/>
      <c r="AC288" s="393"/>
      <c r="AD288" s="395"/>
      <c r="AE288" s="396"/>
      <c r="AF288" s="393"/>
      <c r="AG288" s="393"/>
    </row>
    <row r="289" spans="1:33" ht="40" customHeight="1">
      <c r="A289" s="393"/>
      <c r="B289" s="393"/>
      <c r="C289" s="393"/>
      <c r="D289" s="393"/>
      <c r="E289" s="393"/>
      <c r="F289" s="393"/>
      <c r="G289" s="393"/>
      <c r="H289" s="393"/>
      <c r="I289" s="393"/>
      <c r="J289" s="393"/>
      <c r="K289" s="393"/>
      <c r="L289" s="393"/>
      <c r="M289" s="393"/>
      <c r="N289" s="393"/>
      <c r="O289" s="393"/>
      <c r="P289" s="393"/>
      <c r="Q289" s="393"/>
      <c r="R289" s="393"/>
      <c r="S289" s="394"/>
      <c r="T289" s="395"/>
      <c r="U289" s="395"/>
      <c r="V289" s="395"/>
      <c r="W289" s="395"/>
      <c r="X289" s="393"/>
      <c r="Y289" s="393"/>
      <c r="Z289" s="393"/>
      <c r="AA289" s="393"/>
      <c r="AB289" s="393"/>
      <c r="AC289" s="393"/>
      <c r="AD289" s="395"/>
      <c r="AE289" s="396"/>
      <c r="AF289" s="393"/>
      <c r="AG289" s="393"/>
    </row>
    <row r="290" spans="1:33" ht="40" customHeight="1">
      <c r="A290" s="393"/>
      <c r="B290" s="393"/>
      <c r="C290" s="393"/>
      <c r="D290" s="393"/>
      <c r="E290" s="393"/>
      <c r="F290" s="393"/>
      <c r="G290" s="393"/>
      <c r="H290" s="393"/>
      <c r="I290" s="393"/>
      <c r="J290" s="393"/>
      <c r="K290" s="393"/>
      <c r="L290" s="393"/>
      <c r="M290" s="393"/>
      <c r="N290" s="393"/>
      <c r="O290" s="393"/>
      <c r="P290" s="393"/>
      <c r="Q290" s="393"/>
      <c r="R290" s="393"/>
      <c r="S290" s="394"/>
      <c r="T290" s="395"/>
      <c r="U290" s="395"/>
      <c r="V290" s="395"/>
      <c r="W290" s="395"/>
      <c r="X290" s="393"/>
      <c r="Y290" s="393"/>
      <c r="Z290" s="393"/>
      <c r="AA290" s="393"/>
      <c r="AB290" s="393"/>
      <c r="AC290" s="393"/>
      <c r="AD290" s="395"/>
      <c r="AE290" s="396"/>
      <c r="AF290" s="393"/>
      <c r="AG290" s="393"/>
    </row>
    <row r="291" spans="1:33" ht="40" customHeight="1">
      <c r="A291" s="393"/>
      <c r="B291" s="393"/>
      <c r="C291" s="393"/>
      <c r="D291" s="393"/>
      <c r="E291" s="393"/>
      <c r="F291" s="393"/>
      <c r="G291" s="393"/>
      <c r="H291" s="393"/>
      <c r="I291" s="393"/>
      <c r="J291" s="393"/>
      <c r="K291" s="393"/>
      <c r="L291" s="393"/>
      <c r="M291" s="393"/>
      <c r="N291" s="393"/>
      <c r="O291" s="393"/>
      <c r="P291" s="393"/>
      <c r="Q291" s="393"/>
      <c r="R291" s="393"/>
      <c r="S291" s="394"/>
      <c r="T291" s="395"/>
      <c r="U291" s="395"/>
      <c r="V291" s="395"/>
      <c r="W291" s="395"/>
      <c r="X291" s="393"/>
      <c r="Y291" s="393"/>
      <c r="Z291" s="393"/>
      <c r="AA291" s="393"/>
      <c r="AB291" s="393"/>
      <c r="AC291" s="393"/>
      <c r="AD291" s="395"/>
      <c r="AE291" s="396"/>
      <c r="AF291" s="393"/>
      <c r="AG291" s="393"/>
    </row>
    <row r="292" spans="1:33" ht="40" customHeight="1">
      <c r="A292" s="393"/>
      <c r="B292" s="393"/>
      <c r="C292" s="393"/>
      <c r="D292" s="393"/>
      <c r="E292" s="393"/>
      <c r="F292" s="393"/>
      <c r="G292" s="393"/>
      <c r="H292" s="393"/>
      <c r="I292" s="393"/>
      <c r="J292" s="393"/>
      <c r="K292" s="393"/>
      <c r="L292" s="393"/>
      <c r="M292" s="393"/>
      <c r="N292" s="393"/>
      <c r="O292" s="393"/>
      <c r="P292" s="393"/>
      <c r="Q292" s="393"/>
      <c r="R292" s="393"/>
      <c r="S292" s="394"/>
      <c r="T292" s="395"/>
      <c r="U292" s="395"/>
      <c r="V292" s="395"/>
      <c r="W292" s="395"/>
      <c r="X292" s="393"/>
      <c r="Y292" s="393"/>
      <c r="Z292" s="393"/>
      <c r="AA292" s="393"/>
      <c r="AB292" s="393"/>
      <c r="AC292" s="393"/>
      <c r="AD292" s="395"/>
      <c r="AE292" s="396"/>
      <c r="AF292" s="393"/>
      <c r="AG292" s="393"/>
    </row>
    <row r="293" spans="1:33" ht="40" customHeight="1">
      <c r="A293" s="393"/>
      <c r="B293" s="393"/>
      <c r="C293" s="393"/>
      <c r="D293" s="393"/>
      <c r="E293" s="393"/>
      <c r="F293" s="393"/>
      <c r="G293" s="393"/>
      <c r="H293" s="393"/>
      <c r="I293" s="393"/>
      <c r="J293" s="393"/>
      <c r="K293" s="393"/>
      <c r="L293" s="393"/>
      <c r="M293" s="393"/>
      <c r="N293" s="393"/>
      <c r="O293" s="393"/>
      <c r="P293" s="393"/>
      <c r="Q293" s="393"/>
      <c r="R293" s="393"/>
      <c r="S293" s="394"/>
      <c r="T293" s="395"/>
      <c r="U293" s="395"/>
      <c r="V293" s="395"/>
      <c r="W293" s="395"/>
      <c r="X293" s="393"/>
      <c r="Y293" s="393"/>
      <c r="Z293" s="393"/>
      <c r="AA293" s="393"/>
      <c r="AB293" s="393"/>
      <c r="AC293" s="393"/>
      <c r="AD293" s="395"/>
      <c r="AE293" s="396"/>
      <c r="AF293" s="393"/>
      <c r="AG293" s="393"/>
    </row>
    <row r="294" spans="1:33" ht="40" customHeight="1">
      <c r="A294" s="393"/>
      <c r="B294" s="393"/>
      <c r="C294" s="393"/>
      <c r="D294" s="393"/>
      <c r="E294" s="393"/>
      <c r="F294" s="393"/>
      <c r="G294" s="393"/>
      <c r="H294" s="393"/>
      <c r="I294" s="393"/>
      <c r="J294" s="393"/>
      <c r="K294" s="393"/>
      <c r="L294" s="393"/>
      <c r="M294" s="393"/>
      <c r="N294" s="393"/>
      <c r="O294" s="393"/>
      <c r="P294" s="393"/>
      <c r="Q294" s="393"/>
      <c r="R294" s="393"/>
      <c r="S294" s="394"/>
      <c r="T294" s="395"/>
      <c r="U294" s="395"/>
      <c r="V294" s="395"/>
      <c r="W294" s="395"/>
      <c r="X294" s="393"/>
      <c r="Y294" s="393"/>
      <c r="Z294" s="393"/>
      <c r="AA294" s="393"/>
      <c r="AB294" s="393"/>
      <c r="AC294" s="393"/>
      <c r="AD294" s="395"/>
      <c r="AE294" s="396"/>
      <c r="AF294" s="393"/>
      <c r="AG294" s="393"/>
    </row>
    <row r="295" spans="1:33" ht="40" customHeight="1">
      <c r="A295" s="393"/>
      <c r="B295" s="393"/>
      <c r="C295" s="393"/>
      <c r="D295" s="393"/>
      <c r="E295" s="393"/>
      <c r="F295" s="393"/>
      <c r="G295" s="393"/>
      <c r="H295" s="393"/>
      <c r="I295" s="393"/>
      <c r="J295" s="393"/>
      <c r="K295" s="393"/>
      <c r="L295" s="393"/>
      <c r="M295" s="393"/>
      <c r="N295" s="393"/>
      <c r="O295" s="393"/>
      <c r="P295" s="393"/>
      <c r="Q295" s="393"/>
      <c r="R295" s="393"/>
      <c r="S295" s="394"/>
      <c r="T295" s="395"/>
      <c r="U295" s="395"/>
      <c r="V295" s="395"/>
      <c r="W295" s="395"/>
      <c r="X295" s="393"/>
      <c r="Y295" s="393"/>
      <c r="Z295" s="393"/>
      <c r="AA295" s="393"/>
      <c r="AB295" s="393"/>
      <c r="AC295" s="393"/>
      <c r="AD295" s="395"/>
      <c r="AE295" s="396"/>
      <c r="AF295" s="393"/>
      <c r="AG295" s="393"/>
    </row>
    <row r="296" spans="1:33" ht="40" customHeight="1">
      <c r="A296" s="393"/>
      <c r="B296" s="393"/>
      <c r="C296" s="393"/>
      <c r="D296" s="393"/>
      <c r="E296" s="393"/>
      <c r="F296" s="393"/>
      <c r="G296" s="393"/>
      <c r="H296" s="393"/>
      <c r="I296" s="393"/>
      <c r="J296" s="393"/>
      <c r="K296" s="393"/>
      <c r="L296" s="393"/>
      <c r="M296" s="393"/>
      <c r="N296" s="393"/>
      <c r="O296" s="393"/>
      <c r="P296" s="393"/>
      <c r="Q296" s="393"/>
      <c r="R296" s="393"/>
      <c r="S296" s="394"/>
      <c r="T296" s="395"/>
      <c r="U296" s="395"/>
      <c r="V296" s="395"/>
      <c r="W296" s="395"/>
      <c r="X296" s="393"/>
      <c r="Y296" s="393"/>
      <c r="Z296" s="393"/>
      <c r="AA296" s="393"/>
      <c r="AB296" s="393"/>
      <c r="AC296" s="393"/>
      <c r="AD296" s="395"/>
      <c r="AE296" s="396"/>
      <c r="AF296" s="393"/>
      <c r="AG296" s="393"/>
    </row>
    <row r="297" spans="1:33" ht="40" customHeight="1">
      <c r="A297" s="393"/>
      <c r="B297" s="393"/>
      <c r="C297" s="393"/>
      <c r="D297" s="393"/>
      <c r="E297" s="393"/>
      <c r="F297" s="393"/>
      <c r="G297" s="393"/>
      <c r="H297" s="393"/>
      <c r="I297" s="393"/>
      <c r="J297" s="393"/>
      <c r="K297" s="393"/>
      <c r="L297" s="393"/>
      <c r="M297" s="393"/>
      <c r="N297" s="393"/>
      <c r="O297" s="393"/>
      <c r="P297" s="393"/>
      <c r="Q297" s="393"/>
      <c r="R297" s="393"/>
      <c r="S297" s="394"/>
      <c r="T297" s="395"/>
      <c r="U297" s="395"/>
      <c r="V297" s="395"/>
      <c r="W297" s="395"/>
      <c r="X297" s="393"/>
      <c r="Y297" s="393"/>
      <c r="Z297" s="393"/>
      <c r="AA297" s="393"/>
      <c r="AB297" s="393"/>
      <c r="AC297" s="393"/>
      <c r="AD297" s="395"/>
      <c r="AE297" s="396"/>
      <c r="AF297" s="393"/>
      <c r="AG297" s="393"/>
    </row>
    <row r="298" spans="1:33" ht="40" customHeight="1">
      <c r="A298" s="393"/>
      <c r="B298" s="393"/>
      <c r="C298" s="393"/>
      <c r="D298" s="393"/>
      <c r="E298" s="393"/>
      <c r="F298" s="393"/>
      <c r="G298" s="393"/>
      <c r="H298" s="393"/>
      <c r="I298" s="393"/>
      <c r="J298" s="393"/>
      <c r="K298" s="393"/>
      <c r="L298" s="393"/>
      <c r="M298" s="393"/>
      <c r="N298" s="393"/>
      <c r="O298" s="393"/>
      <c r="P298" s="393"/>
      <c r="Q298" s="393"/>
      <c r="R298" s="393"/>
      <c r="S298" s="394"/>
      <c r="T298" s="395"/>
      <c r="U298" s="395"/>
      <c r="V298" s="395"/>
      <c r="W298" s="395"/>
      <c r="X298" s="393"/>
      <c r="Y298" s="393"/>
      <c r="Z298" s="393"/>
      <c r="AA298" s="393"/>
      <c r="AB298" s="393"/>
      <c r="AC298" s="393"/>
      <c r="AD298" s="395"/>
      <c r="AE298" s="396"/>
      <c r="AF298" s="393"/>
      <c r="AG298" s="393"/>
    </row>
    <row r="299" spans="1:33" ht="40" customHeight="1">
      <c r="A299" s="393"/>
      <c r="B299" s="393"/>
      <c r="C299" s="393"/>
      <c r="D299" s="393"/>
      <c r="E299" s="393"/>
      <c r="F299" s="393"/>
      <c r="G299" s="393"/>
      <c r="H299" s="393"/>
      <c r="I299" s="393"/>
      <c r="J299" s="393"/>
      <c r="K299" s="393"/>
      <c r="L299" s="393"/>
      <c r="M299" s="393"/>
      <c r="N299" s="393"/>
      <c r="O299" s="393"/>
      <c r="P299" s="393"/>
      <c r="Q299" s="393"/>
      <c r="R299" s="393"/>
      <c r="S299" s="394"/>
      <c r="T299" s="395"/>
      <c r="U299" s="395"/>
      <c r="V299" s="395"/>
      <c r="W299" s="395"/>
      <c r="X299" s="393"/>
      <c r="Y299" s="393"/>
      <c r="Z299" s="393"/>
      <c r="AA299" s="393"/>
      <c r="AB299" s="393"/>
      <c r="AC299" s="393"/>
      <c r="AD299" s="395"/>
      <c r="AE299" s="396"/>
      <c r="AF299" s="393"/>
      <c r="AG299" s="393"/>
    </row>
    <row r="300" spans="1:33" ht="40" customHeight="1">
      <c r="A300" s="393"/>
      <c r="B300" s="393"/>
      <c r="C300" s="393"/>
      <c r="D300" s="393"/>
      <c r="E300" s="393"/>
      <c r="F300" s="393"/>
      <c r="G300" s="393"/>
      <c r="H300" s="393"/>
      <c r="I300" s="393"/>
      <c r="J300" s="393"/>
      <c r="K300" s="393"/>
      <c r="L300" s="393"/>
      <c r="M300" s="393"/>
      <c r="N300" s="393"/>
      <c r="O300" s="393"/>
      <c r="P300" s="393"/>
      <c r="Q300" s="393"/>
      <c r="R300" s="393"/>
      <c r="S300" s="394"/>
      <c r="T300" s="395"/>
      <c r="U300" s="395"/>
      <c r="V300" s="395"/>
      <c r="W300" s="395"/>
      <c r="X300" s="393"/>
      <c r="Y300" s="393"/>
      <c r="Z300" s="393"/>
      <c r="AA300" s="393"/>
      <c r="AB300" s="393"/>
      <c r="AC300" s="393"/>
      <c r="AD300" s="395"/>
      <c r="AE300" s="396"/>
      <c r="AF300" s="393"/>
      <c r="AG300" s="393"/>
    </row>
    <row r="301" spans="1:33" ht="40" customHeight="1">
      <c r="A301" s="393"/>
      <c r="B301" s="393"/>
      <c r="C301" s="393"/>
      <c r="D301" s="393"/>
      <c r="E301" s="393"/>
      <c r="F301" s="393"/>
      <c r="G301" s="393"/>
      <c r="H301" s="393"/>
      <c r="I301" s="393"/>
      <c r="J301" s="393"/>
      <c r="K301" s="393"/>
      <c r="L301" s="393"/>
      <c r="M301" s="393"/>
      <c r="N301" s="393"/>
      <c r="O301" s="393"/>
      <c r="P301" s="393"/>
      <c r="Q301" s="393"/>
      <c r="R301" s="393"/>
      <c r="S301" s="394"/>
      <c r="T301" s="395"/>
      <c r="U301" s="395"/>
      <c r="V301" s="395"/>
      <c r="W301" s="395"/>
      <c r="X301" s="393"/>
      <c r="Y301" s="393"/>
      <c r="Z301" s="393"/>
      <c r="AA301" s="393"/>
      <c r="AB301" s="393"/>
      <c r="AC301" s="393"/>
      <c r="AD301" s="395"/>
      <c r="AE301" s="396"/>
      <c r="AF301" s="393"/>
      <c r="AG301" s="393"/>
    </row>
    <row r="302" spans="1:33" ht="40" customHeight="1">
      <c r="A302" s="393"/>
      <c r="B302" s="393"/>
      <c r="C302" s="393"/>
      <c r="D302" s="393"/>
      <c r="E302" s="393"/>
      <c r="F302" s="393"/>
      <c r="G302" s="393"/>
      <c r="H302" s="393"/>
      <c r="I302" s="393"/>
      <c r="J302" s="393"/>
      <c r="K302" s="393"/>
      <c r="L302" s="393"/>
      <c r="M302" s="393"/>
      <c r="N302" s="393"/>
      <c r="O302" s="393"/>
      <c r="P302" s="393"/>
      <c r="Q302" s="393"/>
      <c r="R302" s="393"/>
      <c r="S302" s="394"/>
      <c r="T302" s="395"/>
      <c r="U302" s="395"/>
      <c r="V302" s="395"/>
      <c r="W302" s="395"/>
      <c r="X302" s="393"/>
      <c r="Y302" s="393"/>
      <c r="Z302" s="393"/>
      <c r="AA302" s="393"/>
      <c r="AB302" s="393"/>
      <c r="AC302" s="393"/>
      <c r="AD302" s="395"/>
      <c r="AE302" s="396"/>
      <c r="AF302" s="393"/>
      <c r="AG302" s="393"/>
    </row>
    <row r="303" spans="1:33" ht="40" customHeight="1">
      <c r="A303" s="393"/>
      <c r="B303" s="393"/>
      <c r="C303" s="393"/>
      <c r="D303" s="393"/>
      <c r="E303" s="393"/>
      <c r="F303" s="393"/>
      <c r="G303" s="393"/>
      <c r="H303" s="393"/>
      <c r="I303" s="393"/>
      <c r="J303" s="393"/>
      <c r="K303" s="393"/>
      <c r="L303" s="393"/>
      <c r="M303" s="393"/>
      <c r="N303" s="393"/>
      <c r="O303" s="393"/>
      <c r="P303" s="393"/>
      <c r="Q303" s="393"/>
      <c r="R303" s="393"/>
      <c r="S303" s="394"/>
      <c r="T303" s="395"/>
      <c r="U303" s="395"/>
      <c r="V303" s="395"/>
      <c r="W303" s="395"/>
      <c r="X303" s="393"/>
      <c r="Y303" s="393"/>
      <c r="Z303" s="393"/>
      <c r="AA303" s="393"/>
      <c r="AB303" s="393"/>
      <c r="AC303" s="393"/>
      <c r="AD303" s="395"/>
      <c r="AE303" s="396"/>
      <c r="AF303" s="393"/>
      <c r="AG303" s="393"/>
    </row>
    <row r="304" spans="1:33" ht="40" customHeight="1">
      <c r="A304" s="393"/>
      <c r="B304" s="393"/>
      <c r="C304" s="393"/>
      <c r="D304" s="393"/>
      <c r="E304" s="393"/>
      <c r="F304" s="393"/>
      <c r="G304" s="393"/>
      <c r="H304" s="393"/>
      <c r="I304" s="393"/>
      <c r="J304" s="393"/>
      <c r="K304" s="393"/>
      <c r="L304" s="393"/>
      <c r="M304" s="393"/>
      <c r="N304" s="393"/>
      <c r="O304" s="393"/>
      <c r="P304" s="393"/>
      <c r="Q304" s="393"/>
      <c r="R304" s="393"/>
      <c r="S304" s="394"/>
      <c r="T304" s="395"/>
      <c r="U304" s="395"/>
      <c r="V304" s="395"/>
      <c r="W304" s="395"/>
      <c r="X304" s="393"/>
      <c r="Y304" s="393"/>
      <c r="Z304" s="393"/>
      <c r="AA304" s="393"/>
      <c r="AB304" s="393"/>
      <c r="AC304" s="393"/>
      <c r="AD304" s="395"/>
      <c r="AE304" s="396"/>
      <c r="AF304" s="393"/>
      <c r="AG304" s="393"/>
    </row>
    <row r="305" spans="1:33" ht="40" customHeight="1">
      <c r="A305" s="393"/>
      <c r="B305" s="393"/>
      <c r="C305" s="393"/>
      <c r="D305" s="393"/>
      <c r="E305" s="393"/>
      <c r="F305" s="393"/>
      <c r="G305" s="393"/>
      <c r="H305" s="393"/>
      <c r="I305" s="393"/>
      <c r="J305" s="393"/>
      <c r="K305" s="393"/>
      <c r="L305" s="393"/>
      <c r="M305" s="393"/>
      <c r="N305" s="393"/>
      <c r="O305" s="393"/>
      <c r="P305" s="393"/>
      <c r="Q305" s="393"/>
      <c r="R305" s="393"/>
      <c r="S305" s="394"/>
      <c r="T305" s="395"/>
      <c r="U305" s="395"/>
      <c r="V305" s="395"/>
      <c r="W305" s="395"/>
      <c r="X305" s="393"/>
      <c r="Y305" s="393"/>
      <c r="Z305" s="393"/>
      <c r="AA305" s="393"/>
      <c r="AB305" s="393"/>
      <c r="AC305" s="393"/>
      <c r="AD305" s="395"/>
      <c r="AE305" s="396"/>
      <c r="AF305" s="393"/>
      <c r="AG305" s="393"/>
    </row>
    <row r="306" spans="1:33" ht="40" customHeight="1">
      <c r="A306" s="393"/>
      <c r="B306" s="393"/>
      <c r="C306" s="393"/>
      <c r="D306" s="393"/>
      <c r="E306" s="393"/>
      <c r="F306" s="393"/>
      <c r="G306" s="393"/>
      <c r="H306" s="393"/>
      <c r="I306" s="393"/>
      <c r="J306" s="393"/>
      <c r="K306" s="393"/>
      <c r="L306" s="393"/>
      <c r="M306" s="393"/>
      <c r="N306" s="393"/>
      <c r="O306" s="393"/>
      <c r="P306" s="393"/>
      <c r="Q306" s="393"/>
      <c r="R306" s="393"/>
      <c r="S306" s="394"/>
      <c r="T306" s="395"/>
      <c r="U306" s="395"/>
      <c r="V306" s="395"/>
      <c r="W306" s="395"/>
      <c r="X306" s="393"/>
      <c r="Y306" s="393"/>
      <c r="Z306" s="393"/>
      <c r="AA306" s="393"/>
      <c r="AB306" s="393"/>
      <c r="AC306" s="393"/>
      <c r="AD306" s="395"/>
      <c r="AE306" s="396"/>
      <c r="AF306" s="393"/>
      <c r="AG306" s="393"/>
    </row>
    <row r="307" spans="1:33" ht="40" customHeight="1">
      <c r="A307" s="393"/>
      <c r="B307" s="393"/>
      <c r="C307" s="393"/>
      <c r="D307" s="393"/>
      <c r="E307" s="393"/>
      <c r="F307" s="393"/>
      <c r="G307" s="393"/>
      <c r="H307" s="393"/>
      <c r="I307" s="393"/>
      <c r="J307" s="393"/>
      <c r="K307" s="393"/>
      <c r="L307" s="393"/>
      <c r="M307" s="393"/>
      <c r="N307" s="393"/>
      <c r="O307" s="393"/>
      <c r="P307" s="393"/>
      <c r="Q307" s="393"/>
      <c r="R307" s="393"/>
      <c r="S307" s="394"/>
      <c r="T307" s="395"/>
      <c r="U307" s="395"/>
      <c r="V307" s="395"/>
      <c r="W307" s="395"/>
      <c r="X307" s="393"/>
      <c r="Y307" s="393"/>
      <c r="Z307" s="393"/>
      <c r="AA307" s="393"/>
      <c r="AB307" s="393"/>
      <c r="AC307" s="393"/>
      <c r="AD307" s="395"/>
      <c r="AE307" s="396"/>
      <c r="AF307" s="393"/>
      <c r="AG307" s="393"/>
    </row>
    <row r="308" spans="1:33" ht="40" customHeight="1">
      <c r="A308" s="393"/>
      <c r="B308" s="393"/>
      <c r="C308" s="393"/>
      <c r="D308" s="393"/>
      <c r="E308" s="393"/>
      <c r="F308" s="393"/>
      <c r="G308" s="393"/>
      <c r="H308" s="393"/>
      <c r="I308" s="393"/>
      <c r="J308" s="393"/>
      <c r="K308" s="393"/>
      <c r="L308" s="393"/>
      <c r="M308" s="393"/>
      <c r="N308" s="393"/>
      <c r="O308" s="393"/>
      <c r="P308" s="393"/>
      <c r="Q308" s="393"/>
      <c r="R308" s="393"/>
      <c r="S308" s="394"/>
      <c r="T308" s="395"/>
      <c r="U308" s="395"/>
      <c r="V308" s="395"/>
      <c r="W308" s="395"/>
      <c r="X308" s="393"/>
      <c r="Y308" s="393"/>
      <c r="Z308" s="393"/>
      <c r="AA308" s="393"/>
      <c r="AB308" s="393"/>
      <c r="AC308" s="393"/>
      <c r="AD308" s="395"/>
      <c r="AE308" s="396"/>
      <c r="AF308" s="393"/>
      <c r="AG308" s="393"/>
    </row>
    <row r="309" spans="1:33" ht="40" customHeight="1">
      <c r="A309" s="393"/>
      <c r="B309" s="393"/>
      <c r="C309" s="393"/>
      <c r="D309" s="393"/>
      <c r="E309" s="393"/>
      <c r="F309" s="393"/>
      <c r="G309" s="393"/>
      <c r="H309" s="393"/>
      <c r="I309" s="393"/>
      <c r="J309" s="393"/>
      <c r="K309" s="393"/>
      <c r="L309" s="393"/>
      <c r="M309" s="393"/>
      <c r="N309" s="393"/>
      <c r="O309" s="393"/>
      <c r="P309" s="393"/>
      <c r="Q309" s="393"/>
      <c r="R309" s="393"/>
      <c r="S309" s="394"/>
      <c r="T309" s="395"/>
      <c r="U309" s="395"/>
      <c r="V309" s="395"/>
      <c r="W309" s="395"/>
      <c r="X309" s="393"/>
      <c r="Y309" s="393"/>
      <c r="Z309" s="393"/>
      <c r="AA309" s="393"/>
      <c r="AB309" s="393"/>
      <c r="AC309" s="393"/>
      <c r="AD309" s="395"/>
      <c r="AE309" s="396"/>
      <c r="AF309" s="393"/>
      <c r="AG309" s="393"/>
    </row>
    <row r="310" spans="1:33" ht="40" customHeight="1">
      <c r="A310" s="393"/>
      <c r="B310" s="393"/>
      <c r="C310" s="393"/>
      <c r="D310" s="393"/>
      <c r="E310" s="393"/>
      <c r="F310" s="393"/>
      <c r="G310" s="393"/>
      <c r="H310" s="393"/>
      <c r="I310" s="393"/>
      <c r="J310" s="393"/>
      <c r="K310" s="393"/>
      <c r="L310" s="393"/>
      <c r="M310" s="393"/>
      <c r="N310" s="393"/>
      <c r="O310" s="393"/>
      <c r="P310" s="393"/>
      <c r="Q310" s="393"/>
      <c r="R310" s="393"/>
      <c r="S310" s="394"/>
      <c r="T310" s="395"/>
      <c r="U310" s="395"/>
      <c r="V310" s="395"/>
      <c r="W310" s="395"/>
      <c r="X310" s="393"/>
      <c r="Y310" s="393"/>
      <c r="Z310" s="393"/>
      <c r="AA310" s="393"/>
      <c r="AB310" s="393"/>
      <c r="AC310" s="393"/>
      <c r="AD310" s="395"/>
      <c r="AE310" s="396"/>
      <c r="AF310" s="393"/>
      <c r="AG310" s="393"/>
    </row>
    <row r="311" spans="1:33" ht="40" customHeight="1">
      <c r="A311" s="393"/>
      <c r="B311" s="393"/>
      <c r="C311" s="393"/>
      <c r="D311" s="393"/>
      <c r="E311" s="393"/>
      <c r="F311" s="393"/>
      <c r="G311" s="393"/>
      <c r="H311" s="393"/>
      <c r="I311" s="393"/>
      <c r="J311" s="393"/>
      <c r="K311" s="393"/>
      <c r="L311" s="393"/>
      <c r="M311" s="393"/>
      <c r="N311" s="393"/>
      <c r="O311" s="393"/>
      <c r="P311" s="393"/>
      <c r="Q311" s="393"/>
      <c r="R311" s="393"/>
      <c r="S311" s="394"/>
      <c r="T311" s="395"/>
      <c r="U311" s="395"/>
      <c r="V311" s="395"/>
      <c r="W311" s="395"/>
      <c r="X311" s="393"/>
      <c r="Y311" s="393"/>
      <c r="Z311" s="393"/>
      <c r="AA311" s="393"/>
      <c r="AB311" s="393"/>
      <c r="AC311" s="393"/>
      <c r="AD311" s="395"/>
      <c r="AE311" s="396"/>
      <c r="AF311" s="393"/>
      <c r="AG311" s="393"/>
    </row>
    <row r="312" spans="1:33" ht="40" customHeight="1">
      <c r="A312" s="393"/>
      <c r="B312" s="393"/>
      <c r="C312" s="393"/>
      <c r="D312" s="393"/>
      <c r="E312" s="393"/>
      <c r="F312" s="393"/>
      <c r="G312" s="393"/>
      <c r="H312" s="393"/>
      <c r="I312" s="393"/>
      <c r="J312" s="393"/>
      <c r="K312" s="393"/>
      <c r="L312" s="393"/>
      <c r="M312" s="393"/>
      <c r="N312" s="393"/>
      <c r="O312" s="393"/>
      <c r="P312" s="393"/>
      <c r="Q312" s="393"/>
      <c r="R312" s="393"/>
      <c r="S312" s="394"/>
      <c r="T312" s="395"/>
      <c r="U312" s="395"/>
      <c r="V312" s="395"/>
      <c r="W312" s="395"/>
      <c r="X312" s="393"/>
      <c r="Y312" s="393"/>
      <c r="Z312" s="393"/>
      <c r="AA312" s="393"/>
      <c r="AB312" s="393"/>
      <c r="AC312" s="393"/>
      <c r="AD312" s="395"/>
      <c r="AE312" s="396"/>
      <c r="AF312" s="393"/>
      <c r="AG312" s="393"/>
    </row>
    <row r="313" spans="1:33" ht="40" customHeight="1">
      <c r="A313" s="393"/>
      <c r="B313" s="393"/>
      <c r="C313" s="393"/>
      <c r="D313" s="393"/>
      <c r="E313" s="393"/>
      <c r="F313" s="393"/>
      <c r="G313" s="393"/>
      <c r="H313" s="393"/>
      <c r="I313" s="393"/>
      <c r="J313" s="393"/>
      <c r="K313" s="393"/>
      <c r="L313" s="393"/>
      <c r="M313" s="393"/>
      <c r="N313" s="393"/>
      <c r="O313" s="393"/>
      <c r="P313" s="393"/>
      <c r="Q313" s="393"/>
      <c r="R313" s="393"/>
      <c r="S313" s="394"/>
      <c r="T313" s="395"/>
      <c r="U313" s="395"/>
      <c r="V313" s="395"/>
      <c r="W313" s="395"/>
      <c r="X313" s="393"/>
      <c r="Y313" s="393"/>
      <c r="Z313" s="393"/>
      <c r="AA313" s="393"/>
      <c r="AB313" s="393"/>
      <c r="AC313" s="393"/>
      <c r="AD313" s="395"/>
      <c r="AE313" s="396"/>
      <c r="AF313" s="393"/>
      <c r="AG313" s="393"/>
    </row>
    <row r="314" spans="1:33" ht="40" customHeight="1">
      <c r="A314" s="393"/>
      <c r="B314" s="393"/>
      <c r="C314" s="393"/>
      <c r="D314" s="393"/>
      <c r="E314" s="393"/>
      <c r="F314" s="393"/>
      <c r="G314" s="393"/>
      <c r="H314" s="393"/>
      <c r="I314" s="393"/>
      <c r="J314" s="393"/>
      <c r="K314" s="393"/>
      <c r="L314" s="393"/>
      <c r="M314" s="393"/>
      <c r="N314" s="393"/>
      <c r="O314" s="393"/>
      <c r="P314" s="393"/>
      <c r="Q314" s="393"/>
      <c r="R314" s="393"/>
      <c r="S314" s="394"/>
      <c r="T314" s="395"/>
      <c r="U314" s="395"/>
      <c r="V314" s="395"/>
      <c r="W314" s="395"/>
      <c r="X314" s="393"/>
      <c r="Y314" s="393"/>
      <c r="Z314" s="393"/>
      <c r="AA314" s="393"/>
      <c r="AB314" s="393"/>
      <c r="AC314" s="393"/>
      <c r="AD314" s="395"/>
      <c r="AE314" s="396"/>
      <c r="AF314" s="393"/>
      <c r="AG314" s="393"/>
    </row>
    <row r="315" spans="1:33" ht="40" customHeight="1">
      <c r="A315" s="393"/>
      <c r="B315" s="393"/>
      <c r="C315" s="393"/>
      <c r="D315" s="393"/>
      <c r="E315" s="393"/>
      <c r="F315" s="393"/>
      <c r="G315" s="393"/>
      <c r="H315" s="393"/>
      <c r="I315" s="393"/>
      <c r="J315" s="393"/>
      <c r="K315" s="393"/>
      <c r="L315" s="393"/>
      <c r="M315" s="393"/>
      <c r="N315" s="393"/>
      <c r="O315" s="393"/>
      <c r="P315" s="393"/>
      <c r="Q315" s="393"/>
      <c r="R315" s="393"/>
      <c r="S315" s="394"/>
      <c r="T315" s="395"/>
      <c r="U315" s="395"/>
      <c r="V315" s="395"/>
      <c r="W315" s="395"/>
      <c r="X315" s="393"/>
      <c r="Y315" s="393"/>
      <c r="Z315" s="393"/>
      <c r="AA315" s="393"/>
      <c r="AB315" s="393"/>
      <c r="AC315" s="393"/>
      <c r="AD315" s="395"/>
      <c r="AE315" s="396"/>
      <c r="AF315" s="393"/>
      <c r="AG315" s="393"/>
    </row>
    <row r="316" spans="1:33" ht="40" customHeight="1">
      <c r="A316" s="393"/>
      <c r="B316" s="393"/>
      <c r="C316" s="393"/>
      <c r="D316" s="393"/>
      <c r="E316" s="393"/>
      <c r="F316" s="393"/>
      <c r="G316" s="393"/>
      <c r="H316" s="393"/>
      <c r="I316" s="393"/>
      <c r="J316" s="393"/>
      <c r="K316" s="393"/>
      <c r="L316" s="393"/>
      <c r="M316" s="393"/>
      <c r="N316" s="393"/>
      <c r="O316" s="393"/>
      <c r="P316" s="393"/>
      <c r="Q316" s="393"/>
      <c r="R316" s="393"/>
      <c r="S316" s="394"/>
      <c r="T316" s="395"/>
      <c r="U316" s="395"/>
      <c r="V316" s="395"/>
      <c r="W316" s="395"/>
      <c r="X316" s="393"/>
      <c r="Y316" s="393"/>
      <c r="Z316" s="393"/>
      <c r="AA316" s="393"/>
      <c r="AB316" s="393"/>
      <c r="AC316" s="393"/>
      <c r="AD316" s="395"/>
      <c r="AE316" s="396"/>
      <c r="AF316" s="393"/>
      <c r="AG316" s="393"/>
    </row>
    <row r="317" spans="1:33" ht="40" customHeight="1">
      <c r="A317" s="393"/>
      <c r="B317" s="393"/>
      <c r="C317" s="393"/>
      <c r="D317" s="393"/>
      <c r="E317" s="393"/>
      <c r="F317" s="393"/>
      <c r="G317" s="393"/>
      <c r="H317" s="393"/>
      <c r="I317" s="393"/>
      <c r="J317" s="393"/>
      <c r="K317" s="393"/>
      <c r="L317" s="393"/>
      <c r="M317" s="393"/>
      <c r="N317" s="393"/>
      <c r="O317" s="393"/>
      <c r="P317" s="393"/>
      <c r="Q317" s="393"/>
      <c r="R317" s="393"/>
      <c r="S317" s="394"/>
      <c r="T317" s="395"/>
      <c r="U317" s="395"/>
      <c r="V317" s="395"/>
      <c r="W317" s="395"/>
      <c r="X317" s="393"/>
      <c r="Y317" s="393"/>
      <c r="Z317" s="393"/>
      <c r="AA317" s="393"/>
      <c r="AB317" s="393"/>
      <c r="AC317" s="393"/>
      <c r="AD317" s="395"/>
      <c r="AE317" s="396"/>
      <c r="AF317" s="393"/>
      <c r="AG317" s="393"/>
    </row>
    <row r="318" spans="1:33" ht="40" customHeight="1">
      <c r="A318" s="393"/>
      <c r="B318" s="393"/>
      <c r="C318" s="393"/>
      <c r="D318" s="393"/>
      <c r="E318" s="393"/>
      <c r="F318" s="393"/>
      <c r="G318" s="393"/>
      <c r="H318" s="393"/>
      <c r="I318" s="393"/>
      <c r="J318" s="393"/>
      <c r="K318" s="393"/>
      <c r="L318" s="393"/>
      <c r="M318" s="393"/>
      <c r="N318" s="393"/>
      <c r="O318" s="393"/>
      <c r="P318" s="393"/>
      <c r="Q318" s="393"/>
      <c r="R318" s="393"/>
      <c r="S318" s="394"/>
      <c r="T318" s="395"/>
      <c r="U318" s="395"/>
      <c r="V318" s="395"/>
      <c r="W318" s="395"/>
      <c r="X318" s="393"/>
      <c r="Y318" s="393"/>
      <c r="Z318" s="393"/>
      <c r="AA318" s="393"/>
      <c r="AB318" s="393"/>
      <c r="AC318" s="393"/>
      <c r="AD318" s="395"/>
      <c r="AE318" s="396"/>
      <c r="AF318" s="393"/>
      <c r="AG318" s="393"/>
    </row>
    <row r="319" spans="1:33" ht="40" customHeight="1">
      <c r="A319" s="393"/>
      <c r="B319" s="393"/>
      <c r="C319" s="393"/>
      <c r="D319" s="393"/>
      <c r="E319" s="393"/>
      <c r="F319" s="393"/>
      <c r="G319" s="393"/>
      <c r="H319" s="393"/>
      <c r="I319" s="393"/>
      <c r="J319" s="393"/>
      <c r="K319" s="393"/>
      <c r="L319" s="393"/>
      <c r="M319" s="393"/>
      <c r="N319" s="393"/>
      <c r="O319" s="393"/>
      <c r="P319" s="393"/>
      <c r="Q319" s="393"/>
      <c r="R319" s="393"/>
      <c r="S319" s="394"/>
      <c r="T319" s="395"/>
      <c r="U319" s="395"/>
      <c r="V319" s="395"/>
      <c r="W319" s="395"/>
      <c r="X319" s="393"/>
      <c r="Y319" s="393"/>
      <c r="Z319" s="393"/>
      <c r="AA319" s="393"/>
      <c r="AB319" s="393"/>
      <c r="AC319" s="393"/>
      <c r="AD319" s="395"/>
      <c r="AE319" s="396"/>
      <c r="AF319" s="393"/>
      <c r="AG319" s="393"/>
    </row>
    <row r="320" spans="1:33" ht="40" customHeight="1">
      <c r="A320" s="393"/>
      <c r="B320" s="393"/>
      <c r="C320" s="393"/>
      <c r="D320" s="393"/>
      <c r="E320" s="393"/>
      <c r="F320" s="393"/>
      <c r="G320" s="393"/>
      <c r="H320" s="393"/>
      <c r="I320" s="393"/>
      <c r="J320" s="393"/>
      <c r="K320" s="393"/>
      <c r="L320" s="393"/>
      <c r="M320" s="393"/>
      <c r="N320" s="393"/>
      <c r="O320" s="393"/>
      <c r="P320" s="393"/>
      <c r="Q320" s="393"/>
      <c r="R320" s="393"/>
      <c r="S320" s="394"/>
      <c r="T320" s="395"/>
      <c r="U320" s="395"/>
      <c r="V320" s="395"/>
      <c r="W320" s="395"/>
      <c r="X320" s="393"/>
      <c r="Y320" s="393"/>
      <c r="Z320" s="393"/>
      <c r="AA320" s="393"/>
      <c r="AB320" s="393"/>
      <c r="AC320" s="393"/>
      <c r="AD320" s="395"/>
      <c r="AE320" s="396"/>
      <c r="AF320" s="393"/>
      <c r="AG320" s="393"/>
    </row>
    <row r="321" spans="1:33" ht="40" customHeight="1">
      <c r="A321" s="393"/>
      <c r="B321" s="393"/>
      <c r="C321" s="393"/>
      <c r="D321" s="393"/>
      <c r="E321" s="393"/>
      <c r="F321" s="393"/>
      <c r="G321" s="393"/>
      <c r="H321" s="393"/>
      <c r="I321" s="393"/>
      <c r="J321" s="393"/>
      <c r="K321" s="393"/>
      <c r="L321" s="393"/>
      <c r="M321" s="393"/>
      <c r="N321" s="393"/>
      <c r="O321" s="393"/>
      <c r="P321" s="393"/>
      <c r="Q321" s="393"/>
      <c r="R321" s="393"/>
      <c r="S321" s="394"/>
      <c r="T321" s="395"/>
      <c r="U321" s="395"/>
      <c r="V321" s="395"/>
      <c r="W321" s="395"/>
      <c r="X321" s="393"/>
      <c r="Y321" s="393"/>
      <c r="Z321" s="393"/>
      <c r="AA321" s="393"/>
      <c r="AB321" s="393"/>
      <c r="AC321" s="393"/>
      <c r="AD321" s="395"/>
      <c r="AE321" s="396"/>
      <c r="AF321" s="393"/>
      <c r="AG321" s="393"/>
    </row>
    <row r="322" spans="1:33" ht="40" customHeight="1">
      <c r="A322" s="393"/>
      <c r="B322" s="393"/>
      <c r="C322" s="393"/>
      <c r="D322" s="393"/>
      <c r="E322" s="393"/>
      <c r="F322" s="393"/>
      <c r="G322" s="393"/>
      <c r="H322" s="393"/>
      <c r="I322" s="393"/>
      <c r="J322" s="393"/>
      <c r="K322" s="393"/>
      <c r="L322" s="393"/>
      <c r="M322" s="393"/>
      <c r="N322" s="393"/>
      <c r="O322" s="393"/>
      <c r="P322" s="393"/>
      <c r="Q322" s="393"/>
      <c r="R322" s="393"/>
      <c r="S322" s="394"/>
      <c r="T322" s="395"/>
      <c r="U322" s="395"/>
      <c r="V322" s="395"/>
      <c r="W322" s="395"/>
      <c r="X322" s="393"/>
      <c r="Y322" s="393"/>
      <c r="Z322" s="393"/>
      <c r="AA322" s="393"/>
      <c r="AB322" s="393"/>
      <c r="AC322" s="393"/>
      <c r="AD322" s="395"/>
      <c r="AE322" s="396"/>
      <c r="AF322" s="393"/>
      <c r="AG322" s="393"/>
    </row>
    <row r="323" spans="1:33" ht="40" customHeight="1">
      <c r="A323" s="393"/>
      <c r="B323" s="393"/>
      <c r="C323" s="393"/>
      <c r="D323" s="393"/>
      <c r="E323" s="393"/>
      <c r="F323" s="393"/>
      <c r="G323" s="393"/>
      <c r="H323" s="393"/>
      <c r="I323" s="393"/>
      <c r="J323" s="393"/>
      <c r="K323" s="393"/>
      <c r="L323" s="393"/>
      <c r="M323" s="393"/>
      <c r="N323" s="393"/>
      <c r="O323" s="393"/>
      <c r="P323" s="393"/>
      <c r="Q323" s="393"/>
      <c r="R323" s="393"/>
      <c r="S323" s="394"/>
      <c r="T323" s="395"/>
      <c r="U323" s="395"/>
      <c r="V323" s="395"/>
      <c r="W323" s="395"/>
      <c r="X323" s="393"/>
      <c r="Y323" s="393"/>
      <c r="Z323" s="393"/>
      <c r="AA323" s="393"/>
      <c r="AB323" s="393"/>
      <c r="AC323" s="393"/>
      <c r="AD323" s="395"/>
      <c r="AE323" s="396"/>
      <c r="AF323" s="393"/>
      <c r="AG323" s="393"/>
    </row>
    <row r="324" spans="1:33" ht="40" customHeight="1">
      <c r="A324" s="393"/>
      <c r="B324" s="393"/>
      <c r="C324" s="393"/>
      <c r="D324" s="393"/>
      <c r="E324" s="393"/>
      <c r="F324" s="393"/>
      <c r="G324" s="393"/>
      <c r="H324" s="393"/>
      <c r="I324" s="393"/>
      <c r="J324" s="393"/>
      <c r="K324" s="393"/>
      <c r="L324" s="393"/>
      <c r="M324" s="393"/>
      <c r="N324" s="393"/>
      <c r="O324" s="393"/>
      <c r="P324" s="393"/>
      <c r="Q324" s="393"/>
      <c r="R324" s="393"/>
      <c r="S324" s="394"/>
      <c r="T324" s="395"/>
      <c r="U324" s="395"/>
      <c r="V324" s="395"/>
      <c r="W324" s="395"/>
      <c r="X324" s="393"/>
      <c r="Y324" s="393"/>
      <c r="Z324" s="393"/>
      <c r="AA324" s="393"/>
      <c r="AB324" s="393"/>
      <c r="AC324" s="393"/>
      <c r="AD324" s="395"/>
      <c r="AE324" s="396"/>
      <c r="AF324" s="393"/>
      <c r="AG324" s="393"/>
    </row>
    <row r="325" spans="1:33" ht="40" customHeight="1">
      <c r="A325" s="393"/>
      <c r="B325" s="393"/>
      <c r="C325" s="393"/>
      <c r="D325" s="393"/>
      <c r="E325" s="393"/>
      <c r="F325" s="393"/>
      <c r="G325" s="393"/>
      <c r="H325" s="393"/>
      <c r="I325" s="393"/>
      <c r="J325" s="393"/>
      <c r="K325" s="393"/>
      <c r="L325" s="393"/>
      <c r="M325" s="393"/>
      <c r="N325" s="393"/>
      <c r="O325" s="393"/>
      <c r="P325" s="393"/>
      <c r="Q325" s="393"/>
      <c r="R325" s="393"/>
      <c r="S325" s="394"/>
      <c r="T325" s="395"/>
      <c r="U325" s="395"/>
      <c r="V325" s="395"/>
      <c r="W325" s="395"/>
      <c r="X325" s="393"/>
      <c r="Y325" s="393"/>
      <c r="Z325" s="393"/>
      <c r="AA325" s="393"/>
      <c r="AB325" s="393"/>
      <c r="AC325" s="393"/>
      <c r="AD325" s="395"/>
      <c r="AE325" s="396"/>
      <c r="AF325" s="393"/>
      <c r="AG325" s="393"/>
    </row>
    <row r="326" spans="1:33" ht="40" customHeight="1">
      <c r="A326" s="393"/>
      <c r="B326" s="393"/>
      <c r="C326" s="393"/>
      <c r="D326" s="393"/>
      <c r="E326" s="393"/>
      <c r="F326" s="393"/>
      <c r="G326" s="393"/>
      <c r="H326" s="393"/>
      <c r="I326" s="393"/>
      <c r="J326" s="393"/>
      <c r="K326" s="393"/>
      <c r="L326" s="393"/>
      <c r="M326" s="393"/>
      <c r="N326" s="393"/>
      <c r="O326" s="393"/>
      <c r="P326" s="393"/>
      <c r="Q326" s="393"/>
      <c r="R326" s="393"/>
      <c r="S326" s="394"/>
      <c r="T326" s="395"/>
      <c r="U326" s="395"/>
      <c r="V326" s="395"/>
      <c r="W326" s="395"/>
      <c r="X326" s="393"/>
      <c r="Y326" s="393"/>
      <c r="Z326" s="393"/>
      <c r="AA326" s="393"/>
      <c r="AB326" s="393"/>
      <c r="AC326" s="393"/>
      <c r="AD326" s="395"/>
      <c r="AE326" s="396"/>
      <c r="AF326" s="393"/>
      <c r="AG326" s="393"/>
    </row>
    <row r="327" spans="1:33" ht="40" customHeight="1">
      <c r="A327" s="393"/>
      <c r="B327" s="393"/>
      <c r="C327" s="393"/>
      <c r="D327" s="393"/>
      <c r="E327" s="393"/>
      <c r="F327" s="393"/>
      <c r="G327" s="393"/>
      <c r="H327" s="393"/>
      <c r="I327" s="393"/>
      <c r="J327" s="393"/>
      <c r="K327" s="393"/>
      <c r="L327" s="393"/>
      <c r="M327" s="393"/>
      <c r="N327" s="393"/>
      <c r="O327" s="393"/>
      <c r="P327" s="393"/>
      <c r="Q327" s="393"/>
      <c r="R327" s="393"/>
      <c r="S327" s="394"/>
      <c r="T327" s="395"/>
      <c r="U327" s="395"/>
      <c r="V327" s="395"/>
      <c r="W327" s="395"/>
      <c r="X327" s="393"/>
      <c r="Y327" s="393"/>
      <c r="Z327" s="393"/>
      <c r="AA327" s="393"/>
      <c r="AB327" s="393"/>
      <c r="AC327" s="393"/>
      <c r="AD327" s="395"/>
      <c r="AE327" s="396"/>
      <c r="AF327" s="393"/>
      <c r="AG327" s="393"/>
    </row>
    <row r="328" spans="1:33" ht="40" customHeight="1">
      <c r="A328" s="393"/>
      <c r="B328" s="393"/>
      <c r="C328" s="393"/>
      <c r="D328" s="393"/>
      <c r="E328" s="393"/>
      <c r="F328" s="393"/>
      <c r="G328" s="393"/>
      <c r="H328" s="393"/>
      <c r="I328" s="393"/>
      <c r="J328" s="393"/>
      <c r="K328" s="393"/>
      <c r="L328" s="393"/>
      <c r="M328" s="393"/>
      <c r="N328" s="393"/>
      <c r="O328" s="393"/>
      <c r="P328" s="393"/>
      <c r="Q328" s="393"/>
      <c r="R328" s="393"/>
      <c r="S328" s="394"/>
      <c r="T328" s="395"/>
      <c r="U328" s="395"/>
      <c r="V328" s="395"/>
      <c r="W328" s="395"/>
      <c r="X328" s="393"/>
      <c r="Y328" s="393"/>
      <c r="Z328" s="393"/>
      <c r="AA328" s="393"/>
      <c r="AB328" s="393"/>
      <c r="AC328" s="393"/>
      <c r="AD328" s="395"/>
      <c r="AE328" s="396"/>
      <c r="AF328" s="393"/>
      <c r="AG328" s="393"/>
    </row>
    <row r="329" spans="1:33" ht="40" customHeight="1">
      <c r="A329" s="393"/>
      <c r="B329" s="393"/>
      <c r="C329" s="393"/>
      <c r="D329" s="393"/>
      <c r="E329" s="393"/>
      <c r="F329" s="393"/>
      <c r="G329" s="393"/>
      <c r="H329" s="393"/>
      <c r="I329" s="393"/>
      <c r="J329" s="393"/>
      <c r="K329" s="393"/>
      <c r="L329" s="393"/>
      <c r="M329" s="393"/>
      <c r="N329" s="393"/>
      <c r="O329" s="393"/>
      <c r="P329" s="393"/>
      <c r="Q329" s="393"/>
      <c r="R329" s="393"/>
      <c r="S329" s="394"/>
      <c r="T329" s="395"/>
      <c r="U329" s="395"/>
      <c r="V329" s="395"/>
      <c r="W329" s="395"/>
      <c r="X329" s="393"/>
      <c r="Y329" s="393"/>
      <c r="Z329" s="393"/>
      <c r="AA329" s="393"/>
      <c r="AB329" s="393"/>
      <c r="AC329" s="393"/>
      <c r="AD329" s="395"/>
      <c r="AE329" s="396"/>
      <c r="AF329" s="393"/>
      <c r="AG329" s="393"/>
    </row>
    <row r="330" spans="1:33" ht="40" customHeight="1">
      <c r="A330" s="393"/>
      <c r="B330" s="393"/>
      <c r="C330" s="393"/>
      <c r="D330" s="393"/>
      <c r="E330" s="393"/>
      <c r="F330" s="393"/>
      <c r="G330" s="393"/>
      <c r="H330" s="393"/>
      <c r="I330" s="393"/>
      <c r="J330" s="393"/>
      <c r="K330" s="393"/>
      <c r="L330" s="393"/>
      <c r="M330" s="393"/>
      <c r="N330" s="393"/>
      <c r="O330" s="393"/>
      <c r="P330" s="393"/>
      <c r="Q330" s="393"/>
      <c r="R330" s="393"/>
      <c r="S330" s="394"/>
      <c r="T330" s="395"/>
      <c r="U330" s="395"/>
      <c r="V330" s="395"/>
      <c r="W330" s="395"/>
      <c r="X330" s="393"/>
      <c r="Y330" s="393"/>
      <c r="Z330" s="393"/>
      <c r="AA330" s="393"/>
      <c r="AB330" s="393"/>
      <c r="AC330" s="393"/>
      <c r="AD330" s="395"/>
      <c r="AE330" s="396"/>
      <c r="AF330" s="393"/>
      <c r="AG330" s="393"/>
    </row>
    <row r="331" spans="1:33" ht="40" customHeight="1">
      <c r="A331" s="393"/>
      <c r="B331" s="393"/>
      <c r="C331" s="393"/>
      <c r="D331" s="393"/>
      <c r="E331" s="393"/>
      <c r="F331" s="393"/>
      <c r="G331" s="393"/>
      <c r="H331" s="393"/>
      <c r="I331" s="393"/>
      <c r="J331" s="393"/>
      <c r="K331" s="393"/>
      <c r="L331" s="393"/>
      <c r="M331" s="393"/>
      <c r="N331" s="393"/>
      <c r="O331" s="393"/>
      <c r="P331" s="393"/>
      <c r="Q331" s="393"/>
      <c r="R331" s="393"/>
      <c r="S331" s="394"/>
      <c r="T331" s="395"/>
      <c r="U331" s="395"/>
      <c r="V331" s="395"/>
      <c r="W331" s="395"/>
      <c r="X331" s="393"/>
      <c r="Y331" s="393"/>
      <c r="Z331" s="393"/>
      <c r="AA331" s="393"/>
      <c r="AB331" s="393"/>
      <c r="AC331" s="393"/>
      <c r="AD331" s="395"/>
      <c r="AE331" s="396"/>
      <c r="AF331" s="393"/>
      <c r="AG331" s="393"/>
    </row>
    <row r="332" spans="1:33" ht="40" customHeight="1">
      <c r="A332" s="393"/>
      <c r="B332" s="393"/>
      <c r="C332" s="393"/>
      <c r="D332" s="393"/>
      <c r="E332" s="393"/>
      <c r="F332" s="393"/>
      <c r="G332" s="393"/>
      <c r="H332" s="393"/>
      <c r="I332" s="393"/>
      <c r="J332" s="393"/>
      <c r="K332" s="393"/>
      <c r="L332" s="393"/>
      <c r="M332" s="393"/>
      <c r="N332" s="393"/>
      <c r="O332" s="393"/>
      <c r="P332" s="393"/>
      <c r="Q332" s="393"/>
      <c r="R332" s="393"/>
      <c r="S332" s="394"/>
      <c r="T332" s="395"/>
      <c r="U332" s="395"/>
      <c r="V332" s="395"/>
      <c r="W332" s="395"/>
      <c r="X332" s="393"/>
      <c r="Y332" s="393"/>
      <c r="Z332" s="393"/>
      <c r="AA332" s="393"/>
      <c r="AB332" s="393"/>
      <c r="AC332" s="393"/>
      <c r="AD332" s="395"/>
      <c r="AE332" s="396"/>
      <c r="AF332" s="393"/>
      <c r="AG332" s="393"/>
    </row>
    <row r="333" spans="1:33" ht="40" customHeight="1">
      <c r="A333" s="393"/>
      <c r="B333" s="393"/>
      <c r="C333" s="393"/>
      <c r="D333" s="393"/>
      <c r="E333" s="393"/>
      <c r="F333" s="393"/>
      <c r="G333" s="393"/>
      <c r="H333" s="393"/>
      <c r="I333" s="393"/>
      <c r="J333" s="393"/>
      <c r="K333" s="393"/>
      <c r="L333" s="393"/>
      <c r="M333" s="393"/>
      <c r="N333" s="393"/>
      <c r="O333" s="393"/>
      <c r="P333" s="393"/>
      <c r="Q333" s="393"/>
      <c r="R333" s="393"/>
      <c r="S333" s="394"/>
      <c r="T333" s="395"/>
      <c r="U333" s="395"/>
      <c r="V333" s="395"/>
      <c r="W333" s="395"/>
      <c r="X333" s="393"/>
      <c r="Y333" s="393"/>
      <c r="Z333" s="393"/>
      <c r="AA333" s="393"/>
      <c r="AB333" s="393"/>
      <c r="AC333" s="393"/>
      <c r="AD333" s="395"/>
      <c r="AE333" s="396"/>
      <c r="AF333" s="393"/>
      <c r="AG333" s="393"/>
    </row>
    <row r="334" spans="1:33" ht="40" customHeight="1">
      <c r="A334" s="393"/>
      <c r="B334" s="393"/>
      <c r="C334" s="393"/>
      <c r="D334" s="393"/>
      <c r="E334" s="393"/>
      <c r="F334" s="393"/>
      <c r="G334" s="393"/>
      <c r="H334" s="393"/>
      <c r="I334" s="393"/>
      <c r="J334" s="393"/>
      <c r="K334" s="393"/>
      <c r="L334" s="393"/>
      <c r="M334" s="393"/>
      <c r="N334" s="393"/>
      <c r="O334" s="393"/>
      <c r="P334" s="393"/>
      <c r="Q334" s="393"/>
      <c r="R334" s="393"/>
      <c r="S334" s="394"/>
      <c r="T334" s="395"/>
      <c r="U334" s="395"/>
      <c r="V334" s="395"/>
      <c r="W334" s="395"/>
      <c r="X334" s="393"/>
      <c r="Y334" s="393"/>
      <c r="Z334" s="393"/>
      <c r="AA334" s="393"/>
      <c r="AB334" s="393"/>
      <c r="AC334" s="393"/>
      <c r="AD334" s="395"/>
      <c r="AE334" s="396"/>
      <c r="AF334" s="393"/>
      <c r="AG334" s="393"/>
    </row>
    <row r="335" spans="1:33" ht="40" customHeight="1">
      <c r="A335" s="393"/>
      <c r="B335" s="393"/>
      <c r="C335" s="393"/>
      <c r="D335" s="393"/>
      <c r="E335" s="393"/>
      <c r="F335" s="393"/>
      <c r="G335" s="393"/>
      <c r="H335" s="393"/>
      <c r="I335" s="393"/>
      <c r="J335" s="393"/>
      <c r="K335" s="393"/>
      <c r="L335" s="393"/>
      <c r="M335" s="393"/>
      <c r="N335" s="393"/>
      <c r="O335" s="393"/>
      <c r="P335" s="393"/>
      <c r="Q335" s="393"/>
      <c r="R335" s="393"/>
      <c r="S335" s="394"/>
      <c r="T335" s="395"/>
      <c r="U335" s="395"/>
      <c r="V335" s="395"/>
      <c r="W335" s="395"/>
      <c r="X335" s="393"/>
      <c r="Y335" s="393"/>
      <c r="Z335" s="393"/>
      <c r="AA335" s="393"/>
      <c r="AB335" s="393"/>
      <c r="AC335" s="393"/>
      <c r="AD335" s="395"/>
      <c r="AE335" s="396"/>
      <c r="AF335" s="393"/>
      <c r="AG335" s="393"/>
    </row>
    <row r="336" spans="1:33" ht="40" customHeight="1">
      <c r="A336" s="393"/>
      <c r="B336" s="393"/>
      <c r="C336" s="393"/>
      <c r="D336" s="393"/>
      <c r="E336" s="393"/>
      <c r="F336" s="393"/>
      <c r="G336" s="393"/>
      <c r="H336" s="393"/>
      <c r="I336" s="393"/>
      <c r="J336" s="393"/>
      <c r="K336" s="393"/>
      <c r="L336" s="393"/>
      <c r="M336" s="393"/>
      <c r="N336" s="393"/>
      <c r="O336" s="393"/>
      <c r="P336" s="393"/>
      <c r="Q336" s="393"/>
      <c r="R336" s="393"/>
      <c r="S336" s="394"/>
      <c r="T336" s="395"/>
      <c r="U336" s="395"/>
      <c r="V336" s="395"/>
      <c r="W336" s="395"/>
      <c r="X336" s="393"/>
      <c r="Y336" s="393"/>
      <c r="Z336" s="393"/>
      <c r="AA336" s="393"/>
      <c r="AB336" s="393"/>
      <c r="AC336" s="393"/>
      <c r="AD336" s="395"/>
      <c r="AE336" s="396"/>
      <c r="AF336" s="393"/>
      <c r="AG336" s="393"/>
    </row>
    <row r="337" spans="1:33" ht="40" customHeight="1">
      <c r="A337" s="393"/>
      <c r="B337" s="393"/>
      <c r="C337" s="393"/>
      <c r="D337" s="393"/>
      <c r="E337" s="393"/>
      <c r="F337" s="393"/>
      <c r="G337" s="393"/>
      <c r="H337" s="393"/>
      <c r="I337" s="393"/>
      <c r="J337" s="393"/>
      <c r="K337" s="393"/>
      <c r="L337" s="393"/>
      <c r="M337" s="393"/>
      <c r="N337" s="393"/>
      <c r="O337" s="393"/>
      <c r="P337" s="393"/>
      <c r="Q337" s="393"/>
      <c r="R337" s="393"/>
      <c r="S337" s="394"/>
      <c r="T337" s="395"/>
      <c r="U337" s="395"/>
      <c r="V337" s="395"/>
      <c r="W337" s="395"/>
      <c r="X337" s="393"/>
      <c r="Y337" s="393"/>
      <c r="Z337" s="393"/>
      <c r="AA337" s="393"/>
      <c r="AB337" s="393"/>
      <c r="AC337" s="393"/>
      <c r="AD337" s="395"/>
      <c r="AE337" s="396"/>
      <c r="AF337" s="393"/>
      <c r="AG337" s="393"/>
    </row>
    <row r="338" spans="1:33" ht="40" customHeight="1">
      <c r="A338" s="393"/>
      <c r="B338" s="393"/>
      <c r="C338" s="393"/>
      <c r="D338" s="393"/>
      <c r="E338" s="393"/>
      <c r="F338" s="393"/>
      <c r="G338" s="393"/>
      <c r="H338" s="393"/>
      <c r="I338" s="393"/>
      <c r="J338" s="393"/>
      <c r="K338" s="393"/>
      <c r="L338" s="393"/>
      <c r="M338" s="393"/>
      <c r="N338" s="393"/>
      <c r="O338" s="393"/>
      <c r="P338" s="393"/>
      <c r="Q338" s="393"/>
      <c r="R338" s="393"/>
      <c r="S338" s="394"/>
      <c r="T338" s="395"/>
      <c r="U338" s="395"/>
      <c r="V338" s="395"/>
      <c r="W338" s="395"/>
      <c r="X338" s="393"/>
      <c r="Y338" s="393"/>
      <c r="Z338" s="393"/>
      <c r="AA338" s="393"/>
      <c r="AB338" s="393"/>
      <c r="AC338" s="393"/>
      <c r="AD338" s="395"/>
      <c r="AE338" s="396"/>
      <c r="AF338" s="393"/>
      <c r="AG338" s="393"/>
    </row>
    <row r="339" spans="1:33" ht="40" customHeight="1">
      <c r="A339" s="393"/>
      <c r="B339" s="393"/>
      <c r="C339" s="393"/>
      <c r="D339" s="393"/>
      <c r="E339" s="393"/>
      <c r="F339" s="393"/>
      <c r="G339" s="393"/>
      <c r="H339" s="393"/>
      <c r="I339" s="393"/>
      <c r="J339" s="393"/>
      <c r="K339" s="393"/>
      <c r="L339" s="393"/>
      <c r="M339" s="393"/>
      <c r="N339" s="393"/>
      <c r="O339" s="393"/>
      <c r="P339" s="393"/>
      <c r="Q339" s="393"/>
      <c r="R339" s="393"/>
      <c r="S339" s="394"/>
      <c r="T339" s="395"/>
      <c r="U339" s="395"/>
      <c r="V339" s="395"/>
      <c r="W339" s="395"/>
      <c r="X339" s="393"/>
      <c r="Y339" s="393"/>
      <c r="Z339" s="393"/>
      <c r="AA339" s="393"/>
      <c r="AB339" s="393"/>
      <c r="AC339" s="393"/>
      <c r="AD339" s="395"/>
      <c r="AE339" s="396"/>
      <c r="AF339" s="393"/>
      <c r="AG339" s="393"/>
    </row>
    <row r="340" spans="1:33" ht="40" customHeight="1">
      <c r="A340" s="393"/>
      <c r="B340" s="393"/>
      <c r="C340" s="393"/>
      <c r="D340" s="393"/>
      <c r="E340" s="393"/>
      <c r="F340" s="393"/>
      <c r="G340" s="393"/>
      <c r="H340" s="393"/>
      <c r="I340" s="393"/>
      <c r="J340" s="393"/>
      <c r="K340" s="393"/>
      <c r="L340" s="393"/>
      <c r="M340" s="393"/>
      <c r="N340" s="393"/>
      <c r="O340" s="393"/>
      <c r="P340" s="393"/>
      <c r="Q340" s="393"/>
      <c r="R340" s="393"/>
      <c r="S340" s="394"/>
      <c r="T340" s="395"/>
      <c r="U340" s="395"/>
      <c r="V340" s="395"/>
      <c r="W340" s="395"/>
      <c r="X340" s="393"/>
      <c r="Y340" s="393"/>
      <c r="Z340" s="393"/>
      <c r="AA340" s="393"/>
      <c r="AB340" s="393"/>
      <c r="AC340" s="393"/>
      <c r="AD340" s="395"/>
      <c r="AE340" s="396"/>
      <c r="AF340" s="393"/>
      <c r="AG340" s="393"/>
    </row>
    <row r="341" spans="1:33" ht="40" customHeight="1">
      <c r="A341" s="393"/>
      <c r="B341" s="393"/>
      <c r="C341" s="393"/>
      <c r="D341" s="393"/>
      <c r="E341" s="393"/>
      <c r="F341" s="393"/>
      <c r="G341" s="393"/>
      <c r="H341" s="393"/>
      <c r="I341" s="393"/>
      <c r="J341" s="393"/>
      <c r="K341" s="393"/>
      <c r="L341" s="393"/>
      <c r="M341" s="393"/>
      <c r="N341" s="393"/>
      <c r="O341" s="393"/>
      <c r="P341" s="393"/>
      <c r="Q341" s="393"/>
      <c r="R341" s="393"/>
      <c r="S341" s="394"/>
      <c r="T341" s="395"/>
      <c r="U341" s="395"/>
      <c r="V341" s="395"/>
      <c r="W341" s="395"/>
      <c r="X341" s="393"/>
      <c r="Y341" s="393"/>
      <c r="Z341" s="393"/>
      <c r="AA341" s="393"/>
      <c r="AB341" s="393"/>
      <c r="AC341" s="393"/>
      <c r="AD341" s="395"/>
      <c r="AE341" s="396"/>
      <c r="AF341" s="393"/>
      <c r="AG341" s="393"/>
    </row>
    <row r="342" spans="1:33" ht="40" customHeight="1">
      <c r="A342" s="393"/>
      <c r="B342" s="393"/>
      <c r="C342" s="393"/>
      <c r="D342" s="393"/>
      <c r="E342" s="393"/>
      <c r="F342" s="393"/>
      <c r="G342" s="393"/>
      <c r="H342" s="393"/>
      <c r="I342" s="393"/>
      <c r="J342" s="393"/>
      <c r="K342" s="393"/>
      <c r="L342" s="393"/>
      <c r="M342" s="393"/>
      <c r="N342" s="393"/>
      <c r="O342" s="393"/>
      <c r="P342" s="393"/>
      <c r="Q342" s="393"/>
      <c r="R342" s="393"/>
      <c r="S342" s="394"/>
      <c r="T342" s="395"/>
      <c r="U342" s="395"/>
      <c r="V342" s="395"/>
      <c r="W342" s="395"/>
      <c r="X342" s="393"/>
      <c r="Y342" s="393"/>
      <c r="Z342" s="393"/>
      <c r="AA342" s="393"/>
      <c r="AB342" s="393"/>
      <c r="AC342" s="393"/>
      <c r="AD342" s="395"/>
      <c r="AE342" s="396"/>
      <c r="AF342" s="393"/>
      <c r="AG342" s="393"/>
    </row>
    <row r="343" spans="1:33" ht="40" customHeight="1">
      <c r="A343" s="393"/>
      <c r="B343" s="393"/>
      <c r="C343" s="393"/>
      <c r="D343" s="393"/>
      <c r="E343" s="393"/>
      <c r="F343" s="393"/>
      <c r="G343" s="393"/>
      <c r="H343" s="393"/>
      <c r="I343" s="393"/>
      <c r="J343" s="393"/>
      <c r="K343" s="393"/>
      <c r="L343" s="393"/>
      <c r="M343" s="393"/>
      <c r="N343" s="393"/>
      <c r="O343" s="393"/>
      <c r="P343" s="393"/>
      <c r="Q343" s="393"/>
      <c r="R343" s="393"/>
      <c r="S343" s="394"/>
      <c r="T343" s="395"/>
      <c r="U343" s="395"/>
      <c r="V343" s="395"/>
      <c r="W343" s="395"/>
      <c r="X343" s="393"/>
      <c r="Y343" s="393"/>
      <c r="Z343" s="393"/>
      <c r="AA343" s="393"/>
      <c r="AB343" s="393"/>
      <c r="AC343" s="393"/>
      <c r="AD343" s="395"/>
      <c r="AE343" s="396"/>
      <c r="AF343" s="393"/>
      <c r="AG343" s="393"/>
    </row>
    <row r="344" spans="1:33" ht="40" customHeight="1">
      <c r="A344" s="393"/>
      <c r="B344" s="393"/>
      <c r="C344" s="393"/>
      <c r="D344" s="393"/>
      <c r="E344" s="393"/>
      <c r="F344" s="393"/>
      <c r="G344" s="393"/>
      <c r="H344" s="393"/>
      <c r="I344" s="393"/>
      <c r="J344" s="393"/>
      <c r="K344" s="393"/>
      <c r="L344" s="393"/>
      <c r="M344" s="393"/>
      <c r="N344" s="393"/>
      <c r="O344" s="393"/>
      <c r="P344" s="393"/>
      <c r="Q344" s="393"/>
      <c r="R344" s="393"/>
      <c r="S344" s="394"/>
      <c r="T344" s="395"/>
      <c r="U344" s="395"/>
      <c r="V344" s="395"/>
      <c r="W344" s="395"/>
      <c r="X344" s="393"/>
      <c r="Y344" s="393"/>
      <c r="Z344" s="393"/>
      <c r="AA344" s="393"/>
      <c r="AB344" s="393"/>
      <c r="AC344" s="393"/>
      <c r="AD344" s="395"/>
      <c r="AE344" s="396"/>
      <c r="AF344" s="393"/>
      <c r="AG344" s="393"/>
    </row>
    <row r="345" spans="1:33" ht="40" customHeight="1">
      <c r="A345" s="393"/>
      <c r="B345" s="393"/>
      <c r="C345" s="393"/>
      <c r="D345" s="393"/>
      <c r="E345" s="393"/>
      <c r="F345" s="393"/>
      <c r="G345" s="393"/>
      <c r="H345" s="393"/>
      <c r="I345" s="393"/>
      <c r="J345" s="393"/>
      <c r="K345" s="393"/>
      <c r="L345" s="393"/>
      <c r="M345" s="393"/>
      <c r="N345" s="393"/>
      <c r="O345" s="393"/>
      <c r="P345" s="393"/>
      <c r="Q345" s="393"/>
      <c r="R345" s="393"/>
      <c r="S345" s="394"/>
      <c r="T345" s="395"/>
      <c r="U345" s="395"/>
      <c r="V345" s="395"/>
      <c r="W345" s="395"/>
      <c r="X345" s="393"/>
      <c r="Y345" s="393"/>
      <c r="Z345" s="393"/>
      <c r="AA345" s="393"/>
      <c r="AB345" s="393"/>
      <c r="AC345" s="393"/>
      <c r="AD345" s="395"/>
      <c r="AE345" s="396"/>
      <c r="AF345" s="393"/>
      <c r="AG345" s="393"/>
    </row>
    <row r="346" spans="1:33" ht="40" customHeight="1">
      <c r="A346" s="393"/>
      <c r="B346" s="393"/>
      <c r="C346" s="393"/>
      <c r="D346" s="393"/>
      <c r="E346" s="393"/>
      <c r="F346" s="393"/>
      <c r="G346" s="393"/>
      <c r="H346" s="393"/>
      <c r="I346" s="393"/>
      <c r="J346" s="393"/>
      <c r="K346" s="393"/>
      <c r="L346" s="393"/>
      <c r="M346" s="393"/>
      <c r="N346" s="393"/>
      <c r="O346" s="393"/>
      <c r="P346" s="393"/>
      <c r="Q346" s="393"/>
      <c r="R346" s="393"/>
      <c r="S346" s="394"/>
      <c r="T346" s="395"/>
      <c r="U346" s="395"/>
      <c r="V346" s="395"/>
      <c r="W346" s="395"/>
      <c r="X346" s="393"/>
      <c r="Y346" s="393"/>
      <c r="Z346" s="393"/>
      <c r="AA346" s="393"/>
      <c r="AB346" s="393"/>
      <c r="AC346" s="393"/>
      <c r="AD346" s="395"/>
      <c r="AE346" s="396"/>
      <c r="AF346" s="393"/>
      <c r="AG346" s="393"/>
    </row>
    <row r="347" spans="1:33" ht="40" customHeight="1">
      <c r="A347" s="393"/>
      <c r="B347" s="393"/>
      <c r="C347" s="393"/>
      <c r="D347" s="393"/>
      <c r="E347" s="393"/>
      <c r="F347" s="393"/>
      <c r="G347" s="393"/>
      <c r="H347" s="393"/>
      <c r="I347" s="393"/>
      <c r="J347" s="393"/>
      <c r="K347" s="393"/>
      <c r="L347" s="393"/>
      <c r="M347" s="393"/>
      <c r="N347" s="393"/>
      <c r="O347" s="393"/>
      <c r="P347" s="393"/>
      <c r="Q347" s="393"/>
      <c r="R347" s="393"/>
      <c r="S347" s="394"/>
      <c r="T347" s="395"/>
      <c r="U347" s="395"/>
      <c r="V347" s="395"/>
      <c r="W347" s="395"/>
      <c r="X347" s="393"/>
      <c r="Y347" s="393"/>
      <c r="Z347" s="393"/>
      <c r="AA347" s="393"/>
      <c r="AB347" s="393"/>
      <c r="AC347" s="393"/>
      <c r="AD347" s="395"/>
      <c r="AE347" s="396"/>
      <c r="AF347" s="393"/>
      <c r="AG347" s="393"/>
    </row>
    <row r="348" spans="1:33" ht="40" customHeight="1">
      <c r="A348" s="393"/>
      <c r="B348" s="393"/>
      <c r="C348" s="393"/>
      <c r="D348" s="393"/>
      <c r="E348" s="393"/>
      <c r="F348" s="393"/>
      <c r="G348" s="393"/>
      <c r="H348" s="393"/>
      <c r="I348" s="393"/>
      <c r="J348" s="393"/>
      <c r="K348" s="393"/>
      <c r="L348" s="393"/>
      <c r="M348" s="393"/>
      <c r="N348" s="393"/>
      <c r="O348" s="393"/>
      <c r="P348" s="393"/>
      <c r="Q348" s="393"/>
      <c r="R348" s="393"/>
      <c r="S348" s="394"/>
      <c r="T348" s="395"/>
      <c r="U348" s="395"/>
      <c r="V348" s="395"/>
      <c r="W348" s="395"/>
      <c r="X348" s="393"/>
      <c r="Y348" s="393"/>
      <c r="Z348" s="393"/>
      <c r="AA348" s="393"/>
      <c r="AB348" s="393"/>
      <c r="AC348" s="393"/>
      <c r="AD348" s="395"/>
      <c r="AE348" s="396"/>
      <c r="AF348" s="393"/>
      <c r="AG348" s="393"/>
    </row>
    <row r="349" spans="1:33" ht="40" customHeight="1">
      <c r="A349" s="393"/>
      <c r="B349" s="393"/>
      <c r="C349" s="393"/>
      <c r="D349" s="393"/>
      <c r="E349" s="393"/>
      <c r="F349" s="393"/>
      <c r="G349" s="393"/>
      <c r="H349" s="393"/>
      <c r="I349" s="393"/>
      <c r="J349" s="393"/>
      <c r="K349" s="393"/>
      <c r="L349" s="393"/>
      <c r="M349" s="393"/>
      <c r="N349" s="393"/>
      <c r="O349" s="393"/>
      <c r="P349" s="393"/>
      <c r="Q349" s="393"/>
      <c r="R349" s="393"/>
      <c r="S349" s="394"/>
      <c r="T349" s="395"/>
      <c r="U349" s="395"/>
      <c r="V349" s="395"/>
      <c r="W349" s="395"/>
      <c r="X349" s="393"/>
      <c r="Y349" s="393"/>
      <c r="Z349" s="393"/>
      <c r="AA349" s="393"/>
      <c r="AB349" s="393"/>
      <c r="AC349" s="393"/>
      <c r="AD349" s="395"/>
      <c r="AE349" s="396"/>
      <c r="AF349" s="393"/>
      <c r="AG349" s="393"/>
    </row>
    <row r="350" spans="1:33" ht="40" customHeight="1">
      <c r="A350" s="393"/>
      <c r="B350" s="393"/>
      <c r="C350" s="393"/>
      <c r="D350" s="393"/>
      <c r="E350" s="393"/>
      <c r="F350" s="393"/>
      <c r="G350" s="393"/>
      <c r="H350" s="393"/>
      <c r="I350" s="393"/>
      <c r="J350" s="393"/>
      <c r="K350" s="393"/>
      <c r="L350" s="393"/>
      <c r="M350" s="393"/>
      <c r="N350" s="393"/>
      <c r="O350" s="393"/>
      <c r="P350" s="393"/>
      <c r="Q350" s="393"/>
      <c r="R350" s="393"/>
      <c r="S350" s="394"/>
      <c r="T350" s="395"/>
      <c r="U350" s="395"/>
      <c r="V350" s="395"/>
      <c r="W350" s="395"/>
      <c r="X350" s="393"/>
      <c r="Y350" s="393"/>
      <c r="Z350" s="393"/>
      <c r="AA350" s="393"/>
      <c r="AB350" s="393"/>
      <c r="AC350" s="393"/>
      <c r="AD350" s="395"/>
      <c r="AE350" s="396"/>
      <c r="AF350" s="393"/>
      <c r="AG350" s="393"/>
    </row>
    <row r="351" spans="1:33" ht="40" customHeight="1">
      <c r="A351" s="393"/>
      <c r="B351" s="393"/>
      <c r="C351" s="393"/>
      <c r="D351" s="393"/>
      <c r="E351" s="393"/>
      <c r="F351" s="393"/>
      <c r="G351" s="393"/>
      <c r="H351" s="393"/>
      <c r="I351" s="393"/>
      <c r="J351" s="393"/>
      <c r="K351" s="393"/>
      <c r="L351" s="393"/>
      <c r="M351" s="393"/>
      <c r="N351" s="393"/>
      <c r="O351" s="393"/>
      <c r="P351" s="393"/>
      <c r="Q351" s="393"/>
      <c r="R351" s="393"/>
      <c r="S351" s="394"/>
      <c r="T351" s="395"/>
      <c r="U351" s="395"/>
      <c r="V351" s="395"/>
      <c r="W351" s="395"/>
      <c r="X351" s="393"/>
      <c r="Y351" s="393"/>
      <c r="Z351" s="393"/>
      <c r="AA351" s="393"/>
      <c r="AB351" s="393"/>
      <c r="AC351" s="393"/>
      <c r="AD351" s="395"/>
      <c r="AE351" s="396"/>
      <c r="AF351" s="393"/>
      <c r="AG351" s="393"/>
    </row>
    <row r="352" spans="1:33" ht="40" customHeight="1">
      <c r="A352" s="393"/>
      <c r="B352" s="393"/>
      <c r="C352" s="393"/>
      <c r="D352" s="393"/>
      <c r="E352" s="393"/>
      <c r="F352" s="393"/>
      <c r="G352" s="393"/>
      <c r="H352" s="393"/>
      <c r="I352" s="393"/>
      <c r="J352" s="393"/>
      <c r="K352" s="393"/>
      <c r="L352" s="393"/>
      <c r="M352" s="393"/>
      <c r="N352" s="393"/>
      <c r="O352" s="393"/>
      <c r="P352" s="393"/>
      <c r="Q352" s="393"/>
      <c r="R352" s="393"/>
      <c r="S352" s="394"/>
      <c r="T352" s="395"/>
      <c r="U352" s="395"/>
      <c r="V352" s="395"/>
      <c r="W352" s="395"/>
      <c r="X352" s="393"/>
      <c r="Y352" s="393"/>
      <c r="Z352" s="393"/>
      <c r="AA352" s="393"/>
      <c r="AB352" s="393"/>
      <c r="AC352" s="393"/>
      <c r="AD352" s="395"/>
      <c r="AE352" s="396"/>
      <c r="AF352" s="393"/>
      <c r="AG352" s="393"/>
    </row>
    <row r="353" spans="1:33" ht="40" customHeight="1">
      <c r="A353" s="393"/>
      <c r="B353" s="393"/>
      <c r="C353" s="393"/>
      <c r="D353" s="393"/>
      <c r="E353" s="393"/>
      <c r="F353" s="393"/>
      <c r="G353" s="393"/>
      <c r="H353" s="393"/>
      <c r="I353" s="393"/>
      <c r="J353" s="393"/>
      <c r="K353" s="393"/>
      <c r="L353" s="393"/>
      <c r="M353" s="393"/>
      <c r="N353" s="393"/>
      <c r="O353" s="393"/>
      <c r="P353" s="393"/>
      <c r="Q353" s="393"/>
      <c r="R353" s="393"/>
      <c r="S353" s="394"/>
      <c r="T353" s="395"/>
      <c r="U353" s="395"/>
      <c r="V353" s="395"/>
      <c r="W353" s="395"/>
      <c r="X353" s="393"/>
      <c r="Y353" s="393"/>
      <c r="Z353" s="393"/>
      <c r="AA353" s="393"/>
      <c r="AB353" s="393"/>
      <c r="AC353" s="393"/>
      <c r="AD353" s="395"/>
      <c r="AE353" s="396"/>
      <c r="AF353" s="393"/>
      <c r="AG353" s="393"/>
    </row>
    <row r="354" spans="1:33" ht="40" customHeight="1">
      <c r="A354" s="393"/>
      <c r="B354" s="393"/>
      <c r="C354" s="393"/>
      <c r="D354" s="393"/>
      <c r="E354" s="393"/>
      <c r="F354" s="393"/>
      <c r="G354" s="393"/>
      <c r="H354" s="393"/>
      <c r="I354" s="393"/>
      <c r="J354" s="393"/>
      <c r="K354" s="393"/>
      <c r="L354" s="393"/>
      <c r="M354" s="393"/>
      <c r="N354" s="393"/>
      <c r="O354" s="393"/>
      <c r="P354" s="393"/>
      <c r="Q354" s="393"/>
      <c r="R354" s="393"/>
      <c r="S354" s="394"/>
      <c r="T354" s="395"/>
      <c r="U354" s="395"/>
      <c r="V354" s="395"/>
      <c r="W354" s="395"/>
      <c r="X354" s="393"/>
      <c r="Y354" s="393"/>
      <c r="Z354" s="393"/>
      <c r="AA354" s="393"/>
      <c r="AB354" s="393"/>
      <c r="AC354" s="393"/>
      <c r="AD354" s="395"/>
      <c r="AE354" s="396"/>
      <c r="AF354" s="393"/>
      <c r="AG354" s="393"/>
    </row>
    <row r="355" spans="1:33" ht="40" customHeight="1">
      <c r="A355" s="393"/>
      <c r="B355" s="393"/>
      <c r="C355" s="393"/>
      <c r="D355" s="393"/>
      <c r="E355" s="393"/>
      <c r="F355" s="393"/>
      <c r="G355" s="393"/>
      <c r="H355" s="393"/>
      <c r="I355" s="393"/>
      <c r="J355" s="393"/>
      <c r="K355" s="393"/>
      <c r="L355" s="393"/>
      <c r="M355" s="393"/>
      <c r="N355" s="393"/>
      <c r="O355" s="393"/>
      <c r="P355" s="393"/>
      <c r="Q355" s="393"/>
      <c r="R355" s="393"/>
      <c r="S355" s="394"/>
      <c r="T355" s="395"/>
      <c r="U355" s="395"/>
      <c r="V355" s="395"/>
      <c r="W355" s="395"/>
      <c r="X355" s="393"/>
      <c r="Y355" s="393"/>
      <c r="Z355" s="393"/>
      <c r="AA355" s="393"/>
      <c r="AB355" s="393"/>
      <c r="AC355" s="393"/>
      <c r="AD355" s="395"/>
      <c r="AE355" s="396"/>
      <c r="AF355" s="393"/>
      <c r="AG355" s="393"/>
    </row>
    <row r="356" spans="1:33" ht="40" customHeight="1">
      <c r="A356" s="393"/>
      <c r="B356" s="393"/>
      <c r="C356" s="393"/>
      <c r="D356" s="393"/>
      <c r="E356" s="393"/>
      <c r="F356" s="393"/>
      <c r="G356" s="393"/>
      <c r="H356" s="393"/>
      <c r="I356" s="393"/>
      <c r="J356" s="393"/>
      <c r="K356" s="393"/>
      <c r="L356" s="393"/>
      <c r="M356" s="393"/>
      <c r="N356" s="393"/>
      <c r="O356" s="393"/>
      <c r="P356" s="393"/>
      <c r="Q356" s="393"/>
      <c r="R356" s="393"/>
      <c r="S356" s="394"/>
      <c r="T356" s="395"/>
      <c r="U356" s="395"/>
      <c r="V356" s="395"/>
      <c r="W356" s="395"/>
      <c r="X356" s="393"/>
      <c r="Y356" s="393"/>
      <c r="Z356" s="393"/>
      <c r="AA356" s="393"/>
      <c r="AB356" s="393"/>
      <c r="AC356" s="393"/>
      <c r="AD356" s="395"/>
      <c r="AE356" s="396"/>
      <c r="AF356" s="393"/>
      <c r="AG356" s="393"/>
    </row>
    <row r="357" spans="1:33" ht="40" customHeight="1">
      <c r="A357" s="393"/>
      <c r="B357" s="393"/>
      <c r="C357" s="393"/>
      <c r="D357" s="393"/>
      <c r="E357" s="393"/>
      <c r="F357" s="393"/>
      <c r="G357" s="393"/>
      <c r="H357" s="393"/>
      <c r="I357" s="393"/>
      <c r="J357" s="393"/>
      <c r="K357" s="393"/>
      <c r="L357" s="393"/>
      <c r="M357" s="393"/>
      <c r="N357" s="393"/>
      <c r="O357" s="393"/>
      <c r="P357" s="393"/>
      <c r="Q357" s="393"/>
      <c r="R357" s="393"/>
      <c r="S357" s="394"/>
      <c r="T357" s="395"/>
      <c r="U357" s="395"/>
      <c r="V357" s="395"/>
      <c r="W357" s="395"/>
      <c r="X357" s="393"/>
      <c r="Y357" s="393"/>
      <c r="Z357" s="393"/>
      <c r="AA357" s="393"/>
      <c r="AB357" s="393"/>
      <c r="AC357" s="393"/>
      <c r="AD357" s="395"/>
      <c r="AE357" s="396"/>
      <c r="AF357" s="393"/>
      <c r="AG357" s="393"/>
    </row>
    <row r="358" spans="1:33" ht="40" customHeight="1">
      <c r="A358" s="393"/>
      <c r="B358" s="393"/>
      <c r="C358" s="393"/>
      <c r="D358" s="393"/>
      <c r="E358" s="393"/>
      <c r="F358" s="393"/>
      <c r="G358" s="393"/>
      <c r="H358" s="393"/>
      <c r="I358" s="393"/>
      <c r="J358" s="393"/>
      <c r="K358" s="393"/>
      <c r="L358" s="393"/>
      <c r="M358" s="393"/>
      <c r="N358" s="393"/>
      <c r="O358" s="393"/>
      <c r="P358" s="393"/>
      <c r="Q358" s="393"/>
      <c r="R358" s="393"/>
      <c r="S358" s="394"/>
      <c r="T358" s="395"/>
      <c r="U358" s="395"/>
      <c r="V358" s="395"/>
      <c r="W358" s="395"/>
      <c r="X358" s="393"/>
      <c r="Y358" s="393"/>
      <c r="Z358" s="393"/>
      <c r="AA358" s="393"/>
      <c r="AB358" s="393"/>
      <c r="AC358" s="393"/>
      <c r="AD358" s="395"/>
      <c r="AE358" s="396"/>
      <c r="AF358" s="393"/>
      <c r="AG358" s="393"/>
    </row>
    <row r="359" spans="1:33" ht="40" customHeight="1">
      <c r="A359" s="393"/>
      <c r="B359" s="393"/>
      <c r="C359" s="393"/>
      <c r="D359" s="393"/>
      <c r="E359" s="393"/>
      <c r="F359" s="393"/>
      <c r="G359" s="393"/>
      <c r="H359" s="393"/>
      <c r="I359" s="393"/>
      <c r="J359" s="393"/>
      <c r="K359" s="393"/>
      <c r="L359" s="393"/>
      <c r="M359" s="393"/>
      <c r="N359" s="393"/>
      <c r="O359" s="393"/>
      <c r="P359" s="393"/>
      <c r="Q359" s="393"/>
      <c r="R359" s="393"/>
      <c r="S359" s="394"/>
      <c r="T359" s="395"/>
      <c r="U359" s="395"/>
      <c r="V359" s="395"/>
      <c r="W359" s="395"/>
      <c r="X359" s="393"/>
      <c r="Y359" s="393"/>
      <c r="Z359" s="393"/>
      <c r="AA359" s="393"/>
      <c r="AB359" s="393"/>
      <c r="AC359" s="393"/>
      <c r="AD359" s="395"/>
      <c r="AE359" s="396"/>
      <c r="AF359" s="393"/>
      <c r="AG359" s="393"/>
    </row>
    <row r="360" spans="1:33" ht="40" customHeight="1">
      <c r="A360" s="393"/>
      <c r="B360" s="393"/>
      <c r="C360" s="393"/>
      <c r="D360" s="393"/>
      <c r="E360" s="393"/>
      <c r="F360" s="393"/>
      <c r="G360" s="393"/>
      <c r="H360" s="393"/>
      <c r="I360" s="393"/>
      <c r="J360" s="393"/>
      <c r="K360" s="393"/>
      <c r="L360" s="393"/>
      <c r="M360" s="393"/>
      <c r="N360" s="393"/>
      <c r="O360" s="393"/>
      <c r="P360" s="393"/>
      <c r="Q360" s="393"/>
      <c r="R360" s="393"/>
      <c r="S360" s="394"/>
      <c r="T360" s="395"/>
      <c r="U360" s="395"/>
      <c r="V360" s="395"/>
      <c r="W360" s="395"/>
      <c r="X360" s="393"/>
      <c r="Y360" s="393"/>
      <c r="Z360" s="393"/>
      <c r="AA360" s="393"/>
      <c r="AB360" s="393"/>
      <c r="AC360" s="393"/>
      <c r="AD360" s="395"/>
      <c r="AE360" s="396"/>
      <c r="AF360" s="393"/>
      <c r="AG360" s="393"/>
    </row>
    <row r="361" spans="1:33" ht="40" customHeight="1">
      <c r="A361" s="393"/>
      <c r="B361" s="393"/>
      <c r="C361" s="393"/>
      <c r="D361" s="393"/>
      <c r="E361" s="393"/>
      <c r="F361" s="393"/>
      <c r="G361" s="393"/>
      <c r="H361" s="393"/>
      <c r="I361" s="393"/>
      <c r="J361" s="393"/>
      <c r="K361" s="393"/>
      <c r="L361" s="393"/>
      <c r="M361" s="393"/>
      <c r="N361" s="393"/>
      <c r="O361" s="393"/>
      <c r="P361" s="393"/>
      <c r="Q361" s="393"/>
      <c r="R361" s="393"/>
      <c r="S361" s="394"/>
      <c r="T361" s="395"/>
      <c r="U361" s="395"/>
      <c r="V361" s="395"/>
      <c r="W361" s="395"/>
      <c r="X361" s="393"/>
      <c r="Y361" s="393"/>
      <c r="Z361" s="393"/>
      <c r="AA361" s="393"/>
      <c r="AB361" s="393"/>
      <c r="AC361" s="393"/>
      <c r="AD361" s="395"/>
      <c r="AE361" s="396"/>
      <c r="AF361" s="393"/>
      <c r="AG361" s="393"/>
    </row>
    <row r="362" spans="1:33" ht="40" customHeight="1">
      <c r="A362" s="393"/>
      <c r="B362" s="393"/>
      <c r="C362" s="393"/>
      <c r="D362" s="393"/>
      <c r="E362" s="393"/>
      <c r="F362" s="393"/>
      <c r="G362" s="393"/>
      <c r="H362" s="393"/>
      <c r="I362" s="393"/>
      <c r="J362" s="393"/>
      <c r="K362" s="393"/>
      <c r="L362" s="393"/>
      <c r="M362" s="393"/>
      <c r="N362" s="393"/>
      <c r="O362" s="393"/>
      <c r="P362" s="393"/>
      <c r="Q362" s="393"/>
      <c r="R362" s="393"/>
      <c r="S362" s="394"/>
      <c r="T362" s="395"/>
      <c r="U362" s="395"/>
      <c r="V362" s="395"/>
      <c r="W362" s="395"/>
      <c r="X362" s="393"/>
      <c r="Y362" s="393"/>
      <c r="Z362" s="393"/>
      <c r="AA362" s="393"/>
      <c r="AB362" s="393"/>
      <c r="AC362" s="393"/>
      <c r="AD362" s="395"/>
      <c r="AE362" s="396"/>
      <c r="AF362" s="393"/>
      <c r="AG362" s="393"/>
    </row>
    <row r="363" spans="1:33" ht="40" customHeight="1">
      <c r="A363" s="393"/>
      <c r="B363" s="393"/>
      <c r="C363" s="393"/>
      <c r="D363" s="393"/>
      <c r="E363" s="393"/>
      <c r="F363" s="393"/>
      <c r="G363" s="393"/>
      <c r="H363" s="393"/>
      <c r="I363" s="393"/>
      <c r="J363" s="393"/>
      <c r="K363" s="393"/>
      <c r="L363" s="393"/>
      <c r="M363" s="393"/>
      <c r="N363" s="393"/>
      <c r="O363" s="393"/>
      <c r="P363" s="393"/>
      <c r="Q363" s="393"/>
      <c r="R363" s="393"/>
      <c r="S363" s="394"/>
      <c r="T363" s="395"/>
      <c r="U363" s="395"/>
      <c r="V363" s="395"/>
      <c r="W363" s="395"/>
      <c r="X363" s="393"/>
      <c r="Y363" s="393"/>
      <c r="Z363" s="393"/>
      <c r="AA363" s="393"/>
      <c r="AB363" s="393"/>
      <c r="AC363" s="393"/>
      <c r="AD363" s="395"/>
      <c r="AE363" s="396"/>
      <c r="AF363" s="393"/>
      <c r="AG363" s="393"/>
    </row>
    <row r="364" spans="1:33" ht="40" customHeight="1">
      <c r="A364" s="393"/>
      <c r="B364" s="393"/>
      <c r="C364" s="393"/>
      <c r="D364" s="393"/>
      <c r="E364" s="393"/>
      <c r="F364" s="393"/>
      <c r="G364" s="393"/>
      <c r="H364" s="393"/>
      <c r="I364" s="393"/>
      <c r="J364" s="393"/>
      <c r="K364" s="393"/>
      <c r="L364" s="393"/>
      <c r="M364" s="393"/>
      <c r="N364" s="393"/>
      <c r="O364" s="393"/>
      <c r="P364" s="393"/>
      <c r="Q364" s="393"/>
      <c r="R364" s="393"/>
      <c r="S364" s="394"/>
      <c r="T364" s="395"/>
      <c r="U364" s="395"/>
      <c r="V364" s="395"/>
      <c r="W364" s="395"/>
      <c r="X364" s="393"/>
      <c r="Y364" s="393"/>
      <c r="Z364" s="393"/>
      <c r="AA364" s="393"/>
      <c r="AB364" s="393"/>
      <c r="AC364" s="393"/>
      <c r="AD364" s="395"/>
      <c r="AE364" s="396"/>
      <c r="AF364" s="393"/>
      <c r="AG364" s="393"/>
    </row>
    <row r="365" spans="1:33" ht="40" customHeight="1">
      <c r="A365" s="393"/>
      <c r="B365" s="393"/>
      <c r="C365" s="393"/>
      <c r="D365" s="393"/>
      <c r="E365" s="393"/>
      <c r="F365" s="393"/>
      <c r="G365" s="393"/>
      <c r="H365" s="393"/>
      <c r="I365" s="393"/>
      <c r="J365" s="393"/>
      <c r="K365" s="393"/>
      <c r="L365" s="393"/>
      <c r="M365" s="393"/>
      <c r="N365" s="393"/>
      <c r="O365" s="393"/>
      <c r="P365" s="393"/>
      <c r="Q365" s="393"/>
      <c r="R365" s="393"/>
      <c r="S365" s="394"/>
      <c r="T365" s="395"/>
      <c r="U365" s="395"/>
      <c r="V365" s="395"/>
      <c r="W365" s="395"/>
      <c r="X365" s="393"/>
      <c r="Y365" s="393"/>
      <c r="Z365" s="393"/>
      <c r="AA365" s="393"/>
      <c r="AB365" s="393"/>
      <c r="AC365" s="393"/>
      <c r="AD365" s="395"/>
      <c r="AE365" s="396"/>
      <c r="AF365" s="393"/>
      <c r="AG365" s="393"/>
    </row>
    <row r="366" spans="1:33" ht="40" customHeight="1">
      <c r="A366" s="393"/>
      <c r="B366" s="393"/>
      <c r="C366" s="393"/>
      <c r="D366" s="393"/>
      <c r="E366" s="393"/>
      <c r="F366" s="393"/>
      <c r="G366" s="393"/>
      <c r="H366" s="393"/>
      <c r="I366" s="393"/>
      <c r="J366" s="393"/>
      <c r="K366" s="393"/>
      <c r="L366" s="393"/>
      <c r="M366" s="393"/>
      <c r="N366" s="393"/>
      <c r="O366" s="393"/>
      <c r="P366" s="393"/>
      <c r="Q366" s="393"/>
      <c r="R366" s="393"/>
      <c r="S366" s="394"/>
      <c r="T366" s="395"/>
      <c r="U366" s="395"/>
      <c r="V366" s="395"/>
      <c r="W366" s="395"/>
      <c r="X366" s="393"/>
      <c r="Y366" s="393"/>
      <c r="Z366" s="393"/>
      <c r="AA366" s="393"/>
      <c r="AB366" s="393"/>
      <c r="AC366" s="393"/>
      <c r="AD366" s="395"/>
      <c r="AE366" s="396"/>
      <c r="AF366" s="393"/>
      <c r="AG366" s="393"/>
    </row>
    <row r="367" spans="1:33" ht="40" customHeight="1">
      <c r="A367" s="393"/>
      <c r="B367" s="393"/>
      <c r="C367" s="393"/>
      <c r="D367" s="393"/>
      <c r="E367" s="393"/>
      <c r="F367" s="393"/>
      <c r="G367" s="393"/>
      <c r="H367" s="393"/>
      <c r="I367" s="393"/>
      <c r="J367" s="393"/>
      <c r="K367" s="393"/>
      <c r="L367" s="393"/>
      <c r="M367" s="393"/>
      <c r="N367" s="393"/>
      <c r="O367" s="393"/>
      <c r="P367" s="393"/>
      <c r="Q367" s="393"/>
      <c r="R367" s="393"/>
      <c r="S367" s="394"/>
      <c r="T367" s="395"/>
      <c r="U367" s="395"/>
      <c r="V367" s="395"/>
      <c r="W367" s="395"/>
      <c r="X367" s="393"/>
      <c r="Y367" s="393"/>
      <c r="Z367" s="393"/>
      <c r="AA367" s="393"/>
      <c r="AB367" s="393"/>
      <c r="AC367" s="393"/>
      <c r="AD367" s="395"/>
      <c r="AE367" s="396"/>
      <c r="AF367" s="393"/>
      <c r="AG367" s="393"/>
    </row>
    <row r="368" spans="1:33" ht="40" customHeight="1">
      <c r="A368" s="393"/>
      <c r="B368" s="393"/>
      <c r="C368" s="393"/>
      <c r="D368" s="393"/>
      <c r="E368" s="393"/>
      <c r="F368" s="393"/>
      <c r="G368" s="393"/>
      <c r="H368" s="393"/>
      <c r="I368" s="393"/>
      <c r="J368" s="393"/>
      <c r="K368" s="393"/>
      <c r="L368" s="393"/>
      <c r="M368" s="393"/>
      <c r="N368" s="393"/>
      <c r="O368" s="393"/>
      <c r="P368" s="393"/>
      <c r="Q368" s="393"/>
      <c r="R368" s="393"/>
      <c r="S368" s="394"/>
      <c r="T368" s="395"/>
      <c r="U368" s="395"/>
      <c r="V368" s="395"/>
      <c r="W368" s="395"/>
      <c r="X368" s="393"/>
      <c r="Y368" s="393"/>
      <c r="Z368" s="393"/>
      <c r="AA368" s="393"/>
      <c r="AB368" s="393"/>
      <c r="AC368" s="393"/>
      <c r="AD368" s="395"/>
      <c r="AE368" s="396"/>
      <c r="AF368" s="393"/>
      <c r="AG368" s="393"/>
    </row>
    <row r="369" spans="1:33" ht="40" customHeight="1">
      <c r="A369" s="393"/>
      <c r="B369" s="393"/>
      <c r="C369" s="393"/>
      <c r="D369" s="393"/>
      <c r="E369" s="393"/>
      <c r="F369" s="393"/>
      <c r="G369" s="393"/>
      <c r="H369" s="393"/>
      <c r="I369" s="393"/>
      <c r="J369" s="393"/>
      <c r="K369" s="393"/>
      <c r="L369" s="393"/>
      <c r="M369" s="393"/>
      <c r="N369" s="393"/>
      <c r="O369" s="393"/>
      <c r="P369" s="393"/>
      <c r="Q369" s="393"/>
      <c r="R369" s="393"/>
      <c r="S369" s="394"/>
      <c r="T369" s="395"/>
      <c r="U369" s="395"/>
      <c r="V369" s="395"/>
      <c r="W369" s="395"/>
      <c r="X369" s="393"/>
      <c r="Y369" s="393"/>
      <c r="Z369" s="393"/>
      <c r="AA369" s="393"/>
      <c r="AB369" s="393"/>
      <c r="AC369" s="393"/>
      <c r="AD369" s="395"/>
      <c r="AE369" s="396"/>
      <c r="AF369" s="393"/>
      <c r="AG369" s="393"/>
    </row>
    <row r="370" spans="1:33" ht="40" customHeight="1">
      <c r="A370" s="393"/>
      <c r="B370" s="393"/>
      <c r="C370" s="393"/>
      <c r="D370" s="393"/>
      <c r="E370" s="393"/>
      <c r="F370" s="393"/>
      <c r="G370" s="393"/>
      <c r="H370" s="393"/>
      <c r="I370" s="393"/>
      <c r="J370" s="393"/>
      <c r="K370" s="393"/>
      <c r="L370" s="393"/>
      <c r="M370" s="393"/>
      <c r="N370" s="393"/>
      <c r="O370" s="393"/>
      <c r="P370" s="393"/>
      <c r="Q370" s="393"/>
      <c r="R370" s="393"/>
      <c r="S370" s="394"/>
      <c r="T370" s="395"/>
      <c r="U370" s="395"/>
      <c r="V370" s="395"/>
      <c r="W370" s="395"/>
      <c r="X370" s="393"/>
      <c r="Y370" s="393"/>
      <c r="Z370" s="393"/>
      <c r="AA370" s="393"/>
      <c r="AB370" s="393"/>
      <c r="AC370" s="393"/>
      <c r="AD370" s="395"/>
      <c r="AE370" s="396"/>
      <c r="AF370" s="393"/>
      <c r="AG370" s="393"/>
    </row>
    <row r="371" spans="1:33" ht="40" customHeight="1">
      <c r="A371" s="393"/>
      <c r="B371" s="393"/>
      <c r="C371" s="393"/>
      <c r="D371" s="393"/>
      <c r="E371" s="393"/>
      <c r="F371" s="393"/>
      <c r="G371" s="393"/>
      <c r="H371" s="393"/>
      <c r="I371" s="393"/>
      <c r="J371" s="393"/>
      <c r="K371" s="393"/>
      <c r="L371" s="393"/>
      <c r="M371" s="393"/>
      <c r="N371" s="393"/>
      <c r="O371" s="393"/>
      <c r="P371" s="393"/>
      <c r="Q371" s="393"/>
      <c r="R371" s="393"/>
      <c r="S371" s="394"/>
      <c r="T371" s="395"/>
      <c r="U371" s="395"/>
      <c r="V371" s="395"/>
      <c r="W371" s="395"/>
      <c r="X371" s="393"/>
      <c r="Y371" s="393"/>
      <c r="Z371" s="393"/>
      <c r="AA371" s="393"/>
      <c r="AB371" s="393"/>
      <c r="AC371" s="393"/>
      <c r="AD371" s="395"/>
      <c r="AE371" s="396"/>
      <c r="AF371" s="393"/>
      <c r="AG371" s="393"/>
    </row>
    <row r="372" spans="1:33" ht="40" customHeight="1">
      <c r="A372" s="393"/>
      <c r="B372" s="393"/>
      <c r="C372" s="393"/>
      <c r="D372" s="393"/>
      <c r="E372" s="393"/>
      <c r="F372" s="393"/>
      <c r="G372" s="393"/>
      <c r="H372" s="393"/>
      <c r="I372" s="393"/>
      <c r="J372" s="393"/>
      <c r="K372" s="393"/>
      <c r="L372" s="393"/>
      <c r="M372" s="393"/>
      <c r="N372" s="393"/>
      <c r="O372" s="393"/>
      <c r="P372" s="393"/>
      <c r="Q372" s="393"/>
      <c r="R372" s="393"/>
      <c r="S372" s="394"/>
      <c r="T372" s="395"/>
      <c r="U372" s="395"/>
      <c r="V372" s="395"/>
      <c r="W372" s="395"/>
      <c r="X372" s="393"/>
      <c r="Y372" s="393"/>
      <c r="Z372" s="393"/>
      <c r="AA372" s="393"/>
      <c r="AB372" s="393"/>
      <c r="AC372" s="393"/>
      <c r="AD372" s="395"/>
      <c r="AE372" s="396"/>
      <c r="AF372" s="393"/>
      <c r="AG372" s="393"/>
    </row>
    <row r="373" spans="1:33" ht="40" customHeight="1">
      <c r="A373" s="393"/>
      <c r="B373" s="393"/>
      <c r="C373" s="393"/>
      <c r="D373" s="393"/>
      <c r="E373" s="393"/>
      <c r="F373" s="393"/>
      <c r="G373" s="393"/>
      <c r="H373" s="393"/>
      <c r="I373" s="393"/>
      <c r="J373" s="393"/>
      <c r="K373" s="393"/>
      <c r="L373" s="393"/>
      <c r="M373" s="393"/>
      <c r="N373" s="393"/>
      <c r="O373" s="393"/>
      <c r="P373" s="393"/>
      <c r="Q373" s="393"/>
      <c r="R373" s="393"/>
      <c r="S373" s="394"/>
      <c r="T373" s="395"/>
      <c r="U373" s="395"/>
      <c r="V373" s="395"/>
      <c r="W373" s="395"/>
      <c r="X373" s="393"/>
      <c r="Y373" s="393"/>
      <c r="Z373" s="393"/>
      <c r="AA373" s="393"/>
      <c r="AB373" s="393"/>
      <c r="AC373" s="393"/>
      <c r="AD373" s="395"/>
      <c r="AE373" s="396"/>
      <c r="AF373" s="393"/>
      <c r="AG373" s="393"/>
    </row>
    <row r="374" spans="1:33" ht="40" customHeight="1">
      <c r="A374" s="393"/>
      <c r="B374" s="393"/>
      <c r="C374" s="393"/>
      <c r="D374" s="393"/>
      <c r="E374" s="393"/>
      <c r="F374" s="393"/>
      <c r="G374" s="393"/>
      <c r="H374" s="393"/>
      <c r="I374" s="393"/>
      <c r="J374" s="393"/>
      <c r="K374" s="393"/>
      <c r="L374" s="393"/>
      <c r="M374" s="393"/>
      <c r="N374" s="393"/>
      <c r="O374" s="393"/>
      <c r="P374" s="393"/>
      <c r="Q374" s="393"/>
      <c r="R374" s="393"/>
      <c r="S374" s="394"/>
      <c r="T374" s="395"/>
      <c r="U374" s="395"/>
      <c r="V374" s="395"/>
      <c r="W374" s="395"/>
      <c r="X374" s="393"/>
      <c r="Y374" s="393"/>
      <c r="Z374" s="393"/>
      <c r="AA374" s="393"/>
      <c r="AB374" s="393"/>
      <c r="AC374" s="393"/>
      <c r="AD374" s="395"/>
      <c r="AE374" s="396"/>
      <c r="AF374" s="393"/>
      <c r="AG374" s="393"/>
    </row>
    <row r="375" spans="1:33" ht="40" customHeight="1">
      <c r="A375" s="393"/>
      <c r="B375" s="393"/>
      <c r="C375" s="393"/>
      <c r="D375" s="393"/>
      <c r="E375" s="393"/>
      <c r="F375" s="393"/>
      <c r="G375" s="393"/>
      <c r="H375" s="393"/>
      <c r="I375" s="393"/>
      <c r="J375" s="393"/>
      <c r="K375" s="393"/>
      <c r="L375" s="393"/>
      <c r="M375" s="393"/>
      <c r="N375" s="393"/>
      <c r="O375" s="393"/>
      <c r="P375" s="393"/>
      <c r="Q375" s="393"/>
      <c r="R375" s="393"/>
      <c r="S375" s="394"/>
      <c r="T375" s="395"/>
      <c r="U375" s="395"/>
      <c r="V375" s="395"/>
      <c r="W375" s="395"/>
      <c r="X375" s="393"/>
      <c r="Y375" s="393"/>
      <c r="Z375" s="393"/>
      <c r="AA375" s="393"/>
      <c r="AB375" s="393"/>
      <c r="AC375" s="393"/>
      <c r="AD375" s="395"/>
      <c r="AE375" s="396"/>
      <c r="AF375" s="393"/>
      <c r="AG375" s="393"/>
    </row>
    <row r="376" spans="1:33" ht="40" customHeight="1">
      <c r="A376" s="393"/>
      <c r="B376" s="393"/>
      <c r="C376" s="393"/>
      <c r="D376" s="393"/>
      <c r="E376" s="393"/>
      <c r="F376" s="393"/>
      <c r="G376" s="393"/>
      <c r="H376" s="393"/>
      <c r="I376" s="393"/>
      <c r="J376" s="393"/>
      <c r="K376" s="393"/>
      <c r="L376" s="393"/>
      <c r="M376" s="393"/>
      <c r="N376" s="393"/>
      <c r="O376" s="393"/>
      <c r="P376" s="393"/>
      <c r="Q376" s="393"/>
      <c r="R376" s="393"/>
      <c r="S376" s="394"/>
      <c r="T376" s="395"/>
      <c r="U376" s="395"/>
      <c r="V376" s="395"/>
      <c r="W376" s="395"/>
      <c r="X376" s="393"/>
      <c r="Y376" s="393"/>
      <c r="Z376" s="393"/>
      <c r="AA376" s="393"/>
      <c r="AB376" s="393"/>
      <c r="AC376" s="393"/>
      <c r="AD376" s="395"/>
      <c r="AE376" s="396"/>
      <c r="AF376" s="393"/>
      <c r="AG376" s="393"/>
    </row>
    <row r="377" spans="1:33" ht="40" customHeight="1">
      <c r="A377" s="393"/>
      <c r="B377" s="393"/>
      <c r="C377" s="393"/>
      <c r="D377" s="393"/>
      <c r="E377" s="393"/>
      <c r="F377" s="393"/>
      <c r="G377" s="393"/>
      <c r="H377" s="393"/>
      <c r="I377" s="393"/>
      <c r="J377" s="393"/>
      <c r="K377" s="393"/>
      <c r="L377" s="393"/>
      <c r="M377" s="393"/>
      <c r="N377" s="393"/>
      <c r="O377" s="393"/>
      <c r="P377" s="393"/>
      <c r="Q377" s="393"/>
      <c r="R377" s="393"/>
      <c r="S377" s="394"/>
      <c r="T377" s="395"/>
      <c r="U377" s="395"/>
      <c r="V377" s="395"/>
      <c r="W377" s="395"/>
      <c r="X377" s="393"/>
      <c r="Y377" s="393"/>
      <c r="Z377" s="393"/>
      <c r="AA377" s="393"/>
      <c r="AB377" s="393"/>
      <c r="AC377" s="393"/>
      <c r="AD377" s="395"/>
      <c r="AE377" s="396"/>
      <c r="AF377" s="393"/>
      <c r="AG377" s="393"/>
    </row>
    <row r="378" spans="1:33" ht="40" customHeight="1">
      <c r="A378" s="393"/>
      <c r="B378" s="393"/>
      <c r="C378" s="393"/>
      <c r="D378" s="393"/>
      <c r="E378" s="393"/>
      <c r="F378" s="393"/>
      <c r="G378" s="393"/>
      <c r="H378" s="393"/>
      <c r="I378" s="393"/>
      <c r="J378" s="393"/>
      <c r="K378" s="393"/>
      <c r="L378" s="393"/>
      <c r="M378" s="393"/>
      <c r="N378" s="393"/>
      <c r="O378" s="393"/>
      <c r="P378" s="393"/>
      <c r="Q378" s="393"/>
      <c r="R378" s="393"/>
      <c r="S378" s="394"/>
      <c r="T378" s="395"/>
      <c r="U378" s="395"/>
      <c r="V378" s="395"/>
      <c r="W378" s="395"/>
      <c r="X378" s="393"/>
      <c r="Y378" s="393"/>
      <c r="Z378" s="393"/>
      <c r="AA378" s="393"/>
      <c r="AB378" s="393"/>
      <c r="AC378" s="393"/>
      <c r="AD378" s="395"/>
      <c r="AE378" s="396"/>
      <c r="AF378" s="393"/>
      <c r="AG378" s="393"/>
    </row>
    <row r="379" spans="1:33" ht="40" customHeight="1">
      <c r="A379" s="393"/>
      <c r="B379" s="393"/>
      <c r="C379" s="393"/>
      <c r="D379" s="393"/>
      <c r="E379" s="393"/>
      <c r="F379" s="393"/>
      <c r="G379" s="393"/>
      <c r="H379" s="393"/>
      <c r="I379" s="393"/>
      <c r="J379" s="393"/>
      <c r="K379" s="393"/>
      <c r="L379" s="393"/>
      <c r="M379" s="393"/>
      <c r="N379" s="393"/>
      <c r="O379" s="393"/>
      <c r="P379" s="393"/>
      <c r="Q379" s="393"/>
      <c r="R379" s="393"/>
      <c r="S379" s="394"/>
      <c r="T379" s="395"/>
      <c r="U379" s="395"/>
      <c r="V379" s="395"/>
      <c r="W379" s="395"/>
      <c r="X379" s="393"/>
      <c r="Y379" s="393"/>
      <c r="Z379" s="393"/>
      <c r="AA379" s="393"/>
      <c r="AB379" s="393"/>
      <c r="AC379" s="393"/>
      <c r="AD379" s="395"/>
      <c r="AE379" s="396"/>
      <c r="AF379" s="393"/>
      <c r="AG379" s="393"/>
    </row>
    <row r="380" spans="1:33" ht="40" customHeight="1">
      <c r="A380" s="393"/>
      <c r="B380" s="393"/>
      <c r="C380" s="393"/>
      <c r="D380" s="393"/>
      <c r="E380" s="393"/>
      <c r="F380" s="393"/>
      <c r="G380" s="393"/>
      <c r="H380" s="393"/>
      <c r="I380" s="393"/>
      <c r="J380" s="393"/>
      <c r="K380" s="393"/>
      <c r="L380" s="393"/>
      <c r="M380" s="393"/>
      <c r="N380" s="393"/>
      <c r="O380" s="393"/>
      <c r="P380" s="393"/>
      <c r="Q380" s="393"/>
      <c r="R380" s="393"/>
      <c r="S380" s="394"/>
      <c r="T380" s="395"/>
      <c r="U380" s="395"/>
      <c r="V380" s="395"/>
      <c r="W380" s="395"/>
      <c r="X380" s="393"/>
      <c r="Y380" s="393"/>
      <c r="Z380" s="393"/>
      <c r="AA380" s="393"/>
      <c r="AB380" s="393"/>
      <c r="AC380" s="393"/>
      <c r="AD380" s="395"/>
      <c r="AE380" s="396"/>
      <c r="AF380" s="393"/>
      <c r="AG380" s="393"/>
    </row>
    <row r="381" spans="1:33" ht="40" customHeight="1">
      <c r="A381" s="393"/>
      <c r="B381" s="393"/>
      <c r="C381" s="393"/>
      <c r="D381" s="393"/>
      <c r="E381" s="393"/>
      <c r="F381" s="393"/>
      <c r="G381" s="393"/>
      <c r="H381" s="393"/>
      <c r="I381" s="393"/>
      <c r="J381" s="393"/>
      <c r="K381" s="393"/>
      <c r="L381" s="393"/>
      <c r="M381" s="393"/>
      <c r="N381" s="393"/>
      <c r="O381" s="393"/>
      <c r="P381" s="393"/>
      <c r="Q381" s="393"/>
      <c r="R381" s="393"/>
      <c r="S381" s="394"/>
      <c r="T381" s="395"/>
      <c r="U381" s="395"/>
      <c r="V381" s="395"/>
      <c r="W381" s="395"/>
      <c r="X381" s="393"/>
      <c r="Y381" s="393"/>
      <c r="Z381" s="393"/>
      <c r="AA381" s="393"/>
      <c r="AB381" s="393"/>
      <c r="AC381" s="393"/>
      <c r="AD381" s="395"/>
      <c r="AE381" s="396"/>
      <c r="AF381" s="393"/>
      <c r="AG381" s="393"/>
    </row>
    <row r="382" spans="1:33" ht="40" customHeight="1">
      <c r="A382" s="393"/>
      <c r="B382" s="393"/>
      <c r="C382" s="393"/>
      <c r="D382" s="393"/>
      <c r="E382" s="393"/>
      <c r="F382" s="393"/>
      <c r="G382" s="393"/>
      <c r="H382" s="393"/>
      <c r="I382" s="393"/>
      <c r="J382" s="393"/>
      <c r="K382" s="393"/>
      <c r="L382" s="393"/>
      <c r="M382" s="393"/>
      <c r="N382" s="393"/>
      <c r="O382" s="393"/>
      <c r="P382" s="393"/>
      <c r="Q382" s="393"/>
      <c r="R382" s="393"/>
      <c r="S382" s="394"/>
      <c r="T382" s="395"/>
      <c r="U382" s="395"/>
      <c r="V382" s="395"/>
      <c r="W382" s="395"/>
      <c r="X382" s="393"/>
      <c r="Y382" s="393"/>
      <c r="Z382" s="393"/>
      <c r="AA382" s="393"/>
      <c r="AB382" s="393"/>
      <c r="AC382" s="393"/>
      <c r="AD382" s="395"/>
      <c r="AE382" s="396"/>
      <c r="AF382" s="393"/>
      <c r="AG382" s="393"/>
    </row>
    <row r="383" spans="1:33" ht="40" customHeight="1">
      <c r="A383" s="393"/>
      <c r="B383" s="393"/>
      <c r="C383" s="393"/>
      <c r="D383" s="393"/>
      <c r="E383" s="393"/>
      <c r="F383" s="393"/>
      <c r="G383" s="393"/>
      <c r="H383" s="393"/>
      <c r="I383" s="393"/>
      <c r="J383" s="393"/>
      <c r="K383" s="393"/>
      <c r="L383" s="393"/>
      <c r="M383" s="393"/>
      <c r="N383" s="393"/>
      <c r="O383" s="393"/>
      <c r="P383" s="393"/>
      <c r="Q383" s="393"/>
      <c r="R383" s="393"/>
      <c r="S383" s="394"/>
      <c r="T383" s="395"/>
      <c r="U383" s="395"/>
      <c r="V383" s="395"/>
      <c r="W383" s="395"/>
      <c r="X383" s="393"/>
      <c r="Y383" s="393"/>
      <c r="Z383" s="393"/>
      <c r="AA383" s="393"/>
      <c r="AB383" s="393"/>
      <c r="AC383" s="393"/>
      <c r="AD383" s="395"/>
      <c r="AE383" s="396"/>
      <c r="AF383" s="393"/>
      <c r="AG383" s="393"/>
    </row>
    <row r="384" spans="1:33" ht="40" customHeight="1">
      <c r="A384" s="393"/>
      <c r="B384" s="393"/>
      <c r="C384" s="393"/>
      <c r="D384" s="393"/>
      <c r="E384" s="393"/>
      <c r="F384" s="393"/>
      <c r="G384" s="393"/>
      <c r="H384" s="393"/>
      <c r="I384" s="393"/>
      <c r="J384" s="393"/>
      <c r="K384" s="393"/>
      <c r="L384" s="393"/>
      <c r="M384" s="393"/>
      <c r="N384" s="393"/>
      <c r="O384" s="393"/>
      <c r="P384" s="393"/>
      <c r="Q384" s="393"/>
      <c r="R384" s="393"/>
      <c r="S384" s="394"/>
      <c r="T384" s="395"/>
      <c r="U384" s="395"/>
      <c r="V384" s="395"/>
      <c r="W384" s="395"/>
      <c r="X384" s="393"/>
      <c r="Y384" s="393"/>
      <c r="Z384" s="393"/>
      <c r="AA384" s="393"/>
      <c r="AB384" s="393"/>
      <c r="AC384" s="393"/>
      <c r="AD384" s="395"/>
      <c r="AE384" s="396"/>
      <c r="AF384" s="393"/>
      <c r="AG384" s="393"/>
    </row>
    <row r="385" spans="1:33" ht="40" customHeight="1">
      <c r="A385" s="393"/>
      <c r="B385" s="393"/>
      <c r="C385" s="393"/>
      <c r="D385" s="393"/>
      <c r="E385" s="393"/>
      <c r="F385" s="393"/>
      <c r="G385" s="393"/>
      <c r="H385" s="393"/>
      <c r="I385" s="393"/>
      <c r="J385" s="393"/>
      <c r="K385" s="393"/>
      <c r="L385" s="393"/>
      <c r="M385" s="393"/>
      <c r="N385" s="393"/>
      <c r="O385" s="393"/>
      <c r="P385" s="393"/>
      <c r="Q385" s="393"/>
      <c r="R385" s="393"/>
      <c r="S385" s="394"/>
      <c r="T385" s="395"/>
      <c r="U385" s="395"/>
      <c r="V385" s="395"/>
      <c r="W385" s="395"/>
      <c r="X385" s="393"/>
      <c r="Y385" s="393"/>
      <c r="Z385" s="393"/>
      <c r="AA385" s="393"/>
      <c r="AB385" s="393"/>
      <c r="AC385" s="393"/>
      <c r="AD385" s="395"/>
      <c r="AE385" s="396"/>
      <c r="AF385" s="393"/>
      <c r="AG385" s="393"/>
    </row>
    <row r="386" spans="1:33" ht="40" customHeight="1">
      <c r="A386" s="393"/>
      <c r="B386" s="393"/>
      <c r="C386" s="393"/>
      <c r="D386" s="393"/>
      <c r="E386" s="393"/>
      <c r="F386" s="393"/>
      <c r="G386" s="393"/>
      <c r="H386" s="393"/>
      <c r="I386" s="393"/>
      <c r="J386" s="393"/>
      <c r="K386" s="393"/>
      <c r="L386" s="393"/>
      <c r="M386" s="393"/>
      <c r="N386" s="393"/>
      <c r="O386" s="393"/>
      <c r="P386" s="393"/>
      <c r="Q386" s="393"/>
      <c r="R386" s="393"/>
      <c r="S386" s="394"/>
      <c r="T386" s="395"/>
      <c r="U386" s="395"/>
      <c r="V386" s="395"/>
      <c r="W386" s="395"/>
      <c r="X386" s="393"/>
      <c r="Y386" s="393"/>
      <c r="Z386" s="393"/>
      <c r="AA386" s="393"/>
      <c r="AB386" s="393"/>
      <c r="AC386" s="393"/>
      <c r="AD386" s="395"/>
      <c r="AE386" s="396"/>
      <c r="AF386" s="393"/>
      <c r="AG386" s="393"/>
    </row>
    <row r="387" spans="1:33" ht="40" customHeight="1">
      <c r="A387" s="393"/>
      <c r="B387" s="393"/>
      <c r="C387" s="393"/>
      <c r="D387" s="393"/>
      <c r="E387" s="393"/>
      <c r="F387" s="393"/>
      <c r="G387" s="393"/>
      <c r="H387" s="393"/>
      <c r="I387" s="393"/>
      <c r="J387" s="393"/>
      <c r="K387" s="393"/>
      <c r="L387" s="393"/>
      <c r="M387" s="393"/>
      <c r="N387" s="393"/>
      <c r="O387" s="393"/>
      <c r="P387" s="393"/>
      <c r="Q387" s="393"/>
      <c r="R387" s="393"/>
      <c r="S387" s="394"/>
      <c r="T387" s="395"/>
      <c r="U387" s="395"/>
      <c r="V387" s="395"/>
      <c r="W387" s="395"/>
      <c r="X387" s="393"/>
      <c r="Y387" s="393"/>
      <c r="Z387" s="393"/>
      <c r="AA387" s="393"/>
      <c r="AB387" s="393"/>
      <c r="AC387" s="393"/>
      <c r="AD387" s="395"/>
      <c r="AE387" s="396"/>
      <c r="AF387" s="393"/>
      <c r="AG387" s="393"/>
    </row>
    <row r="388" spans="1:33" ht="40" customHeight="1">
      <c r="A388" s="393"/>
      <c r="B388" s="393"/>
      <c r="C388" s="393"/>
      <c r="D388" s="393"/>
      <c r="E388" s="393"/>
      <c r="F388" s="393"/>
      <c r="G388" s="393"/>
      <c r="H388" s="393"/>
      <c r="I388" s="393"/>
      <c r="J388" s="393"/>
      <c r="K388" s="393"/>
      <c r="L388" s="393"/>
      <c r="M388" s="393"/>
      <c r="N388" s="393"/>
      <c r="O388" s="393"/>
      <c r="P388" s="393"/>
      <c r="Q388" s="393"/>
      <c r="R388" s="393"/>
      <c r="S388" s="394"/>
      <c r="T388" s="395"/>
      <c r="U388" s="395"/>
      <c r="V388" s="395"/>
      <c r="W388" s="395"/>
      <c r="X388" s="393"/>
      <c r="Y388" s="393"/>
      <c r="Z388" s="393"/>
      <c r="AA388" s="393"/>
      <c r="AB388" s="393"/>
      <c r="AC388" s="393"/>
      <c r="AD388" s="395"/>
      <c r="AE388" s="396"/>
      <c r="AF388" s="393"/>
      <c r="AG388" s="393"/>
    </row>
    <row r="389" spans="1:33" ht="40" customHeight="1">
      <c r="A389" s="393"/>
      <c r="B389" s="393"/>
      <c r="C389" s="393"/>
      <c r="D389" s="393"/>
      <c r="E389" s="393"/>
      <c r="F389" s="393"/>
      <c r="G389" s="393"/>
      <c r="H389" s="393"/>
      <c r="I389" s="393"/>
      <c r="J389" s="393"/>
      <c r="K389" s="393"/>
      <c r="L389" s="393"/>
      <c r="M389" s="393"/>
      <c r="N389" s="393"/>
      <c r="O389" s="393"/>
      <c r="P389" s="393"/>
      <c r="Q389" s="393"/>
      <c r="R389" s="393"/>
      <c r="S389" s="394"/>
      <c r="T389" s="395"/>
      <c r="U389" s="395"/>
      <c r="V389" s="395"/>
      <c r="W389" s="395"/>
      <c r="X389" s="393"/>
      <c r="Y389" s="393"/>
      <c r="Z389" s="393"/>
      <c r="AA389" s="393"/>
      <c r="AB389" s="393"/>
      <c r="AC389" s="393"/>
      <c r="AD389" s="395"/>
      <c r="AE389" s="396"/>
      <c r="AF389" s="393"/>
      <c r="AG389" s="393"/>
    </row>
    <row r="390" spans="1:33" ht="40" customHeight="1">
      <c r="A390" s="393"/>
      <c r="B390" s="393"/>
      <c r="C390" s="393"/>
      <c r="D390" s="393"/>
      <c r="E390" s="393"/>
      <c r="F390" s="393"/>
      <c r="G390" s="393"/>
      <c r="H390" s="393"/>
      <c r="I390" s="393"/>
      <c r="J390" s="393"/>
      <c r="K390" s="393"/>
      <c r="L390" s="393"/>
      <c r="M390" s="393"/>
      <c r="N390" s="393"/>
      <c r="O390" s="393"/>
      <c r="P390" s="393"/>
      <c r="Q390" s="393"/>
      <c r="R390" s="393"/>
      <c r="S390" s="394"/>
      <c r="T390" s="395"/>
      <c r="U390" s="395"/>
      <c r="V390" s="395"/>
      <c r="W390" s="395"/>
      <c r="X390" s="393"/>
      <c r="Y390" s="393"/>
      <c r="Z390" s="393"/>
      <c r="AA390" s="393"/>
      <c r="AB390" s="393"/>
      <c r="AC390" s="393"/>
      <c r="AD390" s="395"/>
      <c r="AE390" s="396"/>
      <c r="AF390" s="393"/>
      <c r="AG390" s="393"/>
    </row>
    <row r="391" spans="1:33" ht="40" customHeight="1">
      <c r="A391" s="393"/>
      <c r="B391" s="393"/>
      <c r="C391" s="393"/>
      <c r="D391" s="393"/>
      <c r="E391" s="393"/>
      <c r="F391" s="393"/>
      <c r="G391" s="393"/>
      <c r="H391" s="393"/>
      <c r="I391" s="393"/>
      <c r="J391" s="393"/>
      <c r="K391" s="393"/>
      <c r="L391" s="393"/>
      <c r="M391" s="393"/>
      <c r="N391" s="393"/>
      <c r="O391" s="393"/>
      <c r="P391" s="393"/>
      <c r="Q391" s="393"/>
      <c r="R391" s="393"/>
      <c r="S391" s="394"/>
      <c r="T391" s="395"/>
      <c r="U391" s="395"/>
      <c r="V391" s="395"/>
      <c r="W391" s="395"/>
      <c r="X391" s="393"/>
      <c r="Y391" s="393"/>
      <c r="Z391" s="393"/>
      <c r="AA391" s="393"/>
      <c r="AB391" s="393"/>
      <c r="AC391" s="393"/>
      <c r="AD391" s="395"/>
      <c r="AE391" s="396"/>
      <c r="AF391" s="393"/>
      <c r="AG391" s="393"/>
    </row>
    <row r="392" spans="1:33" ht="40" customHeight="1">
      <c r="A392" s="393"/>
      <c r="B392" s="393"/>
      <c r="C392" s="393"/>
      <c r="D392" s="393"/>
      <c r="E392" s="393"/>
      <c r="F392" s="393"/>
      <c r="G392" s="393"/>
      <c r="H392" s="393"/>
      <c r="I392" s="393"/>
      <c r="J392" s="393"/>
      <c r="K392" s="393"/>
      <c r="L392" s="393"/>
      <c r="M392" s="393"/>
      <c r="N392" s="393"/>
      <c r="O392" s="393"/>
      <c r="P392" s="393"/>
      <c r="Q392" s="393"/>
      <c r="R392" s="393"/>
      <c r="S392" s="394"/>
      <c r="T392" s="395"/>
      <c r="U392" s="395"/>
      <c r="V392" s="395"/>
      <c r="W392" s="395"/>
      <c r="X392" s="393"/>
      <c r="Y392" s="393"/>
      <c r="Z392" s="393"/>
      <c r="AA392" s="393"/>
      <c r="AB392" s="393"/>
      <c r="AC392" s="393"/>
      <c r="AD392" s="395"/>
      <c r="AE392" s="396"/>
      <c r="AF392" s="393"/>
      <c r="AG392" s="393"/>
    </row>
    <row r="393" spans="1:33" ht="40" customHeight="1">
      <c r="A393" s="393"/>
      <c r="B393" s="393"/>
      <c r="C393" s="393"/>
      <c r="D393" s="393"/>
      <c r="E393" s="393"/>
      <c r="F393" s="393"/>
      <c r="G393" s="393"/>
      <c r="H393" s="393"/>
      <c r="I393" s="393"/>
      <c r="J393" s="393"/>
      <c r="K393" s="393"/>
      <c r="L393" s="393"/>
      <c r="M393" s="393"/>
      <c r="N393" s="393"/>
      <c r="O393" s="393"/>
      <c r="P393" s="393"/>
      <c r="Q393" s="393"/>
      <c r="R393" s="393"/>
      <c r="S393" s="394"/>
      <c r="T393" s="395"/>
      <c r="U393" s="395"/>
      <c r="V393" s="395"/>
      <c r="W393" s="395"/>
      <c r="X393" s="393"/>
      <c r="Y393" s="393"/>
      <c r="Z393" s="393"/>
      <c r="AA393" s="393"/>
      <c r="AB393" s="393"/>
      <c r="AC393" s="393"/>
      <c r="AD393" s="395"/>
      <c r="AE393" s="396"/>
      <c r="AF393" s="393"/>
      <c r="AG393" s="393"/>
    </row>
    <row r="394" spans="1:33" ht="40" customHeight="1">
      <c r="A394" s="393"/>
      <c r="B394" s="393"/>
      <c r="C394" s="393"/>
      <c r="D394" s="393"/>
      <c r="E394" s="393"/>
      <c r="F394" s="393"/>
      <c r="G394" s="393"/>
      <c r="H394" s="393"/>
      <c r="I394" s="393"/>
      <c r="J394" s="393"/>
      <c r="K394" s="393"/>
      <c r="L394" s="393"/>
      <c r="M394" s="393"/>
      <c r="N394" s="393"/>
      <c r="O394" s="393"/>
      <c r="P394" s="393"/>
      <c r="Q394" s="393"/>
      <c r="R394" s="393"/>
      <c r="S394" s="394"/>
      <c r="T394" s="395"/>
      <c r="U394" s="395"/>
      <c r="V394" s="395"/>
      <c r="W394" s="395"/>
      <c r="X394" s="393"/>
      <c r="Y394" s="393"/>
      <c r="Z394" s="393"/>
      <c r="AA394" s="393"/>
      <c r="AB394" s="393"/>
      <c r="AC394" s="393"/>
      <c r="AD394" s="395"/>
      <c r="AE394" s="396"/>
      <c r="AF394" s="393"/>
      <c r="AG394" s="393"/>
    </row>
    <row r="395" spans="1:33" ht="40" customHeight="1">
      <c r="A395" s="393"/>
      <c r="B395" s="393"/>
      <c r="C395" s="393"/>
      <c r="D395" s="393"/>
      <c r="E395" s="393"/>
      <c r="F395" s="393"/>
      <c r="G395" s="393"/>
      <c r="H395" s="393"/>
      <c r="I395" s="393"/>
      <c r="J395" s="393"/>
      <c r="K395" s="393"/>
      <c r="L395" s="393"/>
      <c r="M395" s="393"/>
      <c r="N395" s="393"/>
      <c r="O395" s="393"/>
      <c r="P395" s="393"/>
      <c r="Q395" s="393"/>
      <c r="R395" s="393"/>
      <c r="S395" s="394"/>
      <c r="T395" s="395"/>
      <c r="U395" s="395"/>
      <c r="V395" s="395"/>
      <c r="W395" s="395"/>
      <c r="X395" s="393"/>
      <c r="Y395" s="393"/>
      <c r="Z395" s="393"/>
      <c r="AA395" s="393"/>
      <c r="AB395" s="393"/>
      <c r="AC395" s="393"/>
      <c r="AD395" s="395"/>
      <c r="AE395" s="396"/>
      <c r="AF395" s="393"/>
      <c r="AG395" s="393"/>
    </row>
    <row r="396" spans="1:33" ht="40" customHeight="1">
      <c r="A396" s="393"/>
      <c r="B396" s="393"/>
      <c r="C396" s="393"/>
      <c r="D396" s="393"/>
      <c r="E396" s="393"/>
      <c r="F396" s="393"/>
      <c r="G396" s="393"/>
      <c r="H396" s="393"/>
      <c r="I396" s="393"/>
      <c r="J396" s="393"/>
      <c r="K396" s="393"/>
      <c r="L396" s="393"/>
      <c r="M396" s="393"/>
      <c r="N396" s="393"/>
      <c r="O396" s="393"/>
      <c r="P396" s="393"/>
      <c r="Q396" s="393"/>
      <c r="R396" s="393"/>
      <c r="S396" s="394"/>
      <c r="T396" s="395"/>
      <c r="U396" s="395"/>
      <c r="V396" s="395"/>
      <c r="W396" s="395"/>
      <c r="X396" s="393"/>
      <c r="Y396" s="393"/>
      <c r="Z396" s="393"/>
      <c r="AA396" s="393"/>
      <c r="AB396" s="393"/>
      <c r="AC396" s="393"/>
      <c r="AD396" s="395"/>
      <c r="AE396" s="396"/>
      <c r="AF396" s="393"/>
      <c r="AG396" s="393"/>
    </row>
    <row r="397" spans="1:33" ht="40" customHeight="1">
      <c r="A397" s="393"/>
      <c r="B397" s="393"/>
      <c r="C397" s="393"/>
      <c r="D397" s="393"/>
      <c r="E397" s="393"/>
      <c r="F397" s="393"/>
      <c r="G397" s="393"/>
      <c r="H397" s="393"/>
      <c r="I397" s="393"/>
      <c r="J397" s="393"/>
      <c r="K397" s="393"/>
      <c r="L397" s="393"/>
      <c r="M397" s="393"/>
      <c r="N397" s="393"/>
      <c r="O397" s="393"/>
      <c r="P397" s="393"/>
      <c r="Q397" s="393"/>
      <c r="R397" s="393"/>
      <c r="S397" s="394"/>
      <c r="T397" s="395"/>
      <c r="U397" s="395"/>
      <c r="V397" s="395"/>
      <c r="W397" s="395"/>
      <c r="X397" s="393"/>
      <c r="Y397" s="393"/>
      <c r="Z397" s="393"/>
      <c r="AA397" s="393"/>
      <c r="AB397" s="393"/>
      <c r="AC397" s="393"/>
      <c r="AD397" s="395"/>
      <c r="AE397" s="396"/>
      <c r="AF397" s="393"/>
      <c r="AG397" s="393"/>
    </row>
    <row r="398" spans="1:33" ht="40" customHeight="1">
      <c r="A398" s="393"/>
      <c r="B398" s="393"/>
      <c r="C398" s="393"/>
      <c r="D398" s="393"/>
      <c r="E398" s="393"/>
      <c r="F398" s="393"/>
      <c r="G398" s="393"/>
      <c r="H398" s="393"/>
      <c r="I398" s="393"/>
      <c r="J398" s="393"/>
      <c r="K398" s="393"/>
      <c r="L398" s="393"/>
      <c r="M398" s="393"/>
      <c r="N398" s="393"/>
      <c r="O398" s="393"/>
      <c r="P398" s="393"/>
      <c r="Q398" s="393"/>
      <c r="R398" s="393"/>
      <c r="S398" s="394"/>
      <c r="T398" s="395"/>
      <c r="U398" s="395"/>
      <c r="V398" s="395"/>
      <c r="W398" s="395"/>
      <c r="X398" s="393"/>
      <c r="Y398" s="393"/>
      <c r="Z398" s="393"/>
      <c r="AA398" s="393"/>
      <c r="AB398" s="393"/>
      <c r="AC398" s="393"/>
      <c r="AD398" s="395"/>
      <c r="AE398" s="396"/>
      <c r="AF398" s="393"/>
      <c r="AG398" s="393"/>
    </row>
    <row r="399" spans="1:33" ht="40" customHeight="1">
      <c r="A399" s="393"/>
      <c r="B399" s="393"/>
      <c r="C399" s="393"/>
      <c r="D399" s="393"/>
      <c r="E399" s="393"/>
      <c r="F399" s="393"/>
      <c r="G399" s="393"/>
      <c r="H399" s="393"/>
      <c r="I399" s="393"/>
      <c r="J399" s="393"/>
      <c r="K399" s="393"/>
      <c r="L399" s="393"/>
      <c r="M399" s="393"/>
      <c r="N399" s="393"/>
      <c r="O399" s="393"/>
      <c r="P399" s="393"/>
      <c r="Q399" s="393"/>
      <c r="R399" s="393"/>
      <c r="S399" s="394"/>
      <c r="T399" s="395"/>
      <c r="U399" s="395"/>
      <c r="V399" s="395"/>
      <c r="W399" s="395"/>
      <c r="X399" s="393"/>
      <c r="Y399" s="393"/>
      <c r="Z399" s="393"/>
      <c r="AA399" s="393"/>
      <c r="AB399" s="393"/>
      <c r="AC399" s="393"/>
      <c r="AD399" s="395"/>
      <c r="AE399" s="396"/>
      <c r="AF399" s="393"/>
      <c r="AG399" s="393"/>
    </row>
    <row r="400" spans="1:33" ht="40" customHeight="1">
      <c r="A400" s="393"/>
      <c r="B400" s="393"/>
      <c r="C400" s="393"/>
      <c r="D400" s="393"/>
      <c r="E400" s="393"/>
      <c r="F400" s="393"/>
      <c r="G400" s="393"/>
      <c r="H400" s="393"/>
      <c r="I400" s="393"/>
      <c r="J400" s="393"/>
      <c r="K400" s="393"/>
      <c r="L400" s="393"/>
      <c r="M400" s="393"/>
      <c r="N400" s="393"/>
      <c r="O400" s="393"/>
      <c r="P400" s="393"/>
      <c r="Q400" s="393"/>
      <c r="R400" s="393"/>
      <c r="S400" s="394"/>
      <c r="T400" s="395"/>
      <c r="U400" s="395"/>
      <c r="V400" s="395"/>
      <c r="W400" s="395"/>
      <c r="X400" s="393"/>
      <c r="Y400" s="393"/>
      <c r="Z400" s="393"/>
      <c r="AA400" s="393"/>
      <c r="AB400" s="393"/>
      <c r="AC400" s="393"/>
      <c r="AD400" s="395"/>
      <c r="AE400" s="396"/>
      <c r="AF400" s="393"/>
      <c r="AG400" s="393"/>
    </row>
    <row r="401" spans="1:33" ht="40" customHeight="1">
      <c r="A401" s="393"/>
      <c r="B401" s="393"/>
      <c r="C401" s="393"/>
      <c r="D401" s="393"/>
      <c r="E401" s="393"/>
      <c r="F401" s="393"/>
      <c r="G401" s="393"/>
      <c r="H401" s="393"/>
      <c r="I401" s="393"/>
      <c r="J401" s="393"/>
      <c r="K401" s="393"/>
      <c r="L401" s="393"/>
      <c r="M401" s="393"/>
      <c r="N401" s="393"/>
      <c r="O401" s="393"/>
      <c r="P401" s="393"/>
      <c r="Q401" s="393"/>
      <c r="R401" s="393"/>
      <c r="S401" s="394"/>
      <c r="T401" s="395"/>
      <c r="U401" s="395"/>
      <c r="V401" s="395"/>
      <c r="W401" s="395"/>
      <c r="X401" s="393"/>
      <c r="Y401" s="393"/>
      <c r="Z401" s="393"/>
      <c r="AA401" s="393"/>
      <c r="AB401" s="393"/>
      <c r="AC401" s="393"/>
      <c r="AD401" s="395"/>
      <c r="AE401" s="396"/>
      <c r="AF401" s="393"/>
      <c r="AG401" s="393"/>
    </row>
    <row r="402" spans="1:33" ht="40" customHeight="1">
      <c r="A402" s="393"/>
      <c r="B402" s="393"/>
      <c r="C402" s="393"/>
      <c r="D402" s="393"/>
      <c r="E402" s="393"/>
      <c r="F402" s="393"/>
      <c r="G402" s="393"/>
      <c r="H402" s="393"/>
      <c r="I402" s="393"/>
      <c r="J402" s="393"/>
      <c r="K402" s="393"/>
      <c r="L402" s="393"/>
      <c r="M402" s="393"/>
      <c r="N402" s="393"/>
      <c r="O402" s="393"/>
      <c r="P402" s="393"/>
      <c r="Q402" s="393"/>
      <c r="R402" s="393"/>
      <c r="S402" s="394"/>
      <c r="T402" s="395"/>
      <c r="U402" s="395"/>
      <c r="V402" s="395"/>
      <c r="W402" s="395"/>
      <c r="X402" s="393"/>
      <c r="Y402" s="393"/>
      <c r="Z402" s="393"/>
      <c r="AA402" s="393"/>
      <c r="AB402" s="393"/>
      <c r="AC402" s="393"/>
      <c r="AD402" s="395"/>
      <c r="AE402" s="396"/>
      <c r="AF402" s="393"/>
      <c r="AG402" s="393"/>
    </row>
    <row r="403" spans="1:33" ht="40" customHeight="1">
      <c r="A403" s="393"/>
      <c r="B403" s="393"/>
      <c r="C403" s="393"/>
      <c r="D403" s="393"/>
      <c r="E403" s="393"/>
      <c r="F403" s="393"/>
      <c r="G403" s="393"/>
      <c r="H403" s="393"/>
      <c r="I403" s="393"/>
      <c r="J403" s="393"/>
      <c r="K403" s="393"/>
      <c r="L403" s="393"/>
      <c r="M403" s="393"/>
      <c r="N403" s="393"/>
      <c r="O403" s="393"/>
      <c r="P403" s="393"/>
      <c r="Q403" s="393"/>
      <c r="R403" s="393"/>
      <c r="S403" s="394"/>
      <c r="T403" s="395"/>
      <c r="U403" s="395"/>
      <c r="V403" s="395"/>
      <c r="W403" s="395"/>
      <c r="X403" s="393"/>
      <c r="Y403" s="393"/>
      <c r="Z403" s="393"/>
      <c r="AA403" s="393"/>
      <c r="AB403" s="393"/>
      <c r="AC403" s="393"/>
      <c r="AD403" s="395"/>
      <c r="AE403" s="396"/>
      <c r="AF403" s="393"/>
      <c r="AG403" s="393"/>
    </row>
    <row r="404" spans="1:33" ht="40" customHeight="1">
      <c r="A404" s="393"/>
      <c r="B404" s="393"/>
      <c r="C404" s="393"/>
      <c r="D404" s="393"/>
      <c r="E404" s="393"/>
      <c r="F404" s="393"/>
      <c r="G404" s="393"/>
      <c r="H404" s="393"/>
      <c r="I404" s="393"/>
      <c r="J404" s="393"/>
      <c r="K404" s="393"/>
      <c r="L404" s="393"/>
      <c r="M404" s="393"/>
      <c r="N404" s="393"/>
      <c r="O404" s="393"/>
      <c r="P404" s="393"/>
      <c r="Q404" s="393"/>
      <c r="R404" s="393"/>
      <c r="S404" s="394"/>
      <c r="T404" s="395"/>
      <c r="U404" s="395"/>
      <c r="V404" s="395"/>
      <c r="W404" s="395"/>
      <c r="X404" s="393"/>
      <c r="Y404" s="393"/>
      <c r="Z404" s="393"/>
      <c r="AA404" s="393"/>
      <c r="AB404" s="393"/>
      <c r="AC404" s="393"/>
      <c r="AD404" s="395"/>
      <c r="AE404" s="396"/>
      <c r="AF404" s="393"/>
      <c r="AG404" s="393"/>
    </row>
    <row r="405" spans="1:33" ht="40" customHeight="1">
      <c r="A405" s="393"/>
      <c r="B405" s="393"/>
      <c r="C405" s="393"/>
      <c r="D405" s="393"/>
      <c r="E405" s="393"/>
      <c r="F405" s="393"/>
      <c r="G405" s="393"/>
      <c r="H405" s="393"/>
      <c r="I405" s="393"/>
      <c r="J405" s="393"/>
      <c r="K405" s="393"/>
      <c r="L405" s="393"/>
      <c r="M405" s="393"/>
      <c r="N405" s="393"/>
      <c r="O405" s="393"/>
      <c r="P405" s="393"/>
      <c r="Q405" s="393"/>
      <c r="R405" s="393"/>
      <c r="S405" s="394"/>
      <c r="T405" s="395"/>
      <c r="U405" s="395"/>
      <c r="V405" s="395"/>
      <c r="W405" s="395"/>
      <c r="X405" s="393"/>
      <c r="Y405" s="393"/>
      <c r="Z405" s="393"/>
      <c r="AA405" s="393"/>
      <c r="AB405" s="393"/>
      <c r="AC405" s="393"/>
      <c r="AD405" s="395"/>
      <c r="AE405" s="396"/>
      <c r="AF405" s="393"/>
      <c r="AG405" s="393"/>
    </row>
    <row r="406" spans="1:33" ht="40" customHeight="1">
      <c r="A406" s="393"/>
      <c r="B406" s="393"/>
      <c r="C406" s="393"/>
      <c r="D406" s="393"/>
      <c r="E406" s="393"/>
      <c r="F406" s="393"/>
      <c r="G406" s="393"/>
      <c r="H406" s="393"/>
      <c r="I406" s="393"/>
      <c r="J406" s="393"/>
      <c r="K406" s="393"/>
      <c r="L406" s="393"/>
      <c r="M406" s="393"/>
      <c r="N406" s="393"/>
      <c r="O406" s="393"/>
      <c r="P406" s="393"/>
      <c r="Q406" s="393"/>
      <c r="R406" s="393"/>
      <c r="S406" s="394"/>
      <c r="T406" s="395"/>
      <c r="U406" s="395"/>
      <c r="V406" s="395"/>
      <c r="W406" s="395"/>
      <c r="X406" s="393"/>
      <c r="Y406" s="393"/>
      <c r="Z406" s="393"/>
      <c r="AA406" s="393"/>
      <c r="AB406" s="393"/>
      <c r="AC406" s="393"/>
      <c r="AD406" s="395"/>
      <c r="AE406" s="396"/>
      <c r="AF406" s="393"/>
      <c r="AG406" s="393"/>
    </row>
    <row r="407" spans="1:33" ht="40" customHeight="1">
      <c r="A407" s="393"/>
      <c r="B407" s="393"/>
      <c r="C407" s="393"/>
      <c r="D407" s="393"/>
      <c r="E407" s="393"/>
      <c r="F407" s="393"/>
      <c r="G407" s="393"/>
      <c r="H407" s="393"/>
      <c r="I407" s="393"/>
      <c r="J407" s="393"/>
      <c r="K407" s="393"/>
      <c r="L407" s="393"/>
      <c r="M407" s="393"/>
      <c r="N407" s="393"/>
      <c r="O407" s="393"/>
      <c r="P407" s="393"/>
      <c r="Q407" s="393"/>
      <c r="R407" s="393"/>
      <c r="S407" s="394"/>
      <c r="T407" s="395"/>
      <c r="U407" s="395"/>
      <c r="V407" s="395"/>
      <c r="W407" s="395"/>
      <c r="X407" s="393"/>
      <c r="Y407" s="393"/>
      <c r="Z407" s="393"/>
      <c r="AA407" s="393"/>
      <c r="AB407" s="393"/>
      <c r="AC407" s="393"/>
      <c r="AD407" s="395"/>
      <c r="AE407" s="396"/>
      <c r="AF407" s="393"/>
      <c r="AG407" s="393"/>
    </row>
    <row r="408" spans="1:33" ht="40" customHeight="1">
      <c r="Y408" s="390"/>
      <c r="Z408" s="390"/>
      <c r="AA408" s="391"/>
      <c r="AB408" s="392"/>
    </row>
  </sheetData>
  <sheetProtection algorithmName="SHA-512" hashValue="KRSAD655puJpf+t94HHZ/MY7L2xan52o/VoQ6H1SvVma8ZkdxHJD26COADQ98YJBh1Hp/u2e8K5SOaGqWIC9Ig==" saltValue="Q3Bt4gP8Iw0dAUTogt1FZg==" spinCount="100000" sheet="1" objects="1" scenarios="1"/>
  <dataValidations count="21">
    <dataValidation type="list" allowBlank="1" showErrorMessage="1" sqref="N2" xr:uid="{8C119E06-064F-4D70-9622-1B62BD8EC4C3}">
      <formula1>Delivery_Process_Model</formula1>
    </dataValidation>
    <dataValidation type="list" allowBlank="1" showInputMessage="1" showErrorMessage="1" sqref="V81:V84 V35 V13:V19 V2:V10 V25:V28" xr:uid="{8318B8ED-51C6-440C-9ED6-0976BCF787E3}">
      <formula1>Governance_Level</formula1>
    </dataValidation>
    <dataValidation type="list" allowBlank="1" showInputMessage="1" showErrorMessage="1" sqref="U2:U79 U81:U88" xr:uid="{FBC05F04-7403-44BC-A70A-590C9BDC1EE1}">
      <formula1>"Yes"</formula1>
    </dataValidation>
    <dataValidation type="list" allowBlank="1" showInputMessage="1" showErrorMessage="1" sqref="A3:A8" xr:uid="{FA9E1B41-4B13-405D-A9A3-B0E77E86A0ED}">
      <formula1>"Business Objective,Process Objective, SubProcess Objective"</formula1>
    </dataValidation>
    <dataValidation type="list" allowBlank="1" showInputMessage="1" showErrorMessage="1" sqref="A2 A9:A88" xr:uid="{6D86AFA6-9B01-44A5-829C-EADAB0CCEA67}">
      <formula1>"Business Objective,Process Objective, Sub-process Objective"</formula1>
    </dataValidation>
    <dataValidation type="list" allowBlank="1" showInputMessage="1" showErrorMessage="1" sqref="K2:K88" xr:uid="{85BDB01C-0369-4B17-BAC6-C289E9913886}">
      <formula1>Metric_Type</formula1>
    </dataValidation>
    <dataValidation type="list" allowBlank="1" showInputMessage="1" showErrorMessage="1" sqref="T2:T88" xr:uid="{2976A82E-FBC5-459A-ABE2-8D99D5DB0F4D}">
      <formula1>"M,R,C,O"</formula1>
    </dataValidation>
    <dataValidation type="list" allowBlank="1" showInputMessage="1" showErrorMessage="1" sqref="L2:L88" xr:uid="{A17700E2-B9C3-431C-A240-1F95C47B2628}">
      <formula1>Metric_Intent</formula1>
    </dataValidation>
    <dataValidation type="list" allowBlank="1" showInputMessage="1" showErrorMessage="1" sqref="D2:D1048576" xr:uid="{3254DFC6-4421-4665-B3DD-BF6F62A68056}">
      <formula1>Metric_Category</formula1>
    </dataValidation>
    <dataValidation type="list" allowBlank="1" showInputMessage="1" showErrorMessage="1" sqref="O9:O88" xr:uid="{E09A64FC-96D8-492C-BA9E-BC1687272D55}">
      <formula1>Project_Category</formula1>
    </dataValidation>
    <dataValidation type="list" allowBlank="1" showInputMessage="1" showErrorMessage="1" sqref="N3:N88" xr:uid="{6D0D3683-5AFF-4F78-889B-B59F1929D06F}">
      <formula1>Delivery_Process_Model</formula1>
    </dataValidation>
    <dataValidation type="list" allowBlank="1" showInputMessage="1" showErrorMessage="1" sqref="B2:B88" xr:uid="{96C880FA-F71B-4CD9-A4B4-CFD63F39AC7B}">
      <formula1>IF(A2="Business Objective",Business_Objective,IF(A2="Process Objective",Process_Objective,IF(A2="Sub-process Objective",Sub_process_Objective,"")))</formula1>
    </dataValidation>
    <dataValidation type="list" allowBlank="1" showInputMessage="1" showErrorMessage="1" sqref="C2:C88" xr:uid="{E100B132-055E-485C-B380-322D8A0555A8}">
      <formula1>IF(A2="Process Objective",Business_Objective,IF(A2="Sub-process Objective",Process_Objective,""))</formula1>
    </dataValidation>
    <dataValidation type="list" allowBlank="1" showInputMessage="1" showErrorMessage="1" sqref="AB2:AB15 AA15 AB17:AB88" xr:uid="{5D52A7FD-4444-403A-BB44-F415EF981C4F}">
      <formula1>"Y,N"</formula1>
    </dataValidation>
    <dataValidation type="list" allowBlank="1" showInputMessage="1" showErrorMessage="1" sqref="V11:V12 V85:V88 V29:V80 V20:V24" xr:uid="{E9D3574B-15DF-4BF5-B8F1-CC2F028E1079}">
      <formula1>$BI$2:$BI$4</formula1>
    </dataValidation>
    <dataValidation type="list" allowBlank="1" showInputMessage="1" showErrorMessage="1" sqref="AE2:AE370" xr:uid="{7BDD8408-12B9-4393-B7AB-7949DE46DBDE}">
      <formula1>"Standard,Tailored,Waived,New"</formula1>
    </dataValidation>
    <dataValidation type="list" allowBlank="1" showInputMessage="1" showErrorMessage="1" sqref="AG200:AG370" xr:uid="{8E9B6E1D-7890-42DF-8DDB-1993065B993B}">
      <formula1>"Client Mandate, Formulae/Operational Definition,Metric Level, Metric Name"</formula1>
    </dataValidation>
    <dataValidation type="list" allowBlank="1" showInputMessage="1" showErrorMessage="1" sqref="AF2:AF370" xr:uid="{17AFA569-0945-4F40-8A30-56702E7C8A23}">
      <formula1>$E$2:$E$84</formula1>
    </dataValidation>
    <dataValidation type="list" allowBlank="1" sqref="M1:M1048576" xr:uid="{9CF82389-4937-4E60-9F9D-B231346CBF21}">
      <formula1>Project_Type</formula1>
    </dataValidation>
    <dataValidation type="list" allowBlank="1" showInputMessage="1" sqref="O2:O8" xr:uid="{C80BD7EE-969A-48F5-8D19-6625511E65CF}">
      <formula1>Project_Category</formula1>
    </dataValidation>
    <dataValidation type="list" allowBlank="1" showInputMessage="1" showErrorMessage="1" sqref="AG2:AG199" xr:uid="{D0F7FCE0-E505-4499-861D-55ACFB8BB880}">
      <formula1>"Client Mandate, Formulae/Operational Definition,Metric Level, Metric Name,Linkage to Higher Level Objective &amp; Metric"</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D2F5D-1DD1-46DD-806D-328BE079F8B9}">
  <sheetPr codeName="Sheet13"/>
  <dimension ref="A1:D18"/>
  <sheetViews>
    <sheetView topLeftCell="A7" workbookViewId="0">
      <selection activeCell="A8" sqref="A8:C8"/>
    </sheetView>
  </sheetViews>
  <sheetFormatPr defaultColWidth="9.1796875" defaultRowHeight="12.5"/>
  <cols>
    <col min="1" max="1" width="8.26953125" style="178" customWidth="1"/>
    <col min="2" max="2" width="30.1796875" style="177" customWidth="1"/>
    <col min="3" max="3" width="123" style="177" customWidth="1"/>
    <col min="4" max="4" width="78" style="177" customWidth="1"/>
    <col min="5" max="16384" width="9.1796875" style="2"/>
  </cols>
  <sheetData>
    <row r="1" spans="1:4" ht="13">
      <c r="A1" s="450" t="s">
        <v>1018</v>
      </c>
      <c r="B1" s="451"/>
      <c r="C1" s="451"/>
      <c r="D1" s="452"/>
    </row>
    <row r="2" spans="1:4" ht="13">
      <c r="A2" s="453"/>
      <c r="B2" s="454"/>
      <c r="C2" s="454"/>
      <c r="D2" s="173"/>
    </row>
    <row r="3" spans="1:4" ht="63.65" customHeight="1">
      <c r="A3" s="455" t="s">
        <v>1019</v>
      </c>
      <c r="B3" s="456"/>
      <c r="C3" s="457"/>
    </row>
    <row r="4" spans="1:4" ht="320.14999999999998" customHeight="1">
      <c r="A4" s="448" t="s">
        <v>1020</v>
      </c>
      <c r="B4" s="449"/>
      <c r="C4" s="449"/>
      <c r="D4" s="174"/>
    </row>
    <row r="5" spans="1:4" ht="40.5" customHeight="1">
      <c r="A5" s="458" t="s">
        <v>1021</v>
      </c>
      <c r="B5" s="454"/>
      <c r="C5" s="454"/>
      <c r="D5" s="175"/>
    </row>
    <row r="6" spans="1:4" ht="117.65" customHeight="1">
      <c r="A6" s="448" t="s">
        <v>1022</v>
      </c>
      <c r="B6" s="449"/>
      <c r="C6" s="449"/>
      <c r="D6" s="175"/>
    </row>
    <row r="7" spans="1:4" ht="215.15" customHeight="1">
      <c r="A7" s="448" t="s">
        <v>1023</v>
      </c>
      <c r="B7" s="449"/>
      <c r="C7" s="449"/>
      <c r="D7" s="175"/>
    </row>
    <row r="8" spans="1:4" ht="58.5" customHeight="1" thickBot="1">
      <c r="A8" s="461" t="s">
        <v>1024</v>
      </c>
      <c r="B8" s="462"/>
      <c r="C8" s="462"/>
      <c r="D8" s="176"/>
    </row>
    <row r="9" spans="1:4">
      <c r="A9" s="459"/>
      <c r="B9" s="460"/>
      <c r="C9" s="460"/>
    </row>
    <row r="10" spans="1:4">
      <c r="A10" s="459"/>
      <c r="B10" s="460"/>
      <c r="C10" s="460"/>
    </row>
    <row r="11" spans="1:4">
      <c r="A11" s="459"/>
      <c r="B11" s="460"/>
      <c r="C11" s="460"/>
    </row>
    <row r="12" spans="1:4">
      <c r="A12" s="459"/>
      <c r="B12" s="460"/>
      <c r="C12" s="460"/>
    </row>
    <row r="13" spans="1:4">
      <c r="A13" s="459"/>
      <c r="B13" s="460"/>
      <c r="C13" s="460"/>
    </row>
    <row r="14" spans="1:4">
      <c r="A14" s="459"/>
      <c r="B14" s="460"/>
      <c r="C14" s="460"/>
    </row>
    <row r="15" spans="1:4">
      <c r="A15" s="459"/>
      <c r="B15" s="460"/>
      <c r="C15" s="460"/>
    </row>
    <row r="16" spans="1:4">
      <c r="A16" s="459"/>
      <c r="B16" s="460"/>
      <c r="C16" s="460"/>
    </row>
    <row r="17" spans="1:3" s="177" customFormat="1">
      <c r="A17" s="459"/>
      <c r="B17" s="460"/>
      <c r="C17" s="460"/>
    </row>
    <row r="18" spans="1:3" s="177" customFormat="1">
      <c r="A18" s="459"/>
      <c r="B18" s="460"/>
      <c r="C18" s="460"/>
    </row>
  </sheetData>
  <mergeCells count="18">
    <mergeCell ref="A18:C18"/>
    <mergeCell ref="A7:C7"/>
    <mergeCell ref="A8:C8"/>
    <mergeCell ref="A9:C9"/>
    <mergeCell ref="A10:C10"/>
    <mergeCell ref="A11:C11"/>
    <mergeCell ref="A12:C12"/>
    <mergeCell ref="A13:C13"/>
    <mergeCell ref="A14:C14"/>
    <mergeCell ref="A15:C15"/>
    <mergeCell ref="A16:C16"/>
    <mergeCell ref="A17:C17"/>
    <mergeCell ref="A6:C6"/>
    <mergeCell ref="A1:D1"/>
    <mergeCell ref="A2:C2"/>
    <mergeCell ref="A3:C3"/>
    <mergeCell ref="A4:C4"/>
    <mergeCell ref="A5:C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FCF6F-E0A8-41E2-9152-75ABFDC9FB98}">
  <sheetPr codeName="Sheet5"/>
  <dimension ref="B1:H16"/>
  <sheetViews>
    <sheetView showGridLines="0" topLeftCell="A3" workbookViewId="0">
      <selection activeCell="F16" sqref="F16:H16"/>
    </sheetView>
  </sheetViews>
  <sheetFormatPr defaultRowHeight="12.5"/>
  <cols>
    <col min="1" max="1" width="1.26953125" style="42" customWidth="1"/>
    <col min="2" max="2" width="8.7265625" style="42" customWidth="1"/>
    <col min="3" max="3" width="14.26953125" style="42" customWidth="1"/>
    <col min="4" max="4" width="13.26953125" style="42" customWidth="1"/>
    <col min="5" max="5" width="17.54296875" style="42" customWidth="1"/>
    <col min="6" max="6" width="26.1796875" style="42" customWidth="1"/>
    <col min="7" max="7" width="33.7265625" style="42" customWidth="1"/>
    <col min="8" max="8" width="7.26953125" style="42" customWidth="1"/>
    <col min="9" max="256" width="9.1796875" style="42"/>
    <col min="257" max="257" width="1.26953125" style="42" customWidth="1"/>
    <col min="258" max="258" width="8.7265625" style="42" customWidth="1"/>
    <col min="259" max="259" width="14.26953125" style="42" customWidth="1"/>
    <col min="260" max="260" width="13.26953125" style="42" customWidth="1"/>
    <col min="261" max="261" width="17.54296875" style="42" customWidth="1"/>
    <col min="262" max="262" width="26.1796875" style="42" customWidth="1"/>
    <col min="263" max="263" width="33.7265625" style="42" customWidth="1"/>
    <col min="264" max="264" width="7.26953125" style="42" customWidth="1"/>
    <col min="265" max="512" width="9.1796875" style="42"/>
    <col min="513" max="513" width="1.26953125" style="42" customWidth="1"/>
    <col min="514" max="514" width="8.7265625" style="42" customWidth="1"/>
    <col min="515" max="515" width="14.26953125" style="42" customWidth="1"/>
    <col min="516" max="516" width="13.26953125" style="42" customWidth="1"/>
    <col min="517" max="517" width="17.54296875" style="42" customWidth="1"/>
    <col min="518" max="518" width="26.1796875" style="42" customWidth="1"/>
    <col min="519" max="519" width="33.7265625" style="42" customWidth="1"/>
    <col min="520" max="520" width="7.26953125" style="42" customWidth="1"/>
    <col min="521" max="768" width="9.1796875" style="42"/>
    <col min="769" max="769" width="1.26953125" style="42" customWidth="1"/>
    <col min="770" max="770" width="8.7265625" style="42" customWidth="1"/>
    <col min="771" max="771" width="14.26953125" style="42" customWidth="1"/>
    <col min="772" max="772" width="13.26953125" style="42" customWidth="1"/>
    <col min="773" max="773" width="17.54296875" style="42" customWidth="1"/>
    <col min="774" max="774" width="26.1796875" style="42" customWidth="1"/>
    <col min="775" max="775" width="33.7265625" style="42" customWidth="1"/>
    <col min="776" max="776" width="7.26953125" style="42" customWidth="1"/>
    <col min="777" max="1024" width="9.1796875" style="42"/>
    <col min="1025" max="1025" width="1.26953125" style="42" customWidth="1"/>
    <col min="1026" max="1026" width="8.7265625" style="42" customWidth="1"/>
    <col min="1027" max="1027" width="14.26953125" style="42" customWidth="1"/>
    <col min="1028" max="1028" width="13.26953125" style="42" customWidth="1"/>
    <col min="1029" max="1029" width="17.54296875" style="42" customWidth="1"/>
    <col min="1030" max="1030" width="26.1796875" style="42" customWidth="1"/>
    <col min="1031" max="1031" width="33.7265625" style="42" customWidth="1"/>
    <col min="1032" max="1032" width="7.26953125" style="42" customWidth="1"/>
    <col min="1033" max="1280" width="9.1796875" style="42"/>
    <col min="1281" max="1281" width="1.26953125" style="42" customWidth="1"/>
    <col min="1282" max="1282" width="8.7265625" style="42" customWidth="1"/>
    <col min="1283" max="1283" width="14.26953125" style="42" customWidth="1"/>
    <col min="1284" max="1284" width="13.26953125" style="42" customWidth="1"/>
    <col min="1285" max="1285" width="17.54296875" style="42" customWidth="1"/>
    <col min="1286" max="1286" width="26.1796875" style="42" customWidth="1"/>
    <col min="1287" max="1287" width="33.7265625" style="42" customWidth="1"/>
    <col min="1288" max="1288" width="7.26953125" style="42" customWidth="1"/>
    <col min="1289" max="1536" width="9.1796875" style="42"/>
    <col min="1537" max="1537" width="1.26953125" style="42" customWidth="1"/>
    <col min="1538" max="1538" width="8.7265625" style="42" customWidth="1"/>
    <col min="1539" max="1539" width="14.26953125" style="42" customWidth="1"/>
    <col min="1540" max="1540" width="13.26953125" style="42" customWidth="1"/>
    <col min="1541" max="1541" width="17.54296875" style="42" customWidth="1"/>
    <col min="1542" max="1542" width="26.1796875" style="42" customWidth="1"/>
    <col min="1543" max="1543" width="33.7265625" style="42" customWidth="1"/>
    <col min="1544" max="1544" width="7.26953125" style="42" customWidth="1"/>
    <col min="1545" max="1792" width="9.1796875" style="42"/>
    <col min="1793" max="1793" width="1.26953125" style="42" customWidth="1"/>
    <col min="1794" max="1794" width="8.7265625" style="42" customWidth="1"/>
    <col min="1795" max="1795" width="14.26953125" style="42" customWidth="1"/>
    <col min="1796" max="1796" width="13.26953125" style="42" customWidth="1"/>
    <col min="1797" max="1797" width="17.54296875" style="42" customWidth="1"/>
    <col min="1798" max="1798" width="26.1796875" style="42" customWidth="1"/>
    <col min="1799" max="1799" width="33.7265625" style="42" customWidth="1"/>
    <col min="1800" max="1800" width="7.26953125" style="42" customWidth="1"/>
    <col min="1801" max="2048" width="9.1796875" style="42"/>
    <col min="2049" max="2049" width="1.26953125" style="42" customWidth="1"/>
    <col min="2050" max="2050" width="8.7265625" style="42" customWidth="1"/>
    <col min="2051" max="2051" width="14.26953125" style="42" customWidth="1"/>
    <col min="2052" max="2052" width="13.26953125" style="42" customWidth="1"/>
    <col min="2053" max="2053" width="17.54296875" style="42" customWidth="1"/>
    <col min="2054" max="2054" width="26.1796875" style="42" customWidth="1"/>
    <col min="2055" max="2055" width="33.7265625" style="42" customWidth="1"/>
    <col min="2056" max="2056" width="7.26953125" style="42" customWidth="1"/>
    <col min="2057" max="2304" width="9.1796875" style="42"/>
    <col min="2305" max="2305" width="1.26953125" style="42" customWidth="1"/>
    <col min="2306" max="2306" width="8.7265625" style="42" customWidth="1"/>
    <col min="2307" max="2307" width="14.26953125" style="42" customWidth="1"/>
    <col min="2308" max="2308" width="13.26953125" style="42" customWidth="1"/>
    <col min="2309" max="2309" width="17.54296875" style="42" customWidth="1"/>
    <col min="2310" max="2310" width="26.1796875" style="42" customWidth="1"/>
    <col min="2311" max="2311" width="33.7265625" style="42" customWidth="1"/>
    <col min="2312" max="2312" width="7.26953125" style="42" customWidth="1"/>
    <col min="2313" max="2560" width="9.1796875" style="42"/>
    <col min="2561" max="2561" width="1.26953125" style="42" customWidth="1"/>
    <col min="2562" max="2562" width="8.7265625" style="42" customWidth="1"/>
    <col min="2563" max="2563" width="14.26953125" style="42" customWidth="1"/>
    <col min="2564" max="2564" width="13.26953125" style="42" customWidth="1"/>
    <col min="2565" max="2565" width="17.54296875" style="42" customWidth="1"/>
    <col min="2566" max="2566" width="26.1796875" style="42" customWidth="1"/>
    <col min="2567" max="2567" width="33.7265625" style="42" customWidth="1"/>
    <col min="2568" max="2568" width="7.26953125" style="42" customWidth="1"/>
    <col min="2569" max="2816" width="9.1796875" style="42"/>
    <col min="2817" max="2817" width="1.26953125" style="42" customWidth="1"/>
    <col min="2818" max="2818" width="8.7265625" style="42" customWidth="1"/>
    <col min="2819" max="2819" width="14.26953125" style="42" customWidth="1"/>
    <col min="2820" max="2820" width="13.26953125" style="42" customWidth="1"/>
    <col min="2821" max="2821" width="17.54296875" style="42" customWidth="1"/>
    <col min="2822" max="2822" width="26.1796875" style="42" customWidth="1"/>
    <col min="2823" max="2823" width="33.7265625" style="42" customWidth="1"/>
    <col min="2824" max="2824" width="7.26953125" style="42" customWidth="1"/>
    <col min="2825" max="3072" width="9.1796875" style="42"/>
    <col min="3073" max="3073" width="1.26953125" style="42" customWidth="1"/>
    <col min="3074" max="3074" width="8.7265625" style="42" customWidth="1"/>
    <col min="3075" max="3075" width="14.26953125" style="42" customWidth="1"/>
    <col min="3076" max="3076" width="13.26953125" style="42" customWidth="1"/>
    <col min="3077" max="3077" width="17.54296875" style="42" customWidth="1"/>
    <col min="3078" max="3078" width="26.1796875" style="42" customWidth="1"/>
    <col min="3079" max="3079" width="33.7265625" style="42" customWidth="1"/>
    <col min="3080" max="3080" width="7.26953125" style="42" customWidth="1"/>
    <col min="3081" max="3328" width="9.1796875" style="42"/>
    <col min="3329" max="3329" width="1.26953125" style="42" customWidth="1"/>
    <col min="3330" max="3330" width="8.7265625" style="42" customWidth="1"/>
    <col min="3331" max="3331" width="14.26953125" style="42" customWidth="1"/>
    <col min="3332" max="3332" width="13.26953125" style="42" customWidth="1"/>
    <col min="3333" max="3333" width="17.54296875" style="42" customWidth="1"/>
    <col min="3334" max="3334" width="26.1796875" style="42" customWidth="1"/>
    <col min="3335" max="3335" width="33.7265625" style="42" customWidth="1"/>
    <col min="3336" max="3336" width="7.26953125" style="42" customWidth="1"/>
    <col min="3337" max="3584" width="9.1796875" style="42"/>
    <col min="3585" max="3585" width="1.26953125" style="42" customWidth="1"/>
    <col min="3586" max="3586" width="8.7265625" style="42" customWidth="1"/>
    <col min="3587" max="3587" width="14.26953125" style="42" customWidth="1"/>
    <col min="3588" max="3588" width="13.26953125" style="42" customWidth="1"/>
    <col min="3589" max="3589" width="17.54296875" style="42" customWidth="1"/>
    <col min="3590" max="3590" width="26.1796875" style="42" customWidth="1"/>
    <col min="3591" max="3591" width="33.7265625" style="42" customWidth="1"/>
    <col min="3592" max="3592" width="7.26953125" style="42" customWidth="1"/>
    <col min="3593" max="3840" width="9.1796875" style="42"/>
    <col min="3841" max="3841" width="1.26953125" style="42" customWidth="1"/>
    <col min="3842" max="3842" width="8.7265625" style="42" customWidth="1"/>
    <col min="3843" max="3843" width="14.26953125" style="42" customWidth="1"/>
    <col min="3844" max="3844" width="13.26953125" style="42" customWidth="1"/>
    <col min="3845" max="3845" width="17.54296875" style="42" customWidth="1"/>
    <col min="3846" max="3846" width="26.1796875" style="42" customWidth="1"/>
    <col min="3847" max="3847" width="33.7265625" style="42" customWidth="1"/>
    <col min="3848" max="3848" width="7.26953125" style="42" customWidth="1"/>
    <col min="3849" max="4096" width="9.1796875" style="42"/>
    <col min="4097" max="4097" width="1.26953125" style="42" customWidth="1"/>
    <col min="4098" max="4098" width="8.7265625" style="42" customWidth="1"/>
    <col min="4099" max="4099" width="14.26953125" style="42" customWidth="1"/>
    <col min="4100" max="4100" width="13.26953125" style="42" customWidth="1"/>
    <col min="4101" max="4101" width="17.54296875" style="42" customWidth="1"/>
    <col min="4102" max="4102" width="26.1796875" style="42" customWidth="1"/>
    <col min="4103" max="4103" width="33.7265625" style="42" customWidth="1"/>
    <col min="4104" max="4104" width="7.26953125" style="42" customWidth="1"/>
    <col min="4105" max="4352" width="9.1796875" style="42"/>
    <col min="4353" max="4353" width="1.26953125" style="42" customWidth="1"/>
    <col min="4354" max="4354" width="8.7265625" style="42" customWidth="1"/>
    <col min="4355" max="4355" width="14.26953125" style="42" customWidth="1"/>
    <col min="4356" max="4356" width="13.26953125" style="42" customWidth="1"/>
    <col min="4357" max="4357" width="17.54296875" style="42" customWidth="1"/>
    <col min="4358" max="4358" width="26.1796875" style="42" customWidth="1"/>
    <col min="4359" max="4359" width="33.7265625" style="42" customWidth="1"/>
    <col min="4360" max="4360" width="7.26953125" style="42" customWidth="1"/>
    <col min="4361" max="4608" width="9.1796875" style="42"/>
    <col min="4609" max="4609" width="1.26953125" style="42" customWidth="1"/>
    <col min="4610" max="4610" width="8.7265625" style="42" customWidth="1"/>
    <col min="4611" max="4611" width="14.26953125" style="42" customWidth="1"/>
    <col min="4612" max="4612" width="13.26953125" style="42" customWidth="1"/>
    <col min="4613" max="4613" width="17.54296875" style="42" customWidth="1"/>
    <col min="4614" max="4614" width="26.1796875" style="42" customWidth="1"/>
    <col min="4615" max="4615" width="33.7265625" style="42" customWidth="1"/>
    <col min="4616" max="4616" width="7.26953125" style="42" customWidth="1"/>
    <col min="4617" max="4864" width="9.1796875" style="42"/>
    <col min="4865" max="4865" width="1.26953125" style="42" customWidth="1"/>
    <col min="4866" max="4866" width="8.7265625" style="42" customWidth="1"/>
    <col min="4867" max="4867" width="14.26953125" style="42" customWidth="1"/>
    <col min="4868" max="4868" width="13.26953125" style="42" customWidth="1"/>
    <col min="4869" max="4869" width="17.54296875" style="42" customWidth="1"/>
    <col min="4870" max="4870" width="26.1796875" style="42" customWidth="1"/>
    <col min="4871" max="4871" width="33.7265625" style="42" customWidth="1"/>
    <col min="4872" max="4872" width="7.26953125" style="42" customWidth="1"/>
    <col min="4873" max="5120" width="9.1796875" style="42"/>
    <col min="5121" max="5121" width="1.26953125" style="42" customWidth="1"/>
    <col min="5122" max="5122" width="8.7265625" style="42" customWidth="1"/>
    <col min="5123" max="5123" width="14.26953125" style="42" customWidth="1"/>
    <col min="5124" max="5124" width="13.26953125" style="42" customWidth="1"/>
    <col min="5125" max="5125" width="17.54296875" style="42" customWidth="1"/>
    <col min="5126" max="5126" width="26.1796875" style="42" customWidth="1"/>
    <col min="5127" max="5127" width="33.7265625" style="42" customWidth="1"/>
    <col min="5128" max="5128" width="7.26953125" style="42" customWidth="1"/>
    <col min="5129" max="5376" width="9.1796875" style="42"/>
    <col min="5377" max="5377" width="1.26953125" style="42" customWidth="1"/>
    <col min="5378" max="5378" width="8.7265625" style="42" customWidth="1"/>
    <col min="5379" max="5379" width="14.26953125" style="42" customWidth="1"/>
    <col min="5380" max="5380" width="13.26953125" style="42" customWidth="1"/>
    <col min="5381" max="5381" width="17.54296875" style="42" customWidth="1"/>
    <col min="5382" max="5382" width="26.1796875" style="42" customWidth="1"/>
    <col min="5383" max="5383" width="33.7265625" style="42" customWidth="1"/>
    <col min="5384" max="5384" width="7.26953125" style="42" customWidth="1"/>
    <col min="5385" max="5632" width="9.1796875" style="42"/>
    <col min="5633" max="5633" width="1.26953125" style="42" customWidth="1"/>
    <col min="5634" max="5634" width="8.7265625" style="42" customWidth="1"/>
    <col min="5635" max="5635" width="14.26953125" style="42" customWidth="1"/>
    <col min="5636" max="5636" width="13.26953125" style="42" customWidth="1"/>
    <col min="5637" max="5637" width="17.54296875" style="42" customWidth="1"/>
    <col min="5638" max="5638" width="26.1796875" style="42" customWidth="1"/>
    <col min="5639" max="5639" width="33.7265625" style="42" customWidth="1"/>
    <col min="5640" max="5640" width="7.26953125" style="42" customWidth="1"/>
    <col min="5641" max="5888" width="9.1796875" style="42"/>
    <col min="5889" max="5889" width="1.26953125" style="42" customWidth="1"/>
    <col min="5890" max="5890" width="8.7265625" style="42" customWidth="1"/>
    <col min="5891" max="5891" width="14.26953125" style="42" customWidth="1"/>
    <col min="5892" max="5892" width="13.26953125" style="42" customWidth="1"/>
    <col min="5893" max="5893" width="17.54296875" style="42" customWidth="1"/>
    <col min="5894" max="5894" width="26.1796875" style="42" customWidth="1"/>
    <col min="5895" max="5895" width="33.7265625" style="42" customWidth="1"/>
    <col min="5896" max="5896" width="7.26953125" style="42" customWidth="1"/>
    <col min="5897" max="6144" width="9.1796875" style="42"/>
    <col min="6145" max="6145" width="1.26953125" style="42" customWidth="1"/>
    <col min="6146" max="6146" width="8.7265625" style="42" customWidth="1"/>
    <col min="6147" max="6147" width="14.26953125" style="42" customWidth="1"/>
    <col min="6148" max="6148" width="13.26953125" style="42" customWidth="1"/>
    <col min="6149" max="6149" width="17.54296875" style="42" customWidth="1"/>
    <col min="6150" max="6150" width="26.1796875" style="42" customWidth="1"/>
    <col min="6151" max="6151" width="33.7265625" style="42" customWidth="1"/>
    <col min="6152" max="6152" width="7.26953125" style="42" customWidth="1"/>
    <col min="6153" max="6400" width="9.1796875" style="42"/>
    <col min="6401" max="6401" width="1.26953125" style="42" customWidth="1"/>
    <col min="6402" max="6402" width="8.7265625" style="42" customWidth="1"/>
    <col min="6403" max="6403" width="14.26953125" style="42" customWidth="1"/>
    <col min="6404" max="6404" width="13.26953125" style="42" customWidth="1"/>
    <col min="6405" max="6405" width="17.54296875" style="42" customWidth="1"/>
    <col min="6406" max="6406" width="26.1796875" style="42" customWidth="1"/>
    <col min="6407" max="6407" width="33.7265625" style="42" customWidth="1"/>
    <col min="6408" max="6408" width="7.26953125" style="42" customWidth="1"/>
    <col min="6409" max="6656" width="9.1796875" style="42"/>
    <col min="6657" max="6657" width="1.26953125" style="42" customWidth="1"/>
    <col min="6658" max="6658" width="8.7265625" style="42" customWidth="1"/>
    <col min="6659" max="6659" width="14.26953125" style="42" customWidth="1"/>
    <col min="6660" max="6660" width="13.26953125" style="42" customWidth="1"/>
    <col min="6661" max="6661" width="17.54296875" style="42" customWidth="1"/>
    <col min="6662" max="6662" width="26.1796875" style="42" customWidth="1"/>
    <col min="6663" max="6663" width="33.7265625" style="42" customWidth="1"/>
    <col min="6664" max="6664" width="7.26953125" style="42" customWidth="1"/>
    <col min="6665" max="6912" width="9.1796875" style="42"/>
    <col min="6913" max="6913" width="1.26953125" style="42" customWidth="1"/>
    <col min="6914" max="6914" width="8.7265625" style="42" customWidth="1"/>
    <col min="6915" max="6915" width="14.26953125" style="42" customWidth="1"/>
    <col min="6916" max="6916" width="13.26953125" style="42" customWidth="1"/>
    <col min="6917" max="6917" width="17.54296875" style="42" customWidth="1"/>
    <col min="6918" max="6918" width="26.1796875" style="42" customWidth="1"/>
    <col min="6919" max="6919" width="33.7265625" style="42" customWidth="1"/>
    <col min="6920" max="6920" width="7.26953125" style="42" customWidth="1"/>
    <col min="6921" max="7168" width="9.1796875" style="42"/>
    <col min="7169" max="7169" width="1.26953125" style="42" customWidth="1"/>
    <col min="7170" max="7170" width="8.7265625" style="42" customWidth="1"/>
    <col min="7171" max="7171" width="14.26953125" style="42" customWidth="1"/>
    <col min="7172" max="7172" width="13.26953125" style="42" customWidth="1"/>
    <col min="7173" max="7173" width="17.54296875" style="42" customWidth="1"/>
    <col min="7174" max="7174" width="26.1796875" style="42" customWidth="1"/>
    <col min="7175" max="7175" width="33.7265625" style="42" customWidth="1"/>
    <col min="7176" max="7176" width="7.26953125" style="42" customWidth="1"/>
    <col min="7177" max="7424" width="9.1796875" style="42"/>
    <col min="7425" max="7425" width="1.26953125" style="42" customWidth="1"/>
    <col min="7426" max="7426" width="8.7265625" style="42" customWidth="1"/>
    <col min="7427" max="7427" width="14.26953125" style="42" customWidth="1"/>
    <col min="7428" max="7428" width="13.26953125" style="42" customWidth="1"/>
    <col min="7429" max="7429" width="17.54296875" style="42" customWidth="1"/>
    <col min="7430" max="7430" width="26.1796875" style="42" customWidth="1"/>
    <col min="7431" max="7431" width="33.7265625" style="42" customWidth="1"/>
    <col min="7432" max="7432" width="7.26953125" style="42" customWidth="1"/>
    <col min="7433" max="7680" width="9.1796875" style="42"/>
    <col min="7681" max="7681" width="1.26953125" style="42" customWidth="1"/>
    <col min="7682" max="7682" width="8.7265625" style="42" customWidth="1"/>
    <col min="7683" max="7683" width="14.26953125" style="42" customWidth="1"/>
    <col min="7684" max="7684" width="13.26953125" style="42" customWidth="1"/>
    <col min="7685" max="7685" width="17.54296875" style="42" customWidth="1"/>
    <col min="7686" max="7686" width="26.1796875" style="42" customWidth="1"/>
    <col min="7687" max="7687" width="33.7265625" style="42" customWidth="1"/>
    <col min="7688" max="7688" width="7.26953125" style="42" customWidth="1"/>
    <col min="7689" max="7936" width="9.1796875" style="42"/>
    <col min="7937" max="7937" width="1.26953125" style="42" customWidth="1"/>
    <col min="7938" max="7938" width="8.7265625" style="42" customWidth="1"/>
    <col min="7939" max="7939" width="14.26953125" style="42" customWidth="1"/>
    <col min="7940" max="7940" width="13.26953125" style="42" customWidth="1"/>
    <col min="7941" max="7941" width="17.54296875" style="42" customWidth="1"/>
    <col min="7942" max="7942" width="26.1796875" style="42" customWidth="1"/>
    <col min="7943" max="7943" width="33.7265625" style="42" customWidth="1"/>
    <col min="7944" max="7944" width="7.26953125" style="42" customWidth="1"/>
    <col min="7945" max="8192" width="9.1796875" style="42"/>
    <col min="8193" max="8193" width="1.26953125" style="42" customWidth="1"/>
    <col min="8194" max="8194" width="8.7265625" style="42" customWidth="1"/>
    <col min="8195" max="8195" width="14.26953125" style="42" customWidth="1"/>
    <col min="8196" max="8196" width="13.26953125" style="42" customWidth="1"/>
    <col min="8197" max="8197" width="17.54296875" style="42" customWidth="1"/>
    <col min="8198" max="8198" width="26.1796875" style="42" customWidth="1"/>
    <col min="8199" max="8199" width="33.7265625" style="42" customWidth="1"/>
    <col min="8200" max="8200" width="7.26953125" style="42" customWidth="1"/>
    <col min="8201" max="8448" width="9.1796875" style="42"/>
    <col min="8449" max="8449" width="1.26953125" style="42" customWidth="1"/>
    <col min="8450" max="8450" width="8.7265625" style="42" customWidth="1"/>
    <col min="8451" max="8451" width="14.26953125" style="42" customWidth="1"/>
    <col min="8452" max="8452" width="13.26953125" style="42" customWidth="1"/>
    <col min="8453" max="8453" width="17.54296875" style="42" customWidth="1"/>
    <col min="8454" max="8454" width="26.1796875" style="42" customWidth="1"/>
    <col min="8455" max="8455" width="33.7265625" style="42" customWidth="1"/>
    <col min="8456" max="8456" width="7.26953125" style="42" customWidth="1"/>
    <col min="8457" max="8704" width="9.1796875" style="42"/>
    <col min="8705" max="8705" width="1.26953125" style="42" customWidth="1"/>
    <col min="8706" max="8706" width="8.7265625" style="42" customWidth="1"/>
    <col min="8707" max="8707" width="14.26953125" style="42" customWidth="1"/>
    <col min="8708" max="8708" width="13.26953125" style="42" customWidth="1"/>
    <col min="8709" max="8709" width="17.54296875" style="42" customWidth="1"/>
    <col min="8710" max="8710" width="26.1796875" style="42" customWidth="1"/>
    <col min="8711" max="8711" width="33.7265625" style="42" customWidth="1"/>
    <col min="8712" max="8712" width="7.26953125" style="42" customWidth="1"/>
    <col min="8713" max="8960" width="9.1796875" style="42"/>
    <col min="8961" max="8961" width="1.26953125" style="42" customWidth="1"/>
    <col min="8962" max="8962" width="8.7265625" style="42" customWidth="1"/>
    <col min="8963" max="8963" width="14.26953125" style="42" customWidth="1"/>
    <col min="8964" max="8964" width="13.26953125" style="42" customWidth="1"/>
    <col min="8965" max="8965" width="17.54296875" style="42" customWidth="1"/>
    <col min="8966" max="8966" width="26.1796875" style="42" customWidth="1"/>
    <col min="8967" max="8967" width="33.7265625" style="42" customWidth="1"/>
    <col min="8968" max="8968" width="7.26953125" style="42" customWidth="1"/>
    <col min="8969" max="9216" width="9.1796875" style="42"/>
    <col min="9217" max="9217" width="1.26953125" style="42" customWidth="1"/>
    <col min="9218" max="9218" width="8.7265625" style="42" customWidth="1"/>
    <col min="9219" max="9219" width="14.26953125" style="42" customWidth="1"/>
    <col min="9220" max="9220" width="13.26953125" style="42" customWidth="1"/>
    <col min="9221" max="9221" width="17.54296875" style="42" customWidth="1"/>
    <col min="9222" max="9222" width="26.1796875" style="42" customWidth="1"/>
    <col min="9223" max="9223" width="33.7265625" style="42" customWidth="1"/>
    <col min="9224" max="9224" width="7.26953125" style="42" customWidth="1"/>
    <col min="9225" max="9472" width="9.1796875" style="42"/>
    <col min="9473" max="9473" width="1.26953125" style="42" customWidth="1"/>
    <col min="9474" max="9474" width="8.7265625" style="42" customWidth="1"/>
    <col min="9475" max="9475" width="14.26953125" style="42" customWidth="1"/>
    <col min="9476" max="9476" width="13.26953125" style="42" customWidth="1"/>
    <col min="9477" max="9477" width="17.54296875" style="42" customWidth="1"/>
    <col min="9478" max="9478" width="26.1796875" style="42" customWidth="1"/>
    <col min="9479" max="9479" width="33.7265625" style="42" customWidth="1"/>
    <col min="9480" max="9480" width="7.26953125" style="42" customWidth="1"/>
    <col min="9481" max="9728" width="9.1796875" style="42"/>
    <col min="9729" max="9729" width="1.26953125" style="42" customWidth="1"/>
    <col min="9730" max="9730" width="8.7265625" style="42" customWidth="1"/>
    <col min="9731" max="9731" width="14.26953125" style="42" customWidth="1"/>
    <col min="9732" max="9732" width="13.26953125" style="42" customWidth="1"/>
    <col min="9733" max="9733" width="17.54296875" style="42" customWidth="1"/>
    <col min="9734" max="9734" width="26.1796875" style="42" customWidth="1"/>
    <col min="9735" max="9735" width="33.7265625" style="42" customWidth="1"/>
    <col min="9736" max="9736" width="7.26953125" style="42" customWidth="1"/>
    <col min="9737" max="9984" width="9.1796875" style="42"/>
    <col min="9985" max="9985" width="1.26953125" style="42" customWidth="1"/>
    <col min="9986" max="9986" width="8.7265625" style="42" customWidth="1"/>
    <col min="9987" max="9987" width="14.26953125" style="42" customWidth="1"/>
    <col min="9988" max="9988" width="13.26953125" style="42" customWidth="1"/>
    <col min="9989" max="9989" width="17.54296875" style="42" customWidth="1"/>
    <col min="9990" max="9990" width="26.1796875" style="42" customWidth="1"/>
    <col min="9991" max="9991" width="33.7265625" style="42" customWidth="1"/>
    <col min="9992" max="9992" width="7.26953125" style="42" customWidth="1"/>
    <col min="9993" max="10240" width="9.1796875" style="42"/>
    <col min="10241" max="10241" width="1.26953125" style="42" customWidth="1"/>
    <col min="10242" max="10242" width="8.7265625" style="42" customWidth="1"/>
    <col min="10243" max="10243" width="14.26953125" style="42" customWidth="1"/>
    <col min="10244" max="10244" width="13.26953125" style="42" customWidth="1"/>
    <col min="10245" max="10245" width="17.54296875" style="42" customWidth="1"/>
    <col min="10246" max="10246" width="26.1796875" style="42" customWidth="1"/>
    <col min="10247" max="10247" width="33.7265625" style="42" customWidth="1"/>
    <col min="10248" max="10248" width="7.26953125" style="42" customWidth="1"/>
    <col min="10249" max="10496" width="9.1796875" style="42"/>
    <col min="10497" max="10497" width="1.26953125" style="42" customWidth="1"/>
    <col min="10498" max="10498" width="8.7265625" style="42" customWidth="1"/>
    <col min="10499" max="10499" width="14.26953125" style="42" customWidth="1"/>
    <col min="10500" max="10500" width="13.26953125" style="42" customWidth="1"/>
    <col min="10501" max="10501" width="17.54296875" style="42" customWidth="1"/>
    <col min="10502" max="10502" width="26.1796875" style="42" customWidth="1"/>
    <col min="10503" max="10503" width="33.7265625" style="42" customWidth="1"/>
    <col min="10504" max="10504" width="7.26953125" style="42" customWidth="1"/>
    <col min="10505" max="10752" width="9.1796875" style="42"/>
    <col min="10753" max="10753" width="1.26953125" style="42" customWidth="1"/>
    <col min="10754" max="10754" width="8.7265625" style="42" customWidth="1"/>
    <col min="10755" max="10755" width="14.26953125" style="42" customWidth="1"/>
    <col min="10756" max="10756" width="13.26953125" style="42" customWidth="1"/>
    <col min="10757" max="10757" width="17.54296875" style="42" customWidth="1"/>
    <col min="10758" max="10758" width="26.1796875" style="42" customWidth="1"/>
    <col min="10759" max="10759" width="33.7265625" style="42" customWidth="1"/>
    <col min="10760" max="10760" width="7.26953125" style="42" customWidth="1"/>
    <col min="10761" max="11008" width="9.1796875" style="42"/>
    <col min="11009" max="11009" width="1.26953125" style="42" customWidth="1"/>
    <col min="11010" max="11010" width="8.7265625" style="42" customWidth="1"/>
    <col min="11011" max="11011" width="14.26953125" style="42" customWidth="1"/>
    <col min="11012" max="11012" width="13.26953125" style="42" customWidth="1"/>
    <col min="11013" max="11013" width="17.54296875" style="42" customWidth="1"/>
    <col min="11014" max="11014" width="26.1796875" style="42" customWidth="1"/>
    <col min="11015" max="11015" width="33.7265625" style="42" customWidth="1"/>
    <col min="11016" max="11016" width="7.26953125" style="42" customWidth="1"/>
    <col min="11017" max="11264" width="9.1796875" style="42"/>
    <col min="11265" max="11265" width="1.26953125" style="42" customWidth="1"/>
    <col min="11266" max="11266" width="8.7265625" style="42" customWidth="1"/>
    <col min="11267" max="11267" width="14.26953125" style="42" customWidth="1"/>
    <col min="11268" max="11268" width="13.26953125" style="42" customWidth="1"/>
    <col min="11269" max="11269" width="17.54296875" style="42" customWidth="1"/>
    <col min="11270" max="11270" width="26.1796875" style="42" customWidth="1"/>
    <col min="11271" max="11271" width="33.7265625" style="42" customWidth="1"/>
    <col min="11272" max="11272" width="7.26953125" style="42" customWidth="1"/>
    <col min="11273" max="11520" width="9.1796875" style="42"/>
    <col min="11521" max="11521" width="1.26953125" style="42" customWidth="1"/>
    <col min="11522" max="11522" width="8.7265625" style="42" customWidth="1"/>
    <col min="11523" max="11523" width="14.26953125" style="42" customWidth="1"/>
    <col min="11524" max="11524" width="13.26953125" style="42" customWidth="1"/>
    <col min="11525" max="11525" width="17.54296875" style="42" customWidth="1"/>
    <col min="11526" max="11526" width="26.1796875" style="42" customWidth="1"/>
    <col min="11527" max="11527" width="33.7265625" style="42" customWidth="1"/>
    <col min="11528" max="11528" width="7.26953125" style="42" customWidth="1"/>
    <col min="11529" max="11776" width="9.1796875" style="42"/>
    <col min="11777" max="11777" width="1.26953125" style="42" customWidth="1"/>
    <col min="11778" max="11778" width="8.7265625" style="42" customWidth="1"/>
    <col min="11779" max="11779" width="14.26953125" style="42" customWidth="1"/>
    <col min="11780" max="11780" width="13.26953125" style="42" customWidth="1"/>
    <col min="11781" max="11781" width="17.54296875" style="42" customWidth="1"/>
    <col min="11782" max="11782" width="26.1796875" style="42" customWidth="1"/>
    <col min="11783" max="11783" width="33.7265625" style="42" customWidth="1"/>
    <col min="11784" max="11784" width="7.26953125" style="42" customWidth="1"/>
    <col min="11785" max="12032" width="9.1796875" style="42"/>
    <col min="12033" max="12033" width="1.26953125" style="42" customWidth="1"/>
    <col min="12034" max="12034" width="8.7265625" style="42" customWidth="1"/>
    <col min="12035" max="12035" width="14.26953125" style="42" customWidth="1"/>
    <col min="12036" max="12036" width="13.26953125" style="42" customWidth="1"/>
    <col min="12037" max="12037" width="17.54296875" style="42" customWidth="1"/>
    <col min="12038" max="12038" width="26.1796875" style="42" customWidth="1"/>
    <col min="12039" max="12039" width="33.7265625" style="42" customWidth="1"/>
    <col min="12040" max="12040" width="7.26953125" style="42" customWidth="1"/>
    <col min="12041" max="12288" width="9.1796875" style="42"/>
    <col min="12289" max="12289" width="1.26953125" style="42" customWidth="1"/>
    <col min="12290" max="12290" width="8.7265625" style="42" customWidth="1"/>
    <col min="12291" max="12291" width="14.26953125" style="42" customWidth="1"/>
    <col min="12292" max="12292" width="13.26953125" style="42" customWidth="1"/>
    <col min="12293" max="12293" width="17.54296875" style="42" customWidth="1"/>
    <col min="12294" max="12294" width="26.1796875" style="42" customWidth="1"/>
    <col min="12295" max="12295" width="33.7265625" style="42" customWidth="1"/>
    <col min="12296" max="12296" width="7.26953125" style="42" customWidth="1"/>
    <col min="12297" max="12544" width="9.1796875" style="42"/>
    <col min="12545" max="12545" width="1.26953125" style="42" customWidth="1"/>
    <col min="12546" max="12546" width="8.7265625" style="42" customWidth="1"/>
    <col min="12547" max="12547" width="14.26953125" style="42" customWidth="1"/>
    <col min="12548" max="12548" width="13.26953125" style="42" customWidth="1"/>
    <col min="12549" max="12549" width="17.54296875" style="42" customWidth="1"/>
    <col min="12550" max="12550" width="26.1796875" style="42" customWidth="1"/>
    <col min="12551" max="12551" width="33.7265625" style="42" customWidth="1"/>
    <col min="12552" max="12552" width="7.26953125" style="42" customWidth="1"/>
    <col min="12553" max="12800" width="9.1796875" style="42"/>
    <col min="12801" max="12801" width="1.26953125" style="42" customWidth="1"/>
    <col min="12802" max="12802" width="8.7265625" style="42" customWidth="1"/>
    <col min="12803" max="12803" width="14.26953125" style="42" customWidth="1"/>
    <col min="12804" max="12804" width="13.26953125" style="42" customWidth="1"/>
    <col min="12805" max="12805" width="17.54296875" style="42" customWidth="1"/>
    <col min="12806" max="12806" width="26.1796875" style="42" customWidth="1"/>
    <col min="12807" max="12807" width="33.7265625" style="42" customWidth="1"/>
    <col min="12808" max="12808" width="7.26953125" style="42" customWidth="1"/>
    <col min="12809" max="13056" width="9.1796875" style="42"/>
    <col min="13057" max="13057" width="1.26953125" style="42" customWidth="1"/>
    <col min="13058" max="13058" width="8.7265625" style="42" customWidth="1"/>
    <col min="13059" max="13059" width="14.26953125" style="42" customWidth="1"/>
    <col min="13060" max="13060" width="13.26953125" style="42" customWidth="1"/>
    <col min="13061" max="13061" width="17.54296875" style="42" customWidth="1"/>
    <col min="13062" max="13062" width="26.1796875" style="42" customWidth="1"/>
    <col min="13063" max="13063" width="33.7265625" style="42" customWidth="1"/>
    <col min="13064" max="13064" width="7.26953125" style="42" customWidth="1"/>
    <col min="13065" max="13312" width="9.1796875" style="42"/>
    <col min="13313" max="13313" width="1.26953125" style="42" customWidth="1"/>
    <col min="13314" max="13314" width="8.7265625" style="42" customWidth="1"/>
    <col min="13315" max="13315" width="14.26953125" style="42" customWidth="1"/>
    <col min="13316" max="13316" width="13.26953125" style="42" customWidth="1"/>
    <col min="13317" max="13317" width="17.54296875" style="42" customWidth="1"/>
    <col min="13318" max="13318" width="26.1796875" style="42" customWidth="1"/>
    <col min="13319" max="13319" width="33.7265625" style="42" customWidth="1"/>
    <col min="13320" max="13320" width="7.26953125" style="42" customWidth="1"/>
    <col min="13321" max="13568" width="9.1796875" style="42"/>
    <col min="13569" max="13569" width="1.26953125" style="42" customWidth="1"/>
    <col min="13570" max="13570" width="8.7265625" style="42" customWidth="1"/>
    <col min="13571" max="13571" width="14.26953125" style="42" customWidth="1"/>
    <col min="13572" max="13572" width="13.26953125" style="42" customWidth="1"/>
    <col min="13573" max="13573" width="17.54296875" style="42" customWidth="1"/>
    <col min="13574" max="13574" width="26.1796875" style="42" customWidth="1"/>
    <col min="13575" max="13575" width="33.7265625" style="42" customWidth="1"/>
    <col min="13576" max="13576" width="7.26953125" style="42" customWidth="1"/>
    <col min="13577" max="13824" width="9.1796875" style="42"/>
    <col min="13825" max="13825" width="1.26953125" style="42" customWidth="1"/>
    <col min="13826" max="13826" width="8.7265625" style="42" customWidth="1"/>
    <col min="13827" max="13827" width="14.26953125" style="42" customWidth="1"/>
    <col min="13828" max="13828" width="13.26953125" style="42" customWidth="1"/>
    <col min="13829" max="13829" width="17.54296875" style="42" customWidth="1"/>
    <col min="13830" max="13830" width="26.1796875" style="42" customWidth="1"/>
    <col min="13831" max="13831" width="33.7265625" style="42" customWidth="1"/>
    <col min="13832" max="13832" width="7.26953125" style="42" customWidth="1"/>
    <col min="13833" max="14080" width="9.1796875" style="42"/>
    <col min="14081" max="14081" width="1.26953125" style="42" customWidth="1"/>
    <col min="14082" max="14082" width="8.7265625" style="42" customWidth="1"/>
    <col min="14083" max="14083" width="14.26953125" style="42" customWidth="1"/>
    <col min="14084" max="14084" width="13.26953125" style="42" customWidth="1"/>
    <col min="14085" max="14085" width="17.54296875" style="42" customWidth="1"/>
    <col min="14086" max="14086" width="26.1796875" style="42" customWidth="1"/>
    <col min="14087" max="14087" width="33.7265625" style="42" customWidth="1"/>
    <col min="14088" max="14088" width="7.26953125" style="42" customWidth="1"/>
    <col min="14089" max="14336" width="9.1796875" style="42"/>
    <col min="14337" max="14337" width="1.26953125" style="42" customWidth="1"/>
    <col min="14338" max="14338" width="8.7265625" style="42" customWidth="1"/>
    <col min="14339" max="14339" width="14.26953125" style="42" customWidth="1"/>
    <col min="14340" max="14340" width="13.26953125" style="42" customWidth="1"/>
    <col min="14341" max="14341" width="17.54296875" style="42" customWidth="1"/>
    <col min="14342" max="14342" width="26.1796875" style="42" customWidth="1"/>
    <col min="14343" max="14343" width="33.7265625" style="42" customWidth="1"/>
    <col min="14344" max="14344" width="7.26953125" style="42" customWidth="1"/>
    <col min="14345" max="14592" width="9.1796875" style="42"/>
    <col min="14593" max="14593" width="1.26953125" style="42" customWidth="1"/>
    <col min="14594" max="14594" width="8.7265625" style="42" customWidth="1"/>
    <col min="14595" max="14595" width="14.26953125" style="42" customWidth="1"/>
    <col min="14596" max="14596" width="13.26953125" style="42" customWidth="1"/>
    <col min="14597" max="14597" width="17.54296875" style="42" customWidth="1"/>
    <col min="14598" max="14598" width="26.1796875" style="42" customWidth="1"/>
    <col min="14599" max="14599" width="33.7265625" style="42" customWidth="1"/>
    <col min="14600" max="14600" width="7.26953125" style="42" customWidth="1"/>
    <col min="14601" max="14848" width="9.1796875" style="42"/>
    <col min="14849" max="14849" width="1.26953125" style="42" customWidth="1"/>
    <col min="14850" max="14850" width="8.7265625" style="42" customWidth="1"/>
    <col min="14851" max="14851" width="14.26953125" style="42" customWidth="1"/>
    <col min="14852" max="14852" width="13.26953125" style="42" customWidth="1"/>
    <col min="14853" max="14853" width="17.54296875" style="42" customWidth="1"/>
    <col min="14854" max="14854" width="26.1796875" style="42" customWidth="1"/>
    <col min="14855" max="14855" width="33.7265625" style="42" customWidth="1"/>
    <col min="14856" max="14856" width="7.26953125" style="42" customWidth="1"/>
    <col min="14857" max="15104" width="9.1796875" style="42"/>
    <col min="15105" max="15105" width="1.26953125" style="42" customWidth="1"/>
    <col min="15106" max="15106" width="8.7265625" style="42" customWidth="1"/>
    <col min="15107" max="15107" width="14.26953125" style="42" customWidth="1"/>
    <col min="15108" max="15108" width="13.26953125" style="42" customWidth="1"/>
    <col min="15109" max="15109" width="17.54296875" style="42" customWidth="1"/>
    <col min="15110" max="15110" width="26.1796875" style="42" customWidth="1"/>
    <col min="15111" max="15111" width="33.7265625" style="42" customWidth="1"/>
    <col min="15112" max="15112" width="7.26953125" style="42" customWidth="1"/>
    <col min="15113" max="15360" width="9.1796875" style="42"/>
    <col min="15361" max="15361" width="1.26953125" style="42" customWidth="1"/>
    <col min="15362" max="15362" width="8.7265625" style="42" customWidth="1"/>
    <col min="15363" max="15363" width="14.26953125" style="42" customWidth="1"/>
    <col min="15364" max="15364" width="13.26953125" style="42" customWidth="1"/>
    <col min="15365" max="15365" width="17.54296875" style="42" customWidth="1"/>
    <col min="15366" max="15366" width="26.1796875" style="42" customWidth="1"/>
    <col min="15367" max="15367" width="33.7265625" style="42" customWidth="1"/>
    <col min="15368" max="15368" width="7.26953125" style="42" customWidth="1"/>
    <col min="15369" max="15616" width="9.1796875" style="42"/>
    <col min="15617" max="15617" width="1.26953125" style="42" customWidth="1"/>
    <col min="15618" max="15618" width="8.7265625" style="42" customWidth="1"/>
    <col min="15619" max="15619" width="14.26953125" style="42" customWidth="1"/>
    <col min="15620" max="15620" width="13.26953125" style="42" customWidth="1"/>
    <col min="15621" max="15621" width="17.54296875" style="42" customWidth="1"/>
    <col min="15622" max="15622" width="26.1796875" style="42" customWidth="1"/>
    <col min="15623" max="15623" width="33.7265625" style="42" customWidth="1"/>
    <col min="15624" max="15624" width="7.26953125" style="42" customWidth="1"/>
    <col min="15625" max="15872" width="9.1796875" style="42"/>
    <col min="15873" max="15873" width="1.26953125" style="42" customWidth="1"/>
    <col min="15874" max="15874" width="8.7265625" style="42" customWidth="1"/>
    <col min="15875" max="15875" width="14.26953125" style="42" customWidth="1"/>
    <col min="15876" max="15876" width="13.26953125" style="42" customWidth="1"/>
    <col min="15877" max="15877" width="17.54296875" style="42" customWidth="1"/>
    <col min="15878" max="15878" width="26.1796875" style="42" customWidth="1"/>
    <col min="15879" max="15879" width="33.7265625" style="42" customWidth="1"/>
    <col min="15880" max="15880" width="7.26953125" style="42" customWidth="1"/>
    <col min="15881" max="16128" width="9.1796875" style="42"/>
    <col min="16129" max="16129" width="1.26953125" style="42" customWidth="1"/>
    <col min="16130" max="16130" width="8.7265625" style="42" customWidth="1"/>
    <col min="16131" max="16131" width="14.26953125" style="42" customWidth="1"/>
    <col min="16132" max="16132" width="13.26953125" style="42" customWidth="1"/>
    <col min="16133" max="16133" width="17.54296875" style="42" customWidth="1"/>
    <col min="16134" max="16134" width="26.1796875" style="42" customWidth="1"/>
    <col min="16135" max="16135" width="33.7265625" style="42" customWidth="1"/>
    <col min="16136" max="16136" width="7.26953125" style="42" customWidth="1"/>
    <col min="16137" max="16384" width="9.1796875" style="42"/>
  </cols>
  <sheetData>
    <row r="1" spans="2:8" ht="18.5" thickTop="1">
      <c r="B1" s="463" t="s">
        <v>1025</v>
      </c>
      <c r="C1" s="464"/>
      <c r="D1" s="464"/>
      <c r="E1" s="50"/>
      <c r="F1" s="51"/>
      <c r="G1" s="51"/>
      <c r="H1" s="52"/>
    </row>
    <row r="2" spans="2:8" ht="18">
      <c r="B2" s="53"/>
      <c r="C2" s="54"/>
      <c r="D2" s="54"/>
      <c r="E2" s="55"/>
      <c r="F2" s="56"/>
      <c r="G2" s="57"/>
      <c r="H2" s="58"/>
    </row>
    <row r="3" spans="2:8" ht="23.25" customHeight="1" thickBot="1">
      <c r="B3" s="465" t="s">
        <v>1026</v>
      </c>
      <c r="C3" s="466"/>
      <c r="D3" s="466"/>
      <c r="E3" s="59"/>
      <c r="F3" s="60"/>
      <c r="G3" s="467" t="str">
        <f>"Template Version " &amp; MAX('Template Revision History'!B3:B51)&amp;" Release Date: "&amp; TEXT(MAX('Template Revision History'!C3:C51),"dd-mmm-yyyy")</f>
        <v>Template Version 3.1 Release Date: 01-Apr-2026</v>
      </c>
      <c r="H3" s="468"/>
    </row>
    <row r="4" spans="2:8" ht="31.9" customHeight="1" thickTop="1">
      <c r="B4" s="61" t="s">
        <v>1027</v>
      </c>
      <c r="C4" s="62"/>
      <c r="D4" s="63"/>
      <c r="E4" s="64"/>
      <c r="F4" s="64"/>
      <c r="G4" s="65"/>
    </row>
    <row r="5" spans="2:8">
      <c r="B5" s="469" t="s">
        <v>1028</v>
      </c>
      <c r="C5" s="470"/>
      <c r="D5" s="471"/>
      <c r="E5" s="472"/>
      <c r="F5" s="66" t="s">
        <v>1029</v>
      </c>
      <c r="G5" s="473"/>
      <c r="H5" s="474"/>
    </row>
    <row r="6" spans="2:8">
      <c r="B6" s="469" t="s">
        <v>1030</v>
      </c>
      <c r="C6" s="470"/>
      <c r="D6" s="471"/>
      <c r="E6" s="475"/>
      <c r="F6" s="66" t="s">
        <v>1031</v>
      </c>
      <c r="G6" s="476"/>
      <c r="H6" s="477"/>
    </row>
    <row r="7" spans="2:8">
      <c r="B7" s="469" t="s">
        <v>1032</v>
      </c>
      <c r="C7" s="470"/>
      <c r="D7" s="471"/>
      <c r="E7" s="475"/>
      <c r="F7" s="66" t="s">
        <v>1033</v>
      </c>
      <c r="G7" s="478"/>
      <c r="H7" s="479"/>
    </row>
    <row r="8" spans="2:8">
      <c r="B8" s="469" t="s">
        <v>1034</v>
      </c>
      <c r="C8" s="470"/>
      <c r="D8" s="471"/>
      <c r="E8" s="475"/>
      <c r="F8" s="66" t="s">
        <v>1035</v>
      </c>
      <c r="G8" s="481"/>
      <c r="H8" s="482"/>
    </row>
    <row r="9" spans="2:8">
      <c r="B9" s="483" t="s">
        <v>1036</v>
      </c>
      <c r="C9" s="484"/>
      <c r="D9" s="485"/>
      <c r="E9" s="486"/>
      <c r="F9" s="66" t="s">
        <v>1037</v>
      </c>
      <c r="G9" s="481"/>
      <c r="H9" s="482"/>
    </row>
    <row r="10" spans="2:8">
      <c r="D10" s="487"/>
      <c r="E10" s="488"/>
      <c r="G10" s="67"/>
      <c r="H10" s="68"/>
    </row>
    <row r="11" spans="2:8" ht="18">
      <c r="B11" s="41" t="s">
        <v>1038</v>
      </c>
      <c r="C11" s="41"/>
    </row>
    <row r="12" spans="2:8">
      <c r="B12" s="43" t="s">
        <v>1039</v>
      </c>
      <c r="C12" s="43" t="s">
        <v>1040</v>
      </c>
      <c r="D12" s="43" t="s">
        <v>1041</v>
      </c>
      <c r="E12" s="43" t="s">
        <v>1730</v>
      </c>
      <c r="F12" s="489" t="s">
        <v>1043</v>
      </c>
      <c r="G12" s="490"/>
      <c r="H12" s="491"/>
    </row>
    <row r="13" spans="2:8">
      <c r="B13" s="45"/>
      <c r="C13" s="69"/>
      <c r="D13" s="70"/>
      <c r="E13" s="70"/>
      <c r="F13" s="471"/>
      <c r="G13" s="480"/>
      <c r="H13" s="475"/>
    </row>
    <row r="14" spans="2:8">
      <c r="B14" s="45"/>
      <c r="C14" s="46"/>
      <c r="D14" s="47"/>
      <c r="E14" s="47"/>
      <c r="F14" s="471"/>
      <c r="G14" s="480"/>
      <c r="H14" s="475"/>
    </row>
    <row r="15" spans="2:8" s="71" customFormat="1" ht="13">
      <c r="B15" s="45"/>
      <c r="C15" s="46"/>
      <c r="D15" s="47"/>
      <c r="E15" s="47"/>
      <c r="F15" s="471"/>
      <c r="G15" s="480"/>
      <c r="H15" s="475"/>
    </row>
    <row r="16" spans="2:8">
      <c r="B16" s="45"/>
      <c r="C16" s="46"/>
      <c r="D16" s="47"/>
      <c r="E16" s="47"/>
      <c r="F16" s="471"/>
      <c r="G16" s="480"/>
      <c r="H16" s="475"/>
    </row>
  </sheetData>
  <mergeCells count="24">
    <mergeCell ref="F16:H16"/>
    <mergeCell ref="B8:C8"/>
    <mergeCell ref="D8:E8"/>
    <mergeCell ref="G8:H8"/>
    <mergeCell ref="B9:C9"/>
    <mergeCell ref="D9:E9"/>
    <mergeCell ref="G9:H9"/>
    <mergeCell ref="D10:E10"/>
    <mergeCell ref="F12:H12"/>
    <mergeCell ref="F13:H13"/>
    <mergeCell ref="F14:H14"/>
    <mergeCell ref="F15:H15"/>
    <mergeCell ref="B6:C6"/>
    <mergeCell ref="D6:E6"/>
    <mergeCell ref="G6:H6"/>
    <mergeCell ref="B7:C7"/>
    <mergeCell ref="D7:E7"/>
    <mergeCell ref="G7:H7"/>
    <mergeCell ref="B1:D1"/>
    <mergeCell ref="B3:D3"/>
    <mergeCell ref="G3:H3"/>
    <mergeCell ref="B5:C5"/>
    <mergeCell ref="D5:E5"/>
    <mergeCell ref="G5:H5"/>
  </mergeCells>
  <pageMargins left="0.75" right="0.75" top="1" bottom="1" header="0.5" footer="0.5"/>
  <pageSetup orientation="portrait" r:id="rId1"/>
  <headerFooter alignWithMargins="0">
    <oddFooter>&amp;CEDS Restricted&amp;RPage &amp;P of &amp;N&amp;FCurrent date &amp;D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FEB36-EBE3-4F2C-A428-A0EEFE848D1C}">
  <sheetPr codeName="Sheet1"/>
  <dimension ref="A1:J164"/>
  <sheetViews>
    <sheetView workbookViewId="0">
      <selection activeCell="A170" sqref="A170"/>
    </sheetView>
  </sheetViews>
  <sheetFormatPr defaultColWidth="8.7265625" defaultRowHeight="14.5"/>
  <cols>
    <col min="1" max="1" width="43.81640625" style="370" customWidth="1"/>
    <col min="2" max="2" width="46.1796875" style="370" customWidth="1"/>
    <col min="3" max="4" width="8.7265625" style="370"/>
    <col min="5" max="5" width="10.54296875" style="374" customWidth="1"/>
    <col min="6" max="6" width="11.453125" style="370" customWidth="1"/>
    <col min="7" max="7" width="16.81640625" style="370" customWidth="1"/>
    <col min="8" max="8" width="17.1796875" style="370" customWidth="1"/>
    <col min="9" max="9" width="24.26953125" style="370" customWidth="1"/>
    <col min="10" max="10" width="82.81640625" style="373" customWidth="1"/>
    <col min="11" max="16384" width="8.7265625" style="370"/>
  </cols>
  <sheetData>
    <row r="1" spans="1:10">
      <c r="A1" s="300" t="s">
        <v>613</v>
      </c>
      <c r="B1" s="301" t="s">
        <v>671</v>
      </c>
      <c r="C1" s="301" t="s">
        <v>607</v>
      </c>
      <c r="D1" s="302" t="s">
        <v>1044</v>
      </c>
      <c r="E1" s="303" t="s">
        <v>1045</v>
      </c>
      <c r="F1" s="304" t="s">
        <v>1046</v>
      </c>
      <c r="G1" s="304" t="s">
        <v>1047</v>
      </c>
      <c r="H1" s="304" t="s">
        <v>1048</v>
      </c>
      <c r="I1" s="247" t="s">
        <v>904</v>
      </c>
      <c r="J1" s="304" t="s">
        <v>1049</v>
      </c>
    </row>
    <row r="2" spans="1:10" ht="29">
      <c r="A2" s="367" t="s">
        <v>31</v>
      </c>
      <c r="B2" s="367" t="s">
        <v>31</v>
      </c>
      <c r="C2" s="367" t="s">
        <v>90</v>
      </c>
      <c r="D2" s="367">
        <v>1</v>
      </c>
      <c r="E2" s="369"/>
      <c r="F2" s="367"/>
      <c r="G2" s="367"/>
      <c r="H2" s="367">
        <v>1</v>
      </c>
      <c r="I2" s="367" t="str">
        <f>_xlfn.IFNA(VLOOKUP(A2,MetricsDefinition!E$1:AE$200,25,FALSE),"")</f>
        <v>D</v>
      </c>
      <c r="J2" s="368" t="s">
        <v>909</v>
      </c>
    </row>
    <row r="3" spans="1:10">
      <c r="A3" s="367" t="s">
        <v>894</v>
      </c>
      <c r="B3" s="367" t="s">
        <v>894</v>
      </c>
      <c r="C3" s="367" t="s">
        <v>90</v>
      </c>
      <c r="D3" s="367">
        <v>1</v>
      </c>
      <c r="E3" s="369"/>
      <c r="F3" s="367"/>
      <c r="G3" s="367"/>
      <c r="H3" s="367">
        <v>1</v>
      </c>
      <c r="I3" s="367" t="str">
        <f>_xlfn.IFNA(VLOOKUP(A3,MetricsDefinition!E$1:AE$200,25,FALSE),"")</f>
        <v>D</v>
      </c>
      <c r="J3" s="368" t="s">
        <v>915</v>
      </c>
    </row>
    <row r="4" spans="1:10">
      <c r="A4" s="367" t="s">
        <v>895</v>
      </c>
      <c r="B4" s="367" t="s">
        <v>895</v>
      </c>
      <c r="C4" s="367" t="s">
        <v>90</v>
      </c>
      <c r="D4" s="367">
        <v>1</v>
      </c>
      <c r="E4" s="369"/>
      <c r="F4" s="367"/>
      <c r="G4" s="367"/>
      <c r="H4" s="367">
        <v>1</v>
      </c>
      <c r="I4" s="367" t="str">
        <f>_xlfn.IFNA(VLOOKUP(A4,MetricsDefinition!E$1:AE$200,25,FALSE),"")</f>
        <v>D</v>
      </c>
      <c r="J4" s="368" t="s">
        <v>916</v>
      </c>
    </row>
    <row r="5" spans="1:10" ht="43.5">
      <c r="A5" s="367" t="s">
        <v>73</v>
      </c>
      <c r="B5" s="367" t="s">
        <v>73</v>
      </c>
      <c r="C5" s="367" t="s">
        <v>90</v>
      </c>
      <c r="D5" s="367">
        <v>1</v>
      </c>
      <c r="E5" s="369"/>
      <c r="F5" s="367"/>
      <c r="G5" s="367"/>
      <c r="H5" s="367">
        <v>1</v>
      </c>
      <c r="I5" s="367" t="str">
        <f>_xlfn.IFNA(VLOOKUP(A5,MetricsDefinition!E$1:AE$200,25,FALSE),"")</f>
        <v>D</v>
      </c>
      <c r="J5" s="368" t="s">
        <v>917</v>
      </c>
    </row>
    <row r="6" spans="1:10">
      <c r="A6" s="367" t="s">
        <v>80</v>
      </c>
      <c r="B6" s="367" t="s">
        <v>80</v>
      </c>
      <c r="C6" s="367" t="s">
        <v>90</v>
      </c>
      <c r="D6" s="367">
        <v>1</v>
      </c>
      <c r="E6" s="369"/>
      <c r="F6" s="367"/>
      <c r="G6" s="367"/>
      <c r="H6" s="367">
        <v>1</v>
      </c>
      <c r="I6" s="367" t="str">
        <f>_xlfn.IFNA(VLOOKUP(A6,MetricsDefinition!E$1:AE$200,25,FALSE),"")</f>
        <v>D</v>
      </c>
      <c r="J6" s="368" t="s">
        <v>81</v>
      </c>
    </row>
    <row r="7" spans="1:10">
      <c r="A7" s="367" t="s">
        <v>88</v>
      </c>
      <c r="B7" s="367" t="s">
        <v>91</v>
      </c>
      <c r="C7" s="367" t="s">
        <v>90</v>
      </c>
      <c r="D7" s="367">
        <v>1</v>
      </c>
      <c r="E7" s="369"/>
      <c r="F7" s="367"/>
      <c r="G7" s="367"/>
      <c r="H7" s="367">
        <v>1</v>
      </c>
      <c r="I7" s="367" t="str">
        <f>_xlfn.IFNA(VLOOKUP(A7,MetricsDefinition!E$1:AE$200,25,FALSE),"")</f>
        <v>D</v>
      </c>
      <c r="J7" s="368" t="s">
        <v>91</v>
      </c>
    </row>
    <row r="8" spans="1:10">
      <c r="A8" s="367" t="s">
        <v>96</v>
      </c>
      <c r="B8" s="367" t="s">
        <v>96</v>
      </c>
      <c r="C8" s="367" t="s">
        <v>90</v>
      </c>
      <c r="D8" s="367">
        <v>1</v>
      </c>
      <c r="E8" s="369"/>
      <c r="F8" s="367"/>
      <c r="G8" s="367"/>
      <c r="H8" s="367">
        <v>1</v>
      </c>
      <c r="I8" s="367" t="str">
        <f>_xlfn.IFNA(VLOOKUP(A8,MetricsDefinition!E$1:AE$200,25,FALSE),"")</f>
        <v>D</v>
      </c>
      <c r="J8" s="368" t="s">
        <v>919</v>
      </c>
    </row>
    <row r="9" spans="1:10" ht="29">
      <c r="A9" s="367" t="s">
        <v>131</v>
      </c>
      <c r="B9" s="367" t="s">
        <v>674</v>
      </c>
      <c r="C9" s="367" t="s">
        <v>90</v>
      </c>
      <c r="D9" s="367">
        <v>1</v>
      </c>
      <c r="E9" s="369" t="s">
        <v>1050</v>
      </c>
      <c r="F9" s="367"/>
      <c r="G9" s="367"/>
      <c r="H9" s="367">
        <v>3</v>
      </c>
      <c r="I9" s="367" t="str">
        <f>_xlfn.IFNA(VLOOKUP(A9,MetricsDefinition!E$1:AE$200,25,FALSE),"")</f>
        <v>C</v>
      </c>
      <c r="J9" s="368" t="s">
        <v>132</v>
      </c>
    </row>
    <row r="10" spans="1:10" ht="29">
      <c r="A10" s="367" t="s">
        <v>131</v>
      </c>
      <c r="B10" s="367" t="s">
        <v>840</v>
      </c>
      <c r="C10" s="367" t="s">
        <v>90</v>
      </c>
      <c r="D10" s="367">
        <v>2</v>
      </c>
      <c r="E10" s="369" t="s">
        <v>1051</v>
      </c>
      <c r="F10" s="367"/>
      <c r="G10" s="367"/>
      <c r="H10" s="367">
        <v>3</v>
      </c>
      <c r="I10" s="367" t="str">
        <f>_xlfn.IFNA(VLOOKUP(A10,MetricsDefinition!E$1:AE$200,25,FALSE),"")</f>
        <v>C</v>
      </c>
      <c r="J10" s="368" t="s">
        <v>132</v>
      </c>
    </row>
    <row r="11" spans="1:10" ht="29">
      <c r="A11" s="367" t="s">
        <v>131</v>
      </c>
      <c r="B11" s="367" t="s">
        <v>831</v>
      </c>
      <c r="C11" s="367" t="s">
        <v>90</v>
      </c>
      <c r="D11" s="367">
        <v>3</v>
      </c>
      <c r="E11" s="369"/>
      <c r="F11" s="367">
        <v>1</v>
      </c>
      <c r="G11" s="367"/>
      <c r="H11" s="367">
        <v>3</v>
      </c>
      <c r="I11" s="367" t="str">
        <f>_xlfn.IFNA(VLOOKUP(A11,MetricsDefinition!E$1:AE$200,25,FALSE),"")</f>
        <v>C</v>
      </c>
      <c r="J11" s="368" t="s">
        <v>132</v>
      </c>
    </row>
    <row r="12" spans="1:10">
      <c r="A12" s="367" t="s">
        <v>141</v>
      </c>
      <c r="B12" s="367" t="s">
        <v>1052</v>
      </c>
      <c r="C12" s="367" t="s">
        <v>1053</v>
      </c>
      <c r="D12" s="367">
        <v>1</v>
      </c>
      <c r="E12" s="369" t="s">
        <v>1051</v>
      </c>
      <c r="F12" s="367"/>
      <c r="G12" s="367"/>
      <c r="H12" s="367">
        <v>3</v>
      </c>
      <c r="I12" s="367" t="str">
        <f>_xlfn.IFNA(VLOOKUP(A12,MetricsDefinition!E$1:AE$200,25,FALSE),"")</f>
        <v>C</v>
      </c>
      <c r="J12" s="368" t="s">
        <v>922</v>
      </c>
    </row>
    <row r="13" spans="1:10">
      <c r="A13" s="367" t="s">
        <v>141</v>
      </c>
      <c r="B13" s="367" t="s">
        <v>646</v>
      </c>
      <c r="C13" s="367" t="s">
        <v>1053</v>
      </c>
      <c r="D13" s="367">
        <v>2</v>
      </c>
      <c r="E13" s="369"/>
      <c r="F13" s="367">
        <v>1</v>
      </c>
      <c r="G13" s="367" t="s">
        <v>1051</v>
      </c>
      <c r="H13" s="367">
        <v>3</v>
      </c>
      <c r="I13" s="367" t="str">
        <f>_xlfn.IFNA(VLOOKUP(A13,MetricsDefinition!E$1:AE$200,25,FALSE),"")</f>
        <v>C</v>
      </c>
      <c r="J13" s="368" t="s">
        <v>922</v>
      </c>
    </row>
    <row r="14" spans="1:10">
      <c r="A14" s="367" t="s">
        <v>141</v>
      </c>
      <c r="B14" s="367" t="s">
        <v>647</v>
      </c>
      <c r="C14" s="367" t="s">
        <v>1053</v>
      </c>
      <c r="D14" s="367"/>
      <c r="E14" s="369"/>
      <c r="F14" s="367">
        <v>2</v>
      </c>
      <c r="G14" s="367"/>
      <c r="H14" s="367">
        <v>3</v>
      </c>
      <c r="I14" s="367" t="str">
        <f>_xlfn.IFNA(VLOOKUP(A14,MetricsDefinition!E$1:AE$200,25,FALSE),"")</f>
        <v>C</v>
      </c>
      <c r="J14" s="368" t="s">
        <v>922</v>
      </c>
    </row>
    <row r="15" spans="1:10" ht="29">
      <c r="A15" s="367" t="s">
        <v>155</v>
      </c>
      <c r="B15" s="367" t="s">
        <v>1054</v>
      </c>
      <c r="C15" s="367" t="s">
        <v>90</v>
      </c>
      <c r="D15" s="367">
        <v>1</v>
      </c>
      <c r="E15" s="369"/>
      <c r="F15" s="367"/>
      <c r="G15" s="367"/>
      <c r="H15" s="367">
        <v>2</v>
      </c>
      <c r="I15" s="367" t="str">
        <f>_xlfn.IFNA(VLOOKUP(A15,MetricsDefinition!E$1:AE$200,25,FALSE),"")</f>
        <v>C</v>
      </c>
      <c r="J15" s="368" t="s">
        <v>923</v>
      </c>
    </row>
    <row r="16" spans="1:10" ht="29">
      <c r="A16" s="367" t="s">
        <v>155</v>
      </c>
      <c r="B16" s="367" t="s">
        <v>1055</v>
      </c>
      <c r="C16" s="367" t="s">
        <v>90</v>
      </c>
      <c r="D16" s="367"/>
      <c r="E16" s="369"/>
      <c r="F16" s="367">
        <v>1</v>
      </c>
      <c r="G16" s="367"/>
      <c r="H16" s="367">
        <v>2</v>
      </c>
      <c r="I16" s="367" t="str">
        <f>_xlfn.IFNA(VLOOKUP(A16,MetricsDefinition!E$1:AE$200,25,FALSE),"")</f>
        <v>C</v>
      </c>
      <c r="J16" s="368" t="s">
        <v>923</v>
      </c>
    </row>
    <row r="17" spans="1:10" ht="43.5">
      <c r="A17" s="367" t="s">
        <v>168</v>
      </c>
      <c r="B17" s="367" t="s">
        <v>1054</v>
      </c>
      <c r="C17" s="367" t="s">
        <v>90</v>
      </c>
      <c r="D17" s="367">
        <v>1</v>
      </c>
      <c r="E17" s="369" t="s">
        <v>1050</v>
      </c>
      <c r="F17" s="367"/>
      <c r="G17" s="367"/>
      <c r="H17" s="367">
        <v>3</v>
      </c>
      <c r="I17" s="367" t="str">
        <f>_xlfn.IFNA(VLOOKUP(A17,MetricsDefinition!E$1:AE$200,25,FALSE),"")</f>
        <v>C</v>
      </c>
      <c r="J17" s="368" t="s">
        <v>927</v>
      </c>
    </row>
    <row r="18" spans="1:10" ht="43.5">
      <c r="A18" s="367" t="s">
        <v>168</v>
      </c>
      <c r="B18" s="367" t="s">
        <v>1056</v>
      </c>
      <c r="C18" s="367" t="s">
        <v>90</v>
      </c>
      <c r="D18" s="367">
        <v>2</v>
      </c>
      <c r="E18" s="369"/>
      <c r="F18" s="367"/>
      <c r="G18" s="367"/>
      <c r="H18" s="367">
        <v>3</v>
      </c>
      <c r="I18" s="367" t="str">
        <f>_xlfn.IFNA(VLOOKUP(A18,MetricsDefinition!E$1:AE$200,25,FALSE),"")</f>
        <v>C</v>
      </c>
      <c r="J18" s="368" t="s">
        <v>927</v>
      </c>
    </row>
    <row r="19" spans="1:10" ht="43.5">
      <c r="A19" s="367" t="s">
        <v>168</v>
      </c>
      <c r="B19" s="367" t="s">
        <v>1055</v>
      </c>
      <c r="C19" s="367" t="s">
        <v>90</v>
      </c>
      <c r="D19" s="367"/>
      <c r="E19" s="369"/>
      <c r="F19" s="367">
        <v>1</v>
      </c>
      <c r="G19" s="367"/>
      <c r="H19" s="367">
        <v>3</v>
      </c>
      <c r="I19" s="367" t="str">
        <f>_xlfn.IFNA(VLOOKUP(A19,MetricsDefinition!E$1:AE$200,25,FALSE),"")</f>
        <v>C</v>
      </c>
      <c r="J19" s="368" t="s">
        <v>927</v>
      </c>
    </row>
    <row r="20" spans="1:10">
      <c r="A20" s="367" t="s">
        <v>176</v>
      </c>
      <c r="B20" s="367" t="s">
        <v>807</v>
      </c>
      <c r="C20" s="367" t="s">
        <v>90</v>
      </c>
      <c r="D20" s="367">
        <v>1</v>
      </c>
      <c r="E20" s="369"/>
      <c r="F20" s="367"/>
      <c r="G20" s="367"/>
      <c r="H20" s="367">
        <v>2</v>
      </c>
      <c r="I20" s="367" t="str">
        <f>_xlfn.IFNA(VLOOKUP(A20,MetricsDefinition!E$1:AE$200,25,FALSE),"")</f>
        <v>C</v>
      </c>
      <c r="J20" s="368" t="s">
        <v>177</v>
      </c>
    </row>
    <row r="21" spans="1:10">
      <c r="A21" s="367" t="s">
        <v>176</v>
      </c>
      <c r="B21" s="367" t="s">
        <v>806</v>
      </c>
      <c r="C21" s="367" t="s">
        <v>90</v>
      </c>
      <c r="D21" s="367"/>
      <c r="E21" s="369"/>
      <c r="F21" s="367">
        <v>1</v>
      </c>
      <c r="G21" s="367"/>
      <c r="H21" s="367">
        <v>2</v>
      </c>
      <c r="I21" s="367" t="str">
        <f>_xlfn.IFNA(VLOOKUP(A21,MetricsDefinition!E$1:AE$200,25,FALSE),"")</f>
        <v>C</v>
      </c>
      <c r="J21" s="368" t="s">
        <v>177</v>
      </c>
    </row>
    <row r="22" spans="1:10" ht="29">
      <c r="A22" s="367" t="s">
        <v>182</v>
      </c>
      <c r="B22" s="367" t="s">
        <v>824</v>
      </c>
      <c r="C22" s="367" t="s">
        <v>90</v>
      </c>
      <c r="D22" s="367">
        <v>1</v>
      </c>
      <c r="E22" s="369"/>
      <c r="F22" s="367"/>
      <c r="G22" s="367"/>
      <c r="H22" s="367">
        <v>2</v>
      </c>
      <c r="I22" s="367" t="str">
        <f>_xlfn.IFNA(VLOOKUP(A22,MetricsDefinition!E$1:AE$200,25,FALSE),"")</f>
        <v>C</v>
      </c>
      <c r="J22" s="368" t="s">
        <v>929</v>
      </c>
    </row>
    <row r="23" spans="1:10" ht="29">
      <c r="A23" s="367" t="s">
        <v>182</v>
      </c>
      <c r="B23" s="367" t="s">
        <v>752</v>
      </c>
      <c r="C23" s="367" t="s">
        <v>90</v>
      </c>
      <c r="D23" s="367"/>
      <c r="E23" s="369"/>
      <c r="F23" s="367">
        <v>1</v>
      </c>
      <c r="G23" s="367"/>
      <c r="H23" s="367">
        <v>2</v>
      </c>
      <c r="I23" s="367" t="str">
        <f>_xlfn.IFNA(VLOOKUP(A23,MetricsDefinition!E$1:AE$200,25,FALSE),"")</f>
        <v>C</v>
      </c>
      <c r="J23" s="368" t="s">
        <v>929</v>
      </c>
    </row>
    <row r="24" spans="1:10" ht="43.5">
      <c r="A24" s="367" t="s">
        <v>189</v>
      </c>
      <c r="B24" s="367" t="s">
        <v>189</v>
      </c>
      <c r="C24" s="367" t="s">
        <v>90</v>
      </c>
      <c r="D24" s="367">
        <v>1</v>
      </c>
      <c r="E24" s="369"/>
      <c r="F24" s="367"/>
      <c r="G24" s="367"/>
      <c r="H24" s="367">
        <v>1</v>
      </c>
      <c r="I24" s="367" t="str">
        <f>_xlfn.IFNA(VLOOKUP(A24,MetricsDefinition!E$1:AE$200,25,FALSE),"")</f>
        <v>D</v>
      </c>
      <c r="J24" s="368" t="s">
        <v>190</v>
      </c>
    </row>
    <row r="25" spans="1:10" ht="29">
      <c r="A25" s="367" t="s">
        <v>194</v>
      </c>
      <c r="B25" s="367" t="s">
        <v>194</v>
      </c>
      <c r="C25" s="367" t="s">
        <v>90</v>
      </c>
      <c r="D25" s="367">
        <v>1</v>
      </c>
      <c r="E25" s="369"/>
      <c r="F25" s="367"/>
      <c r="G25" s="367"/>
      <c r="H25" s="367">
        <v>1</v>
      </c>
      <c r="I25" s="367" t="str">
        <f>_xlfn.IFNA(VLOOKUP(A25,MetricsDefinition!E$1:AE$200,25,FALSE),"")</f>
        <v>D</v>
      </c>
      <c r="J25" s="368" t="s">
        <v>195</v>
      </c>
    </row>
    <row r="26" spans="1:10" ht="43.5">
      <c r="A26" s="367" t="s">
        <v>200</v>
      </c>
      <c r="B26" s="367" t="s">
        <v>200</v>
      </c>
      <c r="C26" s="367" t="s">
        <v>90</v>
      </c>
      <c r="D26" s="367">
        <v>1</v>
      </c>
      <c r="E26" s="369"/>
      <c r="F26" s="367"/>
      <c r="G26" s="367"/>
      <c r="H26" s="367">
        <v>1</v>
      </c>
      <c r="I26" s="367" t="str">
        <f>_xlfn.IFNA(VLOOKUP(A26,MetricsDefinition!E$1:AE$200,25,FALSE),"")</f>
        <v>D</v>
      </c>
      <c r="J26" s="368" t="s">
        <v>201</v>
      </c>
    </row>
    <row r="27" spans="1:10">
      <c r="A27" s="367" t="s">
        <v>207</v>
      </c>
      <c r="B27" s="367" t="s">
        <v>208</v>
      </c>
      <c r="C27" s="367" t="s">
        <v>90</v>
      </c>
      <c r="D27" s="367">
        <v>1</v>
      </c>
      <c r="E27" s="369"/>
      <c r="F27" s="367"/>
      <c r="G27" s="367"/>
      <c r="H27" s="367">
        <v>1</v>
      </c>
      <c r="I27" s="367" t="str">
        <f>_xlfn.IFNA(VLOOKUP(A27,MetricsDefinition!E$1:AE$200,25,FALSE),"")</f>
        <v>D</v>
      </c>
      <c r="J27" s="368" t="s">
        <v>208</v>
      </c>
    </row>
    <row r="28" spans="1:10">
      <c r="A28" s="367" t="s">
        <v>213</v>
      </c>
      <c r="B28" s="367" t="s">
        <v>213</v>
      </c>
      <c r="C28" s="367" t="s">
        <v>90</v>
      </c>
      <c r="D28" s="367">
        <v>1</v>
      </c>
      <c r="E28" s="369"/>
      <c r="F28" s="367"/>
      <c r="G28" s="367"/>
      <c r="H28" s="367">
        <v>3</v>
      </c>
      <c r="I28" s="367" t="str">
        <f>_xlfn.IFNA(VLOOKUP(A28,MetricsDefinition!E$1:AE$200,25,FALSE),"")</f>
        <v>D</v>
      </c>
      <c r="J28" s="368" t="s">
        <v>214</v>
      </c>
    </row>
    <row r="29" spans="1:10" ht="29">
      <c r="A29" s="367" t="s">
        <v>232</v>
      </c>
      <c r="B29" s="367" t="s">
        <v>1055</v>
      </c>
      <c r="C29" s="371" t="s">
        <v>90</v>
      </c>
      <c r="D29" s="367">
        <v>1</v>
      </c>
      <c r="E29" s="369"/>
      <c r="F29" s="367"/>
      <c r="G29" s="367"/>
      <c r="H29" s="367">
        <v>2</v>
      </c>
      <c r="I29" s="367" t="str">
        <f>_xlfn.IFNA(VLOOKUP(A29,MetricsDefinition!E$1:AE$200,25,FALSE),"")</f>
        <v>C</v>
      </c>
      <c r="J29" s="368" t="s">
        <v>933</v>
      </c>
    </row>
    <row r="30" spans="1:10" ht="29">
      <c r="A30" s="367" t="s">
        <v>232</v>
      </c>
      <c r="B30" s="367" t="s">
        <v>1057</v>
      </c>
      <c r="C30" s="371" t="s">
        <v>90</v>
      </c>
      <c r="D30" s="367"/>
      <c r="E30" s="369"/>
      <c r="F30" s="367">
        <v>1</v>
      </c>
      <c r="G30" s="367"/>
      <c r="H30" s="367">
        <v>2</v>
      </c>
      <c r="I30" s="367" t="str">
        <f>_xlfn.IFNA(VLOOKUP(A30,MetricsDefinition!E$1:AE$200,25,FALSE),"")</f>
        <v>C</v>
      </c>
      <c r="J30" s="368" t="s">
        <v>933</v>
      </c>
    </row>
    <row r="31" spans="1:10" ht="29">
      <c r="A31" s="367" t="s">
        <v>242</v>
      </c>
      <c r="B31" s="367" t="s">
        <v>1058</v>
      </c>
      <c r="C31" s="371" t="s">
        <v>90</v>
      </c>
      <c r="D31" s="367">
        <v>1</v>
      </c>
      <c r="E31" s="369"/>
      <c r="F31" s="367"/>
      <c r="G31" s="367"/>
      <c r="H31" s="367">
        <v>2</v>
      </c>
      <c r="I31" s="367" t="str">
        <f>_xlfn.IFNA(VLOOKUP(A31,MetricsDefinition!E$1:AE$200,25,FALSE),"")</f>
        <v>C</v>
      </c>
      <c r="J31" s="368" t="s">
        <v>936</v>
      </c>
    </row>
    <row r="32" spans="1:10" ht="29">
      <c r="A32" s="367" t="s">
        <v>242</v>
      </c>
      <c r="B32" s="367" t="s">
        <v>1055</v>
      </c>
      <c r="C32" s="371" t="s">
        <v>90</v>
      </c>
      <c r="D32" s="367"/>
      <c r="E32" s="369"/>
      <c r="F32" s="367">
        <v>1</v>
      </c>
      <c r="G32" s="367"/>
      <c r="H32" s="367">
        <v>2</v>
      </c>
      <c r="I32" s="367" t="str">
        <f>_xlfn.IFNA(VLOOKUP(A32,MetricsDefinition!E$1:AE$200,25,FALSE),"")</f>
        <v>C</v>
      </c>
      <c r="J32" s="368" t="s">
        <v>936</v>
      </c>
    </row>
    <row r="33" spans="1:10" ht="29">
      <c r="A33" s="367" t="s">
        <v>257</v>
      </c>
      <c r="B33" s="367" t="s">
        <v>257</v>
      </c>
      <c r="C33" s="371" t="s">
        <v>90</v>
      </c>
      <c r="D33" s="367">
        <v>1</v>
      </c>
      <c r="E33" s="369"/>
      <c r="F33" s="367"/>
      <c r="G33" s="367"/>
      <c r="H33" s="367">
        <v>1</v>
      </c>
      <c r="I33" s="367" t="str">
        <f>_xlfn.IFNA(VLOOKUP(A33,MetricsDefinition!E$1:AE$200,25,FALSE),"")</f>
        <v>D</v>
      </c>
      <c r="J33" s="368" t="s">
        <v>937</v>
      </c>
    </row>
    <row r="34" spans="1:10">
      <c r="A34" s="367" t="s">
        <v>263</v>
      </c>
      <c r="B34" s="367" t="s">
        <v>1059</v>
      </c>
      <c r="C34" s="371" t="s">
        <v>90</v>
      </c>
      <c r="D34" s="367">
        <v>1</v>
      </c>
      <c r="E34" s="369"/>
      <c r="F34" s="367"/>
      <c r="G34" s="367"/>
      <c r="H34" s="367">
        <v>2</v>
      </c>
      <c r="I34" s="367" t="str">
        <f>_xlfn.IFNA(VLOOKUP(A34,MetricsDefinition!E$1:AE$200,25,FALSE),"")</f>
        <v>C</v>
      </c>
      <c r="J34" s="368" t="s">
        <v>264</v>
      </c>
    </row>
    <row r="35" spans="1:10">
      <c r="A35" s="367" t="s">
        <v>263</v>
      </c>
      <c r="B35" s="367" t="s">
        <v>858</v>
      </c>
      <c r="C35" s="371" t="s">
        <v>90</v>
      </c>
      <c r="D35" s="367"/>
      <c r="E35" s="369"/>
      <c r="F35" s="367">
        <v>1</v>
      </c>
      <c r="G35" s="367"/>
      <c r="H35" s="367">
        <v>2</v>
      </c>
      <c r="I35" s="367" t="str">
        <f>_xlfn.IFNA(VLOOKUP(A35,MetricsDefinition!E$1:AE$200,25,FALSE),"")</f>
        <v>C</v>
      </c>
      <c r="J35" s="368" t="s">
        <v>264</v>
      </c>
    </row>
    <row r="36" spans="1:10">
      <c r="A36" s="367" t="s">
        <v>276</v>
      </c>
      <c r="B36" s="367" t="s">
        <v>1060</v>
      </c>
      <c r="C36" s="371" t="s">
        <v>90</v>
      </c>
      <c r="D36" s="367">
        <v>1</v>
      </c>
      <c r="E36" s="369"/>
      <c r="F36" s="367"/>
      <c r="G36" s="367"/>
      <c r="H36" s="367">
        <v>2</v>
      </c>
      <c r="I36" s="367" t="str">
        <f>_xlfn.IFNA(VLOOKUP(A36,MetricsDefinition!E$1:AE$200,25,FALSE),"")</f>
        <v>C</v>
      </c>
      <c r="J36" s="368" t="s">
        <v>939</v>
      </c>
    </row>
    <row r="37" spans="1:10">
      <c r="A37" s="367" t="s">
        <v>276</v>
      </c>
      <c r="B37" s="367" t="s">
        <v>831</v>
      </c>
      <c r="C37" s="371" t="s">
        <v>90</v>
      </c>
      <c r="D37" s="367"/>
      <c r="E37" s="369"/>
      <c r="F37" s="367">
        <v>1</v>
      </c>
      <c r="G37" s="367"/>
      <c r="H37" s="367">
        <v>2</v>
      </c>
      <c r="I37" s="367" t="str">
        <f>_xlfn.IFNA(VLOOKUP(A37,MetricsDefinition!E$1:AE$200,25,FALSE),"")</f>
        <v>C</v>
      </c>
      <c r="J37" s="368" t="s">
        <v>939</v>
      </c>
    </row>
    <row r="38" spans="1:10">
      <c r="A38" s="367" t="s">
        <v>941</v>
      </c>
      <c r="B38" s="367" t="s">
        <v>1061</v>
      </c>
      <c r="C38" s="371" t="s">
        <v>90</v>
      </c>
      <c r="D38" s="367">
        <v>1</v>
      </c>
      <c r="E38" s="369"/>
      <c r="F38" s="367"/>
      <c r="G38" s="367"/>
      <c r="H38" s="367">
        <v>2</v>
      </c>
      <c r="I38" s="367" t="str">
        <f>_xlfn.IFNA(VLOOKUP(A38,MetricsDefinition!E$1:AE$200,25,FALSE),"")</f>
        <v>C</v>
      </c>
      <c r="J38" s="368" t="s">
        <v>287</v>
      </c>
    </row>
    <row r="39" spans="1:10">
      <c r="A39" s="367" t="s">
        <v>941</v>
      </c>
      <c r="B39" s="367" t="s">
        <v>869</v>
      </c>
      <c r="C39" s="371" t="s">
        <v>90</v>
      </c>
      <c r="D39" s="367"/>
      <c r="E39" s="369"/>
      <c r="F39" s="367">
        <v>1</v>
      </c>
      <c r="G39" s="367"/>
      <c r="H39" s="367">
        <v>2</v>
      </c>
      <c r="I39" s="367" t="str">
        <f>_xlfn.IFNA(VLOOKUP(A39,MetricsDefinition!E$1:AE$200,25,FALSE),"")</f>
        <v>C</v>
      </c>
      <c r="J39" s="368" t="s">
        <v>287</v>
      </c>
    </row>
    <row r="40" spans="1:10" ht="29">
      <c r="A40" s="367" t="s">
        <v>1062</v>
      </c>
      <c r="B40" s="367" t="s">
        <v>746</v>
      </c>
      <c r="C40" s="371" t="s">
        <v>90</v>
      </c>
      <c r="D40" s="367">
        <v>1</v>
      </c>
      <c r="E40" s="369"/>
      <c r="F40" s="367"/>
      <c r="G40" s="367"/>
      <c r="H40" s="367">
        <v>2</v>
      </c>
      <c r="I40" s="367" t="str">
        <f>_xlfn.IFNA(VLOOKUP(A40,MetricsDefinition!E$1:AE$200,25,FALSE),"")</f>
        <v>C</v>
      </c>
      <c r="J40" s="368" t="s">
        <v>1063</v>
      </c>
    </row>
    <row r="41" spans="1:10" ht="29">
      <c r="A41" s="367" t="s">
        <v>1062</v>
      </c>
      <c r="B41" s="367" t="s">
        <v>831</v>
      </c>
      <c r="C41" s="371" t="s">
        <v>90</v>
      </c>
      <c r="D41" s="367"/>
      <c r="E41" s="369"/>
      <c r="F41" s="367">
        <v>1</v>
      </c>
      <c r="G41" s="367"/>
      <c r="H41" s="367">
        <v>2</v>
      </c>
      <c r="I41" s="367" t="str">
        <f>_xlfn.IFNA(VLOOKUP(A41,MetricsDefinition!E$1:AE$200,25,FALSE),"")</f>
        <v>C</v>
      </c>
      <c r="J41" s="368" t="s">
        <v>1063</v>
      </c>
    </row>
    <row r="42" spans="1:10">
      <c r="A42" s="367" t="s">
        <v>296</v>
      </c>
      <c r="B42" s="367" t="s">
        <v>1064</v>
      </c>
      <c r="C42" s="371" t="s">
        <v>90</v>
      </c>
      <c r="D42" s="367">
        <v>1</v>
      </c>
      <c r="E42" s="369"/>
      <c r="F42" s="367"/>
      <c r="G42" s="367"/>
      <c r="H42" s="367">
        <v>2</v>
      </c>
      <c r="I42" s="367" t="str">
        <f>_xlfn.IFNA(VLOOKUP(A42,MetricsDefinition!E$1:AE$200,25,FALSE),"")</f>
        <v>C</v>
      </c>
      <c r="J42" s="368" t="s">
        <v>297</v>
      </c>
    </row>
    <row r="43" spans="1:10">
      <c r="A43" s="367" t="s">
        <v>296</v>
      </c>
      <c r="B43" s="367" t="s">
        <v>1065</v>
      </c>
      <c r="C43" s="371" t="s">
        <v>90</v>
      </c>
      <c r="D43" s="367"/>
      <c r="E43" s="369"/>
      <c r="F43" s="367">
        <v>1</v>
      </c>
      <c r="G43" s="367"/>
      <c r="H43" s="367">
        <v>2</v>
      </c>
      <c r="I43" s="367" t="str">
        <f>_xlfn.IFNA(VLOOKUP(A43,MetricsDefinition!E$1:AE$200,25,FALSE),"")</f>
        <v>C</v>
      </c>
      <c r="J43" s="368" t="s">
        <v>297</v>
      </c>
    </row>
    <row r="44" spans="1:10">
      <c r="A44" s="367" t="s">
        <v>303</v>
      </c>
      <c r="B44" s="367" t="s">
        <v>1064</v>
      </c>
      <c r="C44" s="371" t="s">
        <v>90</v>
      </c>
      <c r="D44" s="367">
        <v>1</v>
      </c>
      <c r="E44" s="369"/>
      <c r="F44" s="367"/>
      <c r="G44" s="367"/>
      <c r="H44" s="367">
        <v>2</v>
      </c>
      <c r="I44" s="367" t="str">
        <f>_xlfn.IFNA(VLOOKUP(A44,MetricsDefinition!E$1:AE$200,25,FALSE),"")</f>
        <v>C</v>
      </c>
      <c r="J44" s="368" t="s">
        <v>304</v>
      </c>
    </row>
    <row r="45" spans="1:10">
      <c r="A45" s="367" t="s">
        <v>303</v>
      </c>
      <c r="B45" s="367" t="s">
        <v>1066</v>
      </c>
      <c r="C45" s="371" t="s">
        <v>90</v>
      </c>
      <c r="D45" s="367"/>
      <c r="E45" s="369"/>
      <c r="F45" s="367">
        <v>1</v>
      </c>
      <c r="G45" s="367"/>
      <c r="H45" s="367">
        <v>2</v>
      </c>
      <c r="I45" s="367" t="str">
        <f>_xlfn.IFNA(VLOOKUP(A45,MetricsDefinition!E$1:AE$200,25,FALSE),"")</f>
        <v>C</v>
      </c>
      <c r="J45" s="368" t="s">
        <v>304</v>
      </c>
    </row>
    <row r="46" spans="1:10" ht="29">
      <c r="A46" s="367" t="s">
        <v>308</v>
      </c>
      <c r="B46" s="367" t="s">
        <v>720</v>
      </c>
      <c r="C46" s="371" t="s">
        <v>90</v>
      </c>
      <c r="D46" s="367">
        <v>1</v>
      </c>
      <c r="E46" s="369"/>
      <c r="F46" s="367"/>
      <c r="G46" s="367"/>
      <c r="H46" s="367">
        <v>2</v>
      </c>
      <c r="I46" s="367" t="str">
        <f>_xlfn.IFNA(VLOOKUP(A46,MetricsDefinition!E$1:AE$200,25,FALSE),"")</f>
        <v>C</v>
      </c>
      <c r="J46" s="368" t="s">
        <v>309</v>
      </c>
    </row>
    <row r="47" spans="1:10" ht="29">
      <c r="A47" s="367" t="s">
        <v>308</v>
      </c>
      <c r="B47" s="367" t="s">
        <v>1067</v>
      </c>
      <c r="C47" s="371" t="s">
        <v>90</v>
      </c>
      <c r="D47" s="367"/>
      <c r="E47" s="369"/>
      <c r="F47" s="367">
        <v>1</v>
      </c>
      <c r="G47" s="367"/>
      <c r="H47" s="367">
        <v>2</v>
      </c>
      <c r="I47" s="367" t="str">
        <f>_xlfn.IFNA(VLOOKUP(A47,MetricsDefinition!E$1:AE$200,25,FALSE),"")</f>
        <v>C</v>
      </c>
      <c r="J47" s="368" t="s">
        <v>309</v>
      </c>
    </row>
    <row r="48" spans="1:10">
      <c r="A48" s="367" t="s">
        <v>311</v>
      </c>
      <c r="B48" s="367" t="s">
        <v>738</v>
      </c>
      <c r="C48" s="371" t="s">
        <v>90</v>
      </c>
      <c r="D48" s="367">
        <v>1</v>
      </c>
      <c r="E48" s="369"/>
      <c r="F48" s="367"/>
      <c r="G48" s="367"/>
      <c r="H48" s="367">
        <v>2</v>
      </c>
      <c r="I48" s="367" t="str">
        <f>_xlfn.IFNA(VLOOKUP(A48,MetricsDefinition!E$1:AE$200,25,FALSE),"")</f>
        <v>C</v>
      </c>
      <c r="J48" s="368" t="s">
        <v>947</v>
      </c>
    </row>
    <row r="49" spans="1:10">
      <c r="A49" s="367" t="s">
        <v>311</v>
      </c>
      <c r="B49" s="367" t="s">
        <v>1068</v>
      </c>
      <c r="C49" s="371" t="s">
        <v>90</v>
      </c>
      <c r="D49" s="367"/>
      <c r="E49" s="369"/>
      <c r="F49" s="367">
        <v>1</v>
      </c>
      <c r="G49" s="367"/>
      <c r="H49" s="367">
        <v>2</v>
      </c>
      <c r="I49" s="367" t="str">
        <f>_xlfn.IFNA(VLOOKUP(A49,MetricsDefinition!E$1:AE$200,25,FALSE),"")</f>
        <v>C</v>
      </c>
      <c r="J49" s="368" t="s">
        <v>947</v>
      </c>
    </row>
    <row r="50" spans="1:10">
      <c r="A50" s="367" t="s">
        <v>315</v>
      </c>
      <c r="B50" s="367" t="s">
        <v>1069</v>
      </c>
      <c r="C50" s="371" t="s">
        <v>90</v>
      </c>
      <c r="D50" s="367">
        <v>1</v>
      </c>
      <c r="E50" s="369"/>
      <c r="F50" s="367"/>
      <c r="G50" s="367"/>
      <c r="H50" s="367">
        <v>2</v>
      </c>
      <c r="I50" s="367" t="str">
        <f>_xlfn.IFNA(VLOOKUP(A50,MetricsDefinition!E$1:AE$200,25,FALSE),"")</f>
        <v>C</v>
      </c>
      <c r="J50" s="368" t="s">
        <v>949</v>
      </c>
    </row>
    <row r="51" spans="1:10">
      <c r="A51" s="367" t="s">
        <v>315</v>
      </c>
      <c r="B51" s="367" t="s">
        <v>1070</v>
      </c>
      <c r="C51" s="371" t="s">
        <v>90</v>
      </c>
      <c r="D51" s="367"/>
      <c r="E51" s="369"/>
      <c r="F51" s="367">
        <v>1</v>
      </c>
      <c r="G51" s="367"/>
      <c r="H51" s="367">
        <v>2</v>
      </c>
      <c r="I51" s="367" t="str">
        <f>_xlfn.IFNA(VLOOKUP(A51,MetricsDefinition!E$1:AE$200,25,FALSE),"")</f>
        <v>C</v>
      </c>
      <c r="J51" s="368" t="s">
        <v>949</v>
      </c>
    </row>
    <row r="52" spans="1:10" ht="58">
      <c r="A52" s="367" t="s">
        <v>318</v>
      </c>
      <c r="B52" s="367" t="s">
        <v>1054</v>
      </c>
      <c r="C52" s="371" t="s">
        <v>90</v>
      </c>
      <c r="D52" s="367">
        <v>1</v>
      </c>
      <c r="E52" s="369"/>
      <c r="F52" s="367"/>
      <c r="G52" s="367"/>
      <c r="H52" s="367">
        <v>2</v>
      </c>
      <c r="I52" s="367" t="str">
        <f>_xlfn.IFNA(VLOOKUP(A52,MetricsDefinition!E$1:AE$200,25,FALSE),"")</f>
        <v>C</v>
      </c>
      <c r="J52" s="368" t="s">
        <v>950</v>
      </c>
    </row>
    <row r="53" spans="1:10" ht="58">
      <c r="A53" s="367" t="s">
        <v>318</v>
      </c>
      <c r="B53" s="367" t="s">
        <v>1071</v>
      </c>
      <c r="C53" s="371" t="s">
        <v>90</v>
      </c>
      <c r="D53" s="367"/>
      <c r="E53" s="369"/>
      <c r="F53" s="367">
        <v>1</v>
      </c>
      <c r="G53" s="367"/>
      <c r="H53" s="367">
        <v>2</v>
      </c>
      <c r="I53" s="367" t="str">
        <f>_xlfn.IFNA(VLOOKUP(A53,MetricsDefinition!E$1:AE$200,25,FALSE),"")</f>
        <v>C</v>
      </c>
      <c r="J53" s="368" t="s">
        <v>950</v>
      </c>
    </row>
    <row r="54" spans="1:10">
      <c r="A54" s="367" t="s">
        <v>323</v>
      </c>
      <c r="B54" s="367" t="s">
        <v>1072</v>
      </c>
      <c r="C54" s="371" t="s">
        <v>90</v>
      </c>
      <c r="D54" s="367">
        <v>1</v>
      </c>
      <c r="E54" s="369"/>
      <c r="F54" s="367"/>
      <c r="G54" s="367"/>
      <c r="H54" s="367">
        <v>2</v>
      </c>
      <c r="I54" s="367" t="str">
        <f>_xlfn.IFNA(VLOOKUP(A54,MetricsDefinition!E$1:AE$200,25,FALSE),"")</f>
        <v>C</v>
      </c>
      <c r="J54" s="368" t="s">
        <v>951</v>
      </c>
    </row>
    <row r="55" spans="1:10">
      <c r="A55" s="367" t="s">
        <v>323</v>
      </c>
      <c r="B55" s="367" t="s">
        <v>1055</v>
      </c>
      <c r="C55" s="371" t="s">
        <v>90</v>
      </c>
      <c r="D55" s="367"/>
      <c r="E55" s="369"/>
      <c r="F55" s="367">
        <v>1</v>
      </c>
      <c r="G55" s="367"/>
      <c r="H55" s="367">
        <v>2</v>
      </c>
      <c r="I55" s="367" t="str">
        <f>_xlfn.IFNA(VLOOKUP(A55,MetricsDefinition!E$1:AE$200,25,FALSE),"")</f>
        <v>C</v>
      </c>
      <c r="J55" s="368" t="s">
        <v>951</v>
      </c>
    </row>
    <row r="56" spans="1:10">
      <c r="A56" s="367" t="s">
        <v>330</v>
      </c>
      <c r="B56" s="367" t="s">
        <v>1073</v>
      </c>
      <c r="C56" s="371" t="s">
        <v>90</v>
      </c>
      <c r="D56" s="367">
        <v>1</v>
      </c>
      <c r="E56" s="369"/>
      <c r="F56" s="367"/>
      <c r="G56" s="367"/>
      <c r="H56" s="367">
        <v>2</v>
      </c>
      <c r="I56" s="367" t="str">
        <f>_xlfn.IFNA(VLOOKUP(A56,MetricsDefinition!E$1:AE$200,25,FALSE),"")</f>
        <v>C</v>
      </c>
      <c r="J56" s="368" t="s">
        <v>953</v>
      </c>
    </row>
    <row r="57" spans="1:10">
      <c r="A57" s="367" t="s">
        <v>330</v>
      </c>
      <c r="B57" s="367" t="s">
        <v>1055</v>
      </c>
      <c r="C57" s="371" t="s">
        <v>90</v>
      </c>
      <c r="D57" s="367"/>
      <c r="E57" s="369"/>
      <c r="F57" s="367">
        <v>1</v>
      </c>
      <c r="G57" s="367"/>
      <c r="H57" s="367">
        <v>2</v>
      </c>
      <c r="I57" s="367" t="str">
        <f>_xlfn.IFNA(VLOOKUP(A57,MetricsDefinition!E$1:AE$200,25,FALSE),"")</f>
        <v>C</v>
      </c>
      <c r="J57" s="368" t="s">
        <v>953</v>
      </c>
    </row>
    <row r="58" spans="1:10">
      <c r="A58" s="367" t="s">
        <v>334</v>
      </c>
      <c r="B58" s="367" t="s">
        <v>813</v>
      </c>
      <c r="C58" s="371" t="s">
        <v>90</v>
      </c>
      <c r="D58" s="367">
        <v>1</v>
      </c>
      <c r="E58" s="369"/>
      <c r="F58" s="367"/>
      <c r="G58" s="367"/>
      <c r="H58" s="367">
        <v>2</v>
      </c>
      <c r="I58" s="367" t="str">
        <f>_xlfn.IFNA(VLOOKUP(A58,MetricsDefinition!E$1:AE$200,25,FALSE),"")</f>
        <v>C</v>
      </c>
      <c r="J58" s="368" t="s">
        <v>954</v>
      </c>
    </row>
    <row r="59" spans="1:10">
      <c r="A59" s="367" t="s">
        <v>334</v>
      </c>
      <c r="B59" s="367" t="s">
        <v>1074</v>
      </c>
      <c r="C59" s="371" t="s">
        <v>90</v>
      </c>
      <c r="D59" s="367"/>
      <c r="E59" s="369"/>
      <c r="F59" s="367">
        <v>1</v>
      </c>
      <c r="G59" s="367"/>
      <c r="H59" s="367">
        <v>2</v>
      </c>
      <c r="I59" s="367" t="str">
        <f>_xlfn.IFNA(VLOOKUP(A59,MetricsDefinition!E$1:AE$200,25,FALSE),"")</f>
        <v>C</v>
      </c>
      <c r="J59" s="368" t="s">
        <v>954</v>
      </c>
    </row>
    <row r="60" spans="1:10">
      <c r="A60" s="367" t="s">
        <v>343</v>
      </c>
      <c r="B60" s="367" t="s">
        <v>1069</v>
      </c>
      <c r="C60" s="371" t="s">
        <v>90</v>
      </c>
      <c r="D60" s="367">
        <v>1</v>
      </c>
      <c r="E60" s="369"/>
      <c r="F60" s="367"/>
      <c r="G60" s="367"/>
      <c r="H60" s="367">
        <v>2</v>
      </c>
      <c r="I60" s="367" t="str">
        <f>_xlfn.IFNA(VLOOKUP(A60,MetricsDefinition!E$1:AE$200,25,FALSE),"")</f>
        <v>C</v>
      </c>
      <c r="J60" s="368" t="s">
        <v>955</v>
      </c>
    </row>
    <row r="61" spans="1:10">
      <c r="A61" s="367" t="s">
        <v>343</v>
      </c>
      <c r="B61" s="367" t="s">
        <v>1075</v>
      </c>
      <c r="C61" s="371" t="s">
        <v>90</v>
      </c>
      <c r="D61" s="367"/>
      <c r="E61" s="369"/>
      <c r="F61" s="367">
        <v>1</v>
      </c>
      <c r="G61" s="367"/>
      <c r="H61" s="367">
        <v>2</v>
      </c>
      <c r="I61" s="367" t="str">
        <f>_xlfn.IFNA(VLOOKUP(A61,MetricsDefinition!E$1:AE$200,25,FALSE),"")</f>
        <v>C</v>
      </c>
      <c r="J61" s="368" t="s">
        <v>955</v>
      </c>
    </row>
    <row r="62" spans="1:10" ht="43.5">
      <c r="A62" s="367" t="s">
        <v>353</v>
      </c>
      <c r="B62" s="367" t="s">
        <v>1076</v>
      </c>
      <c r="C62" s="371" t="s">
        <v>90</v>
      </c>
      <c r="D62" s="367">
        <v>1</v>
      </c>
      <c r="E62" s="369"/>
      <c r="F62" s="367"/>
      <c r="G62" s="367"/>
      <c r="H62" s="367">
        <v>2</v>
      </c>
      <c r="I62" s="367" t="str">
        <f>_xlfn.IFNA(VLOOKUP(A62,MetricsDefinition!E$1:AE$200,25,FALSE),"")</f>
        <v>C</v>
      </c>
      <c r="J62" s="368" t="s">
        <v>956</v>
      </c>
    </row>
    <row r="63" spans="1:10" ht="43.5">
      <c r="A63" s="367" t="s">
        <v>353</v>
      </c>
      <c r="B63" s="367" t="s">
        <v>1077</v>
      </c>
      <c r="C63" s="371" t="s">
        <v>90</v>
      </c>
      <c r="D63" s="367"/>
      <c r="E63" s="369"/>
      <c r="F63" s="367">
        <v>1</v>
      </c>
      <c r="G63" s="367"/>
      <c r="H63" s="367">
        <v>2</v>
      </c>
      <c r="I63" s="367" t="str">
        <f>_xlfn.IFNA(VLOOKUP(A63,MetricsDefinition!E$1:AE$200,25,FALSE),"")</f>
        <v>C</v>
      </c>
      <c r="J63" s="368" t="s">
        <v>956</v>
      </c>
    </row>
    <row r="64" spans="1:10">
      <c r="A64" s="367" t="s">
        <v>362</v>
      </c>
      <c r="B64" s="367" t="s">
        <v>816</v>
      </c>
      <c r="C64" s="371" t="s">
        <v>90</v>
      </c>
      <c r="D64" s="367">
        <v>1</v>
      </c>
      <c r="E64" s="369"/>
      <c r="F64" s="367"/>
      <c r="G64" s="367"/>
      <c r="H64" s="367">
        <v>2</v>
      </c>
      <c r="I64" s="367" t="str">
        <f>_xlfn.IFNA(VLOOKUP(A64,MetricsDefinition!E$1:AE$200,25,FALSE),"")</f>
        <v>C</v>
      </c>
      <c r="J64" s="368" t="s">
        <v>363</v>
      </c>
    </row>
    <row r="65" spans="1:10">
      <c r="A65" s="367" t="s">
        <v>362</v>
      </c>
      <c r="B65" s="367" t="s">
        <v>815</v>
      </c>
      <c r="C65" s="371" t="s">
        <v>90</v>
      </c>
      <c r="D65" s="367"/>
      <c r="E65" s="369"/>
      <c r="F65" s="367">
        <v>1</v>
      </c>
      <c r="G65" s="367"/>
      <c r="H65" s="367">
        <v>2</v>
      </c>
      <c r="I65" s="367" t="str">
        <f>_xlfn.IFNA(VLOOKUP(A65,MetricsDefinition!E$1:AE$200,25,FALSE),"")</f>
        <v>C</v>
      </c>
      <c r="J65" s="368" t="s">
        <v>363</v>
      </c>
    </row>
    <row r="66" spans="1:10" ht="29">
      <c r="A66" s="367" t="s">
        <v>367</v>
      </c>
      <c r="B66" s="367" t="s">
        <v>728</v>
      </c>
      <c r="C66" s="371" t="s">
        <v>90</v>
      </c>
      <c r="D66" s="367">
        <v>1</v>
      </c>
      <c r="E66" s="369"/>
      <c r="F66" s="367"/>
      <c r="G66" s="367"/>
      <c r="H66" s="367">
        <v>2</v>
      </c>
      <c r="I66" s="367" t="str">
        <f>_xlfn.IFNA(VLOOKUP(A66,MetricsDefinition!E$1:AE$200,25,FALSE),"")</f>
        <v>C</v>
      </c>
      <c r="J66" s="368" t="s">
        <v>957</v>
      </c>
    </row>
    <row r="67" spans="1:10" ht="29">
      <c r="A67" s="367" t="s">
        <v>367</v>
      </c>
      <c r="B67" s="367" t="s">
        <v>1078</v>
      </c>
      <c r="C67" s="371" t="s">
        <v>90</v>
      </c>
      <c r="D67" s="367"/>
      <c r="E67" s="369"/>
      <c r="F67" s="367">
        <v>1</v>
      </c>
      <c r="G67" s="367"/>
      <c r="H67" s="367">
        <v>2</v>
      </c>
      <c r="I67" s="367" t="str">
        <f>_xlfn.IFNA(VLOOKUP(A67,MetricsDefinition!E$1:AE$200,25,FALSE),"")</f>
        <v>C</v>
      </c>
      <c r="J67" s="368" t="s">
        <v>957</v>
      </c>
    </row>
    <row r="68" spans="1:10" ht="29">
      <c r="A68" s="367" t="s">
        <v>372</v>
      </c>
      <c r="B68" s="367" t="s">
        <v>726</v>
      </c>
      <c r="C68" s="371" t="s">
        <v>90</v>
      </c>
      <c r="D68" s="367">
        <v>1</v>
      </c>
      <c r="E68" s="369"/>
      <c r="F68" s="367"/>
      <c r="G68" s="367"/>
      <c r="H68" s="367">
        <v>2</v>
      </c>
      <c r="I68" s="367" t="str">
        <f>_xlfn.IFNA(VLOOKUP(A68,MetricsDefinition!E$1:AE$200,25,FALSE),"")</f>
        <v>C</v>
      </c>
      <c r="J68" s="368" t="s">
        <v>959</v>
      </c>
    </row>
    <row r="69" spans="1:10" ht="29">
      <c r="A69" s="367" t="s">
        <v>372</v>
      </c>
      <c r="B69" s="367" t="s">
        <v>1078</v>
      </c>
      <c r="C69" s="371" t="s">
        <v>90</v>
      </c>
      <c r="D69" s="367"/>
      <c r="E69" s="369"/>
      <c r="F69" s="367">
        <v>1</v>
      </c>
      <c r="G69" s="367"/>
      <c r="H69" s="367">
        <v>2</v>
      </c>
      <c r="I69" s="367" t="str">
        <f>_xlfn.IFNA(VLOOKUP(A69,MetricsDefinition!E$1:AE$200,25,FALSE),"")</f>
        <v>C</v>
      </c>
      <c r="J69" s="368" t="s">
        <v>959</v>
      </c>
    </row>
    <row r="70" spans="1:10" ht="29">
      <c r="A70" s="367" t="s">
        <v>375</v>
      </c>
      <c r="B70" s="367" t="s">
        <v>725</v>
      </c>
      <c r="C70" s="371" t="s">
        <v>90</v>
      </c>
      <c r="D70" s="367">
        <v>1</v>
      </c>
      <c r="E70" s="369"/>
      <c r="F70" s="367"/>
      <c r="G70" s="367"/>
      <c r="H70" s="367">
        <v>2</v>
      </c>
      <c r="I70" s="367" t="str">
        <f>_xlfn.IFNA(VLOOKUP(A70,MetricsDefinition!E$1:AE$200,25,FALSE),"")</f>
        <v>C</v>
      </c>
      <c r="J70" s="368" t="s">
        <v>960</v>
      </c>
    </row>
    <row r="71" spans="1:10" ht="29">
      <c r="A71" s="367" t="s">
        <v>375</v>
      </c>
      <c r="B71" s="367" t="s">
        <v>1078</v>
      </c>
      <c r="C71" s="371" t="s">
        <v>90</v>
      </c>
      <c r="D71" s="367"/>
      <c r="E71" s="369"/>
      <c r="F71" s="367">
        <v>1</v>
      </c>
      <c r="G71" s="367"/>
      <c r="H71" s="367">
        <v>2</v>
      </c>
      <c r="I71" s="367" t="str">
        <f>_xlfn.IFNA(VLOOKUP(A71,MetricsDefinition!E$1:AE$200,25,FALSE),"")</f>
        <v>C</v>
      </c>
      <c r="J71" s="368" t="s">
        <v>960</v>
      </c>
    </row>
    <row r="72" spans="1:10" ht="29">
      <c r="A72" s="367" t="s">
        <v>961</v>
      </c>
      <c r="B72" s="367" t="s">
        <v>724</v>
      </c>
      <c r="C72" s="371" t="s">
        <v>90</v>
      </c>
      <c r="D72" s="367">
        <v>1</v>
      </c>
      <c r="E72" s="369"/>
      <c r="F72" s="367"/>
      <c r="G72" s="367"/>
      <c r="H72" s="367">
        <v>2</v>
      </c>
      <c r="I72" s="367" t="str">
        <f>_xlfn.IFNA(VLOOKUP(A72,MetricsDefinition!E$1:AE$200,25,FALSE),"")</f>
        <v>C</v>
      </c>
      <c r="J72" s="368" t="s">
        <v>962</v>
      </c>
    </row>
    <row r="73" spans="1:10" ht="29">
      <c r="A73" s="367" t="s">
        <v>961</v>
      </c>
      <c r="B73" s="367" t="s">
        <v>1078</v>
      </c>
      <c r="C73" s="371" t="s">
        <v>90</v>
      </c>
      <c r="D73" s="367"/>
      <c r="E73" s="369"/>
      <c r="F73" s="367">
        <v>1</v>
      </c>
      <c r="G73" s="367"/>
      <c r="H73" s="367">
        <v>2</v>
      </c>
      <c r="I73" s="367" t="str">
        <f>_xlfn.IFNA(VLOOKUP(A73,MetricsDefinition!E$1:AE$200,25,FALSE),"")</f>
        <v>C</v>
      </c>
      <c r="J73" s="368" t="s">
        <v>962</v>
      </c>
    </row>
    <row r="74" spans="1:10">
      <c r="A74" s="367" t="s">
        <v>381</v>
      </c>
      <c r="B74" s="367" t="s">
        <v>729</v>
      </c>
      <c r="C74" s="371" t="s">
        <v>90</v>
      </c>
      <c r="D74" s="367">
        <v>1</v>
      </c>
      <c r="E74" s="369"/>
      <c r="F74" s="367"/>
      <c r="G74" s="367"/>
      <c r="H74" s="367">
        <v>2</v>
      </c>
      <c r="I74" s="367" t="str">
        <f>_xlfn.IFNA(VLOOKUP(A74,MetricsDefinition!E$1:AE$200,25,FALSE),"")</f>
        <v>C</v>
      </c>
      <c r="J74" s="368" t="s">
        <v>963</v>
      </c>
    </row>
    <row r="75" spans="1:10">
      <c r="A75" s="367" t="s">
        <v>381</v>
      </c>
      <c r="B75" s="367" t="s">
        <v>1078</v>
      </c>
      <c r="C75" s="371" t="s">
        <v>90</v>
      </c>
      <c r="D75" s="367"/>
      <c r="E75" s="369"/>
      <c r="F75" s="367">
        <v>1</v>
      </c>
      <c r="G75" s="367"/>
      <c r="H75" s="367">
        <v>2</v>
      </c>
      <c r="I75" s="367" t="str">
        <f>_xlfn.IFNA(VLOOKUP(A75,MetricsDefinition!E$1:AE$200,25,FALSE),"")</f>
        <v>C</v>
      </c>
      <c r="J75" s="368" t="s">
        <v>963</v>
      </c>
    </row>
    <row r="76" spans="1:10">
      <c r="A76" s="367" t="s">
        <v>896</v>
      </c>
      <c r="B76" s="367" t="s">
        <v>1079</v>
      </c>
      <c r="C76" s="371" t="s">
        <v>90</v>
      </c>
      <c r="D76" s="367">
        <v>1</v>
      </c>
      <c r="E76" s="369"/>
      <c r="F76" s="367"/>
      <c r="G76" s="367"/>
      <c r="H76" s="367">
        <v>2</v>
      </c>
      <c r="I76" s="367" t="str">
        <f>_xlfn.IFNA(VLOOKUP(A76,MetricsDefinition!E$1:AE$200,25,FALSE),"")</f>
        <v>C</v>
      </c>
      <c r="J76" s="368" t="s">
        <v>965</v>
      </c>
    </row>
    <row r="77" spans="1:10">
      <c r="A77" s="367" t="s">
        <v>896</v>
      </c>
      <c r="B77" s="367" t="s">
        <v>1078</v>
      </c>
      <c r="C77" s="371" t="s">
        <v>90</v>
      </c>
      <c r="D77" s="367"/>
      <c r="E77" s="369"/>
      <c r="F77" s="367">
        <v>1</v>
      </c>
      <c r="G77" s="367"/>
      <c r="H77" s="367">
        <v>2</v>
      </c>
      <c r="I77" s="367" t="str">
        <f>_xlfn.IFNA(VLOOKUP(A77,MetricsDefinition!E$1:AE$200,25,FALSE),"")</f>
        <v>C</v>
      </c>
      <c r="J77" s="368" t="s">
        <v>965</v>
      </c>
    </row>
    <row r="78" spans="1:10">
      <c r="A78" s="367" t="s">
        <v>387</v>
      </c>
      <c r="B78" s="367" t="s">
        <v>730</v>
      </c>
      <c r="C78" s="371" t="s">
        <v>90</v>
      </c>
      <c r="D78" s="367">
        <v>1</v>
      </c>
      <c r="E78" s="369"/>
      <c r="F78" s="367"/>
      <c r="G78" s="367"/>
      <c r="H78" s="367">
        <v>2</v>
      </c>
      <c r="I78" s="367" t="str">
        <f>_xlfn.IFNA(VLOOKUP(A78,MetricsDefinition!E$1:AE$200,25,FALSE),"")</f>
        <v>C</v>
      </c>
      <c r="J78" s="368" t="s">
        <v>966</v>
      </c>
    </row>
    <row r="79" spans="1:10">
      <c r="A79" s="367" t="s">
        <v>387</v>
      </c>
      <c r="B79" s="367" t="s">
        <v>1078</v>
      </c>
      <c r="C79" s="371" t="s">
        <v>90</v>
      </c>
      <c r="D79" s="367"/>
      <c r="E79" s="369"/>
      <c r="F79" s="367">
        <v>1</v>
      </c>
      <c r="G79" s="367"/>
      <c r="H79" s="367">
        <v>2</v>
      </c>
      <c r="I79" s="367" t="str">
        <f>_xlfn.IFNA(VLOOKUP(A79,MetricsDefinition!E$1:AE$200,25,FALSE),"")</f>
        <v>C</v>
      </c>
      <c r="J79" s="368" t="s">
        <v>966</v>
      </c>
    </row>
    <row r="80" spans="1:10">
      <c r="A80" s="367" t="s">
        <v>390</v>
      </c>
      <c r="B80" s="367" t="s">
        <v>391</v>
      </c>
      <c r="C80" s="371" t="s">
        <v>90</v>
      </c>
      <c r="D80" s="367">
        <v>1</v>
      </c>
      <c r="E80" s="369"/>
      <c r="F80" s="367"/>
      <c r="G80" s="367"/>
      <c r="H80" s="367">
        <v>1</v>
      </c>
      <c r="I80" s="367" t="str">
        <f>_xlfn.IFNA(VLOOKUP(A80,MetricsDefinition!E$1:AE$200,25,FALSE),"")</f>
        <v>C</v>
      </c>
      <c r="J80" s="368" t="s">
        <v>391</v>
      </c>
    </row>
    <row r="81" spans="1:10" ht="29">
      <c r="A81" s="367" t="s">
        <v>395</v>
      </c>
      <c r="B81" s="367" t="s">
        <v>1055</v>
      </c>
      <c r="C81" s="371" t="s">
        <v>90</v>
      </c>
      <c r="D81" s="367">
        <v>1</v>
      </c>
      <c r="E81" s="369"/>
      <c r="F81" s="367"/>
      <c r="G81" s="367"/>
      <c r="H81" s="367">
        <v>2</v>
      </c>
      <c r="I81" s="367" t="str">
        <f>_xlfn.IFNA(VLOOKUP(A81,MetricsDefinition!E$1:AE$200,25,FALSE),"")</f>
        <v>C</v>
      </c>
      <c r="J81" s="368" t="s">
        <v>967</v>
      </c>
    </row>
    <row r="82" spans="1:10" ht="29">
      <c r="A82" s="367" t="s">
        <v>395</v>
      </c>
      <c r="B82" s="367" t="s">
        <v>1080</v>
      </c>
      <c r="C82" s="371" t="s">
        <v>90</v>
      </c>
      <c r="D82" s="367"/>
      <c r="E82" s="369"/>
      <c r="F82" s="367">
        <v>1</v>
      </c>
      <c r="G82" s="367"/>
      <c r="H82" s="367">
        <v>2</v>
      </c>
      <c r="I82" s="367" t="str">
        <f>_xlfn.IFNA(VLOOKUP(A82,MetricsDefinition!E$1:AE$200,25,FALSE),"")</f>
        <v>C</v>
      </c>
      <c r="J82" s="368" t="s">
        <v>967</v>
      </c>
    </row>
    <row r="83" spans="1:10" ht="29">
      <c r="A83" s="367" t="s">
        <v>968</v>
      </c>
      <c r="B83" s="367" t="s">
        <v>1081</v>
      </c>
      <c r="C83" s="371" t="s">
        <v>90</v>
      </c>
      <c r="D83" s="367">
        <v>1</v>
      </c>
      <c r="E83" s="369"/>
      <c r="F83" s="367"/>
      <c r="G83" s="367"/>
      <c r="H83" s="367">
        <v>3</v>
      </c>
      <c r="I83" s="367" t="str">
        <f>_xlfn.IFNA(VLOOKUP(A83,MetricsDefinition!E$1:AE$200,25,FALSE),"")</f>
        <v>C</v>
      </c>
      <c r="J83" s="368" t="s">
        <v>1082</v>
      </c>
    </row>
    <row r="84" spans="1:10" ht="29">
      <c r="A84" s="367" t="s">
        <v>968</v>
      </c>
      <c r="B84" s="367" t="s">
        <v>675</v>
      </c>
      <c r="C84" s="371" t="s">
        <v>90</v>
      </c>
      <c r="D84" s="367"/>
      <c r="E84" s="369"/>
      <c r="F84" s="367">
        <v>1</v>
      </c>
      <c r="G84" s="367" t="s">
        <v>1050</v>
      </c>
      <c r="H84" s="367">
        <v>3</v>
      </c>
      <c r="I84" s="367" t="str">
        <f>_xlfn.IFNA(VLOOKUP(A84,MetricsDefinition!E$1:AE$200,25,FALSE),"")</f>
        <v>C</v>
      </c>
      <c r="J84" s="368" t="s">
        <v>1082</v>
      </c>
    </row>
    <row r="85" spans="1:10" ht="29">
      <c r="A85" s="367" t="s">
        <v>968</v>
      </c>
      <c r="B85" s="367" t="s">
        <v>1083</v>
      </c>
      <c r="C85" s="371" t="s">
        <v>90</v>
      </c>
      <c r="D85" s="367"/>
      <c r="E85" s="369"/>
      <c r="F85" s="367">
        <v>2</v>
      </c>
      <c r="G85" s="367"/>
      <c r="H85" s="367">
        <v>3</v>
      </c>
      <c r="I85" s="367" t="str">
        <f>_xlfn.IFNA(VLOOKUP(A85,MetricsDefinition!E$1:AE$200,25,FALSE),"")</f>
        <v>C</v>
      </c>
      <c r="J85" s="368" t="s">
        <v>1082</v>
      </c>
    </row>
    <row r="86" spans="1:10">
      <c r="A86" s="367" t="s">
        <v>970</v>
      </c>
      <c r="B86" s="367" t="s">
        <v>1084</v>
      </c>
      <c r="C86" s="371" t="s">
        <v>90</v>
      </c>
      <c r="D86" s="367">
        <v>1</v>
      </c>
      <c r="E86" s="369"/>
      <c r="F86" s="367"/>
      <c r="G86" s="367"/>
      <c r="H86" s="367">
        <v>1</v>
      </c>
      <c r="I86" s="367" t="str">
        <f>_xlfn.IFNA(VLOOKUP(A86,MetricsDefinition!E$1:AE$200,25,FALSE),"")</f>
        <v>D</v>
      </c>
      <c r="J86" s="367" t="s">
        <v>1084</v>
      </c>
    </row>
    <row r="87" spans="1:10" ht="29">
      <c r="A87" s="367" t="s">
        <v>420</v>
      </c>
      <c r="B87" s="367" t="s">
        <v>420</v>
      </c>
      <c r="C87" s="371" t="s">
        <v>90</v>
      </c>
      <c r="D87" s="367">
        <v>1</v>
      </c>
      <c r="E87" s="369"/>
      <c r="F87" s="367"/>
      <c r="G87" s="367"/>
      <c r="H87" s="367">
        <v>1</v>
      </c>
      <c r="I87" s="367" t="str">
        <f>_xlfn.IFNA(VLOOKUP(A87,MetricsDefinition!E$1:AE$200,25,FALSE),"")</f>
        <v>D</v>
      </c>
      <c r="J87" s="368" t="s">
        <v>973</v>
      </c>
    </row>
    <row r="88" spans="1:10">
      <c r="A88" s="367" t="s">
        <v>974</v>
      </c>
      <c r="B88" s="367" t="s">
        <v>974</v>
      </c>
      <c r="C88" s="371" t="s">
        <v>90</v>
      </c>
      <c r="D88" s="367">
        <v>1</v>
      </c>
      <c r="E88" s="369"/>
      <c r="F88" s="367"/>
      <c r="G88" s="367"/>
      <c r="H88" s="367">
        <v>1</v>
      </c>
      <c r="I88" s="367" t="str">
        <f>_xlfn.IFNA(VLOOKUP(A88,MetricsDefinition!E$1:AE$200,25,FALSE),"")</f>
        <v>D</v>
      </c>
      <c r="J88" s="372" t="s">
        <v>1085</v>
      </c>
    </row>
    <row r="89" spans="1:10">
      <c r="A89" s="367" t="s">
        <v>979</v>
      </c>
      <c r="B89" s="367" t="s">
        <v>1086</v>
      </c>
      <c r="C89" s="371" t="s">
        <v>90</v>
      </c>
      <c r="D89" s="367">
        <v>1</v>
      </c>
      <c r="E89" s="369"/>
      <c r="F89" s="367"/>
      <c r="G89" s="367"/>
      <c r="H89" s="367">
        <v>2</v>
      </c>
      <c r="I89" s="367" t="str">
        <f>_xlfn.IFNA(VLOOKUP(A89,MetricsDefinition!E$1:AE$200,25,FALSE),"")</f>
        <v>C</v>
      </c>
      <c r="J89" s="368" t="s">
        <v>980</v>
      </c>
    </row>
    <row r="90" spans="1:10">
      <c r="A90" s="367" t="s">
        <v>979</v>
      </c>
      <c r="B90" s="367" t="s">
        <v>1087</v>
      </c>
      <c r="C90" s="371" t="s">
        <v>90</v>
      </c>
      <c r="D90" s="367"/>
      <c r="E90" s="369"/>
      <c r="F90" s="367">
        <v>1</v>
      </c>
      <c r="G90" s="367"/>
      <c r="H90" s="367">
        <v>2</v>
      </c>
      <c r="I90" s="367" t="str">
        <f>_xlfn.IFNA(VLOOKUP(A90,MetricsDefinition!E$1:AE$200,25,FALSE),"")</f>
        <v>C</v>
      </c>
      <c r="J90" s="368" t="s">
        <v>980</v>
      </c>
    </row>
    <row r="91" spans="1:10">
      <c r="A91" s="367" t="s">
        <v>981</v>
      </c>
      <c r="B91" s="367" t="s">
        <v>1088</v>
      </c>
      <c r="C91" s="371" t="s">
        <v>90</v>
      </c>
      <c r="D91" s="367">
        <v>1</v>
      </c>
      <c r="E91" s="369"/>
      <c r="F91" s="367"/>
      <c r="G91" s="367"/>
      <c r="H91" s="367">
        <v>2</v>
      </c>
      <c r="I91" s="367" t="str">
        <f>_xlfn.IFNA(VLOOKUP(A91,MetricsDefinition!E$1:AE$200,25,FALSE),"")</f>
        <v>C</v>
      </c>
      <c r="J91" s="368" t="s">
        <v>982</v>
      </c>
    </row>
    <row r="92" spans="1:10">
      <c r="A92" s="367" t="s">
        <v>981</v>
      </c>
      <c r="B92" s="367" t="s">
        <v>1089</v>
      </c>
      <c r="C92" s="371" t="s">
        <v>90</v>
      </c>
      <c r="D92" s="367"/>
      <c r="E92" s="369"/>
      <c r="F92" s="367">
        <v>1</v>
      </c>
      <c r="G92" s="367"/>
      <c r="H92" s="367">
        <v>2</v>
      </c>
      <c r="I92" s="367" t="str">
        <f>_xlfn.IFNA(VLOOKUP(A92,MetricsDefinition!E$1:AE$200,25,FALSE),"")</f>
        <v>C</v>
      </c>
      <c r="J92" s="368" t="s">
        <v>982</v>
      </c>
    </row>
    <row r="93" spans="1:10">
      <c r="A93" s="367" t="s">
        <v>1090</v>
      </c>
      <c r="B93" s="367" t="s">
        <v>1091</v>
      </c>
      <c r="C93" s="371" t="s">
        <v>90</v>
      </c>
      <c r="D93" s="367">
        <v>1</v>
      </c>
      <c r="E93" s="369"/>
      <c r="F93" s="367"/>
      <c r="G93" s="367"/>
      <c r="H93" s="367">
        <v>2</v>
      </c>
      <c r="I93" s="367" t="str">
        <f>_xlfn.IFNA(VLOOKUP(A93,MetricsDefinition!E$1:AE$200,25,FALSE),"")</f>
        <v>C</v>
      </c>
      <c r="J93" s="368" t="s">
        <v>984</v>
      </c>
    </row>
    <row r="94" spans="1:10">
      <c r="A94" s="367" t="s">
        <v>1090</v>
      </c>
      <c r="B94" s="367" t="s">
        <v>1092</v>
      </c>
      <c r="C94" s="371" t="s">
        <v>90</v>
      </c>
      <c r="D94" s="367"/>
      <c r="E94" s="369"/>
      <c r="F94" s="367">
        <v>1</v>
      </c>
      <c r="G94" s="367"/>
      <c r="H94" s="367">
        <v>2</v>
      </c>
      <c r="I94" s="367" t="str">
        <f>_xlfn.IFNA(VLOOKUP(A94,MetricsDefinition!E$1:AE$200,25,FALSE),"")</f>
        <v>C</v>
      </c>
      <c r="J94" s="368" t="s">
        <v>984</v>
      </c>
    </row>
    <row r="95" spans="1:10">
      <c r="A95" s="406" t="s">
        <v>985</v>
      </c>
      <c r="B95" s="367" t="s">
        <v>1093</v>
      </c>
      <c r="C95" s="371" t="s">
        <v>90</v>
      </c>
      <c r="D95" s="367">
        <v>1</v>
      </c>
      <c r="E95" s="369"/>
      <c r="F95" s="367"/>
      <c r="G95" s="367"/>
      <c r="H95" s="367">
        <v>2</v>
      </c>
      <c r="I95" s="367" t="str">
        <f>_xlfn.IFNA(VLOOKUP(A95,MetricsDefinition!E$1:AE$200,25,FALSE),"")</f>
        <v>C</v>
      </c>
      <c r="J95" s="368" t="s">
        <v>986</v>
      </c>
    </row>
    <row r="96" spans="1:10">
      <c r="A96" s="406" t="s">
        <v>985</v>
      </c>
      <c r="B96" s="367" t="s">
        <v>1094</v>
      </c>
      <c r="C96" s="371" t="s">
        <v>90</v>
      </c>
      <c r="D96" s="367"/>
      <c r="E96" s="369"/>
      <c r="F96" s="367">
        <v>1</v>
      </c>
      <c r="G96" s="367"/>
      <c r="H96" s="367">
        <v>2</v>
      </c>
      <c r="I96" s="367" t="str">
        <f>_xlfn.IFNA(VLOOKUP(A96,MetricsDefinition!E$1:AE$200,25,FALSE),"")</f>
        <v>C</v>
      </c>
      <c r="J96" s="368" t="s">
        <v>986</v>
      </c>
    </row>
    <row r="97" spans="1:10">
      <c r="A97" s="406" t="s">
        <v>987</v>
      </c>
      <c r="B97" s="367" t="s">
        <v>1095</v>
      </c>
      <c r="C97" s="371" t="s">
        <v>90</v>
      </c>
      <c r="D97" s="367">
        <v>1</v>
      </c>
      <c r="E97" s="369"/>
      <c r="F97" s="367"/>
      <c r="G97" s="367"/>
      <c r="H97" s="367">
        <v>2</v>
      </c>
      <c r="I97" s="367" t="str">
        <f>_xlfn.IFNA(VLOOKUP(A97,MetricsDefinition!E$1:AE$200,25,FALSE),"")</f>
        <v>C</v>
      </c>
      <c r="J97" s="368" t="s">
        <v>988</v>
      </c>
    </row>
    <row r="98" spans="1:10">
      <c r="A98" s="406" t="s">
        <v>987</v>
      </c>
      <c r="B98" s="367" t="s">
        <v>1096</v>
      </c>
      <c r="C98" s="371" t="s">
        <v>90</v>
      </c>
      <c r="D98" s="367"/>
      <c r="E98" s="369"/>
      <c r="F98" s="367">
        <v>1</v>
      </c>
      <c r="G98" s="367"/>
      <c r="H98" s="367">
        <v>2</v>
      </c>
      <c r="I98" s="367" t="str">
        <f>_xlfn.IFNA(VLOOKUP(A98,MetricsDefinition!E$1:AE$200,25,FALSE),"")</f>
        <v>C</v>
      </c>
      <c r="J98" s="368" t="s">
        <v>988</v>
      </c>
    </row>
    <row r="99" spans="1:10">
      <c r="A99" s="367" t="s">
        <v>990</v>
      </c>
      <c r="B99" s="367" t="s">
        <v>1097</v>
      </c>
      <c r="C99" s="371" t="s">
        <v>90</v>
      </c>
      <c r="D99" s="367">
        <v>1</v>
      </c>
      <c r="E99" s="369"/>
      <c r="F99" s="367"/>
      <c r="G99" s="367"/>
      <c r="H99" s="367">
        <v>2</v>
      </c>
      <c r="I99" s="367" t="str">
        <f>_xlfn.IFNA(VLOOKUP(A99,MetricsDefinition!E$1:AE$200,25,FALSE),"")</f>
        <v>C</v>
      </c>
      <c r="J99" s="368" t="s">
        <v>991</v>
      </c>
    </row>
    <row r="100" spans="1:10">
      <c r="A100" s="367" t="s">
        <v>990</v>
      </c>
      <c r="B100" s="367" t="s">
        <v>1098</v>
      </c>
      <c r="C100" s="371" t="s">
        <v>90</v>
      </c>
      <c r="D100" s="367"/>
      <c r="E100" s="369"/>
      <c r="F100" s="367">
        <v>1</v>
      </c>
      <c r="G100" s="367"/>
      <c r="H100" s="367">
        <v>2</v>
      </c>
      <c r="I100" s="367" t="str">
        <f>_xlfn.IFNA(VLOOKUP(A100,MetricsDefinition!E$1:AE$200,25,FALSE),"")</f>
        <v>C</v>
      </c>
      <c r="J100" s="368" t="s">
        <v>991</v>
      </c>
    </row>
    <row r="101" spans="1:10">
      <c r="A101" s="367" t="s">
        <v>992</v>
      </c>
      <c r="B101" s="367" t="s">
        <v>1099</v>
      </c>
      <c r="C101" s="371" t="s">
        <v>90</v>
      </c>
      <c r="D101" s="367">
        <v>1</v>
      </c>
      <c r="E101" s="369"/>
      <c r="F101" s="367"/>
      <c r="G101" s="367"/>
      <c r="H101" s="367">
        <v>2</v>
      </c>
      <c r="I101" s="367" t="str">
        <f>_xlfn.IFNA(VLOOKUP(A101,MetricsDefinition!E$1:AE$200,25,FALSE),"")</f>
        <v>C</v>
      </c>
      <c r="J101" s="368" t="s">
        <v>993</v>
      </c>
    </row>
    <row r="102" spans="1:10">
      <c r="A102" s="367" t="s">
        <v>992</v>
      </c>
      <c r="B102" s="367" t="s">
        <v>1100</v>
      </c>
      <c r="C102" s="371" t="s">
        <v>90</v>
      </c>
      <c r="D102" s="367"/>
      <c r="E102" s="369"/>
      <c r="F102" s="367">
        <v>1</v>
      </c>
      <c r="G102" s="367"/>
      <c r="H102" s="367">
        <v>2</v>
      </c>
      <c r="I102" s="367" t="str">
        <f>_xlfn.IFNA(VLOOKUP(A102,MetricsDefinition!E$1:AE$200,25,FALSE),"")</f>
        <v>C</v>
      </c>
      <c r="J102" s="368" t="s">
        <v>993</v>
      </c>
    </row>
    <row r="103" spans="1:10">
      <c r="A103" s="367" t="s">
        <v>994</v>
      </c>
      <c r="B103" s="367" t="s">
        <v>1101</v>
      </c>
      <c r="C103" s="371" t="s">
        <v>90</v>
      </c>
      <c r="D103" s="367">
        <v>1</v>
      </c>
      <c r="E103" s="369"/>
      <c r="F103" s="367"/>
      <c r="G103" s="367"/>
      <c r="H103" s="367">
        <v>2</v>
      </c>
      <c r="I103" s="367" t="str">
        <f>_xlfn.IFNA(VLOOKUP(A103,MetricsDefinition!E$1:AE$200,25,FALSE),"")</f>
        <v>C</v>
      </c>
      <c r="J103" s="368" t="s">
        <v>995</v>
      </c>
    </row>
    <row r="104" spans="1:10">
      <c r="A104" s="367" t="s">
        <v>994</v>
      </c>
      <c r="B104" s="367" t="s">
        <v>1102</v>
      </c>
      <c r="C104" s="371" t="s">
        <v>90</v>
      </c>
      <c r="D104" s="367"/>
      <c r="E104" s="369"/>
      <c r="F104" s="367">
        <v>1</v>
      </c>
      <c r="G104" s="367"/>
      <c r="H104" s="367">
        <v>2</v>
      </c>
      <c r="I104" s="367" t="str">
        <f>_xlfn.IFNA(VLOOKUP(A104,MetricsDefinition!E$1:AE$200,25,FALSE),"")</f>
        <v>C</v>
      </c>
      <c r="J104" s="368" t="s">
        <v>995</v>
      </c>
    </row>
    <row r="105" spans="1:10">
      <c r="A105" s="367" t="s">
        <v>996</v>
      </c>
      <c r="B105" s="367" t="s">
        <v>1103</v>
      </c>
      <c r="C105" s="371" t="s">
        <v>90</v>
      </c>
      <c r="D105" s="367">
        <v>1</v>
      </c>
      <c r="E105" s="369"/>
      <c r="F105" s="367"/>
      <c r="G105" s="367"/>
      <c r="H105" s="367">
        <v>2</v>
      </c>
      <c r="I105" s="367" t="str">
        <f>_xlfn.IFNA(VLOOKUP(A105,MetricsDefinition!E$1:AE$200,25,FALSE),"")</f>
        <v>C</v>
      </c>
      <c r="J105" s="368" t="s">
        <v>997</v>
      </c>
    </row>
    <row r="106" spans="1:10">
      <c r="A106" s="367" t="s">
        <v>996</v>
      </c>
      <c r="B106" s="367" t="s">
        <v>1104</v>
      </c>
      <c r="C106" s="371" t="s">
        <v>90</v>
      </c>
      <c r="D106" s="367"/>
      <c r="E106" s="369"/>
      <c r="F106" s="367">
        <v>1</v>
      </c>
      <c r="G106" s="367"/>
      <c r="H106" s="367">
        <v>2</v>
      </c>
      <c r="I106" s="367" t="str">
        <f>_xlfn.IFNA(VLOOKUP(A106,MetricsDefinition!E$1:AE$200,25,FALSE),"")</f>
        <v>C</v>
      </c>
      <c r="J106" s="368" t="s">
        <v>997</v>
      </c>
    </row>
    <row r="107" spans="1:10">
      <c r="A107" s="367" t="s">
        <v>1105</v>
      </c>
      <c r="B107" s="367" t="s">
        <v>1106</v>
      </c>
      <c r="C107" s="371" t="s">
        <v>90</v>
      </c>
      <c r="D107" s="367">
        <v>1</v>
      </c>
      <c r="E107" s="369"/>
      <c r="F107" s="367"/>
      <c r="G107" s="367"/>
      <c r="H107" s="367">
        <v>2</v>
      </c>
      <c r="I107" s="367" t="str">
        <f>_xlfn.IFNA(VLOOKUP(A107,MetricsDefinition!E$1:AE$200,25,FALSE),"")</f>
        <v>C</v>
      </c>
      <c r="J107" s="368" t="s">
        <v>999</v>
      </c>
    </row>
    <row r="108" spans="1:10">
      <c r="A108" s="367" t="s">
        <v>1105</v>
      </c>
      <c r="B108" s="367" t="s">
        <v>1107</v>
      </c>
      <c r="C108" s="371" t="s">
        <v>90</v>
      </c>
      <c r="D108" s="367"/>
      <c r="E108" s="369"/>
      <c r="F108" s="367">
        <v>1</v>
      </c>
      <c r="G108" s="367"/>
      <c r="H108" s="367">
        <v>2</v>
      </c>
      <c r="I108" s="367" t="str">
        <f>_xlfn.IFNA(VLOOKUP(A108,MetricsDefinition!E$1:AE$200,25,FALSE),"")</f>
        <v>C</v>
      </c>
      <c r="J108" s="368" t="s">
        <v>999</v>
      </c>
    </row>
    <row r="109" spans="1:10">
      <c r="A109" s="367" t="s">
        <v>449</v>
      </c>
      <c r="B109" s="367" t="s">
        <v>1108</v>
      </c>
      <c r="C109" s="371" t="s">
        <v>90</v>
      </c>
      <c r="D109" s="367">
        <v>1</v>
      </c>
      <c r="E109" s="369"/>
      <c r="F109" s="367"/>
      <c r="G109" s="367"/>
      <c r="H109" s="367">
        <v>2</v>
      </c>
      <c r="I109" s="367" t="str">
        <f>_xlfn.IFNA(VLOOKUP(A109,MetricsDefinition!E$1:AE$200,25,FALSE),"")</f>
        <v>C</v>
      </c>
      <c r="J109" s="368" t="s">
        <v>450</v>
      </c>
    </row>
    <row r="110" spans="1:10">
      <c r="A110" s="367" t="s">
        <v>449</v>
      </c>
      <c r="B110" s="367" t="s">
        <v>1109</v>
      </c>
      <c r="C110" s="371" t="s">
        <v>90</v>
      </c>
      <c r="D110" s="367"/>
      <c r="E110" s="369"/>
      <c r="F110" s="367">
        <v>1</v>
      </c>
      <c r="G110" s="367"/>
      <c r="H110" s="367">
        <v>2</v>
      </c>
      <c r="I110" s="367" t="str">
        <f>_xlfn.IFNA(VLOOKUP(A110,MetricsDefinition!E$1:AE$200,25,FALSE),"")</f>
        <v>C</v>
      </c>
      <c r="J110" s="368" t="s">
        <v>450</v>
      </c>
    </row>
    <row r="111" spans="1:10">
      <c r="A111" s="367" t="s">
        <v>461</v>
      </c>
      <c r="B111" s="367" t="s">
        <v>817</v>
      </c>
      <c r="C111" s="371" t="s">
        <v>90</v>
      </c>
      <c r="D111" s="367">
        <v>1</v>
      </c>
      <c r="E111" s="369"/>
      <c r="F111" s="367"/>
      <c r="G111" s="367"/>
      <c r="H111" s="367">
        <v>2</v>
      </c>
      <c r="I111" s="367" t="str">
        <f>_xlfn.IFNA(VLOOKUP(A111,MetricsDefinition!E$1:AE$200,25,FALSE),"")</f>
        <v>C</v>
      </c>
      <c r="J111" s="368" t="s">
        <v>462</v>
      </c>
    </row>
    <row r="112" spans="1:10">
      <c r="A112" s="367" t="s">
        <v>461</v>
      </c>
      <c r="B112" s="367" t="s">
        <v>819</v>
      </c>
      <c r="C112" s="371" t="s">
        <v>90</v>
      </c>
      <c r="D112" s="367"/>
      <c r="E112" s="369"/>
      <c r="F112" s="367">
        <v>1</v>
      </c>
      <c r="G112" s="367"/>
      <c r="H112" s="367">
        <v>2</v>
      </c>
      <c r="I112" s="367" t="str">
        <f>_xlfn.IFNA(VLOOKUP(A112,MetricsDefinition!E$1:AE$200,25,FALSE),"")</f>
        <v>C</v>
      </c>
      <c r="J112" s="368" t="s">
        <v>462</v>
      </c>
    </row>
    <row r="113" spans="1:10">
      <c r="A113" s="367" t="s">
        <v>469</v>
      </c>
      <c r="B113" s="367" t="s">
        <v>1110</v>
      </c>
      <c r="C113" s="371" t="s">
        <v>90</v>
      </c>
      <c r="D113" s="367">
        <v>1</v>
      </c>
      <c r="E113" s="369"/>
      <c r="F113" s="367"/>
      <c r="G113" s="367"/>
      <c r="H113" s="367">
        <v>2</v>
      </c>
      <c r="I113" s="367" t="str">
        <f>_xlfn.IFNA(VLOOKUP(A113,MetricsDefinition!E$1:AE$200,25,FALSE),"")</f>
        <v>C</v>
      </c>
      <c r="J113" s="368" t="s">
        <v>1002</v>
      </c>
    </row>
    <row r="114" spans="1:10">
      <c r="A114" s="367" t="s">
        <v>469</v>
      </c>
      <c r="B114" s="367" t="s">
        <v>1111</v>
      </c>
      <c r="C114" s="371" t="s">
        <v>90</v>
      </c>
      <c r="D114" s="367"/>
      <c r="E114" s="369"/>
      <c r="F114" s="367">
        <v>1</v>
      </c>
      <c r="G114" s="367"/>
      <c r="H114" s="367">
        <v>2</v>
      </c>
      <c r="I114" s="367" t="str">
        <f>_xlfn.IFNA(VLOOKUP(A114,MetricsDefinition!E$1:AE$200,25,FALSE),"")</f>
        <v>C</v>
      </c>
      <c r="J114" s="368" t="s">
        <v>1002</v>
      </c>
    </row>
    <row r="115" spans="1:10" ht="29">
      <c r="A115" s="367" t="s">
        <v>1004</v>
      </c>
      <c r="B115" s="367" t="s">
        <v>1004</v>
      </c>
      <c r="C115" s="371" t="s">
        <v>90</v>
      </c>
      <c r="D115" s="367">
        <v>1</v>
      </c>
      <c r="E115" s="369"/>
      <c r="F115" s="367"/>
      <c r="G115" s="367"/>
      <c r="H115" s="367">
        <v>1</v>
      </c>
      <c r="I115" s="367" t="str">
        <f>_xlfn.IFNA(VLOOKUP(A115,MetricsDefinition!E$1:AE$200,25,FALSE),"")</f>
        <v>D</v>
      </c>
      <c r="J115" s="368" t="s">
        <v>1112</v>
      </c>
    </row>
    <row r="116" spans="1:10" ht="29">
      <c r="A116" s="367" t="s">
        <v>484</v>
      </c>
      <c r="B116" s="367" t="s">
        <v>484</v>
      </c>
      <c r="C116" s="371" t="s">
        <v>90</v>
      </c>
      <c r="D116" s="367">
        <v>1</v>
      </c>
      <c r="E116" s="369"/>
      <c r="F116" s="367"/>
      <c r="G116" s="367"/>
      <c r="H116" s="367">
        <v>1</v>
      </c>
      <c r="I116" s="367" t="str">
        <f>_xlfn.IFNA(VLOOKUP(A116,MetricsDefinition!E$1:AE$200,25,FALSE),"")</f>
        <v>D</v>
      </c>
      <c r="J116" s="368" t="s">
        <v>1113</v>
      </c>
    </row>
    <row r="117" spans="1:10">
      <c r="A117" s="367" t="s">
        <v>488</v>
      </c>
      <c r="B117" s="367" t="s">
        <v>1114</v>
      </c>
      <c r="C117" s="371" t="s">
        <v>90</v>
      </c>
      <c r="D117" s="367">
        <v>1</v>
      </c>
      <c r="E117" s="369"/>
      <c r="F117" s="367"/>
      <c r="G117" s="367"/>
      <c r="H117" s="367">
        <v>2</v>
      </c>
      <c r="I117" s="367" t="str">
        <f>_xlfn.IFNA(VLOOKUP(A117,MetricsDefinition!E$1:AE$200,25,FALSE),"")</f>
        <v>C</v>
      </c>
      <c r="J117" s="368" t="s">
        <v>1006</v>
      </c>
    </row>
    <row r="118" spans="1:10">
      <c r="A118" s="367" t="s">
        <v>488</v>
      </c>
      <c r="B118" s="367" t="s">
        <v>1115</v>
      </c>
      <c r="C118" s="371" t="s">
        <v>90</v>
      </c>
      <c r="D118" s="367"/>
      <c r="E118" s="369"/>
      <c r="F118" s="367">
        <v>1</v>
      </c>
      <c r="G118" s="367"/>
      <c r="H118" s="367">
        <v>2</v>
      </c>
      <c r="I118" s="367" t="str">
        <f>_xlfn.IFNA(VLOOKUP(A118,MetricsDefinition!E$1:AE$200,25,FALSE),"")</f>
        <v>C</v>
      </c>
      <c r="J118" s="368" t="s">
        <v>1006</v>
      </c>
    </row>
    <row r="119" spans="1:10" ht="29">
      <c r="A119" s="367" t="s">
        <v>495</v>
      </c>
      <c r="B119" s="367" t="s">
        <v>1078</v>
      </c>
      <c r="C119" s="371" t="s">
        <v>90</v>
      </c>
      <c r="D119" s="367">
        <v>1</v>
      </c>
      <c r="E119" s="369"/>
      <c r="F119" s="367"/>
      <c r="G119" s="367"/>
      <c r="H119" s="367">
        <v>2</v>
      </c>
      <c r="I119" s="367" t="str">
        <f>_xlfn.IFNA(VLOOKUP(A119,MetricsDefinition!E$1:AE$200,25,FALSE),"")</f>
        <v>C</v>
      </c>
      <c r="J119" s="368" t="s">
        <v>1007</v>
      </c>
    </row>
    <row r="120" spans="1:10" ht="29">
      <c r="A120" s="367" t="s">
        <v>495</v>
      </c>
      <c r="B120" s="367" t="s">
        <v>1116</v>
      </c>
      <c r="C120" s="371" t="s">
        <v>90</v>
      </c>
      <c r="D120" s="367"/>
      <c r="E120" s="369"/>
      <c r="F120" s="367">
        <v>1</v>
      </c>
      <c r="G120" s="367"/>
      <c r="H120" s="367">
        <v>2</v>
      </c>
      <c r="I120" s="367" t="str">
        <f>_xlfn.IFNA(VLOOKUP(A120,MetricsDefinition!E$1:AE$200,25,FALSE),"")</f>
        <v>C</v>
      </c>
      <c r="J120" s="368" t="s">
        <v>1007</v>
      </c>
    </row>
    <row r="121" spans="1:10" ht="29">
      <c r="A121" s="367" t="s">
        <v>502</v>
      </c>
      <c r="B121" s="367" t="s">
        <v>1078</v>
      </c>
      <c r="C121" s="371" t="s">
        <v>90</v>
      </c>
      <c r="D121" s="367">
        <v>1</v>
      </c>
      <c r="E121" s="369"/>
      <c r="F121" s="367"/>
      <c r="G121" s="367"/>
      <c r="H121" s="367">
        <v>2</v>
      </c>
      <c r="I121" s="367" t="str">
        <f>_xlfn.IFNA(VLOOKUP(A121,MetricsDefinition!E$1:AE$200,25,FALSE),"")</f>
        <v>C</v>
      </c>
      <c r="J121" s="368" t="s">
        <v>1008</v>
      </c>
    </row>
    <row r="122" spans="1:10" ht="29">
      <c r="A122" s="367" t="s">
        <v>502</v>
      </c>
      <c r="B122" s="367" t="s">
        <v>1117</v>
      </c>
      <c r="C122" s="371" t="s">
        <v>90</v>
      </c>
      <c r="D122" s="367"/>
      <c r="E122" s="369"/>
      <c r="F122" s="367">
        <v>1</v>
      </c>
      <c r="G122" s="367"/>
      <c r="H122" s="367">
        <v>2</v>
      </c>
      <c r="I122" s="367" t="str">
        <f>_xlfn.IFNA(VLOOKUP(A122,MetricsDefinition!E$1:AE$200,25,FALSE),"")</f>
        <v>C</v>
      </c>
      <c r="J122" s="368" t="s">
        <v>1008</v>
      </c>
    </row>
    <row r="123" spans="1:10" ht="29">
      <c r="A123" s="367" t="s">
        <v>505</v>
      </c>
      <c r="B123" s="367" t="s">
        <v>1118</v>
      </c>
      <c r="C123" s="371" t="s">
        <v>90</v>
      </c>
      <c r="D123" s="367">
        <v>1</v>
      </c>
      <c r="E123" s="369"/>
      <c r="F123" s="367"/>
      <c r="G123" s="367"/>
      <c r="H123" s="367">
        <v>2</v>
      </c>
      <c r="I123" s="367" t="str">
        <f>_xlfn.IFNA(VLOOKUP(A123,MetricsDefinition!E$1:AE$200,25,FALSE),"")</f>
        <v>C</v>
      </c>
      <c r="J123" s="368" t="s">
        <v>506</v>
      </c>
    </row>
    <row r="124" spans="1:10" ht="29">
      <c r="A124" s="367" t="s">
        <v>505</v>
      </c>
      <c r="B124" s="367" t="s">
        <v>871</v>
      </c>
      <c r="C124" s="371" t="s">
        <v>90</v>
      </c>
      <c r="D124" s="367"/>
      <c r="E124" s="369"/>
      <c r="F124" s="367">
        <v>1</v>
      </c>
      <c r="G124" s="367"/>
      <c r="H124" s="367">
        <v>2</v>
      </c>
      <c r="I124" s="367" t="str">
        <f>_xlfn.IFNA(VLOOKUP(A124,MetricsDefinition!E$1:AE$200,25,FALSE),"")</f>
        <v>C</v>
      </c>
      <c r="J124" s="368" t="s">
        <v>506</v>
      </c>
    </row>
    <row r="125" spans="1:10">
      <c r="A125" s="367" t="s">
        <v>515</v>
      </c>
      <c r="B125" s="367" t="s">
        <v>814</v>
      </c>
      <c r="C125" s="371" t="s">
        <v>90</v>
      </c>
      <c r="D125" s="367">
        <v>1</v>
      </c>
      <c r="E125" s="369"/>
      <c r="F125" s="367"/>
      <c r="G125" s="367"/>
      <c r="H125" s="367">
        <v>2</v>
      </c>
      <c r="I125" s="367" t="str">
        <f>_xlfn.IFNA(VLOOKUP(A125,MetricsDefinition!E$1:AE$200,25,FALSE),"")</f>
        <v>C</v>
      </c>
      <c r="J125" s="368" t="s">
        <v>516</v>
      </c>
    </row>
    <row r="126" spans="1:10">
      <c r="A126" s="367" t="s">
        <v>515</v>
      </c>
      <c r="B126" s="367" t="s">
        <v>864</v>
      </c>
      <c r="C126" s="371" t="s">
        <v>90</v>
      </c>
      <c r="D126" s="367"/>
      <c r="E126" s="369"/>
      <c r="F126" s="367">
        <v>1</v>
      </c>
      <c r="G126" s="367"/>
      <c r="H126" s="367">
        <v>2</v>
      </c>
      <c r="I126" s="367" t="str">
        <f>_xlfn.IFNA(VLOOKUP(A126,MetricsDefinition!E$1:AE$200,25,FALSE),"")</f>
        <v>C</v>
      </c>
      <c r="J126" s="368" t="s">
        <v>516</v>
      </c>
    </row>
    <row r="127" spans="1:10">
      <c r="A127" s="367" t="s">
        <v>520</v>
      </c>
      <c r="B127" s="367" t="s">
        <v>827</v>
      </c>
      <c r="C127" s="371" t="s">
        <v>90</v>
      </c>
      <c r="D127" s="367">
        <v>1</v>
      </c>
      <c r="E127" s="369"/>
      <c r="F127" s="367"/>
      <c r="G127" s="367"/>
      <c r="H127" s="367">
        <v>2</v>
      </c>
      <c r="I127" s="367" t="str">
        <f>_xlfn.IFNA(VLOOKUP(A127,MetricsDefinition!E$1:AE$200,25,FALSE),"")</f>
        <v>C</v>
      </c>
      <c r="J127" s="368" t="s">
        <v>521</v>
      </c>
    </row>
    <row r="128" spans="1:10">
      <c r="A128" s="367" t="s">
        <v>520</v>
      </c>
      <c r="B128" s="367" t="s">
        <v>873</v>
      </c>
      <c r="C128" s="371" t="s">
        <v>90</v>
      </c>
      <c r="D128" s="367"/>
      <c r="E128" s="369"/>
      <c r="F128" s="367">
        <v>1</v>
      </c>
      <c r="G128" s="367"/>
      <c r="H128" s="367">
        <v>2</v>
      </c>
      <c r="I128" s="367" t="str">
        <f>_xlfn.IFNA(VLOOKUP(A128,MetricsDefinition!E$1:AE$200,25,FALSE),"")</f>
        <v>C</v>
      </c>
      <c r="J128" s="368" t="s">
        <v>521</v>
      </c>
    </row>
    <row r="129" spans="1:10">
      <c r="A129" s="367" t="s">
        <v>524</v>
      </c>
      <c r="B129" s="367" t="s">
        <v>764</v>
      </c>
      <c r="C129" s="371" t="s">
        <v>90</v>
      </c>
      <c r="D129" s="367">
        <v>1</v>
      </c>
      <c r="E129" s="369"/>
      <c r="F129" s="367"/>
      <c r="G129" s="367"/>
      <c r="H129" s="367">
        <v>2</v>
      </c>
      <c r="I129" s="367" t="str">
        <f>_xlfn.IFNA(VLOOKUP(A129,MetricsDefinition!E$1:AE$200,25,FALSE),"")</f>
        <v>C</v>
      </c>
      <c r="J129" s="368" t="s">
        <v>525</v>
      </c>
    </row>
    <row r="130" spans="1:10">
      <c r="A130" s="367" t="s">
        <v>524</v>
      </c>
      <c r="B130" s="367" t="s">
        <v>1119</v>
      </c>
      <c r="C130" s="371" t="s">
        <v>90</v>
      </c>
      <c r="D130" s="367"/>
      <c r="E130" s="369"/>
      <c r="F130" s="367">
        <v>1</v>
      </c>
      <c r="G130" s="367" t="s">
        <v>1050</v>
      </c>
      <c r="H130" s="367">
        <v>2</v>
      </c>
      <c r="I130" s="367" t="str">
        <f>_xlfn.IFNA(VLOOKUP(A130,MetricsDefinition!E$1:AE$200,25,FALSE),"")</f>
        <v>C</v>
      </c>
      <c r="J130" s="368" t="s">
        <v>525</v>
      </c>
    </row>
    <row r="131" spans="1:10" ht="29">
      <c r="A131" s="367" t="s">
        <v>893</v>
      </c>
      <c r="B131" s="367" t="s">
        <v>770</v>
      </c>
      <c r="C131" s="371" t="s">
        <v>90</v>
      </c>
      <c r="D131" s="367">
        <v>1</v>
      </c>
      <c r="E131" s="369"/>
      <c r="F131" s="367">
        <v>2</v>
      </c>
      <c r="G131" s="367"/>
      <c r="H131" s="367">
        <v>3</v>
      </c>
      <c r="I131" s="367" t="str">
        <f>_xlfn.IFNA(VLOOKUP(A131,MetricsDefinition!E$1:AE$200,25,FALSE),"")</f>
        <v>C</v>
      </c>
      <c r="J131" s="368" t="s">
        <v>1009</v>
      </c>
    </row>
    <row r="132" spans="1:10" ht="29">
      <c r="A132" s="367" t="s">
        <v>893</v>
      </c>
      <c r="B132" s="367" t="s">
        <v>771</v>
      </c>
      <c r="C132" s="371" t="s">
        <v>90</v>
      </c>
      <c r="D132" s="367"/>
      <c r="E132" s="369"/>
      <c r="F132" s="367">
        <v>1</v>
      </c>
      <c r="G132" s="367"/>
      <c r="H132" s="367">
        <v>3</v>
      </c>
      <c r="I132" s="367" t="str">
        <f>_xlfn.IFNA(VLOOKUP(A132,MetricsDefinition!E$1:AE$200,25,FALSE),"")</f>
        <v>C</v>
      </c>
      <c r="J132" s="368" t="s">
        <v>1009</v>
      </c>
    </row>
    <row r="133" spans="1:10" ht="29">
      <c r="A133" s="367" t="s">
        <v>530</v>
      </c>
      <c r="B133" s="367" t="s">
        <v>771</v>
      </c>
      <c r="C133" s="371" t="s">
        <v>90</v>
      </c>
      <c r="D133" s="367">
        <v>1</v>
      </c>
      <c r="E133" s="369"/>
      <c r="F133" s="367">
        <v>1</v>
      </c>
      <c r="G133" s="367" t="s">
        <v>1050</v>
      </c>
      <c r="H133" s="367">
        <v>3</v>
      </c>
      <c r="I133" s="367" t="str">
        <f>_xlfn.IFNA(VLOOKUP(A133,MetricsDefinition!E$1:AE$200,25,FALSE),"")</f>
        <v>C</v>
      </c>
      <c r="J133" s="368" t="s">
        <v>1011</v>
      </c>
    </row>
    <row r="134" spans="1:10" ht="29">
      <c r="A134" s="367" t="s">
        <v>530</v>
      </c>
      <c r="B134" s="367" t="s">
        <v>770</v>
      </c>
      <c r="C134" s="371" t="s">
        <v>90</v>
      </c>
      <c r="D134" s="367"/>
      <c r="E134" s="369"/>
      <c r="F134" s="367">
        <v>2</v>
      </c>
      <c r="H134" s="367">
        <v>3</v>
      </c>
      <c r="I134" s="367" t="str">
        <f>_xlfn.IFNA(VLOOKUP(A134,MetricsDefinition!E$1:AE$200,25,FALSE),"")</f>
        <v>C</v>
      </c>
      <c r="J134" s="368" t="s">
        <v>1011</v>
      </c>
    </row>
    <row r="135" spans="1:10">
      <c r="A135" s="367" t="s">
        <v>534</v>
      </c>
      <c r="B135" s="367" t="s">
        <v>534</v>
      </c>
      <c r="C135" s="371" t="s">
        <v>90</v>
      </c>
      <c r="D135" s="367">
        <v>1</v>
      </c>
      <c r="E135" s="369"/>
      <c r="F135" s="367"/>
      <c r="G135" s="367"/>
      <c r="H135" s="367">
        <v>1</v>
      </c>
      <c r="I135" s="367" t="str">
        <f>_xlfn.IFNA(VLOOKUP(A135,MetricsDefinition!E$1:AE$200,25,FALSE),"")</f>
        <v>D</v>
      </c>
      <c r="J135" s="368" t="s">
        <v>535</v>
      </c>
    </row>
    <row r="136" spans="1:10">
      <c r="A136" s="367" t="s">
        <v>1015</v>
      </c>
      <c r="B136" s="367" t="s">
        <v>800</v>
      </c>
      <c r="C136" s="371" t="s">
        <v>90</v>
      </c>
      <c r="D136" s="367">
        <v>1</v>
      </c>
      <c r="E136" s="369"/>
      <c r="F136" s="367"/>
      <c r="G136" s="367"/>
      <c r="H136" s="367">
        <v>2</v>
      </c>
      <c r="I136" s="367" t="str">
        <f>_xlfn.IFNA(VLOOKUP(A136,MetricsDefinition!E$1:AE$200,25,FALSE),"")</f>
        <v>C</v>
      </c>
      <c r="J136" s="216" t="s">
        <v>541</v>
      </c>
    </row>
    <row r="137" spans="1:10">
      <c r="A137" s="367" t="s">
        <v>1015</v>
      </c>
      <c r="B137" s="367" t="s">
        <v>804</v>
      </c>
      <c r="C137" s="371" t="s">
        <v>90</v>
      </c>
      <c r="D137" s="367"/>
      <c r="E137" s="369"/>
      <c r="F137" s="367">
        <v>1</v>
      </c>
      <c r="G137" s="367"/>
      <c r="H137" s="367">
        <v>2</v>
      </c>
      <c r="I137" s="367" t="str">
        <f>_xlfn.IFNA(VLOOKUP(A137,MetricsDefinition!E$1:AE$200,25,FALSE),"")</f>
        <v>C</v>
      </c>
      <c r="J137" s="216" t="s">
        <v>541</v>
      </c>
    </row>
    <row r="138" spans="1:10" ht="29">
      <c r="A138" s="367" t="s">
        <v>543</v>
      </c>
      <c r="B138" s="367" t="s">
        <v>543</v>
      </c>
      <c r="C138" s="371" t="s">
        <v>90</v>
      </c>
      <c r="D138" s="367">
        <v>1</v>
      </c>
      <c r="E138" s="369"/>
      <c r="F138" s="367"/>
      <c r="G138" s="367"/>
      <c r="H138" s="367">
        <v>1</v>
      </c>
      <c r="I138" s="367" t="str">
        <f>_xlfn.IFNA(VLOOKUP(A138,MetricsDefinition!E$1:AE$200,25,FALSE),"")</f>
        <v>D</v>
      </c>
      <c r="J138" s="368" t="s">
        <v>544</v>
      </c>
    </row>
    <row r="139" spans="1:10" ht="29">
      <c r="A139" s="367" t="s">
        <v>547</v>
      </c>
      <c r="B139" s="367" t="s">
        <v>802</v>
      </c>
      <c r="C139" s="371" t="s">
        <v>90</v>
      </c>
      <c r="D139" s="367">
        <v>1</v>
      </c>
      <c r="E139" s="369"/>
      <c r="F139" s="367"/>
      <c r="G139" s="367"/>
      <c r="H139" s="367">
        <v>2</v>
      </c>
      <c r="I139" s="367" t="str">
        <f>_xlfn.IFNA(VLOOKUP(A139,MetricsDefinition!E$1:AE$200,25,FALSE),"")</f>
        <v>C</v>
      </c>
      <c r="J139" s="368" t="s">
        <v>1016</v>
      </c>
    </row>
    <row r="140" spans="1:10" ht="29">
      <c r="A140" s="367" t="s">
        <v>547</v>
      </c>
      <c r="B140" s="367" t="s">
        <v>796</v>
      </c>
      <c r="C140" s="371" t="s">
        <v>90</v>
      </c>
      <c r="D140" s="367"/>
      <c r="E140" s="369"/>
      <c r="F140" s="367">
        <v>1</v>
      </c>
      <c r="G140" s="367"/>
      <c r="H140" s="367">
        <v>2</v>
      </c>
      <c r="I140" s="367" t="str">
        <f>_xlfn.IFNA(VLOOKUP(A140,MetricsDefinition!E$1:AE$200,25,FALSE),"")</f>
        <v>C</v>
      </c>
      <c r="J140" s="368" t="s">
        <v>1016</v>
      </c>
    </row>
    <row r="141" spans="1:10" ht="29">
      <c r="A141" s="367" t="s">
        <v>550</v>
      </c>
      <c r="B141" s="367" t="s">
        <v>803</v>
      </c>
      <c r="C141" s="371" t="s">
        <v>90</v>
      </c>
      <c r="D141" s="367">
        <v>1</v>
      </c>
      <c r="E141" s="369"/>
      <c r="F141" s="367"/>
      <c r="G141" s="367"/>
      <c r="H141" s="367">
        <v>2</v>
      </c>
      <c r="I141" s="367" t="str">
        <f>_xlfn.IFNA(VLOOKUP(A141,MetricsDefinition!E$1:AE$200,25,FALSE),"")</f>
        <v>C</v>
      </c>
      <c r="J141" s="368" t="s">
        <v>1017</v>
      </c>
    </row>
    <row r="142" spans="1:10" ht="29">
      <c r="A142" s="367" t="s">
        <v>550</v>
      </c>
      <c r="B142" s="367" t="s">
        <v>1120</v>
      </c>
      <c r="C142" s="371" t="s">
        <v>90</v>
      </c>
      <c r="D142" s="367"/>
      <c r="E142" s="369"/>
      <c r="F142" s="367">
        <v>1</v>
      </c>
      <c r="G142" s="367"/>
      <c r="H142" s="367">
        <v>2</v>
      </c>
      <c r="I142" s="367" t="str">
        <f>_xlfn.IFNA(VLOOKUP(A142,MetricsDefinition!E$1:AE$200,25,FALSE),"")</f>
        <v>C</v>
      </c>
      <c r="J142" s="368" t="s">
        <v>1017</v>
      </c>
    </row>
    <row r="143" spans="1:10">
      <c r="A143" s="367" t="s">
        <v>1012</v>
      </c>
      <c r="B143" s="367" t="s">
        <v>1121</v>
      </c>
      <c r="C143" s="371" t="s">
        <v>90</v>
      </c>
      <c r="D143" s="367">
        <v>1</v>
      </c>
      <c r="E143" s="369"/>
      <c r="F143" s="367"/>
      <c r="G143" s="367"/>
      <c r="H143" s="367">
        <v>2</v>
      </c>
      <c r="I143" s="367" t="str">
        <f>_xlfn.IFNA(VLOOKUP(A143,MetricsDefinition!E$1:AE$200,25,FALSE),"")</f>
        <v>C</v>
      </c>
      <c r="J143" s="368" t="s">
        <v>1013</v>
      </c>
    </row>
    <row r="144" spans="1:10">
      <c r="A144" s="367" t="s">
        <v>1012</v>
      </c>
      <c r="B144" s="367" t="s">
        <v>862</v>
      </c>
      <c r="C144" s="371" t="s">
        <v>90</v>
      </c>
      <c r="D144" s="367"/>
      <c r="E144" s="369"/>
      <c r="F144" s="367">
        <v>1</v>
      </c>
      <c r="G144" s="367"/>
      <c r="H144" s="367">
        <v>2</v>
      </c>
      <c r="I144" s="367" t="str">
        <f>_xlfn.IFNA(VLOOKUP(A144,MetricsDefinition!E$1:AE$200,25,FALSE),"")</f>
        <v>C</v>
      </c>
      <c r="J144" s="368" t="s">
        <v>1013</v>
      </c>
    </row>
    <row r="145" spans="1:10">
      <c r="A145" s="397" t="s">
        <v>1122</v>
      </c>
      <c r="B145" s="406" t="s">
        <v>1123</v>
      </c>
      <c r="C145" s="371" t="s">
        <v>90</v>
      </c>
      <c r="D145" s="367">
        <v>1</v>
      </c>
      <c r="E145" s="369"/>
      <c r="F145" s="367"/>
      <c r="G145" s="367"/>
      <c r="H145" s="367">
        <v>2</v>
      </c>
      <c r="I145" s="367" t="str">
        <f>_xlfn.IFNA(VLOOKUP(A145,MetricsDefinition!E$1:AE$200,25,FALSE),"")</f>
        <v/>
      </c>
      <c r="J145" s="407" t="s">
        <v>1124</v>
      </c>
    </row>
    <row r="146" spans="1:10">
      <c r="A146" s="397" t="s">
        <v>1122</v>
      </c>
      <c r="B146" s="406" t="s">
        <v>1125</v>
      </c>
      <c r="C146" s="371" t="s">
        <v>90</v>
      </c>
      <c r="D146" s="367"/>
      <c r="E146" s="369"/>
      <c r="F146" s="367">
        <v>1</v>
      </c>
      <c r="G146" s="367"/>
      <c r="H146" s="367">
        <v>2</v>
      </c>
      <c r="I146" s="367" t="str">
        <f>_xlfn.IFNA(VLOOKUP(A146,MetricsDefinition!E$1:AE$200,25,FALSE),"")</f>
        <v/>
      </c>
      <c r="J146" s="407" t="s">
        <v>1124</v>
      </c>
    </row>
    <row r="147" spans="1:10">
      <c r="A147" s="397" t="s">
        <v>1126</v>
      </c>
      <c r="B147" s="406" t="s">
        <v>1127</v>
      </c>
      <c r="C147" s="371" t="s">
        <v>90</v>
      </c>
      <c r="D147" s="367">
        <v>1</v>
      </c>
      <c r="E147" s="369"/>
      <c r="F147" s="367"/>
      <c r="G147" s="367"/>
      <c r="H147" s="367">
        <v>2</v>
      </c>
      <c r="I147" s="367" t="str">
        <f>_xlfn.IFNA(VLOOKUP(A147,MetricsDefinition!E$1:AE$200,25,FALSE),"")</f>
        <v/>
      </c>
      <c r="J147" s="407" t="s">
        <v>1128</v>
      </c>
    </row>
    <row r="148" spans="1:10">
      <c r="A148" s="397" t="s">
        <v>1126</v>
      </c>
      <c r="B148" s="406" t="s">
        <v>1129</v>
      </c>
      <c r="C148" s="371" t="s">
        <v>90</v>
      </c>
      <c r="D148" s="367"/>
      <c r="E148" s="369"/>
      <c r="F148" s="367">
        <v>1</v>
      </c>
      <c r="G148" s="367"/>
      <c r="H148" s="367">
        <v>2</v>
      </c>
      <c r="I148" s="367" t="str">
        <f>_xlfn.IFNA(VLOOKUP(A148,MetricsDefinition!E$1:AE$200,25,FALSE),"")</f>
        <v/>
      </c>
      <c r="J148" s="407" t="s">
        <v>1128</v>
      </c>
    </row>
    <row r="149" spans="1:10">
      <c r="A149" s="397" t="s">
        <v>1130</v>
      </c>
      <c r="B149" s="406" t="s">
        <v>1131</v>
      </c>
      <c r="C149" s="371" t="s">
        <v>90</v>
      </c>
      <c r="D149" s="367">
        <v>1</v>
      </c>
      <c r="E149" s="369"/>
      <c r="F149" s="367"/>
      <c r="G149" s="367"/>
      <c r="H149" s="367">
        <v>2</v>
      </c>
      <c r="I149" s="367" t="str">
        <f>_xlfn.IFNA(VLOOKUP(A149,MetricsDefinition!E$1:AE$200,25,FALSE),"")</f>
        <v/>
      </c>
      <c r="J149" s="407" t="s">
        <v>1132</v>
      </c>
    </row>
    <row r="150" spans="1:10">
      <c r="A150" s="397" t="s">
        <v>1130</v>
      </c>
      <c r="B150" s="406" t="s">
        <v>1133</v>
      </c>
      <c r="C150" s="371" t="s">
        <v>90</v>
      </c>
      <c r="D150" s="367"/>
      <c r="E150" s="369"/>
      <c r="F150" s="367">
        <v>1</v>
      </c>
      <c r="G150" s="367"/>
      <c r="H150" s="367">
        <v>2</v>
      </c>
      <c r="I150" s="367" t="str">
        <f>_xlfn.IFNA(VLOOKUP(A150,MetricsDefinition!E$1:AE$200,25,FALSE),"")</f>
        <v/>
      </c>
      <c r="J150" s="407" t="s">
        <v>1134</v>
      </c>
    </row>
    <row r="151" spans="1:10">
      <c r="A151" s="397" t="s">
        <v>1135</v>
      </c>
      <c r="B151" s="406" t="s">
        <v>1136</v>
      </c>
      <c r="C151" s="371" t="s">
        <v>90</v>
      </c>
      <c r="D151" s="367">
        <v>1</v>
      </c>
      <c r="E151" s="369"/>
      <c r="F151" s="367"/>
      <c r="G151" s="367"/>
      <c r="H151" s="367">
        <v>2</v>
      </c>
      <c r="I151" s="367" t="str">
        <f>_xlfn.IFNA(VLOOKUP(A151,MetricsDefinition!E$1:AE$200,25,FALSE),"")</f>
        <v/>
      </c>
      <c r="J151" s="407" t="s">
        <v>1137</v>
      </c>
    </row>
    <row r="152" spans="1:10">
      <c r="A152" s="397" t="s">
        <v>1135</v>
      </c>
      <c r="B152" s="406" t="s">
        <v>1138</v>
      </c>
      <c r="C152" s="371" t="s">
        <v>90</v>
      </c>
      <c r="D152" s="367"/>
      <c r="E152" s="369"/>
      <c r="F152" s="367">
        <v>1</v>
      </c>
      <c r="G152" s="367"/>
      <c r="H152" s="367">
        <v>2</v>
      </c>
      <c r="I152" s="367" t="str">
        <f>_xlfn.IFNA(VLOOKUP(A152,MetricsDefinition!E$1:AE$200,25,FALSE),"")</f>
        <v/>
      </c>
      <c r="J152" s="407" t="s">
        <v>1137</v>
      </c>
    </row>
    <row r="153" spans="1:10">
      <c r="A153" s="397" t="s">
        <v>1139</v>
      </c>
      <c r="B153" s="406" t="s">
        <v>1140</v>
      </c>
      <c r="C153" s="371" t="s">
        <v>90</v>
      </c>
      <c r="D153" s="367">
        <v>1</v>
      </c>
      <c r="E153" s="369"/>
      <c r="F153" s="367"/>
      <c r="G153" s="367"/>
      <c r="H153" s="367">
        <v>2</v>
      </c>
      <c r="I153" s="367" t="str">
        <f>_xlfn.IFNA(VLOOKUP(A153,MetricsDefinition!E$1:AE$200,25,FALSE),"")</f>
        <v/>
      </c>
      <c r="J153" s="407" t="s">
        <v>1141</v>
      </c>
    </row>
    <row r="154" spans="1:10">
      <c r="A154" s="397" t="s">
        <v>1139</v>
      </c>
      <c r="B154" s="406" t="s">
        <v>1142</v>
      </c>
      <c r="C154" s="371" t="s">
        <v>90</v>
      </c>
      <c r="D154" s="367"/>
      <c r="E154" s="369"/>
      <c r="F154" s="367">
        <v>1</v>
      </c>
      <c r="G154" s="367"/>
      <c r="H154" s="367">
        <v>2</v>
      </c>
      <c r="I154" s="367" t="str">
        <f>_xlfn.IFNA(VLOOKUP(A154,MetricsDefinition!E$1:AE$200,25,FALSE),"")</f>
        <v/>
      </c>
      <c r="J154" s="407" t="s">
        <v>1141</v>
      </c>
    </row>
    <row r="155" spans="1:10">
      <c r="A155" s="397" t="s">
        <v>1143</v>
      </c>
      <c r="B155" s="406" t="s">
        <v>1144</v>
      </c>
      <c r="C155" s="371" t="s">
        <v>90</v>
      </c>
      <c r="D155" s="367">
        <v>1</v>
      </c>
      <c r="E155" s="369"/>
      <c r="F155" s="367"/>
      <c r="G155" s="367"/>
      <c r="H155" s="367">
        <v>2</v>
      </c>
      <c r="I155" s="367" t="str">
        <f>_xlfn.IFNA(VLOOKUP(A155,MetricsDefinition!E$1:AE$200,25,FALSE),"")</f>
        <v/>
      </c>
      <c r="J155" s="407" t="s">
        <v>1145</v>
      </c>
    </row>
    <row r="156" spans="1:10">
      <c r="A156" s="397" t="s">
        <v>1143</v>
      </c>
      <c r="B156" s="406" t="s">
        <v>1146</v>
      </c>
      <c r="C156" s="371" t="s">
        <v>90</v>
      </c>
      <c r="D156" s="367"/>
      <c r="E156" s="369"/>
      <c r="F156" s="367">
        <v>1</v>
      </c>
      <c r="G156" s="367"/>
      <c r="H156" s="367">
        <v>2</v>
      </c>
      <c r="I156" s="367" t="str">
        <f>_xlfn.IFNA(VLOOKUP(A156,MetricsDefinition!E$1:AE$200,25,FALSE),"")</f>
        <v/>
      </c>
      <c r="J156" s="407" t="s">
        <v>1147</v>
      </c>
    </row>
    <row r="157" spans="1:10">
      <c r="A157" s="397" t="s">
        <v>1148</v>
      </c>
      <c r="B157" s="406" t="s">
        <v>1149</v>
      </c>
      <c r="C157" s="371" t="s">
        <v>90</v>
      </c>
      <c r="D157" s="367">
        <v>1</v>
      </c>
      <c r="E157" s="369"/>
      <c r="F157" s="367"/>
      <c r="G157" s="367"/>
      <c r="H157" s="367">
        <v>2</v>
      </c>
      <c r="I157" s="367" t="str">
        <f>_xlfn.IFNA(VLOOKUP(A157,MetricsDefinition!E$1:AE$200,25,FALSE),"")</f>
        <v/>
      </c>
      <c r="J157" s="407" t="s">
        <v>1150</v>
      </c>
    </row>
    <row r="158" spans="1:10">
      <c r="A158" s="397" t="s">
        <v>1148</v>
      </c>
      <c r="B158" s="406" t="s">
        <v>1151</v>
      </c>
      <c r="C158" s="371" t="s">
        <v>90</v>
      </c>
      <c r="D158" s="367"/>
      <c r="E158" s="369"/>
      <c r="F158" s="367">
        <v>1</v>
      </c>
      <c r="G158" s="367"/>
      <c r="H158" s="367">
        <v>2</v>
      </c>
      <c r="I158" s="367" t="str">
        <f>_xlfn.IFNA(VLOOKUP(A158,MetricsDefinition!E$1:AE$200,25,FALSE),"")</f>
        <v/>
      </c>
      <c r="J158" s="407" t="s">
        <v>1150</v>
      </c>
    </row>
    <row r="159" spans="1:10">
      <c r="A159" s="397" t="s">
        <v>1152</v>
      </c>
      <c r="B159" s="406" t="s">
        <v>1153</v>
      </c>
      <c r="C159" s="371" t="s">
        <v>90</v>
      </c>
      <c r="D159" s="367">
        <v>1</v>
      </c>
      <c r="E159" s="369"/>
      <c r="F159" s="367"/>
      <c r="G159" s="367"/>
      <c r="H159" s="367">
        <v>2</v>
      </c>
      <c r="I159" s="367" t="str">
        <f>_xlfn.IFNA(VLOOKUP(A159,MetricsDefinition!E$1:AE$200,25,FALSE),"")</f>
        <v/>
      </c>
      <c r="J159" s="407" t="s">
        <v>1154</v>
      </c>
    </row>
    <row r="160" spans="1:10">
      <c r="A160" s="397" t="s">
        <v>1152</v>
      </c>
      <c r="B160" s="406" t="s">
        <v>1155</v>
      </c>
      <c r="C160" s="371" t="s">
        <v>90</v>
      </c>
      <c r="D160" s="367"/>
      <c r="E160" s="369"/>
      <c r="F160" s="367">
        <v>1</v>
      </c>
      <c r="G160" s="367"/>
      <c r="H160" s="367">
        <v>2</v>
      </c>
      <c r="I160" s="367" t="str">
        <f>_xlfn.IFNA(VLOOKUP(A160,MetricsDefinition!E$1:AE$200,25,FALSE),"")</f>
        <v/>
      </c>
      <c r="J160" s="407" t="s">
        <v>1154</v>
      </c>
    </row>
    <row r="161" spans="1:10">
      <c r="A161" s="397" t="s">
        <v>1156</v>
      </c>
      <c r="B161" s="406" t="s">
        <v>1157</v>
      </c>
      <c r="C161" s="371" t="s">
        <v>90</v>
      </c>
      <c r="D161" s="367">
        <v>1</v>
      </c>
      <c r="E161" s="369"/>
      <c r="F161" s="367"/>
      <c r="G161" s="367"/>
      <c r="H161" s="367">
        <v>2</v>
      </c>
      <c r="I161" s="367" t="str">
        <f>_xlfn.IFNA(VLOOKUP(A161,MetricsDefinition!E$1:AE$200,25,FALSE),"")</f>
        <v/>
      </c>
      <c r="J161" s="407" t="s">
        <v>1158</v>
      </c>
    </row>
    <row r="162" spans="1:10">
      <c r="A162" s="397" t="s">
        <v>1156</v>
      </c>
      <c r="B162" s="406" t="s">
        <v>1125</v>
      </c>
      <c r="C162" s="371" t="s">
        <v>90</v>
      </c>
      <c r="D162" s="367"/>
      <c r="E162" s="369"/>
      <c r="F162" s="367">
        <v>1</v>
      </c>
      <c r="G162" s="367"/>
      <c r="H162" s="367">
        <v>2</v>
      </c>
      <c r="I162" s="367" t="str">
        <f>_xlfn.IFNA(VLOOKUP(A162,MetricsDefinition!E$1:AE$200,25,FALSE),"")</f>
        <v/>
      </c>
      <c r="J162" s="407" t="s">
        <v>1158</v>
      </c>
    </row>
    <row r="163" spans="1:10">
      <c r="A163" s="397" t="s">
        <v>1159</v>
      </c>
      <c r="B163" s="406" t="s">
        <v>1160</v>
      </c>
      <c r="C163" s="371" t="s">
        <v>90</v>
      </c>
      <c r="D163" s="367">
        <v>1</v>
      </c>
      <c r="E163" s="369"/>
      <c r="F163" s="367"/>
      <c r="G163" s="367"/>
      <c r="H163" s="367">
        <v>2</v>
      </c>
      <c r="I163" s="367" t="str">
        <f>_xlfn.IFNA(VLOOKUP(A163,MetricsDefinition!E$1:AE$200,25,FALSE),"")</f>
        <v/>
      </c>
      <c r="J163" s="407" t="s">
        <v>1161</v>
      </c>
    </row>
    <row r="164" spans="1:10">
      <c r="A164" s="397" t="s">
        <v>1159</v>
      </c>
      <c r="B164" s="406" t="s">
        <v>1129</v>
      </c>
      <c r="C164" s="371" t="s">
        <v>90</v>
      </c>
      <c r="D164" s="367"/>
      <c r="E164" s="369"/>
      <c r="F164" s="367">
        <v>1</v>
      </c>
      <c r="G164" s="367"/>
      <c r="H164" s="367">
        <v>2</v>
      </c>
      <c r="I164" s="367" t="str">
        <f>_xlfn.IFNA(VLOOKUP(A164,MetricsDefinition!E$1:AE$200,25,FALSE),"")</f>
        <v/>
      </c>
      <c r="J164" s="407" t="s">
        <v>1161</v>
      </c>
    </row>
  </sheetData>
  <sheetProtection formatCells="0" formatColumns="0" formatRows="0"/>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3448D-9578-4AEC-96C2-316193A719B5}">
  <sheetPr codeName="Sheet8"/>
  <dimension ref="B1:F16"/>
  <sheetViews>
    <sheetView showGridLines="0" zoomScaleNormal="100" workbookViewId="0">
      <selection activeCell="H5" sqref="H5"/>
    </sheetView>
  </sheetViews>
  <sheetFormatPr defaultRowHeight="12.5"/>
  <cols>
    <col min="1" max="1" width="1.26953125" style="42" customWidth="1"/>
    <col min="2" max="2" width="8.7265625" style="42" customWidth="1"/>
    <col min="3" max="3" width="14.26953125" style="42" customWidth="1"/>
    <col min="4" max="4" width="14.54296875" style="42" customWidth="1"/>
    <col min="5" max="5" width="17.54296875" style="42" customWidth="1"/>
    <col min="6" max="6" width="41.7265625" style="42" customWidth="1"/>
    <col min="7" max="7" width="33.7265625" style="42" customWidth="1"/>
    <col min="8" max="8" width="7.26953125" style="42" customWidth="1"/>
    <col min="9" max="256" width="9.1796875" style="42"/>
    <col min="257" max="257" width="1.26953125" style="42" customWidth="1"/>
    <col min="258" max="258" width="8.7265625" style="42" customWidth="1"/>
    <col min="259" max="259" width="14.26953125" style="42" customWidth="1"/>
    <col min="260" max="260" width="14.54296875" style="42" customWidth="1"/>
    <col min="261" max="261" width="17.54296875" style="42" customWidth="1"/>
    <col min="262" max="262" width="41.7265625" style="42" customWidth="1"/>
    <col min="263" max="263" width="33.7265625" style="42" customWidth="1"/>
    <col min="264" max="264" width="7.26953125" style="42" customWidth="1"/>
    <col min="265" max="512" width="9.1796875" style="42"/>
    <col min="513" max="513" width="1.26953125" style="42" customWidth="1"/>
    <col min="514" max="514" width="8.7265625" style="42" customWidth="1"/>
    <col min="515" max="515" width="14.26953125" style="42" customWidth="1"/>
    <col min="516" max="516" width="14.54296875" style="42" customWidth="1"/>
    <col min="517" max="517" width="17.54296875" style="42" customWidth="1"/>
    <col min="518" max="518" width="41.7265625" style="42" customWidth="1"/>
    <col min="519" max="519" width="33.7265625" style="42" customWidth="1"/>
    <col min="520" max="520" width="7.26953125" style="42" customWidth="1"/>
    <col min="521" max="768" width="9.1796875" style="42"/>
    <col min="769" max="769" width="1.26953125" style="42" customWidth="1"/>
    <col min="770" max="770" width="8.7265625" style="42" customWidth="1"/>
    <col min="771" max="771" width="14.26953125" style="42" customWidth="1"/>
    <col min="772" max="772" width="14.54296875" style="42" customWidth="1"/>
    <col min="773" max="773" width="17.54296875" style="42" customWidth="1"/>
    <col min="774" max="774" width="41.7265625" style="42" customWidth="1"/>
    <col min="775" max="775" width="33.7265625" style="42" customWidth="1"/>
    <col min="776" max="776" width="7.26953125" style="42" customWidth="1"/>
    <col min="777" max="1024" width="9.1796875" style="42"/>
    <col min="1025" max="1025" width="1.26953125" style="42" customWidth="1"/>
    <col min="1026" max="1026" width="8.7265625" style="42" customWidth="1"/>
    <col min="1027" max="1027" width="14.26953125" style="42" customWidth="1"/>
    <col min="1028" max="1028" width="14.54296875" style="42" customWidth="1"/>
    <col min="1029" max="1029" width="17.54296875" style="42" customWidth="1"/>
    <col min="1030" max="1030" width="41.7265625" style="42" customWidth="1"/>
    <col min="1031" max="1031" width="33.7265625" style="42" customWidth="1"/>
    <col min="1032" max="1032" width="7.26953125" style="42" customWidth="1"/>
    <col min="1033" max="1280" width="9.1796875" style="42"/>
    <col min="1281" max="1281" width="1.26953125" style="42" customWidth="1"/>
    <col min="1282" max="1282" width="8.7265625" style="42" customWidth="1"/>
    <col min="1283" max="1283" width="14.26953125" style="42" customWidth="1"/>
    <col min="1284" max="1284" width="14.54296875" style="42" customWidth="1"/>
    <col min="1285" max="1285" width="17.54296875" style="42" customWidth="1"/>
    <col min="1286" max="1286" width="41.7265625" style="42" customWidth="1"/>
    <col min="1287" max="1287" width="33.7265625" style="42" customWidth="1"/>
    <col min="1288" max="1288" width="7.26953125" style="42" customWidth="1"/>
    <col min="1289" max="1536" width="9.1796875" style="42"/>
    <col min="1537" max="1537" width="1.26953125" style="42" customWidth="1"/>
    <col min="1538" max="1538" width="8.7265625" style="42" customWidth="1"/>
    <col min="1539" max="1539" width="14.26953125" style="42" customWidth="1"/>
    <col min="1540" max="1540" width="14.54296875" style="42" customWidth="1"/>
    <col min="1541" max="1541" width="17.54296875" style="42" customWidth="1"/>
    <col min="1542" max="1542" width="41.7265625" style="42" customWidth="1"/>
    <col min="1543" max="1543" width="33.7265625" style="42" customWidth="1"/>
    <col min="1544" max="1544" width="7.26953125" style="42" customWidth="1"/>
    <col min="1545" max="1792" width="9.1796875" style="42"/>
    <col min="1793" max="1793" width="1.26953125" style="42" customWidth="1"/>
    <col min="1794" max="1794" width="8.7265625" style="42" customWidth="1"/>
    <col min="1795" max="1795" width="14.26953125" style="42" customWidth="1"/>
    <col min="1796" max="1796" width="14.54296875" style="42" customWidth="1"/>
    <col min="1797" max="1797" width="17.54296875" style="42" customWidth="1"/>
    <col min="1798" max="1798" width="41.7265625" style="42" customWidth="1"/>
    <col min="1799" max="1799" width="33.7265625" style="42" customWidth="1"/>
    <col min="1800" max="1800" width="7.26953125" style="42" customWidth="1"/>
    <col min="1801" max="2048" width="9.1796875" style="42"/>
    <col min="2049" max="2049" width="1.26953125" style="42" customWidth="1"/>
    <col min="2050" max="2050" width="8.7265625" style="42" customWidth="1"/>
    <col min="2051" max="2051" width="14.26953125" style="42" customWidth="1"/>
    <col min="2052" max="2052" width="14.54296875" style="42" customWidth="1"/>
    <col min="2053" max="2053" width="17.54296875" style="42" customWidth="1"/>
    <col min="2054" max="2054" width="41.7265625" style="42" customWidth="1"/>
    <col min="2055" max="2055" width="33.7265625" style="42" customWidth="1"/>
    <col min="2056" max="2056" width="7.26953125" style="42" customWidth="1"/>
    <col min="2057" max="2304" width="9.1796875" style="42"/>
    <col min="2305" max="2305" width="1.26953125" style="42" customWidth="1"/>
    <col min="2306" max="2306" width="8.7265625" style="42" customWidth="1"/>
    <col min="2307" max="2307" width="14.26953125" style="42" customWidth="1"/>
    <col min="2308" max="2308" width="14.54296875" style="42" customWidth="1"/>
    <col min="2309" max="2309" width="17.54296875" style="42" customWidth="1"/>
    <col min="2310" max="2310" width="41.7265625" style="42" customWidth="1"/>
    <col min="2311" max="2311" width="33.7265625" style="42" customWidth="1"/>
    <col min="2312" max="2312" width="7.26953125" style="42" customWidth="1"/>
    <col min="2313" max="2560" width="9.1796875" style="42"/>
    <col min="2561" max="2561" width="1.26953125" style="42" customWidth="1"/>
    <col min="2562" max="2562" width="8.7265625" style="42" customWidth="1"/>
    <col min="2563" max="2563" width="14.26953125" style="42" customWidth="1"/>
    <col min="2564" max="2564" width="14.54296875" style="42" customWidth="1"/>
    <col min="2565" max="2565" width="17.54296875" style="42" customWidth="1"/>
    <col min="2566" max="2566" width="41.7265625" style="42" customWidth="1"/>
    <col min="2567" max="2567" width="33.7265625" style="42" customWidth="1"/>
    <col min="2568" max="2568" width="7.26953125" style="42" customWidth="1"/>
    <col min="2569" max="2816" width="9.1796875" style="42"/>
    <col min="2817" max="2817" width="1.26953125" style="42" customWidth="1"/>
    <col min="2818" max="2818" width="8.7265625" style="42" customWidth="1"/>
    <col min="2819" max="2819" width="14.26953125" style="42" customWidth="1"/>
    <col min="2820" max="2820" width="14.54296875" style="42" customWidth="1"/>
    <col min="2821" max="2821" width="17.54296875" style="42" customWidth="1"/>
    <col min="2822" max="2822" width="41.7265625" style="42" customWidth="1"/>
    <col min="2823" max="2823" width="33.7265625" style="42" customWidth="1"/>
    <col min="2824" max="2824" width="7.26953125" style="42" customWidth="1"/>
    <col min="2825" max="3072" width="9.1796875" style="42"/>
    <col min="3073" max="3073" width="1.26953125" style="42" customWidth="1"/>
    <col min="3074" max="3074" width="8.7265625" style="42" customWidth="1"/>
    <col min="3075" max="3075" width="14.26953125" style="42" customWidth="1"/>
    <col min="3076" max="3076" width="14.54296875" style="42" customWidth="1"/>
    <col min="3077" max="3077" width="17.54296875" style="42" customWidth="1"/>
    <col min="3078" max="3078" width="41.7265625" style="42" customWidth="1"/>
    <col min="3079" max="3079" width="33.7265625" style="42" customWidth="1"/>
    <col min="3080" max="3080" width="7.26953125" style="42" customWidth="1"/>
    <col min="3081" max="3328" width="9.1796875" style="42"/>
    <col min="3329" max="3329" width="1.26953125" style="42" customWidth="1"/>
    <col min="3330" max="3330" width="8.7265625" style="42" customWidth="1"/>
    <col min="3331" max="3331" width="14.26953125" style="42" customWidth="1"/>
    <col min="3332" max="3332" width="14.54296875" style="42" customWidth="1"/>
    <col min="3333" max="3333" width="17.54296875" style="42" customWidth="1"/>
    <col min="3334" max="3334" width="41.7265625" style="42" customWidth="1"/>
    <col min="3335" max="3335" width="33.7265625" style="42" customWidth="1"/>
    <col min="3336" max="3336" width="7.26953125" style="42" customWidth="1"/>
    <col min="3337" max="3584" width="9.1796875" style="42"/>
    <col min="3585" max="3585" width="1.26953125" style="42" customWidth="1"/>
    <col min="3586" max="3586" width="8.7265625" style="42" customWidth="1"/>
    <col min="3587" max="3587" width="14.26953125" style="42" customWidth="1"/>
    <col min="3588" max="3588" width="14.54296875" style="42" customWidth="1"/>
    <col min="3589" max="3589" width="17.54296875" style="42" customWidth="1"/>
    <col min="3590" max="3590" width="41.7265625" style="42" customWidth="1"/>
    <col min="3591" max="3591" width="33.7265625" style="42" customWidth="1"/>
    <col min="3592" max="3592" width="7.26953125" style="42" customWidth="1"/>
    <col min="3593" max="3840" width="9.1796875" style="42"/>
    <col min="3841" max="3841" width="1.26953125" style="42" customWidth="1"/>
    <col min="3842" max="3842" width="8.7265625" style="42" customWidth="1"/>
    <col min="3843" max="3843" width="14.26953125" style="42" customWidth="1"/>
    <col min="3844" max="3844" width="14.54296875" style="42" customWidth="1"/>
    <col min="3845" max="3845" width="17.54296875" style="42" customWidth="1"/>
    <col min="3846" max="3846" width="41.7265625" style="42" customWidth="1"/>
    <col min="3847" max="3847" width="33.7265625" style="42" customWidth="1"/>
    <col min="3848" max="3848" width="7.26953125" style="42" customWidth="1"/>
    <col min="3849" max="4096" width="9.1796875" style="42"/>
    <col min="4097" max="4097" width="1.26953125" style="42" customWidth="1"/>
    <col min="4098" max="4098" width="8.7265625" style="42" customWidth="1"/>
    <col min="4099" max="4099" width="14.26953125" style="42" customWidth="1"/>
    <col min="4100" max="4100" width="14.54296875" style="42" customWidth="1"/>
    <col min="4101" max="4101" width="17.54296875" style="42" customWidth="1"/>
    <col min="4102" max="4102" width="41.7265625" style="42" customWidth="1"/>
    <col min="4103" max="4103" width="33.7265625" style="42" customWidth="1"/>
    <col min="4104" max="4104" width="7.26953125" style="42" customWidth="1"/>
    <col min="4105" max="4352" width="9.1796875" style="42"/>
    <col min="4353" max="4353" width="1.26953125" style="42" customWidth="1"/>
    <col min="4354" max="4354" width="8.7265625" style="42" customWidth="1"/>
    <col min="4355" max="4355" width="14.26953125" style="42" customWidth="1"/>
    <col min="4356" max="4356" width="14.54296875" style="42" customWidth="1"/>
    <col min="4357" max="4357" width="17.54296875" style="42" customWidth="1"/>
    <col min="4358" max="4358" width="41.7265625" style="42" customWidth="1"/>
    <col min="4359" max="4359" width="33.7265625" style="42" customWidth="1"/>
    <col min="4360" max="4360" width="7.26953125" style="42" customWidth="1"/>
    <col min="4361" max="4608" width="9.1796875" style="42"/>
    <col min="4609" max="4609" width="1.26953125" style="42" customWidth="1"/>
    <col min="4610" max="4610" width="8.7265625" style="42" customWidth="1"/>
    <col min="4611" max="4611" width="14.26953125" style="42" customWidth="1"/>
    <col min="4612" max="4612" width="14.54296875" style="42" customWidth="1"/>
    <col min="4613" max="4613" width="17.54296875" style="42" customWidth="1"/>
    <col min="4614" max="4614" width="41.7265625" style="42" customWidth="1"/>
    <col min="4615" max="4615" width="33.7265625" style="42" customWidth="1"/>
    <col min="4616" max="4616" width="7.26953125" style="42" customWidth="1"/>
    <col min="4617" max="4864" width="9.1796875" style="42"/>
    <col min="4865" max="4865" width="1.26953125" style="42" customWidth="1"/>
    <col min="4866" max="4866" width="8.7265625" style="42" customWidth="1"/>
    <col min="4867" max="4867" width="14.26953125" style="42" customWidth="1"/>
    <col min="4868" max="4868" width="14.54296875" style="42" customWidth="1"/>
    <col min="4869" max="4869" width="17.54296875" style="42" customWidth="1"/>
    <col min="4870" max="4870" width="41.7265625" style="42" customWidth="1"/>
    <col min="4871" max="4871" width="33.7265625" style="42" customWidth="1"/>
    <col min="4872" max="4872" width="7.26953125" style="42" customWidth="1"/>
    <col min="4873" max="5120" width="9.1796875" style="42"/>
    <col min="5121" max="5121" width="1.26953125" style="42" customWidth="1"/>
    <col min="5122" max="5122" width="8.7265625" style="42" customWidth="1"/>
    <col min="5123" max="5123" width="14.26953125" style="42" customWidth="1"/>
    <col min="5124" max="5124" width="14.54296875" style="42" customWidth="1"/>
    <col min="5125" max="5125" width="17.54296875" style="42" customWidth="1"/>
    <col min="5126" max="5126" width="41.7265625" style="42" customWidth="1"/>
    <col min="5127" max="5127" width="33.7265625" style="42" customWidth="1"/>
    <col min="5128" max="5128" width="7.26953125" style="42" customWidth="1"/>
    <col min="5129" max="5376" width="9.1796875" style="42"/>
    <col min="5377" max="5377" width="1.26953125" style="42" customWidth="1"/>
    <col min="5378" max="5378" width="8.7265625" style="42" customWidth="1"/>
    <col min="5379" max="5379" width="14.26953125" style="42" customWidth="1"/>
    <col min="5380" max="5380" width="14.54296875" style="42" customWidth="1"/>
    <col min="5381" max="5381" width="17.54296875" style="42" customWidth="1"/>
    <col min="5382" max="5382" width="41.7265625" style="42" customWidth="1"/>
    <col min="5383" max="5383" width="33.7265625" style="42" customWidth="1"/>
    <col min="5384" max="5384" width="7.26953125" style="42" customWidth="1"/>
    <col min="5385" max="5632" width="9.1796875" style="42"/>
    <col min="5633" max="5633" width="1.26953125" style="42" customWidth="1"/>
    <col min="5634" max="5634" width="8.7265625" style="42" customWidth="1"/>
    <col min="5635" max="5635" width="14.26953125" style="42" customWidth="1"/>
    <col min="5636" max="5636" width="14.54296875" style="42" customWidth="1"/>
    <col min="5637" max="5637" width="17.54296875" style="42" customWidth="1"/>
    <col min="5638" max="5638" width="41.7265625" style="42" customWidth="1"/>
    <col min="5639" max="5639" width="33.7265625" style="42" customWidth="1"/>
    <col min="5640" max="5640" width="7.26953125" style="42" customWidth="1"/>
    <col min="5641" max="5888" width="9.1796875" style="42"/>
    <col min="5889" max="5889" width="1.26953125" style="42" customWidth="1"/>
    <col min="5890" max="5890" width="8.7265625" style="42" customWidth="1"/>
    <col min="5891" max="5891" width="14.26953125" style="42" customWidth="1"/>
    <col min="5892" max="5892" width="14.54296875" style="42" customWidth="1"/>
    <col min="5893" max="5893" width="17.54296875" style="42" customWidth="1"/>
    <col min="5894" max="5894" width="41.7265625" style="42" customWidth="1"/>
    <col min="5895" max="5895" width="33.7265625" style="42" customWidth="1"/>
    <col min="5896" max="5896" width="7.26953125" style="42" customWidth="1"/>
    <col min="5897" max="6144" width="9.1796875" style="42"/>
    <col min="6145" max="6145" width="1.26953125" style="42" customWidth="1"/>
    <col min="6146" max="6146" width="8.7265625" style="42" customWidth="1"/>
    <col min="6147" max="6147" width="14.26953125" style="42" customWidth="1"/>
    <col min="6148" max="6148" width="14.54296875" style="42" customWidth="1"/>
    <col min="6149" max="6149" width="17.54296875" style="42" customWidth="1"/>
    <col min="6150" max="6150" width="41.7265625" style="42" customWidth="1"/>
    <col min="6151" max="6151" width="33.7265625" style="42" customWidth="1"/>
    <col min="6152" max="6152" width="7.26953125" style="42" customWidth="1"/>
    <col min="6153" max="6400" width="9.1796875" style="42"/>
    <col min="6401" max="6401" width="1.26953125" style="42" customWidth="1"/>
    <col min="6402" max="6402" width="8.7265625" style="42" customWidth="1"/>
    <col min="6403" max="6403" width="14.26953125" style="42" customWidth="1"/>
    <col min="6404" max="6404" width="14.54296875" style="42" customWidth="1"/>
    <col min="6405" max="6405" width="17.54296875" style="42" customWidth="1"/>
    <col min="6406" max="6406" width="41.7265625" style="42" customWidth="1"/>
    <col min="6407" max="6407" width="33.7265625" style="42" customWidth="1"/>
    <col min="6408" max="6408" width="7.26953125" style="42" customWidth="1"/>
    <col min="6409" max="6656" width="9.1796875" style="42"/>
    <col min="6657" max="6657" width="1.26953125" style="42" customWidth="1"/>
    <col min="6658" max="6658" width="8.7265625" style="42" customWidth="1"/>
    <col min="6659" max="6659" width="14.26953125" style="42" customWidth="1"/>
    <col min="6660" max="6660" width="14.54296875" style="42" customWidth="1"/>
    <col min="6661" max="6661" width="17.54296875" style="42" customWidth="1"/>
    <col min="6662" max="6662" width="41.7265625" style="42" customWidth="1"/>
    <col min="6663" max="6663" width="33.7265625" style="42" customWidth="1"/>
    <col min="6664" max="6664" width="7.26953125" style="42" customWidth="1"/>
    <col min="6665" max="6912" width="9.1796875" style="42"/>
    <col min="6913" max="6913" width="1.26953125" style="42" customWidth="1"/>
    <col min="6914" max="6914" width="8.7265625" style="42" customWidth="1"/>
    <col min="6915" max="6915" width="14.26953125" style="42" customWidth="1"/>
    <col min="6916" max="6916" width="14.54296875" style="42" customWidth="1"/>
    <col min="6917" max="6917" width="17.54296875" style="42" customWidth="1"/>
    <col min="6918" max="6918" width="41.7265625" style="42" customWidth="1"/>
    <col min="6919" max="6919" width="33.7265625" style="42" customWidth="1"/>
    <col min="6920" max="6920" width="7.26953125" style="42" customWidth="1"/>
    <col min="6921" max="7168" width="9.1796875" style="42"/>
    <col min="7169" max="7169" width="1.26953125" style="42" customWidth="1"/>
    <col min="7170" max="7170" width="8.7265625" style="42" customWidth="1"/>
    <col min="7171" max="7171" width="14.26953125" style="42" customWidth="1"/>
    <col min="7172" max="7172" width="14.54296875" style="42" customWidth="1"/>
    <col min="7173" max="7173" width="17.54296875" style="42" customWidth="1"/>
    <col min="7174" max="7174" width="41.7265625" style="42" customWidth="1"/>
    <col min="7175" max="7175" width="33.7265625" style="42" customWidth="1"/>
    <col min="7176" max="7176" width="7.26953125" style="42" customWidth="1"/>
    <col min="7177" max="7424" width="9.1796875" style="42"/>
    <col min="7425" max="7425" width="1.26953125" style="42" customWidth="1"/>
    <col min="7426" max="7426" width="8.7265625" style="42" customWidth="1"/>
    <col min="7427" max="7427" width="14.26953125" style="42" customWidth="1"/>
    <col min="7428" max="7428" width="14.54296875" style="42" customWidth="1"/>
    <col min="7429" max="7429" width="17.54296875" style="42" customWidth="1"/>
    <col min="7430" max="7430" width="41.7265625" style="42" customWidth="1"/>
    <col min="7431" max="7431" width="33.7265625" style="42" customWidth="1"/>
    <col min="7432" max="7432" width="7.26953125" style="42" customWidth="1"/>
    <col min="7433" max="7680" width="9.1796875" style="42"/>
    <col min="7681" max="7681" width="1.26953125" style="42" customWidth="1"/>
    <col min="7682" max="7682" width="8.7265625" style="42" customWidth="1"/>
    <col min="7683" max="7683" width="14.26953125" style="42" customWidth="1"/>
    <col min="7684" max="7684" width="14.54296875" style="42" customWidth="1"/>
    <col min="7685" max="7685" width="17.54296875" style="42" customWidth="1"/>
    <col min="7686" max="7686" width="41.7265625" style="42" customWidth="1"/>
    <col min="7687" max="7687" width="33.7265625" style="42" customWidth="1"/>
    <col min="7688" max="7688" width="7.26953125" style="42" customWidth="1"/>
    <col min="7689" max="7936" width="9.1796875" style="42"/>
    <col min="7937" max="7937" width="1.26953125" style="42" customWidth="1"/>
    <col min="7938" max="7938" width="8.7265625" style="42" customWidth="1"/>
    <col min="7939" max="7939" width="14.26953125" style="42" customWidth="1"/>
    <col min="7940" max="7940" width="14.54296875" style="42" customWidth="1"/>
    <col min="7941" max="7941" width="17.54296875" style="42" customWidth="1"/>
    <col min="7942" max="7942" width="41.7265625" style="42" customWidth="1"/>
    <col min="7943" max="7943" width="33.7265625" style="42" customWidth="1"/>
    <col min="7944" max="7944" width="7.26953125" style="42" customWidth="1"/>
    <col min="7945" max="8192" width="9.1796875" style="42"/>
    <col min="8193" max="8193" width="1.26953125" style="42" customWidth="1"/>
    <col min="8194" max="8194" width="8.7265625" style="42" customWidth="1"/>
    <col min="8195" max="8195" width="14.26953125" style="42" customWidth="1"/>
    <col min="8196" max="8196" width="14.54296875" style="42" customWidth="1"/>
    <col min="8197" max="8197" width="17.54296875" style="42" customWidth="1"/>
    <col min="8198" max="8198" width="41.7265625" style="42" customWidth="1"/>
    <col min="8199" max="8199" width="33.7265625" style="42" customWidth="1"/>
    <col min="8200" max="8200" width="7.26953125" style="42" customWidth="1"/>
    <col min="8201" max="8448" width="9.1796875" style="42"/>
    <col min="8449" max="8449" width="1.26953125" style="42" customWidth="1"/>
    <col min="8450" max="8450" width="8.7265625" style="42" customWidth="1"/>
    <col min="8451" max="8451" width="14.26953125" style="42" customWidth="1"/>
    <col min="8452" max="8452" width="14.54296875" style="42" customWidth="1"/>
    <col min="8453" max="8453" width="17.54296875" style="42" customWidth="1"/>
    <col min="8454" max="8454" width="41.7265625" style="42" customWidth="1"/>
    <col min="8455" max="8455" width="33.7265625" style="42" customWidth="1"/>
    <col min="8456" max="8456" width="7.26953125" style="42" customWidth="1"/>
    <col min="8457" max="8704" width="9.1796875" style="42"/>
    <col min="8705" max="8705" width="1.26953125" style="42" customWidth="1"/>
    <col min="8706" max="8706" width="8.7265625" style="42" customWidth="1"/>
    <col min="8707" max="8707" width="14.26953125" style="42" customWidth="1"/>
    <col min="8708" max="8708" width="14.54296875" style="42" customWidth="1"/>
    <col min="8709" max="8709" width="17.54296875" style="42" customWidth="1"/>
    <col min="8710" max="8710" width="41.7265625" style="42" customWidth="1"/>
    <col min="8711" max="8711" width="33.7265625" style="42" customWidth="1"/>
    <col min="8712" max="8712" width="7.26953125" style="42" customWidth="1"/>
    <col min="8713" max="8960" width="9.1796875" style="42"/>
    <col min="8961" max="8961" width="1.26953125" style="42" customWidth="1"/>
    <col min="8962" max="8962" width="8.7265625" style="42" customWidth="1"/>
    <col min="8963" max="8963" width="14.26953125" style="42" customWidth="1"/>
    <col min="8964" max="8964" width="14.54296875" style="42" customWidth="1"/>
    <col min="8965" max="8965" width="17.54296875" style="42" customWidth="1"/>
    <col min="8966" max="8966" width="41.7265625" style="42" customWidth="1"/>
    <col min="8967" max="8967" width="33.7265625" style="42" customWidth="1"/>
    <col min="8968" max="8968" width="7.26953125" style="42" customWidth="1"/>
    <col min="8969" max="9216" width="9.1796875" style="42"/>
    <col min="9217" max="9217" width="1.26953125" style="42" customWidth="1"/>
    <col min="9218" max="9218" width="8.7265625" style="42" customWidth="1"/>
    <col min="9219" max="9219" width="14.26953125" style="42" customWidth="1"/>
    <col min="9220" max="9220" width="14.54296875" style="42" customWidth="1"/>
    <col min="9221" max="9221" width="17.54296875" style="42" customWidth="1"/>
    <col min="9222" max="9222" width="41.7265625" style="42" customWidth="1"/>
    <col min="9223" max="9223" width="33.7265625" style="42" customWidth="1"/>
    <col min="9224" max="9224" width="7.26953125" style="42" customWidth="1"/>
    <col min="9225" max="9472" width="9.1796875" style="42"/>
    <col min="9473" max="9473" width="1.26953125" style="42" customWidth="1"/>
    <col min="9474" max="9474" width="8.7265625" style="42" customWidth="1"/>
    <col min="9475" max="9475" width="14.26953125" style="42" customWidth="1"/>
    <col min="9476" max="9476" width="14.54296875" style="42" customWidth="1"/>
    <col min="9477" max="9477" width="17.54296875" style="42" customWidth="1"/>
    <col min="9478" max="9478" width="41.7265625" style="42" customWidth="1"/>
    <col min="9479" max="9479" width="33.7265625" style="42" customWidth="1"/>
    <col min="9480" max="9480" width="7.26953125" style="42" customWidth="1"/>
    <col min="9481" max="9728" width="9.1796875" style="42"/>
    <col min="9729" max="9729" width="1.26953125" style="42" customWidth="1"/>
    <col min="9730" max="9730" width="8.7265625" style="42" customWidth="1"/>
    <col min="9731" max="9731" width="14.26953125" style="42" customWidth="1"/>
    <col min="9732" max="9732" width="14.54296875" style="42" customWidth="1"/>
    <col min="9733" max="9733" width="17.54296875" style="42" customWidth="1"/>
    <col min="9734" max="9734" width="41.7265625" style="42" customWidth="1"/>
    <col min="9735" max="9735" width="33.7265625" style="42" customWidth="1"/>
    <col min="9736" max="9736" width="7.26953125" style="42" customWidth="1"/>
    <col min="9737" max="9984" width="9.1796875" style="42"/>
    <col min="9985" max="9985" width="1.26953125" style="42" customWidth="1"/>
    <col min="9986" max="9986" width="8.7265625" style="42" customWidth="1"/>
    <col min="9987" max="9987" width="14.26953125" style="42" customWidth="1"/>
    <col min="9988" max="9988" width="14.54296875" style="42" customWidth="1"/>
    <col min="9989" max="9989" width="17.54296875" style="42" customWidth="1"/>
    <col min="9990" max="9990" width="41.7265625" style="42" customWidth="1"/>
    <col min="9991" max="9991" width="33.7265625" style="42" customWidth="1"/>
    <col min="9992" max="9992" width="7.26953125" style="42" customWidth="1"/>
    <col min="9993" max="10240" width="9.1796875" style="42"/>
    <col min="10241" max="10241" width="1.26953125" style="42" customWidth="1"/>
    <col min="10242" max="10242" width="8.7265625" style="42" customWidth="1"/>
    <col min="10243" max="10243" width="14.26953125" style="42" customWidth="1"/>
    <col min="10244" max="10244" width="14.54296875" style="42" customWidth="1"/>
    <col min="10245" max="10245" width="17.54296875" style="42" customWidth="1"/>
    <col min="10246" max="10246" width="41.7265625" style="42" customWidth="1"/>
    <col min="10247" max="10247" width="33.7265625" style="42" customWidth="1"/>
    <col min="10248" max="10248" width="7.26953125" style="42" customWidth="1"/>
    <col min="10249" max="10496" width="9.1796875" style="42"/>
    <col min="10497" max="10497" width="1.26953125" style="42" customWidth="1"/>
    <col min="10498" max="10498" width="8.7265625" style="42" customWidth="1"/>
    <col min="10499" max="10499" width="14.26953125" style="42" customWidth="1"/>
    <col min="10500" max="10500" width="14.54296875" style="42" customWidth="1"/>
    <col min="10501" max="10501" width="17.54296875" style="42" customWidth="1"/>
    <col min="10502" max="10502" width="41.7265625" style="42" customWidth="1"/>
    <col min="10503" max="10503" width="33.7265625" style="42" customWidth="1"/>
    <col min="10504" max="10504" width="7.26953125" style="42" customWidth="1"/>
    <col min="10505" max="10752" width="9.1796875" style="42"/>
    <col min="10753" max="10753" width="1.26953125" style="42" customWidth="1"/>
    <col min="10754" max="10754" width="8.7265625" style="42" customWidth="1"/>
    <col min="10755" max="10755" width="14.26953125" style="42" customWidth="1"/>
    <col min="10756" max="10756" width="14.54296875" style="42" customWidth="1"/>
    <col min="10757" max="10757" width="17.54296875" style="42" customWidth="1"/>
    <col min="10758" max="10758" width="41.7265625" style="42" customWidth="1"/>
    <col min="10759" max="10759" width="33.7265625" style="42" customWidth="1"/>
    <col min="10760" max="10760" width="7.26953125" style="42" customWidth="1"/>
    <col min="10761" max="11008" width="9.1796875" style="42"/>
    <col min="11009" max="11009" width="1.26953125" style="42" customWidth="1"/>
    <col min="11010" max="11010" width="8.7265625" style="42" customWidth="1"/>
    <col min="11011" max="11011" width="14.26953125" style="42" customWidth="1"/>
    <col min="11012" max="11012" width="14.54296875" style="42" customWidth="1"/>
    <col min="11013" max="11013" width="17.54296875" style="42" customWidth="1"/>
    <col min="11014" max="11014" width="41.7265625" style="42" customWidth="1"/>
    <col min="11015" max="11015" width="33.7265625" style="42" customWidth="1"/>
    <col min="11016" max="11016" width="7.26953125" style="42" customWidth="1"/>
    <col min="11017" max="11264" width="9.1796875" style="42"/>
    <col min="11265" max="11265" width="1.26953125" style="42" customWidth="1"/>
    <col min="11266" max="11266" width="8.7265625" style="42" customWidth="1"/>
    <col min="11267" max="11267" width="14.26953125" style="42" customWidth="1"/>
    <col min="11268" max="11268" width="14.54296875" style="42" customWidth="1"/>
    <col min="11269" max="11269" width="17.54296875" style="42" customWidth="1"/>
    <col min="11270" max="11270" width="41.7265625" style="42" customWidth="1"/>
    <col min="11271" max="11271" width="33.7265625" style="42" customWidth="1"/>
    <col min="11272" max="11272" width="7.26953125" style="42" customWidth="1"/>
    <col min="11273" max="11520" width="9.1796875" style="42"/>
    <col min="11521" max="11521" width="1.26953125" style="42" customWidth="1"/>
    <col min="11522" max="11522" width="8.7265625" style="42" customWidth="1"/>
    <col min="11523" max="11523" width="14.26953125" style="42" customWidth="1"/>
    <col min="11524" max="11524" width="14.54296875" style="42" customWidth="1"/>
    <col min="11525" max="11525" width="17.54296875" style="42" customWidth="1"/>
    <col min="11526" max="11526" width="41.7265625" style="42" customWidth="1"/>
    <col min="11527" max="11527" width="33.7265625" style="42" customWidth="1"/>
    <col min="11528" max="11528" width="7.26953125" style="42" customWidth="1"/>
    <col min="11529" max="11776" width="9.1796875" style="42"/>
    <col min="11777" max="11777" width="1.26953125" style="42" customWidth="1"/>
    <col min="11778" max="11778" width="8.7265625" style="42" customWidth="1"/>
    <col min="11779" max="11779" width="14.26953125" style="42" customWidth="1"/>
    <col min="11780" max="11780" width="14.54296875" style="42" customWidth="1"/>
    <col min="11781" max="11781" width="17.54296875" style="42" customWidth="1"/>
    <col min="11782" max="11782" width="41.7265625" style="42" customWidth="1"/>
    <col min="11783" max="11783" width="33.7265625" style="42" customWidth="1"/>
    <col min="11784" max="11784" width="7.26953125" style="42" customWidth="1"/>
    <col min="11785" max="12032" width="9.1796875" style="42"/>
    <col min="12033" max="12033" width="1.26953125" style="42" customWidth="1"/>
    <col min="12034" max="12034" width="8.7265625" style="42" customWidth="1"/>
    <col min="12035" max="12035" width="14.26953125" style="42" customWidth="1"/>
    <col min="12036" max="12036" width="14.54296875" style="42" customWidth="1"/>
    <col min="12037" max="12037" width="17.54296875" style="42" customWidth="1"/>
    <col min="12038" max="12038" width="41.7265625" style="42" customWidth="1"/>
    <col min="12039" max="12039" width="33.7265625" style="42" customWidth="1"/>
    <col min="12040" max="12040" width="7.26953125" style="42" customWidth="1"/>
    <col min="12041" max="12288" width="9.1796875" style="42"/>
    <col min="12289" max="12289" width="1.26953125" style="42" customWidth="1"/>
    <col min="12290" max="12290" width="8.7265625" style="42" customWidth="1"/>
    <col min="12291" max="12291" width="14.26953125" style="42" customWidth="1"/>
    <col min="12292" max="12292" width="14.54296875" style="42" customWidth="1"/>
    <col min="12293" max="12293" width="17.54296875" style="42" customWidth="1"/>
    <col min="12294" max="12294" width="41.7265625" style="42" customWidth="1"/>
    <col min="12295" max="12295" width="33.7265625" style="42" customWidth="1"/>
    <col min="12296" max="12296" width="7.26953125" style="42" customWidth="1"/>
    <col min="12297" max="12544" width="9.1796875" style="42"/>
    <col min="12545" max="12545" width="1.26953125" style="42" customWidth="1"/>
    <col min="12546" max="12546" width="8.7265625" style="42" customWidth="1"/>
    <col min="12547" max="12547" width="14.26953125" style="42" customWidth="1"/>
    <col min="12548" max="12548" width="14.54296875" style="42" customWidth="1"/>
    <col min="12549" max="12549" width="17.54296875" style="42" customWidth="1"/>
    <col min="12550" max="12550" width="41.7265625" style="42" customWidth="1"/>
    <col min="12551" max="12551" width="33.7265625" style="42" customWidth="1"/>
    <col min="12552" max="12552" width="7.26953125" style="42" customWidth="1"/>
    <col min="12553" max="12800" width="9.1796875" style="42"/>
    <col min="12801" max="12801" width="1.26953125" style="42" customWidth="1"/>
    <col min="12802" max="12802" width="8.7265625" style="42" customWidth="1"/>
    <col min="12803" max="12803" width="14.26953125" style="42" customWidth="1"/>
    <col min="12804" max="12804" width="14.54296875" style="42" customWidth="1"/>
    <col min="12805" max="12805" width="17.54296875" style="42" customWidth="1"/>
    <col min="12806" max="12806" width="41.7265625" style="42" customWidth="1"/>
    <col min="12807" max="12807" width="33.7265625" style="42" customWidth="1"/>
    <col min="12808" max="12808" width="7.26953125" style="42" customWidth="1"/>
    <col min="12809" max="13056" width="9.1796875" style="42"/>
    <col min="13057" max="13057" width="1.26953125" style="42" customWidth="1"/>
    <col min="13058" max="13058" width="8.7265625" style="42" customWidth="1"/>
    <col min="13059" max="13059" width="14.26953125" style="42" customWidth="1"/>
    <col min="13060" max="13060" width="14.54296875" style="42" customWidth="1"/>
    <col min="13061" max="13061" width="17.54296875" style="42" customWidth="1"/>
    <col min="13062" max="13062" width="41.7265625" style="42" customWidth="1"/>
    <col min="13063" max="13063" width="33.7265625" style="42" customWidth="1"/>
    <col min="13064" max="13064" width="7.26953125" style="42" customWidth="1"/>
    <col min="13065" max="13312" width="9.1796875" style="42"/>
    <col min="13313" max="13313" width="1.26953125" style="42" customWidth="1"/>
    <col min="13314" max="13314" width="8.7265625" style="42" customWidth="1"/>
    <col min="13315" max="13315" width="14.26953125" style="42" customWidth="1"/>
    <col min="13316" max="13316" width="14.54296875" style="42" customWidth="1"/>
    <col min="13317" max="13317" width="17.54296875" style="42" customWidth="1"/>
    <col min="13318" max="13318" width="41.7265625" style="42" customWidth="1"/>
    <col min="13319" max="13319" width="33.7265625" style="42" customWidth="1"/>
    <col min="13320" max="13320" width="7.26953125" style="42" customWidth="1"/>
    <col min="13321" max="13568" width="9.1796875" style="42"/>
    <col min="13569" max="13569" width="1.26953125" style="42" customWidth="1"/>
    <col min="13570" max="13570" width="8.7265625" style="42" customWidth="1"/>
    <col min="13571" max="13571" width="14.26953125" style="42" customWidth="1"/>
    <col min="13572" max="13572" width="14.54296875" style="42" customWidth="1"/>
    <col min="13573" max="13573" width="17.54296875" style="42" customWidth="1"/>
    <col min="13574" max="13574" width="41.7265625" style="42" customWidth="1"/>
    <col min="13575" max="13575" width="33.7265625" style="42" customWidth="1"/>
    <col min="13576" max="13576" width="7.26953125" style="42" customWidth="1"/>
    <col min="13577" max="13824" width="9.1796875" style="42"/>
    <col min="13825" max="13825" width="1.26953125" style="42" customWidth="1"/>
    <col min="13826" max="13826" width="8.7265625" style="42" customWidth="1"/>
    <col min="13827" max="13827" width="14.26953125" style="42" customWidth="1"/>
    <col min="13828" max="13828" width="14.54296875" style="42" customWidth="1"/>
    <col min="13829" max="13829" width="17.54296875" style="42" customWidth="1"/>
    <col min="13830" max="13830" width="41.7265625" style="42" customWidth="1"/>
    <col min="13831" max="13831" width="33.7265625" style="42" customWidth="1"/>
    <col min="13832" max="13832" width="7.26953125" style="42" customWidth="1"/>
    <col min="13833" max="14080" width="9.1796875" style="42"/>
    <col min="14081" max="14081" width="1.26953125" style="42" customWidth="1"/>
    <col min="14082" max="14082" width="8.7265625" style="42" customWidth="1"/>
    <col min="14083" max="14083" width="14.26953125" style="42" customWidth="1"/>
    <col min="14084" max="14084" width="14.54296875" style="42" customWidth="1"/>
    <col min="14085" max="14085" width="17.54296875" style="42" customWidth="1"/>
    <col min="14086" max="14086" width="41.7265625" style="42" customWidth="1"/>
    <col min="14087" max="14087" width="33.7265625" style="42" customWidth="1"/>
    <col min="14088" max="14088" width="7.26953125" style="42" customWidth="1"/>
    <col min="14089" max="14336" width="9.1796875" style="42"/>
    <col min="14337" max="14337" width="1.26953125" style="42" customWidth="1"/>
    <col min="14338" max="14338" width="8.7265625" style="42" customWidth="1"/>
    <col min="14339" max="14339" width="14.26953125" style="42" customWidth="1"/>
    <col min="14340" max="14340" width="14.54296875" style="42" customWidth="1"/>
    <col min="14341" max="14341" width="17.54296875" style="42" customWidth="1"/>
    <col min="14342" max="14342" width="41.7265625" style="42" customWidth="1"/>
    <col min="14343" max="14343" width="33.7265625" style="42" customWidth="1"/>
    <col min="14344" max="14344" width="7.26953125" style="42" customWidth="1"/>
    <col min="14345" max="14592" width="9.1796875" style="42"/>
    <col min="14593" max="14593" width="1.26953125" style="42" customWidth="1"/>
    <col min="14594" max="14594" width="8.7265625" style="42" customWidth="1"/>
    <col min="14595" max="14595" width="14.26953125" style="42" customWidth="1"/>
    <col min="14596" max="14596" width="14.54296875" style="42" customWidth="1"/>
    <col min="14597" max="14597" width="17.54296875" style="42" customWidth="1"/>
    <col min="14598" max="14598" width="41.7265625" style="42" customWidth="1"/>
    <col min="14599" max="14599" width="33.7265625" style="42" customWidth="1"/>
    <col min="14600" max="14600" width="7.26953125" style="42" customWidth="1"/>
    <col min="14601" max="14848" width="9.1796875" style="42"/>
    <col min="14849" max="14849" width="1.26953125" style="42" customWidth="1"/>
    <col min="14850" max="14850" width="8.7265625" style="42" customWidth="1"/>
    <col min="14851" max="14851" width="14.26953125" style="42" customWidth="1"/>
    <col min="14852" max="14852" width="14.54296875" style="42" customWidth="1"/>
    <col min="14853" max="14853" width="17.54296875" style="42" customWidth="1"/>
    <col min="14854" max="14854" width="41.7265625" style="42" customWidth="1"/>
    <col min="14855" max="14855" width="33.7265625" style="42" customWidth="1"/>
    <col min="14856" max="14856" width="7.26953125" style="42" customWidth="1"/>
    <col min="14857" max="15104" width="9.1796875" style="42"/>
    <col min="15105" max="15105" width="1.26953125" style="42" customWidth="1"/>
    <col min="15106" max="15106" width="8.7265625" style="42" customWidth="1"/>
    <col min="15107" max="15107" width="14.26953125" style="42" customWidth="1"/>
    <col min="15108" max="15108" width="14.54296875" style="42" customWidth="1"/>
    <col min="15109" max="15109" width="17.54296875" style="42" customWidth="1"/>
    <col min="15110" max="15110" width="41.7265625" style="42" customWidth="1"/>
    <col min="15111" max="15111" width="33.7265625" style="42" customWidth="1"/>
    <col min="15112" max="15112" width="7.26953125" style="42" customWidth="1"/>
    <col min="15113" max="15360" width="9.1796875" style="42"/>
    <col min="15361" max="15361" width="1.26953125" style="42" customWidth="1"/>
    <col min="15362" max="15362" width="8.7265625" style="42" customWidth="1"/>
    <col min="15363" max="15363" width="14.26953125" style="42" customWidth="1"/>
    <col min="15364" max="15364" width="14.54296875" style="42" customWidth="1"/>
    <col min="15365" max="15365" width="17.54296875" style="42" customWidth="1"/>
    <col min="15366" max="15366" width="41.7265625" style="42" customWidth="1"/>
    <col min="15367" max="15367" width="33.7265625" style="42" customWidth="1"/>
    <col min="15368" max="15368" width="7.26953125" style="42" customWidth="1"/>
    <col min="15369" max="15616" width="9.1796875" style="42"/>
    <col min="15617" max="15617" width="1.26953125" style="42" customWidth="1"/>
    <col min="15618" max="15618" width="8.7265625" style="42" customWidth="1"/>
    <col min="15619" max="15619" width="14.26953125" style="42" customWidth="1"/>
    <col min="15620" max="15620" width="14.54296875" style="42" customWidth="1"/>
    <col min="15621" max="15621" width="17.54296875" style="42" customWidth="1"/>
    <col min="15622" max="15622" width="41.7265625" style="42" customWidth="1"/>
    <col min="15623" max="15623" width="33.7265625" style="42" customWidth="1"/>
    <col min="15624" max="15624" width="7.26953125" style="42" customWidth="1"/>
    <col min="15625" max="15872" width="9.1796875" style="42"/>
    <col min="15873" max="15873" width="1.26953125" style="42" customWidth="1"/>
    <col min="15874" max="15874" width="8.7265625" style="42" customWidth="1"/>
    <col min="15875" max="15875" width="14.26953125" style="42" customWidth="1"/>
    <col min="15876" max="15876" width="14.54296875" style="42" customWidth="1"/>
    <col min="15877" max="15877" width="17.54296875" style="42" customWidth="1"/>
    <col min="15878" max="15878" width="41.7265625" style="42" customWidth="1"/>
    <col min="15879" max="15879" width="33.7265625" style="42" customWidth="1"/>
    <col min="15880" max="15880" width="7.26953125" style="42" customWidth="1"/>
    <col min="15881" max="16128" width="9.1796875" style="42"/>
    <col min="16129" max="16129" width="1.26953125" style="42" customWidth="1"/>
    <col min="16130" max="16130" width="8.7265625" style="42" customWidth="1"/>
    <col min="16131" max="16131" width="14.26953125" style="42" customWidth="1"/>
    <col min="16132" max="16132" width="14.54296875" style="42" customWidth="1"/>
    <col min="16133" max="16133" width="17.54296875" style="42" customWidth="1"/>
    <col min="16134" max="16134" width="41.7265625" style="42" customWidth="1"/>
    <col min="16135" max="16135" width="33.7265625" style="42" customWidth="1"/>
    <col min="16136" max="16136" width="7.26953125" style="42" customWidth="1"/>
    <col min="16137" max="16384" width="9.1796875" style="42"/>
  </cols>
  <sheetData>
    <row r="1" spans="2:6" ht="18">
      <c r="B1" s="41" t="s">
        <v>1162</v>
      </c>
      <c r="C1" s="41"/>
    </row>
    <row r="2" spans="2:6">
      <c r="B2" s="43" t="s">
        <v>1039</v>
      </c>
      <c r="C2" s="43" t="s">
        <v>1040</v>
      </c>
      <c r="D2" s="43" t="s">
        <v>1041</v>
      </c>
      <c r="E2" s="43" t="s">
        <v>1042</v>
      </c>
      <c r="F2" s="44" t="s">
        <v>1043</v>
      </c>
    </row>
    <row r="3" spans="2:6">
      <c r="B3" s="45">
        <v>1</v>
      </c>
      <c r="C3" s="46">
        <v>40308</v>
      </c>
      <c r="D3" s="47" t="s">
        <v>1163</v>
      </c>
      <c r="E3" s="47" t="s">
        <v>1164</v>
      </c>
      <c r="F3" s="47" t="s">
        <v>1165</v>
      </c>
    </row>
    <row r="4" spans="2:6" ht="37.5">
      <c r="B4" s="45">
        <v>1.1000000000000001</v>
      </c>
      <c r="C4" s="46">
        <v>40386</v>
      </c>
      <c r="D4" s="47" t="s">
        <v>1163</v>
      </c>
      <c r="E4" s="47" t="s">
        <v>1164</v>
      </c>
      <c r="F4" s="47" t="s">
        <v>1166</v>
      </c>
    </row>
    <row r="5" spans="2:6" ht="75">
      <c r="B5" s="45">
        <v>2</v>
      </c>
      <c r="C5" s="46">
        <v>40760</v>
      </c>
      <c r="D5" s="47" t="s">
        <v>1163</v>
      </c>
      <c r="E5" s="47" t="s">
        <v>1167</v>
      </c>
      <c r="F5" s="47" t="s">
        <v>1168</v>
      </c>
    </row>
    <row r="6" spans="2:6" ht="62.5">
      <c r="B6" s="45">
        <v>2.1</v>
      </c>
      <c r="C6" s="46">
        <v>41610</v>
      </c>
      <c r="D6" s="47" t="s">
        <v>1169</v>
      </c>
      <c r="E6" s="47" t="s">
        <v>1170</v>
      </c>
      <c r="F6" s="47" t="s">
        <v>1171</v>
      </c>
    </row>
    <row r="7" spans="2:6" ht="132.75" customHeight="1">
      <c r="B7" s="45">
        <v>2.2000000000000002</v>
      </c>
      <c r="C7" s="46">
        <v>41677</v>
      </c>
      <c r="D7" s="47" t="s">
        <v>1163</v>
      </c>
      <c r="E7" s="47" t="s">
        <v>1167</v>
      </c>
      <c r="F7" s="47" t="s">
        <v>1172</v>
      </c>
    </row>
    <row r="8" spans="2:6" ht="37.5">
      <c r="B8" s="45">
        <v>2.2999999999999998</v>
      </c>
      <c r="C8" s="46">
        <v>42730</v>
      </c>
      <c r="D8" s="47" t="s">
        <v>1169</v>
      </c>
      <c r="E8" s="47" t="s">
        <v>1173</v>
      </c>
      <c r="F8" s="47" t="s">
        <v>1174</v>
      </c>
    </row>
    <row r="9" spans="2:6" ht="25">
      <c r="B9" s="45">
        <v>2.2999999999999998</v>
      </c>
      <c r="C9" s="46">
        <v>43672</v>
      </c>
      <c r="D9" s="47" t="s">
        <v>1169</v>
      </c>
      <c r="E9" s="47" t="s">
        <v>1173</v>
      </c>
      <c r="F9" s="47" t="s">
        <v>1175</v>
      </c>
    </row>
    <row r="10" spans="2:6" ht="50">
      <c r="B10" s="45">
        <v>2.4</v>
      </c>
      <c r="C10" s="46">
        <v>43843</v>
      </c>
      <c r="D10" s="47" t="s">
        <v>1169</v>
      </c>
      <c r="E10" s="47" t="s">
        <v>1173</v>
      </c>
      <c r="F10" s="47" t="s">
        <v>1176</v>
      </c>
    </row>
    <row r="11" spans="2:6" ht="50">
      <c r="B11" s="45">
        <v>2.5</v>
      </c>
      <c r="C11" s="46">
        <v>43867</v>
      </c>
      <c r="D11" s="47" t="s">
        <v>1169</v>
      </c>
      <c r="E11" s="47" t="s">
        <v>1173</v>
      </c>
      <c r="F11" s="47" t="s">
        <v>1177</v>
      </c>
    </row>
    <row r="12" spans="2:6" ht="50">
      <c r="B12" s="48">
        <v>2.6</v>
      </c>
      <c r="C12" s="49">
        <v>43969</v>
      </c>
      <c r="D12" s="47" t="s">
        <v>1169</v>
      </c>
      <c r="E12" s="47" t="s">
        <v>1173</v>
      </c>
      <c r="F12" s="47" t="s">
        <v>1178</v>
      </c>
    </row>
    <row r="13" spans="2:6" ht="25">
      <c r="B13" s="48">
        <v>2.7</v>
      </c>
      <c r="C13" s="49">
        <v>44900</v>
      </c>
      <c r="D13" s="47" t="s">
        <v>1169</v>
      </c>
      <c r="E13" s="47" t="s">
        <v>1179</v>
      </c>
      <c r="F13" s="47" t="s">
        <v>1180</v>
      </c>
    </row>
    <row r="14" spans="2:6">
      <c r="B14" s="48">
        <v>2.7</v>
      </c>
      <c r="C14" s="49">
        <v>45393</v>
      </c>
      <c r="D14" s="47" t="s">
        <v>1169</v>
      </c>
      <c r="E14" s="47" t="s">
        <v>1179</v>
      </c>
      <c r="F14" s="47" t="s">
        <v>1181</v>
      </c>
    </row>
    <row r="15" spans="2:6" ht="37.5">
      <c r="B15" s="48">
        <v>3</v>
      </c>
      <c r="C15" s="49">
        <v>45813</v>
      </c>
      <c r="D15" s="47" t="s">
        <v>1169</v>
      </c>
      <c r="E15" s="47" t="s">
        <v>1179</v>
      </c>
      <c r="F15" s="47" t="s">
        <v>1182</v>
      </c>
    </row>
    <row r="16" spans="2:6" ht="37" customHeight="1">
      <c r="B16" s="48">
        <v>3.1</v>
      </c>
      <c r="C16" s="49">
        <v>46113</v>
      </c>
      <c r="D16" s="47" t="s">
        <v>1169</v>
      </c>
      <c r="E16" s="47" t="s">
        <v>1179</v>
      </c>
      <c r="F16" s="47" t="s">
        <v>1728</v>
      </c>
    </row>
  </sheetData>
  <pageMargins left="0.75" right="0.75" top="1" bottom="1" header="0.5" footer="0.5"/>
  <pageSetup scale="78" orientation="portrait" r:id="rId1"/>
  <headerFooter alignWithMargins="0">
    <oddFooter>&amp;CEDS Restricted&amp;RPage &amp;P of &amp;N&amp;FCurrent date &amp;D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A60EB-8550-4A95-AAB5-538F52FF2FFB}">
  <sheetPr codeName="Sheet3"/>
  <dimension ref="A1:F249"/>
  <sheetViews>
    <sheetView workbookViewId="0">
      <selection activeCell="B6" sqref="B6"/>
    </sheetView>
  </sheetViews>
  <sheetFormatPr defaultRowHeight="12.5"/>
  <cols>
    <col min="1" max="1" width="34.54296875" customWidth="1"/>
    <col min="2" max="2" width="46.54296875" customWidth="1"/>
    <col min="3" max="3" width="54.81640625" customWidth="1"/>
    <col min="4" max="4" width="47.1796875" customWidth="1"/>
    <col min="5" max="5" width="39" customWidth="1"/>
    <col min="9" max="9" width="62.1796875" customWidth="1"/>
  </cols>
  <sheetData>
    <row r="1" spans="1:6" ht="13">
      <c r="A1" s="272" t="s">
        <v>0</v>
      </c>
      <c r="B1" s="272" t="s">
        <v>1</v>
      </c>
      <c r="C1" s="273" t="s">
        <v>560</v>
      </c>
      <c r="D1" s="273" t="s">
        <v>572</v>
      </c>
      <c r="E1" s="273" t="s">
        <v>573</v>
      </c>
      <c r="F1" s="273" t="s">
        <v>1183</v>
      </c>
    </row>
    <row r="2" spans="1:6">
      <c r="A2" s="14" t="str">
        <f>IF('KPI Plan'!A5&lt;&gt;"",'KPI Plan'!A5,"")</f>
        <v/>
      </c>
      <c r="B2" s="14" t="str">
        <f>IF('KPI Plan'!D5&lt;&gt;"",'KPI Plan'!D5,"")</f>
        <v/>
      </c>
      <c r="C2" s="14" t="str">
        <f>IF('KPI Plan'!F5&lt;&gt;"",'KPI Plan'!F5,"")</f>
        <v/>
      </c>
      <c r="D2" s="14" t="str">
        <f>IF('KPI Plan'!T5&lt;&gt;"",'KPI Plan'!T5,"")</f>
        <v/>
      </c>
      <c r="E2" s="14" t="str">
        <f>IF('KPI Plan'!U5&lt;&gt;"",'KPI Plan'!U5,"")</f>
        <v/>
      </c>
      <c r="F2" s="1" t="str">
        <f t="shared" ref="F2" si="0">IF(A2&lt;&gt;"",COUNTIF($E$2:$E$100,C2),"")</f>
        <v/>
      </c>
    </row>
    <row r="3" spans="1:6">
      <c r="A3" s="14" t="str">
        <f>IF('KPI Plan'!A6&lt;&gt;"",'KPI Plan'!A6,"")</f>
        <v/>
      </c>
      <c r="B3" s="14" t="str">
        <f>IF('KPI Plan'!D6&lt;&gt;"",'KPI Plan'!D6,"")</f>
        <v/>
      </c>
      <c r="C3" s="14" t="str">
        <f>IF('KPI Plan'!F6&lt;&gt;"",'KPI Plan'!F6,"")</f>
        <v/>
      </c>
      <c r="D3" s="14" t="str">
        <f>IF('KPI Plan'!T6&lt;&gt;"",'KPI Plan'!T6,"")</f>
        <v/>
      </c>
      <c r="E3" s="14" t="str">
        <f>IF('KPI Plan'!U6&lt;&gt;"",'KPI Plan'!U6,"")</f>
        <v/>
      </c>
      <c r="F3" s="1" t="str">
        <f t="shared" ref="F3:F66" si="1">IF(A3&lt;&gt;"",COUNTIF($E$2:$E$100,C3),"")</f>
        <v/>
      </c>
    </row>
    <row r="4" spans="1:6">
      <c r="A4" s="14" t="str">
        <f>IF('KPI Plan'!A7&lt;&gt;"",'KPI Plan'!A7,"")</f>
        <v/>
      </c>
      <c r="B4" s="14" t="str">
        <f>IF('KPI Plan'!D7&lt;&gt;"",'KPI Plan'!D7,"")</f>
        <v/>
      </c>
      <c r="C4" s="14" t="str">
        <f>IF('KPI Plan'!F7&lt;&gt;"",'KPI Plan'!F7,"")</f>
        <v/>
      </c>
      <c r="D4" s="14" t="str">
        <f>IF('KPI Plan'!T7&lt;&gt;"",'KPI Plan'!T7,"")</f>
        <v/>
      </c>
      <c r="E4" s="14" t="str">
        <f>IF('KPI Plan'!U7&lt;&gt;"",'KPI Plan'!U7,"")</f>
        <v/>
      </c>
      <c r="F4" s="1" t="str">
        <f t="shared" si="1"/>
        <v/>
      </c>
    </row>
    <row r="5" spans="1:6">
      <c r="A5" s="14" t="str">
        <f>IF('KPI Plan'!A8&lt;&gt;"",'KPI Plan'!A8,"")</f>
        <v/>
      </c>
      <c r="B5" s="14" t="str">
        <f>IF('KPI Plan'!D8&lt;&gt;"",'KPI Plan'!D8,"")</f>
        <v/>
      </c>
      <c r="C5" s="14" t="str">
        <f>IF('KPI Plan'!F8&lt;&gt;"",'KPI Plan'!F8,"")</f>
        <v/>
      </c>
      <c r="D5" s="14" t="str">
        <f>IF('KPI Plan'!T8&lt;&gt;"",'KPI Plan'!T8,"")</f>
        <v/>
      </c>
      <c r="E5" s="14" t="str">
        <f>IF('KPI Plan'!U8&lt;&gt;"",'KPI Plan'!U8,"")</f>
        <v/>
      </c>
      <c r="F5" s="1" t="str">
        <f t="shared" si="1"/>
        <v/>
      </c>
    </row>
    <row r="6" spans="1:6">
      <c r="A6" s="14" t="str">
        <f>IF('KPI Plan'!A9&lt;&gt;"",'KPI Plan'!A9,"")</f>
        <v/>
      </c>
      <c r="B6" s="14" t="str">
        <f>IF('KPI Plan'!D9&lt;&gt;"",'KPI Plan'!D9,"")</f>
        <v/>
      </c>
      <c r="C6" s="14" t="str">
        <f>IF('KPI Plan'!F9&lt;&gt;"",'KPI Plan'!F9,"")</f>
        <v/>
      </c>
      <c r="D6" s="14" t="str">
        <f>IF('KPI Plan'!T9&lt;&gt;"",'KPI Plan'!T9,"")</f>
        <v/>
      </c>
      <c r="E6" s="14" t="str">
        <f>IF('KPI Plan'!U9&lt;&gt;"",'KPI Plan'!U9,"")</f>
        <v/>
      </c>
      <c r="F6" s="1" t="str">
        <f t="shared" si="1"/>
        <v/>
      </c>
    </row>
    <row r="7" spans="1:6">
      <c r="A7" s="14" t="str">
        <f>IF('KPI Plan'!A10&lt;&gt;"",'KPI Plan'!A10,"")</f>
        <v/>
      </c>
      <c r="B7" s="14" t="str">
        <f>IF('KPI Plan'!D10&lt;&gt;"",'KPI Plan'!D10,"")</f>
        <v/>
      </c>
      <c r="C7" s="14" t="str">
        <f>IF('KPI Plan'!F10&lt;&gt;"",'KPI Plan'!F10,"")</f>
        <v/>
      </c>
      <c r="D7" s="14" t="str">
        <f>IF('KPI Plan'!T10&lt;&gt;"",'KPI Plan'!T10,"")</f>
        <v/>
      </c>
      <c r="E7" s="14" t="str">
        <f>IF('KPI Plan'!U10&lt;&gt;"",'KPI Plan'!U10,"")</f>
        <v/>
      </c>
      <c r="F7" s="1" t="str">
        <f t="shared" si="1"/>
        <v/>
      </c>
    </row>
    <row r="8" spans="1:6">
      <c r="A8" s="14" t="str">
        <f>IF('KPI Plan'!A11&lt;&gt;"",'KPI Plan'!A11,"")</f>
        <v/>
      </c>
      <c r="B8" s="14" t="str">
        <f>IF('KPI Plan'!D11&lt;&gt;"",'KPI Plan'!D11,"")</f>
        <v/>
      </c>
      <c r="C8" s="14" t="str">
        <f>IF('KPI Plan'!F11&lt;&gt;"",'KPI Plan'!F11,"")</f>
        <v/>
      </c>
      <c r="D8" s="14" t="str">
        <f>IF('KPI Plan'!T11&lt;&gt;"",'KPI Plan'!T11,"")</f>
        <v/>
      </c>
      <c r="E8" s="14" t="str">
        <f>IF('KPI Plan'!U11&lt;&gt;"",'KPI Plan'!U11,"")</f>
        <v/>
      </c>
      <c r="F8" s="1" t="str">
        <f t="shared" si="1"/>
        <v/>
      </c>
    </row>
    <row r="9" spans="1:6">
      <c r="A9" s="14" t="str">
        <f>IF('KPI Plan'!A12&lt;&gt;"",'KPI Plan'!A12,"")</f>
        <v/>
      </c>
      <c r="B9" s="14" t="str">
        <f>IF('KPI Plan'!D12&lt;&gt;"",'KPI Plan'!D12,"")</f>
        <v/>
      </c>
      <c r="C9" s="14" t="str">
        <f>IF('KPI Plan'!F12&lt;&gt;"",'KPI Plan'!F12,"")</f>
        <v/>
      </c>
      <c r="D9" s="14" t="str">
        <f>IF('KPI Plan'!T12&lt;&gt;"",'KPI Plan'!T12,"")</f>
        <v/>
      </c>
      <c r="E9" s="14" t="str">
        <f>IF('KPI Plan'!U12&lt;&gt;"",'KPI Plan'!U12,"")</f>
        <v/>
      </c>
      <c r="F9" s="1" t="str">
        <f t="shared" si="1"/>
        <v/>
      </c>
    </row>
    <row r="10" spans="1:6">
      <c r="A10" s="14" t="str">
        <f>IF('KPI Plan'!A13&lt;&gt;"",'KPI Plan'!A13,"")</f>
        <v/>
      </c>
      <c r="B10" s="14" t="str">
        <f>IF('KPI Plan'!D13&lt;&gt;"",'KPI Plan'!D13,"")</f>
        <v/>
      </c>
      <c r="C10" s="14" t="str">
        <f>IF('KPI Plan'!F13&lt;&gt;"",'KPI Plan'!F13,"")</f>
        <v/>
      </c>
      <c r="D10" s="14" t="str">
        <f>IF('KPI Plan'!T13&lt;&gt;"",'KPI Plan'!T13,"")</f>
        <v/>
      </c>
      <c r="E10" s="14" t="str">
        <f>IF('KPI Plan'!U13&lt;&gt;"",'KPI Plan'!U13,"")</f>
        <v/>
      </c>
      <c r="F10" s="1" t="str">
        <f t="shared" si="1"/>
        <v/>
      </c>
    </row>
    <row r="11" spans="1:6">
      <c r="A11" s="14" t="str">
        <f>IF('KPI Plan'!A14&lt;&gt;"",'KPI Plan'!A14,"")</f>
        <v/>
      </c>
      <c r="B11" s="14" t="str">
        <f>IF('KPI Plan'!D14&lt;&gt;"",'KPI Plan'!D14,"")</f>
        <v/>
      </c>
      <c r="C11" s="14" t="str">
        <f>IF('KPI Plan'!F14&lt;&gt;"",'KPI Plan'!F14,"")</f>
        <v/>
      </c>
      <c r="D11" s="14" t="str">
        <f>IF('KPI Plan'!T14&lt;&gt;"",'KPI Plan'!T14,"")</f>
        <v/>
      </c>
      <c r="E11" s="14" t="str">
        <f>IF('KPI Plan'!U14&lt;&gt;"",'KPI Plan'!U14,"")</f>
        <v/>
      </c>
      <c r="F11" s="1" t="str">
        <f t="shared" si="1"/>
        <v/>
      </c>
    </row>
    <row r="12" spans="1:6">
      <c r="A12" s="14" t="str">
        <f>IF('KPI Plan'!A15&lt;&gt;"",'KPI Plan'!A15,"")</f>
        <v/>
      </c>
      <c r="B12" s="14" t="str">
        <f>IF('KPI Plan'!D15&lt;&gt;"",'KPI Plan'!D15,"")</f>
        <v/>
      </c>
      <c r="C12" s="14" t="str">
        <f>IF('KPI Plan'!F15&lt;&gt;"",'KPI Plan'!F15,"")</f>
        <v/>
      </c>
      <c r="D12" s="14" t="str">
        <f>IF('KPI Plan'!T15&lt;&gt;"",'KPI Plan'!T15,"")</f>
        <v/>
      </c>
      <c r="E12" s="14" t="str">
        <f>IF('KPI Plan'!U15&lt;&gt;"",'KPI Plan'!U15,"")</f>
        <v/>
      </c>
      <c r="F12" s="1" t="str">
        <f t="shared" si="1"/>
        <v/>
      </c>
    </row>
    <row r="13" spans="1:6">
      <c r="A13" s="14" t="str">
        <f>IF('KPI Plan'!A16&lt;&gt;"",'KPI Plan'!A16,"")</f>
        <v/>
      </c>
      <c r="B13" s="14" t="str">
        <f>IF('KPI Plan'!D16&lt;&gt;"",'KPI Plan'!D16,"")</f>
        <v/>
      </c>
      <c r="C13" s="14" t="str">
        <f>IF('KPI Plan'!F16&lt;&gt;"",'KPI Plan'!F16,"")</f>
        <v/>
      </c>
      <c r="D13" s="14" t="str">
        <f>IF('KPI Plan'!T16&lt;&gt;"",'KPI Plan'!T16,"")</f>
        <v/>
      </c>
      <c r="E13" s="14" t="str">
        <f>IF('KPI Plan'!U16&lt;&gt;"",'KPI Plan'!U16,"")</f>
        <v/>
      </c>
      <c r="F13" s="1" t="str">
        <f t="shared" si="1"/>
        <v/>
      </c>
    </row>
    <row r="14" spans="1:6">
      <c r="A14" s="14" t="str">
        <f>IF('KPI Plan'!A17&lt;&gt;"",'KPI Plan'!A17,"")</f>
        <v/>
      </c>
      <c r="B14" s="14" t="str">
        <f>IF('KPI Plan'!D17&lt;&gt;"",'KPI Plan'!D17,"")</f>
        <v/>
      </c>
      <c r="C14" s="14" t="str">
        <f>IF('KPI Plan'!F17&lt;&gt;"",'KPI Plan'!F17,"")</f>
        <v/>
      </c>
      <c r="D14" s="14" t="str">
        <f>IF('KPI Plan'!T17&lt;&gt;"",'KPI Plan'!T17,"")</f>
        <v/>
      </c>
      <c r="E14" s="14" t="str">
        <f>IF('KPI Plan'!U17&lt;&gt;"",'KPI Plan'!U17,"")</f>
        <v/>
      </c>
      <c r="F14" s="1" t="str">
        <f t="shared" si="1"/>
        <v/>
      </c>
    </row>
    <row r="15" spans="1:6">
      <c r="A15" s="14" t="str">
        <f>IF('KPI Plan'!A18&lt;&gt;"",'KPI Plan'!A18,"")</f>
        <v/>
      </c>
      <c r="B15" s="14" t="str">
        <f>IF('KPI Plan'!D18&lt;&gt;"",'KPI Plan'!D18,"")</f>
        <v/>
      </c>
      <c r="C15" s="14" t="str">
        <f>IF('KPI Plan'!F18&lt;&gt;"",'KPI Plan'!F18,"")</f>
        <v/>
      </c>
      <c r="D15" s="14" t="str">
        <f>IF('KPI Plan'!T18&lt;&gt;"",'KPI Plan'!T18,"")</f>
        <v/>
      </c>
      <c r="E15" s="14" t="str">
        <f>IF('KPI Plan'!U18&lt;&gt;"",'KPI Plan'!U18,"")</f>
        <v/>
      </c>
      <c r="F15" s="1" t="str">
        <f t="shared" si="1"/>
        <v/>
      </c>
    </row>
    <row r="16" spans="1:6">
      <c r="A16" s="14" t="str">
        <f>IF('KPI Plan'!A19&lt;&gt;"",'KPI Plan'!A19,"")</f>
        <v/>
      </c>
      <c r="B16" s="14" t="str">
        <f>IF('KPI Plan'!D19&lt;&gt;"",'KPI Plan'!D19,"")</f>
        <v/>
      </c>
      <c r="C16" s="14" t="str">
        <f>IF('KPI Plan'!F19&lt;&gt;"",'KPI Plan'!F19,"")</f>
        <v/>
      </c>
      <c r="D16" s="14" t="str">
        <f>IF('KPI Plan'!T19&lt;&gt;"",'KPI Plan'!T19,"")</f>
        <v/>
      </c>
      <c r="E16" s="14" t="str">
        <f>IF('KPI Plan'!U19&lt;&gt;"",'KPI Plan'!U19,"")</f>
        <v/>
      </c>
      <c r="F16" s="1" t="str">
        <f t="shared" si="1"/>
        <v/>
      </c>
    </row>
    <row r="17" spans="1:6">
      <c r="A17" s="14" t="str">
        <f>IF('KPI Plan'!A20&lt;&gt;"",'KPI Plan'!A20,"")</f>
        <v/>
      </c>
      <c r="B17" s="14" t="str">
        <f>IF('KPI Plan'!D20&lt;&gt;"",'KPI Plan'!D20,"")</f>
        <v/>
      </c>
      <c r="C17" s="14" t="str">
        <f>IF('KPI Plan'!F20&lt;&gt;"",'KPI Plan'!F20,"")</f>
        <v/>
      </c>
      <c r="D17" s="14" t="str">
        <f>IF('KPI Plan'!T20&lt;&gt;"",'KPI Plan'!T20,"")</f>
        <v/>
      </c>
      <c r="E17" s="14" t="str">
        <f>IF('KPI Plan'!U20&lt;&gt;"",'KPI Plan'!U20,"")</f>
        <v/>
      </c>
      <c r="F17" s="1" t="str">
        <f t="shared" si="1"/>
        <v/>
      </c>
    </row>
    <row r="18" spans="1:6">
      <c r="A18" s="14" t="str">
        <f>IF('KPI Plan'!A21&lt;&gt;"",'KPI Plan'!A21,"")</f>
        <v/>
      </c>
      <c r="B18" s="14" t="str">
        <f>IF('KPI Plan'!D21&lt;&gt;"",'KPI Plan'!D21,"")</f>
        <v/>
      </c>
      <c r="C18" s="14" t="str">
        <f>IF('KPI Plan'!F21&lt;&gt;"",'KPI Plan'!F21,"")</f>
        <v/>
      </c>
      <c r="D18" s="14" t="str">
        <f>IF('KPI Plan'!T21&lt;&gt;"",'KPI Plan'!T21,"")</f>
        <v/>
      </c>
      <c r="E18" s="14" t="str">
        <f>IF('KPI Plan'!U21&lt;&gt;"",'KPI Plan'!U21,"")</f>
        <v/>
      </c>
      <c r="F18" s="1" t="str">
        <f t="shared" si="1"/>
        <v/>
      </c>
    </row>
    <row r="19" spans="1:6">
      <c r="A19" s="14" t="str">
        <f>IF('KPI Plan'!A22&lt;&gt;"",'KPI Plan'!A22,"")</f>
        <v/>
      </c>
      <c r="B19" s="14" t="str">
        <f>IF('KPI Plan'!D22&lt;&gt;"",'KPI Plan'!D22,"")</f>
        <v/>
      </c>
      <c r="C19" s="14" t="str">
        <f>IF('KPI Plan'!F22&lt;&gt;"",'KPI Plan'!F22,"")</f>
        <v/>
      </c>
      <c r="D19" s="14" t="str">
        <f>IF('KPI Plan'!T22&lt;&gt;"",'KPI Plan'!T22,"")</f>
        <v/>
      </c>
      <c r="E19" s="14" t="str">
        <f>IF('KPI Plan'!U22&lt;&gt;"",'KPI Plan'!U22,"")</f>
        <v/>
      </c>
      <c r="F19" s="1" t="str">
        <f t="shared" si="1"/>
        <v/>
      </c>
    </row>
    <row r="20" spans="1:6">
      <c r="A20" s="14" t="str">
        <f>IF('KPI Plan'!A23&lt;&gt;"",'KPI Plan'!A23,"")</f>
        <v/>
      </c>
      <c r="B20" s="14" t="str">
        <f>IF('KPI Plan'!D23&lt;&gt;"",'KPI Plan'!D23,"")</f>
        <v/>
      </c>
      <c r="C20" s="14" t="str">
        <f>IF('KPI Plan'!F23&lt;&gt;"",'KPI Plan'!F23,"")</f>
        <v/>
      </c>
      <c r="D20" s="14" t="str">
        <f>IF('KPI Plan'!T23&lt;&gt;"",'KPI Plan'!T23,"")</f>
        <v/>
      </c>
      <c r="E20" s="14" t="str">
        <f>IF('KPI Plan'!U23&lt;&gt;"",'KPI Plan'!U23,"")</f>
        <v/>
      </c>
      <c r="F20" s="1" t="str">
        <f t="shared" si="1"/>
        <v/>
      </c>
    </row>
    <row r="21" spans="1:6">
      <c r="A21" s="14" t="str">
        <f>IF('KPI Plan'!A24&lt;&gt;"",'KPI Plan'!A24,"")</f>
        <v/>
      </c>
      <c r="B21" s="14" t="str">
        <f>IF('KPI Plan'!D24&lt;&gt;"",'KPI Plan'!D24,"")</f>
        <v/>
      </c>
      <c r="C21" s="14" t="str">
        <f>IF('KPI Plan'!F24&lt;&gt;"",'KPI Plan'!F24,"")</f>
        <v/>
      </c>
      <c r="D21" s="14" t="str">
        <f>IF('KPI Plan'!T24&lt;&gt;"",'KPI Plan'!T24,"")</f>
        <v/>
      </c>
      <c r="E21" s="14" t="str">
        <f>IF('KPI Plan'!U24&lt;&gt;"",'KPI Plan'!U24,"")</f>
        <v/>
      </c>
      <c r="F21" s="1" t="str">
        <f t="shared" si="1"/>
        <v/>
      </c>
    </row>
    <row r="22" spans="1:6">
      <c r="A22" s="14" t="str">
        <f>IF('KPI Plan'!A25&lt;&gt;"",'KPI Plan'!A25,"")</f>
        <v/>
      </c>
      <c r="B22" s="14" t="str">
        <f>IF('KPI Plan'!D25&lt;&gt;"",'KPI Plan'!D25,"")</f>
        <v/>
      </c>
      <c r="C22" s="14" t="str">
        <f>IF('KPI Plan'!F25&lt;&gt;"",'KPI Plan'!F25,"")</f>
        <v/>
      </c>
      <c r="D22" s="14" t="str">
        <f>IF('KPI Plan'!T25&lt;&gt;"",'KPI Plan'!T25,"")</f>
        <v/>
      </c>
      <c r="E22" s="14" t="str">
        <f>IF('KPI Plan'!U25&lt;&gt;"",'KPI Plan'!U25,"")</f>
        <v/>
      </c>
      <c r="F22" s="1" t="str">
        <f t="shared" si="1"/>
        <v/>
      </c>
    </row>
    <row r="23" spans="1:6">
      <c r="A23" s="14" t="str">
        <f>IF('KPI Plan'!A26&lt;&gt;"",'KPI Plan'!A26,"")</f>
        <v/>
      </c>
      <c r="B23" s="14" t="str">
        <f>IF('KPI Plan'!D26&lt;&gt;"",'KPI Plan'!D26,"")</f>
        <v/>
      </c>
      <c r="C23" s="14" t="str">
        <f>IF('KPI Plan'!F26&lt;&gt;"",'KPI Plan'!F26,"")</f>
        <v/>
      </c>
      <c r="D23" s="14" t="str">
        <f>IF('KPI Plan'!T26&lt;&gt;"",'KPI Plan'!T26,"")</f>
        <v/>
      </c>
      <c r="E23" s="14" t="str">
        <f>IF('KPI Plan'!U26&lt;&gt;"",'KPI Plan'!U26,"")</f>
        <v/>
      </c>
      <c r="F23" s="1" t="str">
        <f t="shared" si="1"/>
        <v/>
      </c>
    </row>
    <row r="24" spans="1:6">
      <c r="A24" s="14" t="str">
        <f>IF('KPI Plan'!A27&lt;&gt;"",'KPI Plan'!A27,"")</f>
        <v/>
      </c>
      <c r="B24" s="14" t="str">
        <f>IF('KPI Plan'!D27&lt;&gt;"",'KPI Plan'!D27,"")</f>
        <v/>
      </c>
      <c r="C24" s="14" t="str">
        <f>IF('KPI Plan'!F27&lt;&gt;"",'KPI Plan'!F27,"")</f>
        <v/>
      </c>
      <c r="D24" s="14" t="str">
        <f>IF('KPI Plan'!T27&lt;&gt;"",'KPI Plan'!T27,"")</f>
        <v/>
      </c>
      <c r="E24" s="14" t="str">
        <f>IF('KPI Plan'!U27&lt;&gt;"",'KPI Plan'!U27,"")</f>
        <v/>
      </c>
      <c r="F24" s="1" t="str">
        <f t="shared" si="1"/>
        <v/>
      </c>
    </row>
    <row r="25" spans="1:6">
      <c r="A25" s="14" t="str">
        <f>IF('KPI Plan'!A28&lt;&gt;"",'KPI Plan'!A28,"")</f>
        <v/>
      </c>
      <c r="B25" s="14" t="str">
        <f>IF('KPI Plan'!D28&lt;&gt;"",'KPI Plan'!D28,"")</f>
        <v/>
      </c>
      <c r="C25" s="14" t="str">
        <f>IF('KPI Plan'!F28&lt;&gt;"",'KPI Plan'!F28,"")</f>
        <v/>
      </c>
      <c r="D25" s="14" t="str">
        <f>IF('KPI Plan'!T28&lt;&gt;"",'KPI Plan'!T28,"")</f>
        <v/>
      </c>
      <c r="E25" s="14" t="str">
        <f>IF('KPI Plan'!U28&lt;&gt;"",'KPI Plan'!U28,"")</f>
        <v/>
      </c>
      <c r="F25" s="1" t="str">
        <f t="shared" si="1"/>
        <v/>
      </c>
    </row>
    <row r="26" spans="1:6">
      <c r="A26" s="14" t="str">
        <f>IF('KPI Plan'!A29&lt;&gt;"",'KPI Plan'!A29,"")</f>
        <v/>
      </c>
      <c r="B26" s="14" t="str">
        <f>IF('KPI Plan'!D29&lt;&gt;"",'KPI Plan'!D29,"")</f>
        <v/>
      </c>
      <c r="C26" s="14" t="str">
        <f>IF('KPI Plan'!F29&lt;&gt;"",'KPI Plan'!F29,"")</f>
        <v/>
      </c>
      <c r="D26" s="14" t="str">
        <f>IF('KPI Plan'!T29&lt;&gt;"",'KPI Plan'!T29,"")</f>
        <v/>
      </c>
      <c r="E26" s="14" t="str">
        <f>IF('KPI Plan'!U29&lt;&gt;"",'KPI Plan'!U29,"")</f>
        <v/>
      </c>
      <c r="F26" s="1" t="str">
        <f t="shared" si="1"/>
        <v/>
      </c>
    </row>
    <row r="27" spans="1:6">
      <c r="A27" s="14" t="str">
        <f>IF('KPI Plan'!A30&lt;&gt;"",'KPI Plan'!A30,"")</f>
        <v/>
      </c>
      <c r="B27" s="14" t="str">
        <f>IF('KPI Plan'!D30&lt;&gt;"",'KPI Plan'!D30,"")</f>
        <v/>
      </c>
      <c r="C27" s="14" t="str">
        <f>IF('KPI Plan'!F30&lt;&gt;"",'KPI Plan'!F30,"")</f>
        <v/>
      </c>
      <c r="D27" s="14" t="str">
        <f>IF('KPI Plan'!T30&lt;&gt;"",'KPI Plan'!T30,"")</f>
        <v/>
      </c>
      <c r="E27" s="14" t="str">
        <f>IF('KPI Plan'!U30&lt;&gt;"",'KPI Plan'!U30,"")</f>
        <v/>
      </c>
      <c r="F27" s="1" t="str">
        <f t="shared" si="1"/>
        <v/>
      </c>
    </row>
    <row r="28" spans="1:6">
      <c r="A28" s="14" t="str">
        <f>IF('KPI Plan'!A31&lt;&gt;"",'KPI Plan'!A31,"")</f>
        <v/>
      </c>
      <c r="B28" s="14" t="str">
        <f>IF('KPI Plan'!D31&lt;&gt;"",'KPI Plan'!D31,"")</f>
        <v/>
      </c>
      <c r="C28" s="14" t="str">
        <f>IF('KPI Plan'!F31&lt;&gt;"",'KPI Plan'!F31,"")</f>
        <v/>
      </c>
      <c r="D28" s="14" t="str">
        <f>IF('KPI Plan'!T31&lt;&gt;"",'KPI Plan'!T31,"")</f>
        <v/>
      </c>
      <c r="E28" s="14" t="str">
        <f>IF('KPI Plan'!U31&lt;&gt;"",'KPI Plan'!U31,"")</f>
        <v/>
      </c>
      <c r="F28" s="1" t="str">
        <f t="shared" si="1"/>
        <v/>
      </c>
    </row>
    <row r="29" spans="1:6">
      <c r="A29" s="14" t="str">
        <f>IF('KPI Plan'!A32&lt;&gt;"",'KPI Plan'!A32,"")</f>
        <v/>
      </c>
      <c r="B29" s="14" t="str">
        <f>IF('KPI Plan'!D32&lt;&gt;"",'KPI Plan'!D32,"")</f>
        <v/>
      </c>
      <c r="C29" s="14" t="str">
        <f>IF('KPI Plan'!F32&lt;&gt;"",'KPI Plan'!F32,"")</f>
        <v/>
      </c>
      <c r="D29" s="14" t="str">
        <f>IF('KPI Plan'!T32&lt;&gt;"",'KPI Plan'!T32,"")</f>
        <v/>
      </c>
      <c r="E29" s="14" t="str">
        <f>IF('KPI Plan'!U32&lt;&gt;"",'KPI Plan'!U32,"")</f>
        <v/>
      </c>
      <c r="F29" s="1" t="str">
        <f t="shared" si="1"/>
        <v/>
      </c>
    </row>
    <row r="30" spans="1:6">
      <c r="A30" s="14" t="str">
        <f>IF('KPI Plan'!A33&lt;&gt;"",'KPI Plan'!A33,"")</f>
        <v/>
      </c>
      <c r="B30" s="14" t="str">
        <f>IF('KPI Plan'!D33&lt;&gt;"",'KPI Plan'!D33,"")</f>
        <v/>
      </c>
      <c r="C30" s="14" t="str">
        <f>IF('KPI Plan'!F33&lt;&gt;"",'KPI Plan'!F33,"")</f>
        <v/>
      </c>
      <c r="D30" s="14" t="str">
        <f>IF('KPI Plan'!T33&lt;&gt;"",'KPI Plan'!T33,"")</f>
        <v/>
      </c>
      <c r="E30" s="14" t="str">
        <f>IF('KPI Plan'!U33&lt;&gt;"",'KPI Plan'!U33,"")</f>
        <v/>
      </c>
      <c r="F30" s="1" t="str">
        <f t="shared" si="1"/>
        <v/>
      </c>
    </row>
    <row r="31" spans="1:6">
      <c r="A31" s="14" t="str">
        <f>IF('KPI Plan'!A34&lt;&gt;"",'KPI Plan'!A34,"")</f>
        <v/>
      </c>
      <c r="B31" s="14" t="str">
        <f>IF('KPI Plan'!D34&lt;&gt;"",'KPI Plan'!D34,"")</f>
        <v/>
      </c>
      <c r="C31" s="14" t="str">
        <f>IF('KPI Plan'!F34&lt;&gt;"",'KPI Plan'!F34,"")</f>
        <v/>
      </c>
      <c r="D31" s="14" t="str">
        <f>IF('KPI Plan'!T34&lt;&gt;"",'KPI Plan'!T34,"")</f>
        <v/>
      </c>
      <c r="E31" s="14" t="str">
        <f>IF('KPI Plan'!U34&lt;&gt;"",'KPI Plan'!U34,"")</f>
        <v/>
      </c>
      <c r="F31" s="1" t="str">
        <f t="shared" si="1"/>
        <v/>
      </c>
    </row>
    <row r="32" spans="1:6">
      <c r="A32" s="14" t="str">
        <f>IF('KPI Plan'!A35&lt;&gt;"",'KPI Plan'!A35,"")</f>
        <v/>
      </c>
      <c r="B32" s="14" t="str">
        <f>IF('KPI Plan'!D35&lt;&gt;"",'KPI Plan'!D35,"")</f>
        <v/>
      </c>
      <c r="C32" s="14" t="str">
        <f>IF('KPI Plan'!F35&lt;&gt;"",'KPI Plan'!F35,"")</f>
        <v/>
      </c>
      <c r="D32" s="14" t="str">
        <f>IF('KPI Plan'!T35&lt;&gt;"",'KPI Plan'!T35,"")</f>
        <v/>
      </c>
      <c r="E32" s="14" t="str">
        <f>IF('KPI Plan'!U35&lt;&gt;"",'KPI Plan'!U35,"")</f>
        <v/>
      </c>
      <c r="F32" s="1" t="str">
        <f t="shared" si="1"/>
        <v/>
      </c>
    </row>
    <row r="33" spans="1:6">
      <c r="A33" s="14" t="str">
        <f>IF('KPI Plan'!A36&lt;&gt;"",'KPI Plan'!A36,"")</f>
        <v/>
      </c>
      <c r="B33" s="14" t="str">
        <f>IF('KPI Plan'!D36&lt;&gt;"",'KPI Plan'!D36,"")</f>
        <v/>
      </c>
      <c r="C33" s="14" t="str">
        <f>IF('KPI Plan'!F36&lt;&gt;"",'KPI Plan'!F36,"")</f>
        <v/>
      </c>
      <c r="D33" s="14" t="str">
        <f>IF('KPI Plan'!T36&lt;&gt;"",'KPI Plan'!T36,"")</f>
        <v/>
      </c>
      <c r="E33" s="14" t="str">
        <f>IF('KPI Plan'!U36&lt;&gt;"",'KPI Plan'!U36,"")</f>
        <v/>
      </c>
      <c r="F33" s="1" t="str">
        <f t="shared" si="1"/>
        <v/>
      </c>
    </row>
    <row r="34" spans="1:6">
      <c r="A34" s="14" t="str">
        <f>IF('KPI Plan'!A37&lt;&gt;"",'KPI Plan'!A37,"")</f>
        <v/>
      </c>
      <c r="B34" s="14" t="str">
        <f>IF('KPI Plan'!D37&lt;&gt;"",'KPI Plan'!D37,"")</f>
        <v/>
      </c>
      <c r="C34" s="14" t="str">
        <f>IF('KPI Plan'!F37&lt;&gt;"",'KPI Plan'!F37,"")</f>
        <v/>
      </c>
      <c r="D34" s="14" t="str">
        <f>IF('KPI Plan'!T37&lt;&gt;"",'KPI Plan'!T37,"")</f>
        <v/>
      </c>
      <c r="E34" s="14" t="str">
        <f>IF('KPI Plan'!U37&lt;&gt;"",'KPI Plan'!U37,"")</f>
        <v/>
      </c>
      <c r="F34" s="1" t="str">
        <f t="shared" si="1"/>
        <v/>
      </c>
    </row>
    <row r="35" spans="1:6">
      <c r="A35" s="14" t="str">
        <f>IF('KPI Plan'!A38&lt;&gt;"",'KPI Plan'!A38,"")</f>
        <v/>
      </c>
      <c r="B35" s="14" t="str">
        <f>IF('KPI Plan'!D38&lt;&gt;"",'KPI Plan'!D38,"")</f>
        <v/>
      </c>
      <c r="C35" s="14" t="str">
        <f>IF('KPI Plan'!F38&lt;&gt;"",'KPI Plan'!F38,"")</f>
        <v/>
      </c>
      <c r="D35" s="14" t="str">
        <f>IF('KPI Plan'!T38&lt;&gt;"",'KPI Plan'!T38,"")</f>
        <v/>
      </c>
      <c r="E35" s="14" t="str">
        <f>IF('KPI Plan'!U38&lt;&gt;"",'KPI Plan'!U38,"")</f>
        <v/>
      </c>
      <c r="F35" s="1" t="str">
        <f t="shared" si="1"/>
        <v/>
      </c>
    </row>
    <row r="36" spans="1:6">
      <c r="A36" s="14" t="str">
        <f>IF('KPI Plan'!A39&lt;&gt;"",'KPI Plan'!A39,"")</f>
        <v/>
      </c>
      <c r="B36" s="14" t="str">
        <f>IF('KPI Plan'!D39&lt;&gt;"",'KPI Plan'!D39,"")</f>
        <v/>
      </c>
      <c r="C36" s="14" t="str">
        <f>IF('KPI Plan'!F39&lt;&gt;"",'KPI Plan'!F39,"")</f>
        <v/>
      </c>
      <c r="D36" s="14" t="str">
        <f>IF('KPI Plan'!T39&lt;&gt;"",'KPI Plan'!T39,"")</f>
        <v/>
      </c>
      <c r="E36" s="14" t="str">
        <f>IF('KPI Plan'!U39&lt;&gt;"",'KPI Plan'!U39,"")</f>
        <v/>
      </c>
      <c r="F36" s="1" t="str">
        <f t="shared" si="1"/>
        <v/>
      </c>
    </row>
    <row r="37" spans="1:6">
      <c r="A37" s="14" t="str">
        <f>IF('KPI Plan'!A40&lt;&gt;"",'KPI Plan'!A40,"")</f>
        <v/>
      </c>
      <c r="B37" s="14" t="str">
        <f>IF('KPI Plan'!D40&lt;&gt;"",'KPI Plan'!D40,"")</f>
        <v/>
      </c>
      <c r="C37" s="14" t="str">
        <f>IF('KPI Plan'!F40&lt;&gt;"",'KPI Plan'!F40,"")</f>
        <v/>
      </c>
      <c r="D37" s="14" t="str">
        <f>IF('KPI Plan'!T40&lt;&gt;"",'KPI Plan'!T40,"")</f>
        <v/>
      </c>
      <c r="E37" s="14" t="str">
        <f>IF('KPI Plan'!U40&lt;&gt;"",'KPI Plan'!U40,"")</f>
        <v/>
      </c>
      <c r="F37" s="1" t="str">
        <f t="shared" si="1"/>
        <v/>
      </c>
    </row>
    <row r="38" spans="1:6">
      <c r="A38" s="14" t="str">
        <f>IF('KPI Plan'!A41&lt;&gt;"",'KPI Plan'!A41,"")</f>
        <v/>
      </c>
      <c r="B38" s="14" t="str">
        <f>IF('KPI Plan'!D41&lt;&gt;"",'KPI Plan'!D41,"")</f>
        <v/>
      </c>
      <c r="C38" s="14" t="str">
        <f>IF('KPI Plan'!F41&lt;&gt;"",'KPI Plan'!F41,"")</f>
        <v/>
      </c>
      <c r="D38" s="14" t="str">
        <f>IF('KPI Plan'!T41&lt;&gt;"",'KPI Plan'!T41,"")</f>
        <v/>
      </c>
      <c r="E38" s="14" t="str">
        <f>IF('KPI Plan'!U41&lt;&gt;"",'KPI Plan'!U41,"")</f>
        <v/>
      </c>
      <c r="F38" s="1" t="str">
        <f t="shared" si="1"/>
        <v/>
      </c>
    </row>
    <row r="39" spans="1:6">
      <c r="A39" s="14" t="str">
        <f>IF('KPI Plan'!A42&lt;&gt;"",'KPI Plan'!A42,"")</f>
        <v/>
      </c>
      <c r="B39" s="14" t="str">
        <f>IF('KPI Plan'!D42&lt;&gt;"",'KPI Plan'!D42,"")</f>
        <v/>
      </c>
      <c r="C39" s="14" t="str">
        <f>IF('KPI Plan'!F42&lt;&gt;"",'KPI Plan'!F42,"")</f>
        <v/>
      </c>
      <c r="D39" s="14" t="str">
        <f>IF('KPI Plan'!T42&lt;&gt;"",'KPI Plan'!T42,"")</f>
        <v/>
      </c>
      <c r="E39" s="14" t="str">
        <f>IF('KPI Plan'!U42&lt;&gt;"",'KPI Plan'!U42,"")</f>
        <v/>
      </c>
      <c r="F39" s="1" t="str">
        <f t="shared" si="1"/>
        <v/>
      </c>
    </row>
    <row r="40" spans="1:6">
      <c r="A40" s="14" t="str">
        <f>IF('KPI Plan'!A43&lt;&gt;"",'KPI Plan'!A43,"")</f>
        <v/>
      </c>
      <c r="B40" s="14" t="str">
        <f>IF('KPI Plan'!D43&lt;&gt;"",'KPI Plan'!D43,"")</f>
        <v/>
      </c>
      <c r="C40" s="14" t="str">
        <f>IF('KPI Plan'!F43&lt;&gt;"",'KPI Plan'!F43,"")</f>
        <v/>
      </c>
      <c r="D40" s="14" t="str">
        <f>IF('KPI Plan'!T43&lt;&gt;"",'KPI Plan'!T43,"")</f>
        <v/>
      </c>
      <c r="E40" s="14" t="str">
        <f>IF('KPI Plan'!U43&lt;&gt;"",'KPI Plan'!U43,"")</f>
        <v/>
      </c>
      <c r="F40" s="1" t="str">
        <f t="shared" si="1"/>
        <v/>
      </c>
    </row>
    <row r="41" spans="1:6">
      <c r="A41" s="14" t="str">
        <f>IF('KPI Plan'!A44&lt;&gt;"",'KPI Plan'!A44,"")</f>
        <v/>
      </c>
      <c r="B41" s="14" t="str">
        <f>IF('KPI Plan'!D44&lt;&gt;"",'KPI Plan'!D44,"")</f>
        <v/>
      </c>
      <c r="C41" s="14" t="str">
        <f>IF('KPI Plan'!F44&lt;&gt;"",'KPI Plan'!F44,"")</f>
        <v/>
      </c>
      <c r="D41" s="14" t="str">
        <f>IF('KPI Plan'!T44&lt;&gt;"",'KPI Plan'!T44,"")</f>
        <v/>
      </c>
      <c r="E41" s="14" t="str">
        <f>IF('KPI Plan'!U44&lt;&gt;"",'KPI Plan'!U44,"")</f>
        <v/>
      </c>
      <c r="F41" s="1" t="str">
        <f t="shared" si="1"/>
        <v/>
      </c>
    </row>
    <row r="42" spans="1:6">
      <c r="A42" s="14" t="str">
        <f>IF('KPI Plan'!A45&lt;&gt;"",'KPI Plan'!A45,"")</f>
        <v/>
      </c>
      <c r="B42" s="14" t="str">
        <f>IF('KPI Plan'!D45&lt;&gt;"",'KPI Plan'!D45,"")</f>
        <v/>
      </c>
      <c r="C42" s="14" t="str">
        <f>IF('KPI Plan'!F45&lt;&gt;"",'KPI Plan'!F45,"")</f>
        <v/>
      </c>
      <c r="D42" s="14" t="str">
        <f>IF('KPI Plan'!T45&lt;&gt;"",'KPI Plan'!T45,"")</f>
        <v/>
      </c>
      <c r="E42" s="14" t="str">
        <f>IF('KPI Plan'!U45&lt;&gt;"",'KPI Plan'!U45,"")</f>
        <v/>
      </c>
      <c r="F42" s="1" t="str">
        <f t="shared" si="1"/>
        <v/>
      </c>
    </row>
    <row r="43" spans="1:6">
      <c r="A43" s="14" t="str">
        <f>IF('KPI Plan'!A46&lt;&gt;"",'KPI Plan'!A46,"")</f>
        <v/>
      </c>
      <c r="B43" s="14" t="str">
        <f>IF('KPI Plan'!D46&lt;&gt;"",'KPI Plan'!D46,"")</f>
        <v/>
      </c>
      <c r="C43" s="14" t="str">
        <f>IF('KPI Plan'!F46&lt;&gt;"",'KPI Plan'!F46,"")</f>
        <v/>
      </c>
      <c r="D43" s="14" t="str">
        <f>IF('KPI Plan'!T46&lt;&gt;"",'KPI Plan'!T46,"")</f>
        <v/>
      </c>
      <c r="E43" s="14" t="str">
        <f>IF('KPI Plan'!U46&lt;&gt;"",'KPI Plan'!U46,"")</f>
        <v/>
      </c>
      <c r="F43" s="1" t="str">
        <f t="shared" si="1"/>
        <v/>
      </c>
    </row>
    <row r="44" spans="1:6">
      <c r="A44" s="14" t="str">
        <f>IF('KPI Plan'!A47&lt;&gt;"",'KPI Plan'!A47,"")</f>
        <v/>
      </c>
      <c r="B44" s="14" t="str">
        <f>IF('KPI Plan'!D47&lt;&gt;"",'KPI Plan'!D47,"")</f>
        <v/>
      </c>
      <c r="C44" s="14" t="str">
        <f>IF('KPI Plan'!F47&lt;&gt;"",'KPI Plan'!F47,"")</f>
        <v/>
      </c>
      <c r="D44" s="14" t="str">
        <f>IF('KPI Plan'!T47&lt;&gt;"",'KPI Plan'!T47,"")</f>
        <v/>
      </c>
      <c r="E44" s="14" t="str">
        <f>IF('KPI Plan'!U47&lt;&gt;"",'KPI Plan'!U47,"")</f>
        <v/>
      </c>
      <c r="F44" s="1" t="str">
        <f t="shared" si="1"/>
        <v/>
      </c>
    </row>
    <row r="45" spans="1:6">
      <c r="A45" s="14" t="str">
        <f>IF('KPI Plan'!A48&lt;&gt;"",'KPI Plan'!A48,"")</f>
        <v/>
      </c>
      <c r="B45" s="14" t="str">
        <f>IF('KPI Plan'!D48&lt;&gt;"",'KPI Plan'!D48,"")</f>
        <v/>
      </c>
      <c r="C45" s="14" t="str">
        <f>IF('KPI Plan'!F48&lt;&gt;"",'KPI Plan'!F48,"")</f>
        <v/>
      </c>
      <c r="D45" s="14" t="str">
        <f>IF('KPI Plan'!T48&lt;&gt;"",'KPI Plan'!T48,"")</f>
        <v/>
      </c>
      <c r="E45" s="14" t="str">
        <f>IF('KPI Plan'!U48&lt;&gt;"",'KPI Plan'!U48,"")</f>
        <v/>
      </c>
      <c r="F45" s="1" t="str">
        <f t="shared" si="1"/>
        <v/>
      </c>
    </row>
    <row r="46" spans="1:6">
      <c r="A46" s="14" t="str">
        <f>IF('KPI Plan'!A49&lt;&gt;"",'KPI Plan'!A49,"")</f>
        <v/>
      </c>
      <c r="B46" s="14" t="str">
        <f>IF('KPI Plan'!D49&lt;&gt;"",'KPI Plan'!D49,"")</f>
        <v/>
      </c>
      <c r="C46" s="14" t="str">
        <f>IF('KPI Plan'!F49&lt;&gt;"",'KPI Plan'!F49,"")</f>
        <v/>
      </c>
      <c r="D46" s="14" t="str">
        <f>IF('KPI Plan'!T49&lt;&gt;"",'KPI Plan'!T49,"")</f>
        <v/>
      </c>
      <c r="E46" s="14" t="str">
        <f>IF('KPI Plan'!U49&lt;&gt;"",'KPI Plan'!U49,"")</f>
        <v/>
      </c>
      <c r="F46" s="1" t="str">
        <f t="shared" si="1"/>
        <v/>
      </c>
    </row>
    <row r="47" spans="1:6">
      <c r="A47" s="14" t="str">
        <f>IF('KPI Plan'!A50&lt;&gt;"",'KPI Plan'!A50,"")</f>
        <v/>
      </c>
      <c r="B47" s="14" t="str">
        <f>IF('KPI Plan'!D50&lt;&gt;"",'KPI Plan'!D50,"")</f>
        <v/>
      </c>
      <c r="C47" s="14" t="str">
        <f>IF('KPI Plan'!F50&lt;&gt;"",'KPI Plan'!F50,"")</f>
        <v/>
      </c>
      <c r="D47" s="14" t="str">
        <f>IF('KPI Plan'!T50&lt;&gt;"",'KPI Plan'!T50,"")</f>
        <v/>
      </c>
      <c r="E47" s="14" t="str">
        <f>IF('KPI Plan'!U50&lt;&gt;"",'KPI Plan'!U50,"")</f>
        <v/>
      </c>
      <c r="F47" s="1" t="str">
        <f t="shared" si="1"/>
        <v/>
      </c>
    </row>
    <row r="48" spans="1:6">
      <c r="A48" s="14" t="str">
        <f>IF('KPI Plan'!A51&lt;&gt;"",'KPI Plan'!A51,"")</f>
        <v/>
      </c>
      <c r="B48" s="14" t="str">
        <f>IF('KPI Plan'!D51&lt;&gt;"",'KPI Plan'!D51,"")</f>
        <v/>
      </c>
      <c r="C48" s="14" t="str">
        <f>IF('KPI Plan'!F51&lt;&gt;"",'KPI Plan'!F51,"")</f>
        <v/>
      </c>
      <c r="D48" s="14" t="str">
        <f>IF('KPI Plan'!T51&lt;&gt;"",'KPI Plan'!T51,"")</f>
        <v/>
      </c>
      <c r="E48" s="14" t="str">
        <f>IF('KPI Plan'!U51&lt;&gt;"",'KPI Plan'!U51,"")</f>
        <v/>
      </c>
      <c r="F48" s="1" t="str">
        <f t="shared" si="1"/>
        <v/>
      </c>
    </row>
    <row r="49" spans="1:6">
      <c r="A49" s="14" t="str">
        <f>IF('KPI Plan'!A52&lt;&gt;"",'KPI Plan'!A52,"")</f>
        <v/>
      </c>
      <c r="B49" s="14" t="str">
        <f>IF('KPI Plan'!D52&lt;&gt;"",'KPI Plan'!D52,"")</f>
        <v/>
      </c>
      <c r="C49" s="14" t="str">
        <f>IF('KPI Plan'!F52&lt;&gt;"",'KPI Plan'!F52,"")</f>
        <v/>
      </c>
      <c r="D49" s="14" t="str">
        <f>IF('KPI Plan'!T52&lt;&gt;"",'KPI Plan'!T52,"")</f>
        <v/>
      </c>
      <c r="E49" s="14" t="str">
        <f>IF('KPI Plan'!U52&lt;&gt;"",'KPI Plan'!U52,"")</f>
        <v/>
      </c>
      <c r="F49" s="1" t="str">
        <f t="shared" si="1"/>
        <v/>
      </c>
    </row>
    <row r="50" spans="1:6">
      <c r="A50" s="14" t="str">
        <f>IF('KPI Plan'!A53&lt;&gt;"",'KPI Plan'!A53,"")</f>
        <v/>
      </c>
      <c r="B50" s="14" t="str">
        <f>IF('KPI Plan'!D53&lt;&gt;"",'KPI Plan'!D53,"")</f>
        <v/>
      </c>
      <c r="C50" s="14" t="str">
        <f>IF('KPI Plan'!F53&lt;&gt;"",'KPI Plan'!F53,"")</f>
        <v/>
      </c>
      <c r="D50" s="14" t="str">
        <f>IF('KPI Plan'!T53&lt;&gt;"",'KPI Plan'!T53,"")</f>
        <v/>
      </c>
      <c r="E50" s="14" t="str">
        <f>IF('KPI Plan'!U53&lt;&gt;"",'KPI Plan'!U53,"")</f>
        <v/>
      </c>
      <c r="F50" s="1" t="str">
        <f t="shared" si="1"/>
        <v/>
      </c>
    </row>
    <row r="51" spans="1:6">
      <c r="A51" s="14" t="str">
        <f>IF('KPI Plan'!A54&lt;&gt;"",'KPI Plan'!A54,"")</f>
        <v/>
      </c>
      <c r="B51" s="14" t="str">
        <f>IF('KPI Plan'!D54&lt;&gt;"",'KPI Plan'!D54,"")</f>
        <v/>
      </c>
      <c r="C51" s="14" t="str">
        <f>IF('KPI Plan'!F54&lt;&gt;"",'KPI Plan'!F54,"")</f>
        <v/>
      </c>
      <c r="D51" s="14" t="str">
        <f>IF('KPI Plan'!T54&lt;&gt;"",'KPI Plan'!T54,"")</f>
        <v/>
      </c>
      <c r="E51" s="14" t="str">
        <f>IF('KPI Plan'!U54&lt;&gt;"",'KPI Plan'!U54,"")</f>
        <v/>
      </c>
      <c r="F51" s="1" t="str">
        <f t="shared" si="1"/>
        <v/>
      </c>
    </row>
    <row r="52" spans="1:6">
      <c r="A52" s="14" t="str">
        <f>IF('KPI Plan'!A55&lt;&gt;"",'KPI Plan'!A55,"")</f>
        <v/>
      </c>
      <c r="B52" s="14" t="str">
        <f>IF('KPI Plan'!D55&lt;&gt;"",'KPI Plan'!D55,"")</f>
        <v/>
      </c>
      <c r="C52" s="14" t="str">
        <f>IF('KPI Plan'!F55&lt;&gt;"",'KPI Plan'!F55,"")</f>
        <v/>
      </c>
      <c r="D52" s="14" t="str">
        <f>IF('KPI Plan'!T55&lt;&gt;"",'KPI Plan'!T55,"")</f>
        <v/>
      </c>
      <c r="E52" s="14" t="str">
        <f>IF('KPI Plan'!U55&lt;&gt;"",'KPI Plan'!U55,"")</f>
        <v/>
      </c>
      <c r="F52" s="1" t="str">
        <f t="shared" si="1"/>
        <v/>
      </c>
    </row>
    <row r="53" spans="1:6">
      <c r="A53" s="14" t="str">
        <f>IF('KPI Plan'!A56&lt;&gt;"",'KPI Plan'!A56,"")</f>
        <v/>
      </c>
      <c r="B53" s="14" t="str">
        <f>IF('KPI Plan'!D56&lt;&gt;"",'KPI Plan'!D56,"")</f>
        <v/>
      </c>
      <c r="C53" s="14" t="str">
        <f>IF('KPI Plan'!F56&lt;&gt;"",'KPI Plan'!F56,"")</f>
        <v/>
      </c>
      <c r="D53" s="14" t="str">
        <f>IF('KPI Plan'!T56&lt;&gt;"",'KPI Plan'!T56,"")</f>
        <v/>
      </c>
      <c r="E53" s="14" t="str">
        <f>IF('KPI Plan'!U56&lt;&gt;"",'KPI Plan'!U56,"")</f>
        <v/>
      </c>
      <c r="F53" s="1" t="str">
        <f t="shared" si="1"/>
        <v/>
      </c>
    </row>
    <row r="54" spans="1:6">
      <c r="A54" s="14" t="str">
        <f>IF('KPI Plan'!A57&lt;&gt;"",'KPI Plan'!A57,"")</f>
        <v/>
      </c>
      <c r="B54" s="14" t="str">
        <f>IF('KPI Plan'!D57&lt;&gt;"",'KPI Plan'!D57,"")</f>
        <v/>
      </c>
      <c r="C54" s="14" t="str">
        <f>IF('KPI Plan'!F57&lt;&gt;"",'KPI Plan'!F57,"")</f>
        <v/>
      </c>
      <c r="D54" s="14" t="str">
        <f>IF('KPI Plan'!T57&lt;&gt;"",'KPI Plan'!T57,"")</f>
        <v/>
      </c>
      <c r="E54" s="14" t="str">
        <f>IF('KPI Plan'!U57&lt;&gt;"",'KPI Plan'!U57,"")</f>
        <v/>
      </c>
      <c r="F54" s="1" t="str">
        <f t="shared" si="1"/>
        <v/>
      </c>
    </row>
    <row r="55" spans="1:6">
      <c r="A55" s="14" t="str">
        <f>IF('KPI Plan'!A58&lt;&gt;"",'KPI Plan'!A58,"")</f>
        <v/>
      </c>
      <c r="B55" s="14" t="str">
        <f>IF('KPI Plan'!D58&lt;&gt;"",'KPI Plan'!D58,"")</f>
        <v/>
      </c>
      <c r="C55" s="14" t="str">
        <f>IF('KPI Plan'!F58&lt;&gt;"",'KPI Plan'!F58,"")</f>
        <v/>
      </c>
      <c r="D55" s="14" t="str">
        <f>IF('KPI Plan'!T58&lt;&gt;"",'KPI Plan'!T58,"")</f>
        <v/>
      </c>
      <c r="E55" s="14" t="str">
        <f>IF('KPI Plan'!U58&lt;&gt;"",'KPI Plan'!U58,"")</f>
        <v/>
      </c>
      <c r="F55" s="1" t="str">
        <f t="shared" si="1"/>
        <v/>
      </c>
    </row>
    <row r="56" spans="1:6">
      <c r="A56" s="14" t="str">
        <f>IF('KPI Plan'!A59&lt;&gt;"",'KPI Plan'!A59,"")</f>
        <v/>
      </c>
      <c r="B56" s="14" t="str">
        <f>IF('KPI Plan'!D59&lt;&gt;"",'KPI Plan'!D59,"")</f>
        <v/>
      </c>
      <c r="C56" s="14" t="str">
        <f>IF('KPI Plan'!F59&lt;&gt;"",'KPI Plan'!F59,"")</f>
        <v/>
      </c>
      <c r="D56" s="14" t="str">
        <f>IF('KPI Plan'!T59&lt;&gt;"",'KPI Plan'!T59,"")</f>
        <v/>
      </c>
      <c r="E56" s="14" t="str">
        <f>IF('KPI Plan'!U59&lt;&gt;"",'KPI Plan'!U59,"")</f>
        <v/>
      </c>
      <c r="F56" s="1" t="str">
        <f t="shared" si="1"/>
        <v/>
      </c>
    </row>
    <row r="57" spans="1:6">
      <c r="A57" s="14" t="str">
        <f>IF('KPI Plan'!A60&lt;&gt;"",'KPI Plan'!A60,"")</f>
        <v/>
      </c>
      <c r="B57" s="14" t="str">
        <f>IF('KPI Plan'!D60&lt;&gt;"",'KPI Plan'!D60,"")</f>
        <v/>
      </c>
      <c r="C57" s="14" t="str">
        <f>IF('KPI Plan'!F60&lt;&gt;"",'KPI Plan'!F60,"")</f>
        <v/>
      </c>
      <c r="D57" s="14" t="str">
        <f>IF('KPI Plan'!T60&lt;&gt;"",'KPI Plan'!T60,"")</f>
        <v/>
      </c>
      <c r="E57" s="14" t="str">
        <f>IF('KPI Plan'!U60&lt;&gt;"",'KPI Plan'!U60,"")</f>
        <v/>
      </c>
      <c r="F57" s="1" t="str">
        <f t="shared" si="1"/>
        <v/>
      </c>
    </row>
    <row r="58" spans="1:6">
      <c r="A58" s="14" t="str">
        <f>IF('KPI Plan'!A61&lt;&gt;"",'KPI Plan'!A61,"")</f>
        <v/>
      </c>
      <c r="B58" s="14" t="str">
        <f>IF('KPI Plan'!D61&lt;&gt;"",'KPI Plan'!D61,"")</f>
        <v/>
      </c>
      <c r="C58" s="14" t="str">
        <f>IF('KPI Plan'!F61&lt;&gt;"",'KPI Plan'!F61,"")</f>
        <v/>
      </c>
      <c r="D58" s="14" t="str">
        <f>IF('KPI Plan'!T61&lt;&gt;"",'KPI Plan'!T61,"")</f>
        <v/>
      </c>
      <c r="E58" s="14" t="str">
        <f>IF('KPI Plan'!U61&lt;&gt;"",'KPI Plan'!U61,"")</f>
        <v/>
      </c>
      <c r="F58" s="1" t="str">
        <f t="shared" si="1"/>
        <v/>
      </c>
    </row>
    <row r="59" spans="1:6">
      <c r="A59" s="14" t="str">
        <f>IF('KPI Plan'!A62&lt;&gt;"",'KPI Plan'!A62,"")</f>
        <v/>
      </c>
      <c r="B59" s="14" t="str">
        <f>IF('KPI Plan'!D62&lt;&gt;"",'KPI Plan'!D62,"")</f>
        <v/>
      </c>
      <c r="C59" s="14" t="str">
        <f>IF('KPI Plan'!F62&lt;&gt;"",'KPI Plan'!F62,"")</f>
        <v/>
      </c>
      <c r="D59" s="14" t="str">
        <f>IF('KPI Plan'!T62&lt;&gt;"",'KPI Plan'!T62,"")</f>
        <v/>
      </c>
      <c r="E59" s="14" t="str">
        <f>IF('KPI Plan'!U62&lt;&gt;"",'KPI Plan'!U62,"")</f>
        <v/>
      </c>
      <c r="F59" s="1" t="str">
        <f t="shared" si="1"/>
        <v/>
      </c>
    </row>
    <row r="60" spans="1:6">
      <c r="A60" s="14" t="str">
        <f>IF('KPI Plan'!A63&lt;&gt;"",'KPI Plan'!A63,"")</f>
        <v/>
      </c>
      <c r="B60" s="14" t="str">
        <f>IF('KPI Plan'!D63&lt;&gt;"",'KPI Plan'!D63,"")</f>
        <v/>
      </c>
      <c r="C60" s="14" t="str">
        <f>IF('KPI Plan'!F63&lt;&gt;"",'KPI Plan'!F63,"")</f>
        <v/>
      </c>
      <c r="D60" s="14" t="str">
        <f>IF('KPI Plan'!T63&lt;&gt;"",'KPI Plan'!T63,"")</f>
        <v/>
      </c>
      <c r="E60" s="14" t="str">
        <f>IF('KPI Plan'!U63&lt;&gt;"",'KPI Plan'!U63,"")</f>
        <v/>
      </c>
      <c r="F60" s="1" t="str">
        <f t="shared" si="1"/>
        <v/>
      </c>
    </row>
    <row r="61" spans="1:6">
      <c r="A61" s="14" t="str">
        <f>IF('KPI Plan'!A64&lt;&gt;"",'KPI Plan'!A64,"")</f>
        <v/>
      </c>
      <c r="B61" s="14" t="str">
        <f>IF('KPI Plan'!D64&lt;&gt;"",'KPI Plan'!D64,"")</f>
        <v/>
      </c>
      <c r="C61" s="14" t="str">
        <f>IF('KPI Plan'!F64&lt;&gt;"",'KPI Plan'!F64,"")</f>
        <v/>
      </c>
      <c r="D61" s="14" t="str">
        <f>IF('KPI Plan'!T64&lt;&gt;"",'KPI Plan'!T64,"")</f>
        <v/>
      </c>
      <c r="E61" s="14" t="str">
        <f>IF('KPI Plan'!U64&lt;&gt;"",'KPI Plan'!U64,"")</f>
        <v/>
      </c>
      <c r="F61" s="1" t="str">
        <f t="shared" si="1"/>
        <v/>
      </c>
    </row>
    <row r="62" spans="1:6">
      <c r="A62" s="14" t="str">
        <f>IF('KPI Plan'!A65&lt;&gt;"",'KPI Plan'!A65,"")</f>
        <v/>
      </c>
      <c r="B62" s="14" t="str">
        <f>IF('KPI Plan'!D65&lt;&gt;"",'KPI Plan'!D65,"")</f>
        <v/>
      </c>
      <c r="C62" s="14" t="str">
        <f>IF('KPI Plan'!F65&lt;&gt;"",'KPI Plan'!F65,"")</f>
        <v/>
      </c>
      <c r="D62" s="14" t="str">
        <f>IF('KPI Plan'!T65&lt;&gt;"",'KPI Plan'!T65,"")</f>
        <v/>
      </c>
      <c r="E62" s="14" t="str">
        <f>IF('KPI Plan'!U65&lt;&gt;"",'KPI Plan'!U65,"")</f>
        <v/>
      </c>
      <c r="F62" s="1" t="str">
        <f t="shared" si="1"/>
        <v/>
      </c>
    </row>
    <row r="63" spans="1:6">
      <c r="A63" s="14" t="str">
        <f>IF('KPI Plan'!A66&lt;&gt;"",'KPI Plan'!A66,"")</f>
        <v/>
      </c>
      <c r="B63" s="14" t="str">
        <f>IF('KPI Plan'!D66&lt;&gt;"",'KPI Plan'!D66,"")</f>
        <v/>
      </c>
      <c r="C63" s="14" t="str">
        <f>IF('KPI Plan'!F66&lt;&gt;"",'KPI Plan'!F66,"")</f>
        <v/>
      </c>
      <c r="D63" s="14" t="str">
        <f>IF('KPI Plan'!T66&lt;&gt;"",'KPI Plan'!T66,"")</f>
        <v/>
      </c>
      <c r="E63" s="14" t="str">
        <f>IF('KPI Plan'!U66&lt;&gt;"",'KPI Plan'!U66,"")</f>
        <v/>
      </c>
      <c r="F63" s="1" t="str">
        <f t="shared" si="1"/>
        <v/>
      </c>
    </row>
    <row r="64" spans="1:6">
      <c r="A64" s="14" t="str">
        <f>IF('KPI Plan'!A67&lt;&gt;"",'KPI Plan'!A67,"")</f>
        <v/>
      </c>
      <c r="B64" s="14" t="str">
        <f>IF('KPI Plan'!D67&lt;&gt;"",'KPI Plan'!D67,"")</f>
        <v/>
      </c>
      <c r="C64" s="14" t="str">
        <f>IF('KPI Plan'!F67&lt;&gt;"",'KPI Plan'!F67,"")</f>
        <v/>
      </c>
      <c r="D64" s="14" t="str">
        <f>IF('KPI Plan'!T67&lt;&gt;"",'KPI Plan'!T67,"")</f>
        <v/>
      </c>
      <c r="E64" s="14" t="str">
        <f>IF('KPI Plan'!U67&lt;&gt;"",'KPI Plan'!U67,"")</f>
        <v/>
      </c>
      <c r="F64" s="1" t="str">
        <f t="shared" si="1"/>
        <v/>
      </c>
    </row>
    <row r="65" spans="1:6">
      <c r="A65" s="14" t="str">
        <f>IF('KPI Plan'!A68&lt;&gt;"",'KPI Plan'!A68,"")</f>
        <v/>
      </c>
      <c r="B65" s="14" t="str">
        <f>IF('KPI Plan'!D68&lt;&gt;"",'KPI Plan'!D68,"")</f>
        <v/>
      </c>
      <c r="C65" s="14" t="str">
        <f>IF('KPI Plan'!F68&lt;&gt;"",'KPI Plan'!F68,"")</f>
        <v/>
      </c>
      <c r="D65" s="14" t="str">
        <f>IF('KPI Plan'!T68&lt;&gt;"",'KPI Plan'!T68,"")</f>
        <v/>
      </c>
      <c r="E65" s="14" t="str">
        <f>IF('KPI Plan'!U68&lt;&gt;"",'KPI Plan'!U68,"")</f>
        <v/>
      </c>
      <c r="F65" s="1" t="str">
        <f t="shared" si="1"/>
        <v/>
      </c>
    </row>
    <row r="66" spans="1:6">
      <c r="A66" s="14" t="str">
        <f>IF('KPI Plan'!A69&lt;&gt;"",'KPI Plan'!A69,"")</f>
        <v/>
      </c>
      <c r="B66" s="14" t="str">
        <f>IF('KPI Plan'!D69&lt;&gt;"",'KPI Plan'!D69,"")</f>
        <v/>
      </c>
      <c r="C66" s="14" t="str">
        <f>IF('KPI Plan'!F69&lt;&gt;"",'KPI Plan'!F69,"")</f>
        <v/>
      </c>
      <c r="D66" s="14" t="str">
        <f>IF('KPI Plan'!T69&lt;&gt;"",'KPI Plan'!T69,"")</f>
        <v/>
      </c>
      <c r="E66" s="14" t="str">
        <f>IF('KPI Plan'!U69&lt;&gt;"",'KPI Plan'!U69,"")</f>
        <v/>
      </c>
      <c r="F66" s="1" t="str">
        <f t="shared" si="1"/>
        <v/>
      </c>
    </row>
    <row r="67" spans="1:6">
      <c r="A67" s="14" t="str">
        <f>IF('KPI Plan'!A70&lt;&gt;"",'KPI Plan'!A70,"")</f>
        <v/>
      </c>
      <c r="B67" s="14" t="str">
        <f>IF('KPI Plan'!D70&lt;&gt;"",'KPI Plan'!D70,"")</f>
        <v/>
      </c>
      <c r="C67" s="14" t="str">
        <f>IF('KPI Plan'!F70&lt;&gt;"",'KPI Plan'!F70,"")</f>
        <v/>
      </c>
      <c r="D67" s="14" t="str">
        <f>IF('KPI Plan'!T70&lt;&gt;"",'KPI Plan'!T70,"")</f>
        <v/>
      </c>
      <c r="E67" s="14" t="str">
        <f>IF('KPI Plan'!U70&lt;&gt;"",'KPI Plan'!U70,"")</f>
        <v/>
      </c>
      <c r="F67" s="1" t="str">
        <f t="shared" ref="F67:F90" si="2">IF(A67&lt;&gt;"",COUNTIF($E$2:$E$100,C67),"")</f>
        <v/>
      </c>
    </row>
    <row r="68" spans="1:6">
      <c r="A68" s="14" t="str">
        <f>IF('KPI Plan'!A71&lt;&gt;"",'KPI Plan'!A71,"")</f>
        <v/>
      </c>
      <c r="B68" s="14" t="str">
        <f>IF('KPI Plan'!D71&lt;&gt;"",'KPI Plan'!D71,"")</f>
        <v/>
      </c>
      <c r="C68" s="14" t="str">
        <f>IF('KPI Plan'!F71&lt;&gt;"",'KPI Plan'!F71,"")</f>
        <v/>
      </c>
      <c r="D68" s="14" t="str">
        <f>IF('KPI Plan'!T71&lt;&gt;"",'KPI Plan'!T71,"")</f>
        <v/>
      </c>
      <c r="E68" s="14" t="str">
        <f>IF('KPI Plan'!U71&lt;&gt;"",'KPI Plan'!U71,"")</f>
        <v/>
      </c>
      <c r="F68" s="1" t="str">
        <f t="shared" si="2"/>
        <v/>
      </c>
    </row>
    <row r="69" spans="1:6">
      <c r="A69" s="14" t="str">
        <f>IF('KPI Plan'!A72&lt;&gt;"",'KPI Plan'!A72,"")</f>
        <v/>
      </c>
      <c r="B69" s="14" t="str">
        <f>IF('KPI Plan'!D72&lt;&gt;"",'KPI Plan'!D72,"")</f>
        <v/>
      </c>
      <c r="C69" s="14" t="str">
        <f>IF('KPI Plan'!F72&lt;&gt;"",'KPI Plan'!F72,"")</f>
        <v/>
      </c>
      <c r="D69" s="14" t="str">
        <f>IF('KPI Plan'!T72&lt;&gt;"",'KPI Plan'!T72,"")</f>
        <v/>
      </c>
      <c r="E69" s="14" t="str">
        <f>IF('KPI Plan'!U72&lt;&gt;"",'KPI Plan'!U72,"")</f>
        <v/>
      </c>
      <c r="F69" s="1" t="str">
        <f t="shared" si="2"/>
        <v/>
      </c>
    </row>
    <row r="70" spans="1:6">
      <c r="A70" s="14" t="str">
        <f>IF('KPI Plan'!A73&lt;&gt;"",'KPI Plan'!A73,"")</f>
        <v/>
      </c>
      <c r="B70" s="14" t="str">
        <f>IF('KPI Plan'!D73&lt;&gt;"",'KPI Plan'!D73,"")</f>
        <v/>
      </c>
      <c r="C70" s="14" t="str">
        <f>IF('KPI Plan'!F73&lt;&gt;"",'KPI Plan'!F73,"")</f>
        <v/>
      </c>
      <c r="D70" s="14" t="str">
        <f>IF('KPI Plan'!T73&lt;&gt;"",'KPI Plan'!T73,"")</f>
        <v/>
      </c>
      <c r="E70" s="14" t="str">
        <f>IF('KPI Plan'!U73&lt;&gt;"",'KPI Plan'!U73,"")</f>
        <v/>
      </c>
      <c r="F70" s="1" t="str">
        <f t="shared" si="2"/>
        <v/>
      </c>
    </row>
    <row r="71" spans="1:6">
      <c r="A71" s="14" t="str">
        <f>IF('KPI Plan'!A74&lt;&gt;"",'KPI Plan'!A74,"")</f>
        <v/>
      </c>
      <c r="B71" s="14" t="str">
        <f>IF('KPI Plan'!D74&lt;&gt;"",'KPI Plan'!D74,"")</f>
        <v/>
      </c>
      <c r="C71" s="14" t="str">
        <f>IF('KPI Plan'!F74&lt;&gt;"",'KPI Plan'!F74,"")</f>
        <v/>
      </c>
      <c r="D71" s="14" t="str">
        <f>IF('KPI Plan'!T74&lt;&gt;"",'KPI Plan'!T74,"")</f>
        <v/>
      </c>
      <c r="E71" s="14" t="str">
        <f>IF('KPI Plan'!U74&lt;&gt;"",'KPI Plan'!U74,"")</f>
        <v/>
      </c>
      <c r="F71" s="1" t="str">
        <f t="shared" si="2"/>
        <v/>
      </c>
    </row>
    <row r="72" spans="1:6">
      <c r="A72" s="14" t="str">
        <f>IF('KPI Plan'!A75&lt;&gt;"",'KPI Plan'!A75,"")</f>
        <v/>
      </c>
      <c r="B72" s="14" t="str">
        <f>IF('KPI Plan'!D75&lt;&gt;"",'KPI Plan'!D75,"")</f>
        <v/>
      </c>
      <c r="C72" s="14" t="str">
        <f>IF('KPI Plan'!F75&lt;&gt;"",'KPI Plan'!F75,"")</f>
        <v/>
      </c>
      <c r="D72" s="14" t="str">
        <f>IF('KPI Plan'!T75&lt;&gt;"",'KPI Plan'!T75,"")</f>
        <v/>
      </c>
      <c r="E72" s="14" t="str">
        <f>IF('KPI Plan'!U75&lt;&gt;"",'KPI Plan'!U75,"")</f>
        <v/>
      </c>
      <c r="F72" s="1" t="str">
        <f t="shared" si="2"/>
        <v/>
      </c>
    </row>
    <row r="73" spans="1:6">
      <c r="A73" s="14" t="str">
        <f>IF('KPI Plan'!A76&lt;&gt;"",'KPI Plan'!A76,"")</f>
        <v/>
      </c>
      <c r="B73" s="14" t="str">
        <f>IF('KPI Plan'!D76&lt;&gt;"",'KPI Plan'!D76,"")</f>
        <v/>
      </c>
      <c r="C73" s="14" t="str">
        <f>IF('KPI Plan'!F76&lt;&gt;"",'KPI Plan'!F76,"")</f>
        <v/>
      </c>
      <c r="D73" s="14" t="str">
        <f>IF('KPI Plan'!T76&lt;&gt;"",'KPI Plan'!T76,"")</f>
        <v/>
      </c>
      <c r="E73" s="14" t="str">
        <f>IF('KPI Plan'!U76&lt;&gt;"",'KPI Plan'!U76,"")</f>
        <v/>
      </c>
      <c r="F73" s="1" t="str">
        <f t="shared" si="2"/>
        <v/>
      </c>
    </row>
    <row r="74" spans="1:6">
      <c r="A74" s="14" t="str">
        <f>IF('KPI Plan'!A77&lt;&gt;"",'KPI Plan'!A77,"")</f>
        <v/>
      </c>
      <c r="B74" s="14" t="str">
        <f>IF('KPI Plan'!D77&lt;&gt;"",'KPI Plan'!D77,"")</f>
        <v/>
      </c>
      <c r="C74" s="14" t="str">
        <f>IF('KPI Plan'!F77&lt;&gt;"",'KPI Plan'!F77,"")</f>
        <v/>
      </c>
      <c r="D74" s="14" t="str">
        <f>IF('KPI Plan'!T77&lt;&gt;"",'KPI Plan'!T77,"")</f>
        <v/>
      </c>
      <c r="E74" s="14" t="str">
        <f>IF('KPI Plan'!U77&lt;&gt;"",'KPI Plan'!U77,"")</f>
        <v/>
      </c>
      <c r="F74" s="1" t="str">
        <f t="shared" si="2"/>
        <v/>
      </c>
    </row>
    <row r="75" spans="1:6">
      <c r="A75" s="14" t="str">
        <f>IF('KPI Plan'!A78&lt;&gt;"",'KPI Plan'!A78,"")</f>
        <v/>
      </c>
      <c r="B75" s="14" t="str">
        <f>IF('KPI Plan'!D78&lt;&gt;"",'KPI Plan'!D78,"")</f>
        <v/>
      </c>
      <c r="C75" s="14" t="str">
        <f>IF('KPI Plan'!F78&lt;&gt;"",'KPI Plan'!F78,"")</f>
        <v/>
      </c>
      <c r="D75" s="14" t="str">
        <f>IF('KPI Plan'!T78&lt;&gt;"",'KPI Plan'!T78,"")</f>
        <v/>
      </c>
      <c r="E75" s="14" t="str">
        <f>IF('KPI Plan'!U78&lt;&gt;"",'KPI Plan'!U78,"")</f>
        <v/>
      </c>
      <c r="F75" s="1" t="str">
        <f t="shared" si="2"/>
        <v/>
      </c>
    </row>
    <row r="76" spans="1:6">
      <c r="A76" s="14" t="str">
        <f>IF('KPI Plan'!A79&lt;&gt;"",'KPI Plan'!A79,"")</f>
        <v/>
      </c>
      <c r="B76" s="14" t="str">
        <f>IF('KPI Plan'!D79&lt;&gt;"",'KPI Plan'!D79,"")</f>
        <v/>
      </c>
      <c r="C76" s="14" t="str">
        <f>IF('KPI Plan'!F79&lt;&gt;"",'KPI Plan'!F79,"")</f>
        <v/>
      </c>
      <c r="D76" s="14" t="str">
        <f>IF('KPI Plan'!T79&lt;&gt;"",'KPI Plan'!T79,"")</f>
        <v/>
      </c>
      <c r="E76" s="14" t="str">
        <f>IF('KPI Plan'!U79&lt;&gt;"",'KPI Plan'!U79,"")</f>
        <v/>
      </c>
      <c r="F76" s="1" t="str">
        <f t="shared" si="2"/>
        <v/>
      </c>
    </row>
    <row r="77" spans="1:6">
      <c r="A77" s="14" t="str">
        <f>IF('KPI Plan'!A80&lt;&gt;"",'KPI Plan'!A80,"")</f>
        <v/>
      </c>
      <c r="B77" s="14" t="str">
        <f>IF('KPI Plan'!D80&lt;&gt;"",'KPI Plan'!D80,"")</f>
        <v/>
      </c>
      <c r="C77" s="14" t="str">
        <f>IF('KPI Plan'!F80&lt;&gt;"",'KPI Plan'!F80,"")</f>
        <v/>
      </c>
      <c r="D77" s="14" t="str">
        <f>IF('KPI Plan'!T80&lt;&gt;"",'KPI Plan'!T80,"")</f>
        <v/>
      </c>
      <c r="E77" s="14" t="str">
        <f>IF('KPI Plan'!U80&lt;&gt;"",'KPI Plan'!U80,"")</f>
        <v/>
      </c>
      <c r="F77" s="1" t="str">
        <f t="shared" si="2"/>
        <v/>
      </c>
    </row>
    <row r="78" spans="1:6">
      <c r="A78" s="14" t="str">
        <f>IF('KPI Plan'!A81&lt;&gt;"",'KPI Plan'!A81,"")</f>
        <v/>
      </c>
      <c r="B78" s="14" t="str">
        <f>IF('KPI Plan'!D81&lt;&gt;"",'KPI Plan'!D81,"")</f>
        <v/>
      </c>
      <c r="C78" s="14" t="str">
        <f>IF('KPI Plan'!F81&lt;&gt;"",'KPI Plan'!F81,"")</f>
        <v/>
      </c>
      <c r="D78" s="14" t="str">
        <f>IF('KPI Plan'!T81&lt;&gt;"",'KPI Plan'!T81,"")</f>
        <v/>
      </c>
      <c r="E78" s="14" t="str">
        <f>IF('KPI Plan'!U81&lt;&gt;"",'KPI Plan'!U81,"")</f>
        <v/>
      </c>
      <c r="F78" s="1" t="str">
        <f t="shared" si="2"/>
        <v/>
      </c>
    </row>
    <row r="79" spans="1:6">
      <c r="A79" s="14" t="str">
        <f>IF('KPI Plan'!A82&lt;&gt;"",'KPI Plan'!A82,"")</f>
        <v/>
      </c>
      <c r="B79" s="14" t="str">
        <f>IF('KPI Plan'!D82&lt;&gt;"",'KPI Plan'!D82,"")</f>
        <v/>
      </c>
      <c r="C79" s="14" t="str">
        <f>IF('KPI Plan'!F82&lt;&gt;"",'KPI Plan'!F82,"")</f>
        <v/>
      </c>
      <c r="D79" s="14" t="str">
        <f>IF('KPI Plan'!T82&lt;&gt;"",'KPI Plan'!T82,"")</f>
        <v/>
      </c>
      <c r="E79" s="14" t="str">
        <f>IF('KPI Plan'!U82&lt;&gt;"",'KPI Plan'!U82,"")</f>
        <v/>
      </c>
      <c r="F79" s="1" t="str">
        <f t="shared" si="2"/>
        <v/>
      </c>
    </row>
    <row r="80" spans="1:6">
      <c r="A80" s="14" t="str">
        <f>IF('KPI Plan'!A83&lt;&gt;"",'KPI Plan'!A83,"")</f>
        <v/>
      </c>
      <c r="B80" s="14" t="str">
        <f>IF('KPI Plan'!D83&lt;&gt;"",'KPI Plan'!D83,"")</f>
        <v/>
      </c>
      <c r="C80" s="14" t="str">
        <f>IF('KPI Plan'!F83&lt;&gt;"",'KPI Plan'!F83,"")</f>
        <v/>
      </c>
      <c r="D80" s="14" t="str">
        <f>IF('KPI Plan'!T83&lt;&gt;"",'KPI Plan'!T83,"")</f>
        <v/>
      </c>
      <c r="E80" s="14" t="str">
        <f>IF('KPI Plan'!U83&lt;&gt;"",'KPI Plan'!U83,"")</f>
        <v/>
      </c>
      <c r="F80" s="1" t="str">
        <f t="shared" si="2"/>
        <v/>
      </c>
    </row>
    <row r="81" spans="1:6">
      <c r="A81" s="14" t="str">
        <f>IF('KPI Plan'!A84&lt;&gt;"",'KPI Plan'!A84,"")</f>
        <v/>
      </c>
      <c r="B81" s="14" t="str">
        <f>IF('KPI Plan'!D84&lt;&gt;"",'KPI Plan'!D84,"")</f>
        <v/>
      </c>
      <c r="C81" s="14" t="str">
        <f>IF('KPI Plan'!F84&lt;&gt;"",'KPI Plan'!F84,"")</f>
        <v/>
      </c>
      <c r="D81" s="14" t="str">
        <f>IF('KPI Plan'!T84&lt;&gt;"",'KPI Plan'!T84,"")</f>
        <v/>
      </c>
      <c r="E81" s="14" t="str">
        <f>IF('KPI Plan'!U84&lt;&gt;"",'KPI Plan'!U84,"")</f>
        <v/>
      </c>
      <c r="F81" s="1" t="str">
        <f t="shared" si="2"/>
        <v/>
      </c>
    </row>
    <row r="82" spans="1:6">
      <c r="A82" s="14" t="str">
        <f>IF('KPI Plan'!A85&lt;&gt;"",'KPI Plan'!A85,"")</f>
        <v/>
      </c>
      <c r="B82" s="14" t="str">
        <f>IF('KPI Plan'!D85&lt;&gt;"",'KPI Plan'!D85,"")</f>
        <v/>
      </c>
      <c r="C82" s="14" t="str">
        <f>IF('KPI Plan'!F85&lt;&gt;"",'KPI Plan'!F85,"")</f>
        <v/>
      </c>
      <c r="D82" s="14" t="str">
        <f>IF('KPI Plan'!T85&lt;&gt;"",'KPI Plan'!T85,"")</f>
        <v/>
      </c>
      <c r="E82" s="14" t="str">
        <f>IF('KPI Plan'!U85&lt;&gt;"",'KPI Plan'!U85,"")</f>
        <v/>
      </c>
      <c r="F82" s="1" t="str">
        <f t="shared" si="2"/>
        <v/>
      </c>
    </row>
    <row r="83" spans="1:6">
      <c r="A83" s="14" t="str">
        <f>IF('KPI Plan'!A86&lt;&gt;"",'KPI Plan'!A86,"")</f>
        <v/>
      </c>
      <c r="B83" s="14" t="str">
        <f>IF('KPI Plan'!D86&lt;&gt;"",'KPI Plan'!D86,"")</f>
        <v/>
      </c>
      <c r="C83" s="14" t="str">
        <f>IF('KPI Plan'!F86&lt;&gt;"",'KPI Plan'!F86,"")</f>
        <v/>
      </c>
      <c r="D83" s="14" t="str">
        <f>IF('KPI Plan'!T86&lt;&gt;"",'KPI Plan'!T86,"")</f>
        <v/>
      </c>
      <c r="E83" s="14" t="str">
        <f>IF('KPI Plan'!U86&lt;&gt;"",'KPI Plan'!U86,"")</f>
        <v/>
      </c>
      <c r="F83" s="1" t="str">
        <f t="shared" si="2"/>
        <v/>
      </c>
    </row>
    <row r="84" spans="1:6">
      <c r="A84" s="14" t="str">
        <f>IF('KPI Plan'!A87&lt;&gt;"",'KPI Plan'!A87,"")</f>
        <v/>
      </c>
      <c r="B84" s="14" t="str">
        <f>IF('KPI Plan'!D87&lt;&gt;"",'KPI Plan'!D87,"")</f>
        <v/>
      </c>
      <c r="C84" s="14" t="str">
        <f>IF('KPI Plan'!F87&lt;&gt;"",'KPI Plan'!F87,"")</f>
        <v/>
      </c>
      <c r="D84" s="14" t="str">
        <f>IF('KPI Plan'!T87&lt;&gt;"",'KPI Plan'!T87,"")</f>
        <v/>
      </c>
      <c r="E84" s="14" t="str">
        <f>IF('KPI Plan'!U87&lt;&gt;"",'KPI Plan'!U87,"")</f>
        <v/>
      </c>
      <c r="F84" s="1" t="str">
        <f t="shared" si="2"/>
        <v/>
      </c>
    </row>
    <row r="85" spans="1:6">
      <c r="A85" s="14" t="str">
        <f>IF('KPI Plan'!A88&lt;&gt;"",'KPI Plan'!A88,"")</f>
        <v/>
      </c>
      <c r="B85" s="14" t="str">
        <f>IF('KPI Plan'!D88&lt;&gt;"",'KPI Plan'!D88,"")</f>
        <v/>
      </c>
      <c r="C85" s="14" t="str">
        <f>IF('KPI Plan'!F88&lt;&gt;"",'KPI Plan'!F88,"")</f>
        <v/>
      </c>
      <c r="D85" s="14" t="str">
        <f>IF('KPI Plan'!T88&lt;&gt;"",'KPI Plan'!T88,"")</f>
        <v/>
      </c>
      <c r="E85" s="14" t="str">
        <f>IF('KPI Plan'!U88&lt;&gt;"",'KPI Plan'!U88,"")</f>
        <v/>
      </c>
      <c r="F85" s="1" t="str">
        <f t="shared" si="2"/>
        <v/>
      </c>
    </row>
    <row r="86" spans="1:6">
      <c r="A86" s="14" t="str">
        <f>IF('KPI Plan'!A89&lt;&gt;"",'KPI Plan'!A89,"")</f>
        <v/>
      </c>
      <c r="B86" s="14" t="str">
        <f>IF('KPI Plan'!D89&lt;&gt;"",'KPI Plan'!D89,"")</f>
        <v/>
      </c>
      <c r="C86" s="14" t="str">
        <f>IF('KPI Plan'!F89&lt;&gt;"",'KPI Plan'!F89,"")</f>
        <v/>
      </c>
      <c r="D86" s="14" t="str">
        <f>IF('KPI Plan'!T89&lt;&gt;"",'KPI Plan'!T89,"")</f>
        <v/>
      </c>
      <c r="E86" s="14" t="str">
        <f>IF('KPI Plan'!U89&lt;&gt;"",'KPI Plan'!U89,"")</f>
        <v/>
      </c>
      <c r="F86" s="1" t="str">
        <f t="shared" si="2"/>
        <v/>
      </c>
    </row>
    <row r="87" spans="1:6">
      <c r="A87" s="14" t="str">
        <f>IF('KPI Plan'!A90&lt;&gt;"",'KPI Plan'!A90,"")</f>
        <v/>
      </c>
      <c r="B87" s="14" t="str">
        <f>IF('KPI Plan'!D90&lt;&gt;"",'KPI Plan'!D90,"")</f>
        <v/>
      </c>
      <c r="C87" s="14" t="str">
        <f>IF('KPI Plan'!F90&lt;&gt;"",'KPI Plan'!F90,"")</f>
        <v/>
      </c>
      <c r="D87" s="14" t="str">
        <f>IF('KPI Plan'!T90&lt;&gt;"",'KPI Plan'!T90,"")</f>
        <v/>
      </c>
      <c r="E87" s="14" t="str">
        <f>IF('KPI Plan'!U90&lt;&gt;"",'KPI Plan'!U90,"")</f>
        <v/>
      </c>
      <c r="F87" s="1" t="str">
        <f t="shared" si="2"/>
        <v/>
      </c>
    </row>
    <row r="88" spans="1:6">
      <c r="A88" s="14" t="str">
        <f>IF('KPI Plan'!A91&lt;&gt;"",'KPI Plan'!A91,"")</f>
        <v/>
      </c>
      <c r="B88" s="14" t="str">
        <f>IF('KPI Plan'!D91&lt;&gt;"",'KPI Plan'!D91,"")</f>
        <v/>
      </c>
      <c r="C88" s="14" t="str">
        <f>IF('KPI Plan'!F91&lt;&gt;"",'KPI Plan'!F91,"")</f>
        <v/>
      </c>
      <c r="D88" s="14" t="str">
        <f>IF('KPI Plan'!T91&lt;&gt;"",'KPI Plan'!T91,"")</f>
        <v/>
      </c>
      <c r="E88" s="14" t="str">
        <f>IF('KPI Plan'!U91&lt;&gt;"",'KPI Plan'!U91,"")</f>
        <v/>
      </c>
      <c r="F88" s="1" t="str">
        <f t="shared" si="2"/>
        <v/>
      </c>
    </row>
    <row r="89" spans="1:6">
      <c r="A89" s="14" t="str">
        <f>IF('KPI Plan'!A92&lt;&gt;"",'KPI Plan'!A92,"")</f>
        <v/>
      </c>
      <c r="B89" s="14" t="str">
        <f>IF('KPI Plan'!D92&lt;&gt;"",'KPI Plan'!D92,"")</f>
        <v/>
      </c>
      <c r="C89" s="14" t="str">
        <f>IF('KPI Plan'!F92&lt;&gt;"",'KPI Plan'!F92,"")</f>
        <v/>
      </c>
      <c r="D89" s="14" t="str">
        <f>IF('KPI Plan'!T92&lt;&gt;"",'KPI Plan'!T92,"")</f>
        <v/>
      </c>
      <c r="E89" s="14" t="str">
        <f>IF('KPI Plan'!U92&lt;&gt;"",'KPI Plan'!U92,"")</f>
        <v/>
      </c>
      <c r="F89" s="1" t="str">
        <f t="shared" si="2"/>
        <v/>
      </c>
    </row>
    <row r="90" spans="1:6">
      <c r="A90" s="14" t="str">
        <f>IF('KPI Plan'!A93&lt;&gt;"",'KPI Plan'!A93,"")</f>
        <v/>
      </c>
      <c r="B90" s="14" t="str">
        <f>IF('KPI Plan'!D93&lt;&gt;"",'KPI Plan'!D93,"")</f>
        <v/>
      </c>
      <c r="C90" s="14" t="str">
        <f>IF('KPI Plan'!F93&lt;&gt;"",'KPI Plan'!F93,"")</f>
        <v/>
      </c>
      <c r="D90" s="14" t="str">
        <f>IF('KPI Plan'!T93&lt;&gt;"",'KPI Plan'!T93,"")</f>
        <v/>
      </c>
      <c r="E90" s="14" t="str">
        <f>IF('KPI Plan'!U93&lt;&gt;"",'KPI Plan'!U93,"")</f>
        <v/>
      </c>
      <c r="F90" s="1" t="str">
        <f t="shared" si="2"/>
        <v/>
      </c>
    </row>
    <row r="91" spans="1:6">
      <c r="A91" s="14" t="str">
        <f>IF('KPI Plan'!A93&lt;&gt;"",'KPI Plan'!A93,"")</f>
        <v/>
      </c>
      <c r="B91" s="14" t="str">
        <f>IF('KPI Plan'!D93&lt;&gt;"",'KPI Plan'!D93,"")</f>
        <v/>
      </c>
      <c r="C91" s="14" t="str">
        <f>IF('KPI Plan'!F93&lt;&gt;"",'KPI Plan'!F93,"")</f>
        <v/>
      </c>
      <c r="D91" s="14" t="str">
        <f>IF('KPI Plan'!T93&lt;&gt;"",'KPI Plan'!T93,"")</f>
        <v/>
      </c>
      <c r="E91" s="14" t="str">
        <f>IF('KPI Plan'!U93&lt;&gt;"",'KPI Plan'!U93,"")</f>
        <v/>
      </c>
      <c r="F91" s="1" t="str">
        <f t="shared" ref="F91:F130" si="3">IF(A91&lt;&gt;"",COUNTIF($E$2:$E$100,C91),"")</f>
        <v/>
      </c>
    </row>
    <row r="92" spans="1:6">
      <c r="A92" s="14" t="str">
        <f>IF('KPI Plan'!A94&lt;&gt;"",'KPI Plan'!A94,"")</f>
        <v/>
      </c>
      <c r="B92" s="14" t="str">
        <f>IF('KPI Plan'!D94&lt;&gt;"",'KPI Plan'!D94,"")</f>
        <v/>
      </c>
      <c r="C92" s="14" t="str">
        <f>IF('KPI Plan'!F94&lt;&gt;"",'KPI Plan'!F94,"")</f>
        <v/>
      </c>
      <c r="D92" s="14" t="str">
        <f>IF('KPI Plan'!T94&lt;&gt;"",'KPI Plan'!T94,"")</f>
        <v/>
      </c>
      <c r="E92" s="14" t="str">
        <f>IF('KPI Plan'!U94&lt;&gt;"",'KPI Plan'!U94,"")</f>
        <v/>
      </c>
      <c r="F92" s="1" t="str">
        <f t="shared" si="3"/>
        <v/>
      </c>
    </row>
    <row r="93" spans="1:6">
      <c r="A93" s="14" t="str">
        <f>IF('KPI Plan'!A95&lt;&gt;"",'KPI Plan'!A95,"")</f>
        <v/>
      </c>
      <c r="B93" s="14" t="str">
        <f>IF('KPI Plan'!D95&lt;&gt;"",'KPI Plan'!D95,"")</f>
        <v/>
      </c>
      <c r="C93" s="14" t="str">
        <f>IF('KPI Plan'!F95&lt;&gt;"",'KPI Plan'!F95,"")</f>
        <v/>
      </c>
      <c r="D93" s="14" t="str">
        <f>IF('KPI Plan'!T95&lt;&gt;"",'KPI Plan'!T95,"")</f>
        <v/>
      </c>
      <c r="E93" s="14" t="str">
        <f>IF('KPI Plan'!U95&lt;&gt;"",'KPI Plan'!U95,"")</f>
        <v/>
      </c>
      <c r="F93" s="1" t="str">
        <f t="shared" si="3"/>
        <v/>
      </c>
    </row>
    <row r="94" spans="1:6">
      <c r="A94" s="14" t="str">
        <f>IF('KPI Plan'!A96&lt;&gt;"",'KPI Plan'!A96,"")</f>
        <v/>
      </c>
      <c r="B94" s="14" t="str">
        <f>IF('KPI Plan'!D96&lt;&gt;"",'KPI Plan'!D96,"")</f>
        <v/>
      </c>
      <c r="C94" s="14" t="str">
        <f>IF('KPI Plan'!F96&lt;&gt;"",'KPI Plan'!F96,"")</f>
        <v/>
      </c>
      <c r="D94" s="14" t="str">
        <f>IF('KPI Plan'!T96&lt;&gt;"",'KPI Plan'!T96,"")</f>
        <v/>
      </c>
      <c r="E94" s="14" t="str">
        <f>IF('KPI Plan'!U96&lt;&gt;"",'KPI Plan'!U96,"")</f>
        <v/>
      </c>
      <c r="F94" s="1" t="str">
        <f t="shared" si="3"/>
        <v/>
      </c>
    </row>
    <row r="95" spans="1:6">
      <c r="A95" s="14" t="str">
        <f>IF('KPI Plan'!A97&lt;&gt;"",'KPI Plan'!A97,"")</f>
        <v/>
      </c>
      <c r="B95" s="14" t="str">
        <f>IF('KPI Plan'!D97&lt;&gt;"",'KPI Plan'!D97,"")</f>
        <v/>
      </c>
      <c r="C95" s="14" t="str">
        <f>IF('KPI Plan'!F97&lt;&gt;"",'KPI Plan'!F97,"")</f>
        <v/>
      </c>
      <c r="D95" s="14" t="str">
        <f>IF('KPI Plan'!T97&lt;&gt;"",'KPI Plan'!T97,"")</f>
        <v/>
      </c>
      <c r="E95" s="14" t="str">
        <f>IF('KPI Plan'!U97&lt;&gt;"",'KPI Plan'!U97,"")</f>
        <v/>
      </c>
      <c r="F95" s="1" t="str">
        <f t="shared" si="3"/>
        <v/>
      </c>
    </row>
    <row r="96" spans="1:6">
      <c r="A96" s="14" t="str">
        <f>IF('KPI Plan'!A98&lt;&gt;"",'KPI Plan'!A98,"")</f>
        <v/>
      </c>
      <c r="B96" s="14" t="str">
        <f>IF('KPI Plan'!D98&lt;&gt;"",'KPI Plan'!D98,"")</f>
        <v/>
      </c>
      <c r="C96" s="14" t="str">
        <f>IF('KPI Plan'!F98&lt;&gt;"",'KPI Plan'!F98,"")</f>
        <v/>
      </c>
      <c r="D96" s="14" t="str">
        <f>IF('KPI Plan'!T98&lt;&gt;"",'KPI Plan'!T98,"")</f>
        <v/>
      </c>
      <c r="E96" s="14" t="str">
        <f>IF('KPI Plan'!U98&lt;&gt;"",'KPI Plan'!U98,"")</f>
        <v/>
      </c>
      <c r="F96" s="1" t="str">
        <f t="shared" si="3"/>
        <v/>
      </c>
    </row>
    <row r="97" spans="1:6">
      <c r="A97" s="14" t="str">
        <f>IF('KPI Plan'!A99&lt;&gt;"",'KPI Plan'!A99,"")</f>
        <v/>
      </c>
      <c r="B97" s="14" t="str">
        <f>IF('KPI Plan'!D99&lt;&gt;"",'KPI Plan'!D99,"")</f>
        <v/>
      </c>
      <c r="C97" s="14" t="str">
        <f>IF('KPI Plan'!F99&lt;&gt;"",'KPI Plan'!F99,"")</f>
        <v/>
      </c>
      <c r="D97" s="14" t="str">
        <f>IF('KPI Plan'!T99&lt;&gt;"",'KPI Plan'!T99,"")</f>
        <v/>
      </c>
      <c r="E97" s="14" t="str">
        <f>IF('KPI Plan'!U99&lt;&gt;"",'KPI Plan'!U99,"")</f>
        <v/>
      </c>
      <c r="F97" s="1" t="str">
        <f t="shared" si="3"/>
        <v/>
      </c>
    </row>
    <row r="98" spans="1:6">
      <c r="A98" s="14" t="str">
        <f>IF('KPI Plan'!A100&lt;&gt;"",'KPI Plan'!A100,"")</f>
        <v/>
      </c>
      <c r="B98" s="14" t="str">
        <f>IF('KPI Plan'!D100&lt;&gt;"",'KPI Plan'!D100,"")</f>
        <v/>
      </c>
      <c r="C98" s="14" t="str">
        <f>IF('KPI Plan'!F100&lt;&gt;"",'KPI Plan'!F100,"")</f>
        <v/>
      </c>
      <c r="D98" s="14" t="str">
        <f>IF('KPI Plan'!T100&lt;&gt;"",'KPI Plan'!T100,"")</f>
        <v/>
      </c>
      <c r="E98" s="14" t="str">
        <f>IF('KPI Plan'!U100&lt;&gt;"",'KPI Plan'!U100,"")</f>
        <v/>
      </c>
      <c r="F98" s="1" t="str">
        <f t="shared" si="3"/>
        <v/>
      </c>
    </row>
    <row r="99" spans="1:6">
      <c r="A99" s="14" t="str">
        <f>IF('KPI Plan'!A101&lt;&gt;"",'KPI Plan'!A101,"")</f>
        <v/>
      </c>
      <c r="B99" s="14" t="str">
        <f>IF('KPI Plan'!D101&lt;&gt;"",'KPI Plan'!D101,"")</f>
        <v/>
      </c>
      <c r="C99" s="14" t="str">
        <f>IF('KPI Plan'!F101&lt;&gt;"",'KPI Plan'!F101,"")</f>
        <v/>
      </c>
      <c r="D99" s="14" t="str">
        <f>IF('KPI Plan'!T101&lt;&gt;"",'KPI Plan'!T101,"")</f>
        <v/>
      </c>
      <c r="E99" s="14" t="str">
        <f>IF('KPI Plan'!U101&lt;&gt;"",'KPI Plan'!U101,"")</f>
        <v/>
      </c>
      <c r="F99" s="1" t="str">
        <f t="shared" si="3"/>
        <v/>
      </c>
    </row>
    <row r="100" spans="1:6">
      <c r="A100" s="14" t="str">
        <f>IF('KPI Plan'!A102&lt;&gt;"",'KPI Plan'!A102,"")</f>
        <v/>
      </c>
      <c r="B100" s="14" t="str">
        <f>IF('KPI Plan'!D102&lt;&gt;"",'KPI Plan'!D102,"")</f>
        <v/>
      </c>
      <c r="C100" s="14" t="str">
        <f>IF('KPI Plan'!F102&lt;&gt;"",'KPI Plan'!F102,"")</f>
        <v/>
      </c>
      <c r="D100" s="14" t="str">
        <f>IF('KPI Plan'!T102&lt;&gt;"",'KPI Plan'!T102,"")</f>
        <v/>
      </c>
      <c r="E100" s="14" t="str">
        <f>IF('KPI Plan'!U102&lt;&gt;"",'KPI Plan'!U102,"")</f>
        <v/>
      </c>
      <c r="F100" s="1" t="str">
        <f t="shared" si="3"/>
        <v/>
      </c>
    </row>
    <row r="101" spans="1:6">
      <c r="A101" s="14" t="str">
        <f>IF('KPI Plan'!A103&lt;&gt;"",'KPI Plan'!A103,"")</f>
        <v/>
      </c>
      <c r="B101" s="14" t="str">
        <f>IF('KPI Plan'!D103&lt;&gt;"",'KPI Plan'!D103,"")</f>
        <v/>
      </c>
      <c r="C101" s="14" t="str">
        <f>IF('KPI Plan'!F103&lt;&gt;"",'KPI Plan'!F103,"")</f>
        <v/>
      </c>
      <c r="D101" s="14" t="str">
        <f>IF('KPI Plan'!T103&lt;&gt;"",'KPI Plan'!T103,"")</f>
        <v/>
      </c>
      <c r="E101" s="14" t="str">
        <f>IF('KPI Plan'!U103&lt;&gt;"",'KPI Plan'!U103,"")</f>
        <v/>
      </c>
      <c r="F101" s="1" t="str">
        <f t="shared" si="3"/>
        <v/>
      </c>
    </row>
    <row r="102" spans="1:6">
      <c r="A102" s="14" t="str">
        <f>IF('KPI Plan'!A104&lt;&gt;"",'KPI Plan'!A104,"")</f>
        <v/>
      </c>
      <c r="B102" s="14" t="str">
        <f>IF('KPI Plan'!D104&lt;&gt;"",'KPI Plan'!D104,"")</f>
        <v/>
      </c>
      <c r="C102" s="14" t="str">
        <f>IF('KPI Plan'!F104&lt;&gt;"",'KPI Plan'!F104,"")</f>
        <v/>
      </c>
      <c r="D102" s="14" t="str">
        <f>IF('KPI Plan'!T104&lt;&gt;"",'KPI Plan'!T104,"")</f>
        <v/>
      </c>
      <c r="E102" s="14" t="str">
        <f>IF('KPI Plan'!U104&lt;&gt;"",'KPI Plan'!U104,"")</f>
        <v/>
      </c>
      <c r="F102" s="1" t="str">
        <f t="shared" si="3"/>
        <v/>
      </c>
    </row>
    <row r="103" spans="1:6">
      <c r="A103" s="14" t="str">
        <f>IF('KPI Plan'!A105&lt;&gt;"",'KPI Plan'!A105,"")</f>
        <v/>
      </c>
      <c r="B103" s="14" t="str">
        <f>IF('KPI Plan'!D105&lt;&gt;"",'KPI Plan'!D105,"")</f>
        <v/>
      </c>
      <c r="C103" s="14" t="str">
        <f>IF('KPI Plan'!F105&lt;&gt;"",'KPI Plan'!F105,"")</f>
        <v/>
      </c>
      <c r="D103" s="14" t="str">
        <f>IF('KPI Plan'!T105&lt;&gt;"",'KPI Plan'!T105,"")</f>
        <v/>
      </c>
      <c r="E103" s="14" t="str">
        <f>IF('KPI Plan'!U105&lt;&gt;"",'KPI Plan'!U105,"")</f>
        <v/>
      </c>
      <c r="F103" s="1" t="str">
        <f t="shared" si="3"/>
        <v/>
      </c>
    </row>
    <row r="104" spans="1:6">
      <c r="A104" s="14" t="str">
        <f>IF('KPI Plan'!A106&lt;&gt;"",'KPI Plan'!A106,"")</f>
        <v/>
      </c>
      <c r="B104" s="14" t="str">
        <f>IF('KPI Plan'!D106&lt;&gt;"",'KPI Plan'!D106,"")</f>
        <v/>
      </c>
      <c r="C104" s="14" t="str">
        <f>IF('KPI Plan'!F106&lt;&gt;"",'KPI Plan'!F106,"")</f>
        <v/>
      </c>
      <c r="D104" s="14" t="str">
        <f>IF('KPI Plan'!T106&lt;&gt;"",'KPI Plan'!T106,"")</f>
        <v/>
      </c>
      <c r="E104" s="14" t="str">
        <f>IF('KPI Plan'!U106&lt;&gt;"",'KPI Plan'!U106,"")</f>
        <v/>
      </c>
      <c r="F104" s="1" t="str">
        <f t="shared" si="3"/>
        <v/>
      </c>
    </row>
    <row r="105" spans="1:6">
      <c r="A105" s="14" t="str">
        <f>IF('KPI Plan'!A107&lt;&gt;"",'KPI Plan'!A107,"")</f>
        <v/>
      </c>
      <c r="B105" s="14" t="str">
        <f>IF('KPI Plan'!D107&lt;&gt;"",'KPI Plan'!D107,"")</f>
        <v/>
      </c>
      <c r="C105" s="14" t="str">
        <f>IF('KPI Plan'!F107&lt;&gt;"",'KPI Plan'!F107,"")</f>
        <v/>
      </c>
      <c r="D105" s="14" t="str">
        <f>IF('KPI Plan'!T107&lt;&gt;"",'KPI Plan'!T107,"")</f>
        <v/>
      </c>
      <c r="E105" s="14" t="str">
        <f>IF('KPI Plan'!U107&lt;&gt;"",'KPI Plan'!U107,"")</f>
        <v/>
      </c>
      <c r="F105" s="1" t="str">
        <f t="shared" si="3"/>
        <v/>
      </c>
    </row>
    <row r="106" spans="1:6">
      <c r="A106" s="14" t="str">
        <f>IF('KPI Plan'!A108&lt;&gt;"",'KPI Plan'!A108,"")</f>
        <v/>
      </c>
      <c r="B106" s="14" t="str">
        <f>IF('KPI Plan'!D108&lt;&gt;"",'KPI Plan'!D108,"")</f>
        <v/>
      </c>
      <c r="C106" s="14" t="str">
        <f>IF('KPI Plan'!F108&lt;&gt;"",'KPI Plan'!F108,"")</f>
        <v/>
      </c>
      <c r="D106" s="14" t="str">
        <f>IF('KPI Plan'!T108&lt;&gt;"",'KPI Plan'!T108,"")</f>
        <v/>
      </c>
      <c r="E106" s="14" t="str">
        <f>IF('KPI Plan'!U108&lt;&gt;"",'KPI Plan'!U108,"")</f>
        <v/>
      </c>
      <c r="F106" s="1" t="str">
        <f t="shared" si="3"/>
        <v/>
      </c>
    </row>
    <row r="107" spans="1:6">
      <c r="A107" s="14" t="str">
        <f>IF('KPI Plan'!A109&lt;&gt;"",'KPI Plan'!A109,"")</f>
        <v/>
      </c>
      <c r="B107" s="14" t="str">
        <f>IF('KPI Plan'!D109&lt;&gt;"",'KPI Plan'!D109,"")</f>
        <v/>
      </c>
      <c r="C107" s="14" t="str">
        <f>IF('KPI Plan'!F109&lt;&gt;"",'KPI Plan'!F109,"")</f>
        <v/>
      </c>
      <c r="D107" s="14" t="str">
        <f>IF('KPI Plan'!T109&lt;&gt;"",'KPI Plan'!T109,"")</f>
        <v/>
      </c>
      <c r="E107" s="14" t="str">
        <f>IF('KPI Plan'!U109&lt;&gt;"",'KPI Plan'!U109,"")</f>
        <v/>
      </c>
      <c r="F107" s="1" t="str">
        <f t="shared" si="3"/>
        <v/>
      </c>
    </row>
    <row r="108" spans="1:6">
      <c r="A108" s="14" t="str">
        <f>IF('KPI Plan'!A110&lt;&gt;"",'KPI Plan'!A110,"")</f>
        <v/>
      </c>
      <c r="B108" s="14" t="str">
        <f>IF('KPI Plan'!D110&lt;&gt;"",'KPI Plan'!D110,"")</f>
        <v/>
      </c>
      <c r="C108" s="14" t="str">
        <f>IF('KPI Plan'!F110&lt;&gt;"",'KPI Plan'!F110,"")</f>
        <v/>
      </c>
      <c r="D108" s="14" t="str">
        <f>IF('KPI Plan'!T110&lt;&gt;"",'KPI Plan'!T110,"")</f>
        <v/>
      </c>
      <c r="E108" s="14" t="str">
        <f>IF('KPI Plan'!U110&lt;&gt;"",'KPI Plan'!U110,"")</f>
        <v/>
      </c>
      <c r="F108" s="1" t="str">
        <f t="shared" si="3"/>
        <v/>
      </c>
    </row>
    <row r="109" spans="1:6">
      <c r="A109" s="14" t="str">
        <f>IF('KPI Plan'!A111&lt;&gt;"",'KPI Plan'!A111,"")</f>
        <v/>
      </c>
      <c r="B109" s="14" t="str">
        <f>IF('KPI Plan'!D111&lt;&gt;"",'KPI Plan'!D111,"")</f>
        <v/>
      </c>
      <c r="C109" s="14" t="str">
        <f>IF('KPI Plan'!F111&lt;&gt;"",'KPI Plan'!F111,"")</f>
        <v/>
      </c>
      <c r="D109" s="14" t="str">
        <f>IF('KPI Plan'!T111&lt;&gt;"",'KPI Plan'!T111,"")</f>
        <v/>
      </c>
      <c r="E109" s="14" t="str">
        <f>IF('KPI Plan'!U111&lt;&gt;"",'KPI Plan'!U111,"")</f>
        <v/>
      </c>
      <c r="F109" s="1" t="str">
        <f t="shared" si="3"/>
        <v/>
      </c>
    </row>
    <row r="110" spans="1:6">
      <c r="A110" s="14" t="str">
        <f>IF('KPI Plan'!A112&lt;&gt;"",'KPI Plan'!A112,"")</f>
        <v/>
      </c>
      <c r="B110" s="14" t="str">
        <f>IF('KPI Plan'!D112&lt;&gt;"",'KPI Plan'!D112,"")</f>
        <v/>
      </c>
      <c r="C110" s="14" t="str">
        <f>IF('KPI Plan'!F112&lt;&gt;"",'KPI Plan'!F112,"")</f>
        <v/>
      </c>
      <c r="D110" s="14" t="str">
        <f>IF('KPI Plan'!T112&lt;&gt;"",'KPI Plan'!T112,"")</f>
        <v/>
      </c>
      <c r="E110" s="14" t="str">
        <f>IF('KPI Plan'!U112&lt;&gt;"",'KPI Plan'!U112,"")</f>
        <v/>
      </c>
      <c r="F110" s="1" t="str">
        <f t="shared" si="3"/>
        <v/>
      </c>
    </row>
    <row r="111" spans="1:6">
      <c r="A111" s="14" t="str">
        <f>IF('KPI Plan'!A113&lt;&gt;"",'KPI Plan'!A113,"")</f>
        <v/>
      </c>
      <c r="B111" s="14" t="str">
        <f>IF('KPI Plan'!D113&lt;&gt;"",'KPI Plan'!D113,"")</f>
        <v/>
      </c>
      <c r="C111" s="14" t="str">
        <f>IF('KPI Plan'!F113&lt;&gt;"",'KPI Plan'!F113,"")</f>
        <v/>
      </c>
      <c r="D111" s="14" t="str">
        <f>IF('KPI Plan'!T113&lt;&gt;"",'KPI Plan'!T113,"")</f>
        <v/>
      </c>
      <c r="E111" s="14" t="str">
        <f>IF('KPI Plan'!U113&lt;&gt;"",'KPI Plan'!U113,"")</f>
        <v/>
      </c>
      <c r="F111" s="1" t="str">
        <f t="shared" si="3"/>
        <v/>
      </c>
    </row>
    <row r="112" spans="1:6">
      <c r="A112" s="14" t="str">
        <f>IF('KPI Plan'!A114&lt;&gt;"",'KPI Plan'!A114,"")</f>
        <v/>
      </c>
      <c r="B112" s="14" t="str">
        <f>IF('KPI Plan'!D114&lt;&gt;"",'KPI Plan'!D114,"")</f>
        <v/>
      </c>
      <c r="C112" s="14" t="str">
        <f>IF('KPI Plan'!F114&lt;&gt;"",'KPI Plan'!F114,"")</f>
        <v/>
      </c>
      <c r="D112" s="14" t="str">
        <f>IF('KPI Plan'!T114&lt;&gt;"",'KPI Plan'!T114,"")</f>
        <v/>
      </c>
      <c r="E112" s="14" t="str">
        <f>IF('KPI Plan'!U114&lt;&gt;"",'KPI Plan'!U114,"")</f>
        <v/>
      </c>
      <c r="F112" s="1" t="str">
        <f t="shared" si="3"/>
        <v/>
      </c>
    </row>
    <row r="113" spans="1:6">
      <c r="A113" s="14" t="str">
        <f>IF('KPI Plan'!A115&lt;&gt;"",'KPI Plan'!A115,"")</f>
        <v/>
      </c>
      <c r="B113" s="14" t="str">
        <f>IF('KPI Plan'!D115&lt;&gt;"",'KPI Plan'!D115,"")</f>
        <v/>
      </c>
      <c r="C113" s="14" t="str">
        <f>IF('KPI Plan'!F115&lt;&gt;"",'KPI Plan'!F115,"")</f>
        <v/>
      </c>
      <c r="D113" s="14" t="str">
        <f>IF('KPI Plan'!T115&lt;&gt;"",'KPI Plan'!T115,"")</f>
        <v/>
      </c>
      <c r="E113" s="14" t="str">
        <f>IF('KPI Plan'!U115&lt;&gt;"",'KPI Plan'!U115,"")</f>
        <v/>
      </c>
      <c r="F113" s="1" t="str">
        <f t="shared" si="3"/>
        <v/>
      </c>
    </row>
    <row r="114" spans="1:6">
      <c r="A114" s="14" t="str">
        <f>IF('KPI Plan'!A116&lt;&gt;"",'KPI Plan'!A116,"")</f>
        <v/>
      </c>
      <c r="B114" s="14" t="str">
        <f>IF('KPI Plan'!D116&lt;&gt;"",'KPI Plan'!D116,"")</f>
        <v/>
      </c>
      <c r="C114" s="14" t="str">
        <f>IF('KPI Plan'!F116&lt;&gt;"",'KPI Plan'!F116,"")</f>
        <v/>
      </c>
      <c r="D114" s="14" t="str">
        <f>IF('KPI Plan'!T116&lt;&gt;"",'KPI Plan'!T116,"")</f>
        <v/>
      </c>
      <c r="E114" s="14" t="str">
        <f>IF('KPI Plan'!U116&lt;&gt;"",'KPI Plan'!U116,"")</f>
        <v/>
      </c>
      <c r="F114" s="1" t="str">
        <f t="shared" si="3"/>
        <v/>
      </c>
    </row>
    <row r="115" spans="1:6">
      <c r="A115" s="14" t="str">
        <f>IF('KPI Plan'!A117&lt;&gt;"",'KPI Plan'!A117,"")</f>
        <v/>
      </c>
      <c r="B115" s="14" t="str">
        <f>IF('KPI Plan'!D117&lt;&gt;"",'KPI Plan'!D117,"")</f>
        <v/>
      </c>
      <c r="C115" s="14" t="str">
        <f>IF('KPI Plan'!F117&lt;&gt;"",'KPI Plan'!F117,"")</f>
        <v/>
      </c>
      <c r="D115" s="14" t="str">
        <f>IF('KPI Plan'!T117&lt;&gt;"",'KPI Plan'!T117,"")</f>
        <v/>
      </c>
      <c r="E115" s="14" t="str">
        <f>IF('KPI Plan'!U117&lt;&gt;"",'KPI Plan'!U117,"")</f>
        <v/>
      </c>
      <c r="F115" s="1" t="str">
        <f t="shared" si="3"/>
        <v/>
      </c>
    </row>
    <row r="116" spans="1:6">
      <c r="A116" s="14" t="str">
        <f>IF('KPI Plan'!A118&lt;&gt;"",'KPI Plan'!A118,"")</f>
        <v/>
      </c>
      <c r="B116" s="14" t="str">
        <f>IF('KPI Plan'!D118&lt;&gt;"",'KPI Plan'!D118,"")</f>
        <v/>
      </c>
      <c r="C116" s="14" t="str">
        <f>IF('KPI Plan'!F118&lt;&gt;"",'KPI Plan'!F118,"")</f>
        <v/>
      </c>
      <c r="D116" s="14" t="str">
        <f>IF('KPI Plan'!T118&lt;&gt;"",'KPI Plan'!T118,"")</f>
        <v/>
      </c>
      <c r="E116" s="14" t="str">
        <f>IF('KPI Plan'!U118&lt;&gt;"",'KPI Plan'!U118,"")</f>
        <v/>
      </c>
      <c r="F116" s="1" t="str">
        <f t="shared" si="3"/>
        <v/>
      </c>
    </row>
    <row r="117" spans="1:6">
      <c r="A117" s="14" t="str">
        <f>IF('KPI Plan'!A119&lt;&gt;"",'KPI Plan'!A119,"")</f>
        <v/>
      </c>
      <c r="B117" s="14" t="str">
        <f>IF('KPI Plan'!D119&lt;&gt;"",'KPI Plan'!D119,"")</f>
        <v/>
      </c>
      <c r="C117" s="14" t="str">
        <f>IF('KPI Plan'!F119&lt;&gt;"",'KPI Plan'!F119,"")</f>
        <v/>
      </c>
      <c r="D117" s="14" t="str">
        <f>IF('KPI Plan'!T119&lt;&gt;"",'KPI Plan'!T119,"")</f>
        <v/>
      </c>
      <c r="E117" s="14" t="str">
        <f>IF('KPI Plan'!U119&lt;&gt;"",'KPI Plan'!U119,"")</f>
        <v/>
      </c>
      <c r="F117" s="1" t="str">
        <f t="shared" si="3"/>
        <v/>
      </c>
    </row>
    <row r="118" spans="1:6">
      <c r="A118" s="14" t="str">
        <f>IF('KPI Plan'!A120&lt;&gt;"",'KPI Plan'!A120,"")</f>
        <v/>
      </c>
      <c r="B118" s="14" t="str">
        <f>IF('KPI Plan'!D120&lt;&gt;"",'KPI Plan'!D120,"")</f>
        <v/>
      </c>
      <c r="C118" s="14" t="str">
        <f>IF('KPI Plan'!F120&lt;&gt;"",'KPI Plan'!F120,"")</f>
        <v/>
      </c>
      <c r="D118" s="14" t="str">
        <f>IF('KPI Plan'!T120&lt;&gt;"",'KPI Plan'!T120,"")</f>
        <v/>
      </c>
      <c r="E118" s="14" t="str">
        <f>IF('KPI Plan'!U120&lt;&gt;"",'KPI Plan'!U120,"")</f>
        <v/>
      </c>
      <c r="F118" s="1" t="str">
        <f t="shared" si="3"/>
        <v/>
      </c>
    </row>
    <row r="119" spans="1:6">
      <c r="A119" s="14" t="str">
        <f>IF('KPI Plan'!A121&lt;&gt;"",'KPI Plan'!A121,"")</f>
        <v/>
      </c>
      <c r="B119" s="14" t="str">
        <f>IF('KPI Plan'!D121&lt;&gt;"",'KPI Plan'!D121,"")</f>
        <v/>
      </c>
      <c r="C119" s="14" t="str">
        <f>IF('KPI Plan'!F121&lt;&gt;"",'KPI Plan'!F121,"")</f>
        <v/>
      </c>
      <c r="D119" s="14" t="str">
        <f>IF('KPI Plan'!T121&lt;&gt;"",'KPI Plan'!T121,"")</f>
        <v/>
      </c>
      <c r="E119" s="14" t="str">
        <f>IF('KPI Plan'!U121&lt;&gt;"",'KPI Plan'!U121,"")</f>
        <v/>
      </c>
      <c r="F119" s="1" t="str">
        <f t="shared" si="3"/>
        <v/>
      </c>
    </row>
    <row r="120" spans="1:6">
      <c r="A120" s="14" t="str">
        <f>IF('KPI Plan'!A122&lt;&gt;"",'KPI Plan'!A122,"")</f>
        <v/>
      </c>
      <c r="B120" s="14" t="str">
        <f>IF('KPI Plan'!D122&lt;&gt;"",'KPI Plan'!D122,"")</f>
        <v/>
      </c>
      <c r="C120" s="14" t="str">
        <f>IF('KPI Plan'!F122&lt;&gt;"",'KPI Plan'!F122,"")</f>
        <v/>
      </c>
      <c r="D120" s="14" t="str">
        <f>IF('KPI Plan'!T122&lt;&gt;"",'KPI Plan'!T122,"")</f>
        <v/>
      </c>
      <c r="E120" s="14" t="str">
        <f>IF('KPI Plan'!U122&lt;&gt;"",'KPI Plan'!U122,"")</f>
        <v/>
      </c>
      <c r="F120" s="1" t="str">
        <f t="shared" si="3"/>
        <v/>
      </c>
    </row>
    <row r="121" spans="1:6">
      <c r="A121" s="14" t="str">
        <f>IF('KPI Plan'!A123&lt;&gt;"",'KPI Plan'!A123,"")</f>
        <v/>
      </c>
      <c r="B121" s="14" t="str">
        <f>IF('KPI Plan'!D123&lt;&gt;"",'KPI Plan'!D123,"")</f>
        <v/>
      </c>
      <c r="C121" s="14" t="str">
        <f>IF('KPI Plan'!F123&lt;&gt;"",'KPI Plan'!F123,"")</f>
        <v/>
      </c>
      <c r="D121" s="14" t="str">
        <f>IF('KPI Plan'!T123&lt;&gt;"",'KPI Plan'!T123,"")</f>
        <v/>
      </c>
      <c r="E121" s="14" t="str">
        <f>IF('KPI Plan'!U123&lt;&gt;"",'KPI Plan'!U123,"")</f>
        <v/>
      </c>
      <c r="F121" s="1" t="str">
        <f t="shared" si="3"/>
        <v/>
      </c>
    </row>
    <row r="122" spans="1:6">
      <c r="A122" s="14" t="str">
        <f>IF('KPI Plan'!A124&lt;&gt;"",'KPI Plan'!A124,"")</f>
        <v/>
      </c>
      <c r="B122" s="14" t="str">
        <f>IF('KPI Plan'!D124&lt;&gt;"",'KPI Plan'!D124,"")</f>
        <v/>
      </c>
      <c r="C122" s="14" t="str">
        <f>IF('KPI Plan'!F124&lt;&gt;"",'KPI Plan'!F124,"")</f>
        <v/>
      </c>
      <c r="D122" s="14" t="str">
        <f>IF('KPI Plan'!T124&lt;&gt;"",'KPI Plan'!T124,"")</f>
        <v/>
      </c>
      <c r="E122" s="14" t="str">
        <f>IF('KPI Plan'!U124&lt;&gt;"",'KPI Plan'!U124,"")</f>
        <v/>
      </c>
      <c r="F122" s="1" t="str">
        <f t="shared" si="3"/>
        <v/>
      </c>
    </row>
    <row r="123" spans="1:6">
      <c r="A123" s="14" t="str">
        <f>IF('KPI Plan'!A125&lt;&gt;"",'KPI Plan'!A125,"")</f>
        <v/>
      </c>
      <c r="B123" s="14" t="str">
        <f>IF('KPI Plan'!D125&lt;&gt;"",'KPI Plan'!D125,"")</f>
        <v/>
      </c>
      <c r="C123" s="14" t="str">
        <f>IF('KPI Plan'!F125&lt;&gt;"",'KPI Plan'!F125,"")</f>
        <v/>
      </c>
      <c r="D123" s="14" t="str">
        <f>IF('KPI Plan'!T125&lt;&gt;"",'KPI Plan'!T125,"")</f>
        <v/>
      </c>
      <c r="E123" s="14" t="str">
        <f>IF('KPI Plan'!U125&lt;&gt;"",'KPI Plan'!U125,"")</f>
        <v/>
      </c>
      <c r="F123" s="1" t="str">
        <f t="shared" si="3"/>
        <v/>
      </c>
    </row>
    <row r="124" spans="1:6">
      <c r="A124" s="14" t="str">
        <f>IF('KPI Plan'!A126&lt;&gt;"",'KPI Plan'!A126,"")</f>
        <v/>
      </c>
      <c r="B124" s="14" t="str">
        <f>IF('KPI Plan'!D126&lt;&gt;"",'KPI Plan'!D126,"")</f>
        <v/>
      </c>
      <c r="C124" s="14" t="str">
        <f>IF('KPI Plan'!F126&lt;&gt;"",'KPI Plan'!F126,"")</f>
        <v/>
      </c>
      <c r="D124" s="14" t="str">
        <f>IF('KPI Plan'!T126&lt;&gt;"",'KPI Plan'!T126,"")</f>
        <v/>
      </c>
      <c r="E124" s="14" t="str">
        <f>IF('KPI Plan'!U126&lt;&gt;"",'KPI Plan'!U126,"")</f>
        <v/>
      </c>
      <c r="F124" s="1" t="str">
        <f t="shared" si="3"/>
        <v/>
      </c>
    </row>
    <row r="125" spans="1:6">
      <c r="A125" s="14" t="str">
        <f>IF('KPI Plan'!A127&lt;&gt;"",'KPI Plan'!A127,"")</f>
        <v/>
      </c>
      <c r="B125" s="14" t="str">
        <f>IF('KPI Plan'!D127&lt;&gt;"",'KPI Plan'!D127,"")</f>
        <v/>
      </c>
      <c r="C125" s="14" t="str">
        <f>IF('KPI Plan'!F127&lt;&gt;"",'KPI Plan'!F127,"")</f>
        <v/>
      </c>
      <c r="D125" s="14" t="str">
        <f>IF('KPI Plan'!T127&lt;&gt;"",'KPI Plan'!T127,"")</f>
        <v/>
      </c>
      <c r="E125" s="14" t="str">
        <f>IF('KPI Plan'!U127&lt;&gt;"",'KPI Plan'!U127,"")</f>
        <v/>
      </c>
      <c r="F125" s="1" t="str">
        <f t="shared" si="3"/>
        <v/>
      </c>
    </row>
    <row r="126" spans="1:6">
      <c r="A126" s="14" t="str">
        <f>IF('KPI Plan'!A128&lt;&gt;"",'KPI Plan'!A128,"")</f>
        <v/>
      </c>
      <c r="B126" s="14" t="str">
        <f>IF('KPI Plan'!D128&lt;&gt;"",'KPI Plan'!D128,"")</f>
        <v/>
      </c>
      <c r="C126" s="14" t="str">
        <f>IF('KPI Plan'!F128&lt;&gt;"",'KPI Plan'!F128,"")</f>
        <v/>
      </c>
      <c r="D126" s="14" t="str">
        <f>IF('KPI Plan'!T128&lt;&gt;"",'KPI Plan'!T128,"")</f>
        <v/>
      </c>
      <c r="E126" s="14" t="str">
        <f>IF('KPI Plan'!U128&lt;&gt;"",'KPI Plan'!U128,"")</f>
        <v/>
      </c>
      <c r="F126" s="1" t="str">
        <f t="shared" si="3"/>
        <v/>
      </c>
    </row>
    <row r="127" spans="1:6">
      <c r="A127" s="14" t="str">
        <f>IF('KPI Plan'!A129&lt;&gt;"",'KPI Plan'!A129,"")</f>
        <v/>
      </c>
      <c r="B127" s="14" t="str">
        <f>IF('KPI Plan'!D129&lt;&gt;"",'KPI Plan'!D129,"")</f>
        <v/>
      </c>
      <c r="C127" s="14" t="str">
        <f>IF('KPI Plan'!F129&lt;&gt;"",'KPI Plan'!F129,"")</f>
        <v/>
      </c>
      <c r="D127" s="14" t="str">
        <f>IF('KPI Plan'!T129&lt;&gt;"",'KPI Plan'!T129,"")</f>
        <v/>
      </c>
      <c r="E127" s="14" t="str">
        <f>IF('KPI Plan'!U129&lt;&gt;"",'KPI Plan'!U129,"")</f>
        <v/>
      </c>
      <c r="F127" s="1" t="str">
        <f t="shared" si="3"/>
        <v/>
      </c>
    </row>
    <row r="128" spans="1:6">
      <c r="A128" s="14" t="str">
        <f>IF('KPI Plan'!A130&lt;&gt;"",'KPI Plan'!A130,"")</f>
        <v/>
      </c>
      <c r="B128" s="14" t="str">
        <f>IF('KPI Plan'!D130&lt;&gt;"",'KPI Plan'!D130,"")</f>
        <v/>
      </c>
      <c r="C128" s="14" t="str">
        <f>IF('KPI Plan'!F130&lt;&gt;"",'KPI Plan'!F130,"")</f>
        <v/>
      </c>
      <c r="D128" s="14" t="str">
        <f>IF('KPI Plan'!T130&lt;&gt;"",'KPI Plan'!T130,"")</f>
        <v/>
      </c>
      <c r="E128" s="14" t="str">
        <f>IF('KPI Plan'!U130&lt;&gt;"",'KPI Plan'!U130,"")</f>
        <v/>
      </c>
      <c r="F128" s="1" t="str">
        <f t="shared" si="3"/>
        <v/>
      </c>
    </row>
    <row r="129" spans="1:6">
      <c r="A129" s="14" t="str">
        <f>IF('KPI Plan'!A131&lt;&gt;"",'KPI Plan'!A131,"")</f>
        <v/>
      </c>
      <c r="B129" s="14" t="str">
        <f>IF('KPI Plan'!D131&lt;&gt;"",'KPI Plan'!D131,"")</f>
        <v/>
      </c>
      <c r="C129" s="14" t="str">
        <f>IF('KPI Plan'!F131&lt;&gt;"",'KPI Plan'!F131,"")</f>
        <v/>
      </c>
      <c r="D129" s="14" t="str">
        <f>IF('KPI Plan'!T131&lt;&gt;"",'KPI Plan'!T131,"")</f>
        <v/>
      </c>
      <c r="E129" s="14" t="str">
        <f>IF('KPI Plan'!U131&lt;&gt;"",'KPI Plan'!U131,"")</f>
        <v/>
      </c>
      <c r="F129" s="1" t="str">
        <f t="shared" si="3"/>
        <v/>
      </c>
    </row>
    <row r="130" spans="1:6">
      <c r="A130" s="14" t="str">
        <f>IF('KPI Plan'!A132&lt;&gt;"",'KPI Plan'!A132,"")</f>
        <v/>
      </c>
      <c r="B130" s="14" t="str">
        <f>IF('KPI Plan'!D132&lt;&gt;"",'KPI Plan'!D132,"")</f>
        <v/>
      </c>
      <c r="C130" s="14" t="str">
        <f>IF('KPI Plan'!F132&lt;&gt;"",'KPI Plan'!F132,"")</f>
        <v/>
      </c>
      <c r="D130" s="14" t="str">
        <f>IF('KPI Plan'!T132&lt;&gt;"",'KPI Plan'!T132,"")</f>
        <v/>
      </c>
      <c r="E130" s="14" t="str">
        <f>IF('KPI Plan'!U132&lt;&gt;"",'KPI Plan'!U132,"")</f>
        <v/>
      </c>
      <c r="F130" s="1" t="str">
        <f t="shared" si="3"/>
        <v/>
      </c>
    </row>
    <row r="131" spans="1:6">
      <c r="A131" s="14" t="str">
        <f>IF('KPI Plan'!A133&lt;&gt;"",'KPI Plan'!A133,"")</f>
        <v/>
      </c>
      <c r="B131" s="14" t="str">
        <f>IF('KPI Plan'!D133&lt;&gt;"",'KPI Plan'!D133,"")</f>
        <v/>
      </c>
      <c r="C131" s="14" t="str">
        <f>IF('KPI Plan'!F133&lt;&gt;"",'KPI Plan'!F133,"")</f>
        <v/>
      </c>
      <c r="D131" s="14" t="str">
        <f>IF('KPI Plan'!T133&lt;&gt;"",'KPI Plan'!T133,"")</f>
        <v/>
      </c>
      <c r="E131" s="14" t="str">
        <f>IF('KPI Plan'!U133&lt;&gt;"",'KPI Plan'!U133,"")</f>
        <v/>
      </c>
      <c r="F131" s="1" t="str">
        <f t="shared" ref="F131:F194" si="4">IF(A131&lt;&gt;"",COUNTIF($E$2:$E$100,C131),"")</f>
        <v/>
      </c>
    </row>
    <row r="132" spans="1:6">
      <c r="A132" s="14" t="str">
        <f>IF('KPI Plan'!A134&lt;&gt;"",'KPI Plan'!A134,"")</f>
        <v/>
      </c>
      <c r="B132" s="14" t="str">
        <f>IF('KPI Plan'!D134&lt;&gt;"",'KPI Plan'!D134,"")</f>
        <v/>
      </c>
      <c r="C132" s="14" t="str">
        <f>IF('KPI Plan'!F134&lt;&gt;"",'KPI Plan'!F134,"")</f>
        <v/>
      </c>
      <c r="D132" s="14" t="str">
        <f>IF('KPI Plan'!T134&lt;&gt;"",'KPI Plan'!T134,"")</f>
        <v/>
      </c>
      <c r="E132" s="14" t="str">
        <f>IF('KPI Plan'!U134&lt;&gt;"",'KPI Plan'!U134,"")</f>
        <v/>
      </c>
      <c r="F132" s="1" t="str">
        <f t="shared" si="4"/>
        <v/>
      </c>
    </row>
    <row r="133" spans="1:6">
      <c r="A133" s="14" t="str">
        <f>IF('KPI Plan'!A135&lt;&gt;"",'KPI Plan'!A135,"")</f>
        <v/>
      </c>
      <c r="B133" s="14" t="str">
        <f>IF('KPI Plan'!D135&lt;&gt;"",'KPI Plan'!D135,"")</f>
        <v/>
      </c>
      <c r="C133" s="14" t="str">
        <f>IF('KPI Plan'!F135&lt;&gt;"",'KPI Plan'!F135,"")</f>
        <v/>
      </c>
      <c r="D133" s="14" t="str">
        <f>IF('KPI Plan'!T135&lt;&gt;"",'KPI Plan'!T135,"")</f>
        <v/>
      </c>
      <c r="E133" s="14" t="str">
        <f>IF('KPI Plan'!U135&lt;&gt;"",'KPI Plan'!U135,"")</f>
        <v/>
      </c>
      <c r="F133" s="1" t="str">
        <f t="shared" si="4"/>
        <v/>
      </c>
    </row>
    <row r="134" spans="1:6">
      <c r="A134" s="14" t="str">
        <f>IF('KPI Plan'!A136&lt;&gt;"",'KPI Plan'!A136,"")</f>
        <v/>
      </c>
      <c r="B134" s="14" t="str">
        <f>IF('KPI Plan'!D136&lt;&gt;"",'KPI Plan'!D136,"")</f>
        <v/>
      </c>
      <c r="C134" s="14" t="str">
        <f>IF('KPI Plan'!F136&lt;&gt;"",'KPI Plan'!F136,"")</f>
        <v/>
      </c>
      <c r="D134" s="14" t="str">
        <f>IF('KPI Plan'!T136&lt;&gt;"",'KPI Plan'!T136,"")</f>
        <v/>
      </c>
      <c r="E134" s="14" t="str">
        <f>IF('KPI Plan'!U136&lt;&gt;"",'KPI Plan'!U136,"")</f>
        <v/>
      </c>
      <c r="F134" s="1" t="str">
        <f t="shared" si="4"/>
        <v/>
      </c>
    </row>
    <row r="135" spans="1:6">
      <c r="A135" s="14" t="str">
        <f>IF('KPI Plan'!A137&lt;&gt;"",'KPI Plan'!A137,"")</f>
        <v/>
      </c>
      <c r="B135" s="14" t="str">
        <f>IF('KPI Plan'!D137&lt;&gt;"",'KPI Plan'!D137,"")</f>
        <v/>
      </c>
      <c r="C135" s="14" t="str">
        <f>IF('KPI Plan'!F137&lt;&gt;"",'KPI Plan'!F137,"")</f>
        <v/>
      </c>
      <c r="D135" s="14" t="str">
        <f>IF('KPI Plan'!T137&lt;&gt;"",'KPI Plan'!T137,"")</f>
        <v/>
      </c>
      <c r="E135" s="14" t="str">
        <f>IF('KPI Plan'!U137&lt;&gt;"",'KPI Plan'!U137,"")</f>
        <v/>
      </c>
      <c r="F135" s="1" t="str">
        <f t="shared" si="4"/>
        <v/>
      </c>
    </row>
    <row r="136" spans="1:6">
      <c r="A136" s="14" t="str">
        <f>IF('KPI Plan'!A138&lt;&gt;"",'KPI Plan'!A138,"")</f>
        <v/>
      </c>
      <c r="B136" s="14" t="str">
        <f>IF('KPI Plan'!D138&lt;&gt;"",'KPI Plan'!D138,"")</f>
        <v/>
      </c>
      <c r="C136" s="14" t="str">
        <f>IF('KPI Plan'!F138&lt;&gt;"",'KPI Plan'!F138,"")</f>
        <v/>
      </c>
      <c r="D136" s="14" t="str">
        <f>IF('KPI Plan'!T138&lt;&gt;"",'KPI Plan'!T138,"")</f>
        <v/>
      </c>
      <c r="E136" s="14" t="str">
        <f>IF('KPI Plan'!U138&lt;&gt;"",'KPI Plan'!U138,"")</f>
        <v/>
      </c>
      <c r="F136" s="1" t="str">
        <f t="shared" si="4"/>
        <v/>
      </c>
    </row>
    <row r="137" spans="1:6">
      <c r="A137" s="14" t="str">
        <f>IF('KPI Plan'!A139&lt;&gt;"",'KPI Plan'!A139,"")</f>
        <v/>
      </c>
      <c r="B137" s="14" t="str">
        <f>IF('KPI Plan'!D139&lt;&gt;"",'KPI Plan'!D139,"")</f>
        <v/>
      </c>
      <c r="C137" s="14" t="str">
        <f>IF('KPI Plan'!F139&lt;&gt;"",'KPI Plan'!F139,"")</f>
        <v/>
      </c>
      <c r="D137" s="14" t="str">
        <f>IF('KPI Plan'!T139&lt;&gt;"",'KPI Plan'!T139,"")</f>
        <v/>
      </c>
      <c r="E137" s="14" t="str">
        <f>IF('KPI Plan'!U139&lt;&gt;"",'KPI Plan'!U139,"")</f>
        <v/>
      </c>
      <c r="F137" s="1" t="str">
        <f t="shared" si="4"/>
        <v/>
      </c>
    </row>
    <row r="138" spans="1:6">
      <c r="A138" s="14" t="str">
        <f>IF('KPI Plan'!A140&lt;&gt;"",'KPI Plan'!A140,"")</f>
        <v/>
      </c>
      <c r="B138" s="14" t="str">
        <f>IF('KPI Plan'!D140&lt;&gt;"",'KPI Plan'!D140,"")</f>
        <v/>
      </c>
      <c r="C138" s="14" t="str">
        <f>IF('KPI Plan'!F140&lt;&gt;"",'KPI Plan'!F140,"")</f>
        <v/>
      </c>
      <c r="D138" s="14" t="str">
        <f>IF('KPI Plan'!T140&lt;&gt;"",'KPI Plan'!T140,"")</f>
        <v/>
      </c>
      <c r="E138" s="14" t="str">
        <f>IF('KPI Plan'!U140&lt;&gt;"",'KPI Plan'!U140,"")</f>
        <v/>
      </c>
      <c r="F138" s="1" t="str">
        <f t="shared" si="4"/>
        <v/>
      </c>
    </row>
    <row r="139" spans="1:6">
      <c r="A139" s="14" t="str">
        <f>IF('KPI Plan'!A141&lt;&gt;"",'KPI Plan'!A141,"")</f>
        <v/>
      </c>
      <c r="B139" s="14" t="str">
        <f>IF('KPI Plan'!D141&lt;&gt;"",'KPI Plan'!D141,"")</f>
        <v/>
      </c>
      <c r="C139" s="14" t="str">
        <f>IF('KPI Plan'!F141&lt;&gt;"",'KPI Plan'!F141,"")</f>
        <v/>
      </c>
      <c r="D139" s="14" t="str">
        <f>IF('KPI Plan'!T141&lt;&gt;"",'KPI Plan'!T141,"")</f>
        <v/>
      </c>
      <c r="E139" s="14" t="str">
        <f>IF('KPI Plan'!U141&lt;&gt;"",'KPI Plan'!U141,"")</f>
        <v/>
      </c>
      <c r="F139" s="1" t="str">
        <f t="shared" si="4"/>
        <v/>
      </c>
    </row>
    <row r="140" spans="1:6">
      <c r="A140" s="14" t="str">
        <f>IF('KPI Plan'!A142&lt;&gt;"",'KPI Plan'!A142,"")</f>
        <v/>
      </c>
      <c r="B140" s="14" t="str">
        <f>IF('KPI Plan'!D142&lt;&gt;"",'KPI Plan'!D142,"")</f>
        <v/>
      </c>
      <c r="C140" s="14" t="str">
        <f>IF('KPI Plan'!F142&lt;&gt;"",'KPI Plan'!F142,"")</f>
        <v/>
      </c>
      <c r="D140" s="14" t="str">
        <f>IF('KPI Plan'!T142&lt;&gt;"",'KPI Plan'!T142,"")</f>
        <v/>
      </c>
      <c r="E140" s="14" t="str">
        <f>IF('KPI Plan'!U142&lt;&gt;"",'KPI Plan'!U142,"")</f>
        <v/>
      </c>
      <c r="F140" s="1" t="str">
        <f t="shared" si="4"/>
        <v/>
      </c>
    </row>
    <row r="141" spans="1:6">
      <c r="A141" s="14" t="str">
        <f>IF('KPI Plan'!A143&lt;&gt;"",'KPI Plan'!A143,"")</f>
        <v/>
      </c>
      <c r="B141" s="14" t="str">
        <f>IF('KPI Plan'!D143&lt;&gt;"",'KPI Plan'!D143,"")</f>
        <v/>
      </c>
      <c r="C141" s="14" t="str">
        <f>IF('KPI Plan'!F143&lt;&gt;"",'KPI Plan'!F143,"")</f>
        <v/>
      </c>
      <c r="D141" s="14" t="str">
        <f>IF('KPI Plan'!T143&lt;&gt;"",'KPI Plan'!T143,"")</f>
        <v/>
      </c>
      <c r="E141" s="14" t="str">
        <f>IF('KPI Plan'!U143&lt;&gt;"",'KPI Plan'!U143,"")</f>
        <v/>
      </c>
      <c r="F141" s="1" t="str">
        <f t="shared" si="4"/>
        <v/>
      </c>
    </row>
    <row r="142" spans="1:6">
      <c r="A142" s="14" t="str">
        <f>IF('KPI Plan'!A144&lt;&gt;"",'KPI Plan'!A144,"")</f>
        <v/>
      </c>
      <c r="B142" s="14" t="str">
        <f>IF('KPI Plan'!D144&lt;&gt;"",'KPI Plan'!D144,"")</f>
        <v/>
      </c>
      <c r="C142" s="14" t="str">
        <f>IF('KPI Plan'!F144&lt;&gt;"",'KPI Plan'!F144,"")</f>
        <v/>
      </c>
      <c r="D142" s="14" t="str">
        <f>IF('KPI Plan'!T144&lt;&gt;"",'KPI Plan'!T144,"")</f>
        <v/>
      </c>
      <c r="E142" s="14" t="str">
        <f>IF('KPI Plan'!U144&lt;&gt;"",'KPI Plan'!U144,"")</f>
        <v/>
      </c>
      <c r="F142" s="1" t="str">
        <f t="shared" si="4"/>
        <v/>
      </c>
    </row>
    <row r="143" spans="1:6">
      <c r="A143" s="14" t="str">
        <f>IF('KPI Plan'!A145&lt;&gt;"",'KPI Plan'!A145,"")</f>
        <v/>
      </c>
      <c r="B143" s="14" t="str">
        <f>IF('KPI Plan'!D145&lt;&gt;"",'KPI Plan'!D145,"")</f>
        <v/>
      </c>
      <c r="C143" s="14" t="str">
        <f>IF('KPI Plan'!F145&lt;&gt;"",'KPI Plan'!F145,"")</f>
        <v/>
      </c>
      <c r="D143" s="14" t="str">
        <f>IF('KPI Plan'!T145&lt;&gt;"",'KPI Plan'!T145,"")</f>
        <v/>
      </c>
      <c r="E143" s="14" t="str">
        <f>IF('KPI Plan'!U145&lt;&gt;"",'KPI Plan'!U145,"")</f>
        <v/>
      </c>
      <c r="F143" s="1" t="str">
        <f t="shared" si="4"/>
        <v/>
      </c>
    </row>
    <row r="144" spans="1:6">
      <c r="A144" s="14" t="str">
        <f>IF('KPI Plan'!A146&lt;&gt;"",'KPI Plan'!A146,"")</f>
        <v/>
      </c>
      <c r="B144" s="14" t="str">
        <f>IF('KPI Plan'!D146&lt;&gt;"",'KPI Plan'!D146,"")</f>
        <v/>
      </c>
      <c r="C144" s="14" t="str">
        <f>IF('KPI Plan'!F146&lt;&gt;"",'KPI Plan'!F146,"")</f>
        <v/>
      </c>
      <c r="D144" s="14" t="str">
        <f>IF('KPI Plan'!T146&lt;&gt;"",'KPI Plan'!T146,"")</f>
        <v/>
      </c>
      <c r="E144" s="14" t="str">
        <f>IF('KPI Plan'!U146&lt;&gt;"",'KPI Plan'!U146,"")</f>
        <v/>
      </c>
      <c r="F144" s="1" t="str">
        <f t="shared" si="4"/>
        <v/>
      </c>
    </row>
    <row r="145" spans="1:6">
      <c r="A145" s="14" t="str">
        <f>IF('KPI Plan'!A147&lt;&gt;"",'KPI Plan'!A147,"")</f>
        <v/>
      </c>
      <c r="B145" s="14" t="str">
        <f>IF('KPI Plan'!D147&lt;&gt;"",'KPI Plan'!D147,"")</f>
        <v/>
      </c>
      <c r="C145" s="14" t="str">
        <f>IF('KPI Plan'!F147&lt;&gt;"",'KPI Plan'!F147,"")</f>
        <v/>
      </c>
      <c r="D145" s="14" t="str">
        <f>IF('KPI Plan'!T147&lt;&gt;"",'KPI Plan'!T147,"")</f>
        <v/>
      </c>
      <c r="E145" s="14" t="str">
        <f>IF('KPI Plan'!U147&lt;&gt;"",'KPI Plan'!U147,"")</f>
        <v/>
      </c>
      <c r="F145" s="1" t="str">
        <f t="shared" si="4"/>
        <v/>
      </c>
    </row>
    <row r="146" spans="1:6">
      <c r="A146" s="14" t="str">
        <f>IF('KPI Plan'!A148&lt;&gt;"",'KPI Plan'!A148,"")</f>
        <v/>
      </c>
      <c r="B146" s="14" t="str">
        <f>IF('KPI Plan'!D148&lt;&gt;"",'KPI Plan'!D148,"")</f>
        <v/>
      </c>
      <c r="C146" s="14" t="str">
        <f>IF('KPI Plan'!F148&lt;&gt;"",'KPI Plan'!F148,"")</f>
        <v/>
      </c>
      <c r="D146" s="14" t="str">
        <f>IF('KPI Plan'!T148&lt;&gt;"",'KPI Plan'!T148,"")</f>
        <v/>
      </c>
      <c r="E146" s="14" t="str">
        <f>IF('KPI Plan'!U148&lt;&gt;"",'KPI Plan'!U148,"")</f>
        <v/>
      </c>
      <c r="F146" s="1" t="str">
        <f t="shared" si="4"/>
        <v/>
      </c>
    </row>
    <row r="147" spans="1:6">
      <c r="A147" s="14" t="str">
        <f>IF('KPI Plan'!A149&lt;&gt;"",'KPI Plan'!A149,"")</f>
        <v/>
      </c>
      <c r="B147" s="14" t="str">
        <f>IF('KPI Plan'!D149&lt;&gt;"",'KPI Plan'!D149,"")</f>
        <v/>
      </c>
      <c r="C147" s="14" t="str">
        <f>IF('KPI Plan'!F149&lt;&gt;"",'KPI Plan'!F149,"")</f>
        <v/>
      </c>
      <c r="D147" s="14" t="str">
        <f>IF('KPI Plan'!T149&lt;&gt;"",'KPI Plan'!T149,"")</f>
        <v/>
      </c>
      <c r="E147" s="14" t="str">
        <f>IF('KPI Plan'!U149&lt;&gt;"",'KPI Plan'!U149,"")</f>
        <v/>
      </c>
      <c r="F147" s="1" t="str">
        <f t="shared" si="4"/>
        <v/>
      </c>
    </row>
    <row r="148" spans="1:6">
      <c r="A148" s="14" t="str">
        <f>IF('KPI Plan'!A150&lt;&gt;"",'KPI Plan'!A150,"")</f>
        <v/>
      </c>
      <c r="B148" s="14" t="str">
        <f>IF('KPI Plan'!D150&lt;&gt;"",'KPI Plan'!D150,"")</f>
        <v/>
      </c>
      <c r="C148" s="14" t="str">
        <f>IF('KPI Plan'!F150&lt;&gt;"",'KPI Plan'!F150,"")</f>
        <v/>
      </c>
      <c r="D148" s="14" t="str">
        <f>IF('KPI Plan'!T150&lt;&gt;"",'KPI Plan'!T150,"")</f>
        <v/>
      </c>
      <c r="E148" s="14" t="str">
        <f>IF('KPI Plan'!U150&lt;&gt;"",'KPI Plan'!U150,"")</f>
        <v/>
      </c>
      <c r="F148" s="1" t="str">
        <f t="shared" si="4"/>
        <v/>
      </c>
    </row>
    <row r="149" spans="1:6">
      <c r="A149" s="14" t="str">
        <f>IF('KPI Plan'!A151&lt;&gt;"",'KPI Plan'!A151,"")</f>
        <v/>
      </c>
      <c r="B149" s="14" t="str">
        <f>IF('KPI Plan'!D151&lt;&gt;"",'KPI Plan'!D151,"")</f>
        <v/>
      </c>
      <c r="C149" s="14" t="str">
        <f>IF('KPI Plan'!F151&lt;&gt;"",'KPI Plan'!F151,"")</f>
        <v/>
      </c>
      <c r="D149" s="14" t="str">
        <f>IF('KPI Plan'!T151&lt;&gt;"",'KPI Plan'!T151,"")</f>
        <v/>
      </c>
      <c r="E149" s="14" t="str">
        <f>IF('KPI Plan'!U151&lt;&gt;"",'KPI Plan'!U151,"")</f>
        <v/>
      </c>
      <c r="F149" s="1" t="str">
        <f t="shared" si="4"/>
        <v/>
      </c>
    </row>
    <row r="150" spans="1:6">
      <c r="A150" s="14" t="str">
        <f>IF('KPI Plan'!A152&lt;&gt;"",'KPI Plan'!A152,"")</f>
        <v/>
      </c>
      <c r="B150" s="14" t="str">
        <f>IF('KPI Plan'!D152&lt;&gt;"",'KPI Plan'!D152,"")</f>
        <v/>
      </c>
      <c r="C150" s="14" t="str">
        <f>IF('KPI Plan'!F152&lt;&gt;"",'KPI Plan'!F152,"")</f>
        <v/>
      </c>
      <c r="D150" s="14" t="str">
        <f>IF('KPI Plan'!T152&lt;&gt;"",'KPI Plan'!T152,"")</f>
        <v/>
      </c>
      <c r="E150" s="14" t="str">
        <f>IF('KPI Plan'!U152&lt;&gt;"",'KPI Plan'!U152,"")</f>
        <v/>
      </c>
      <c r="F150" s="1" t="str">
        <f t="shared" si="4"/>
        <v/>
      </c>
    </row>
    <row r="151" spans="1:6">
      <c r="A151" s="14" t="str">
        <f>IF('KPI Plan'!A153&lt;&gt;"",'KPI Plan'!A153,"")</f>
        <v/>
      </c>
      <c r="B151" s="14" t="str">
        <f>IF('KPI Plan'!D153&lt;&gt;"",'KPI Plan'!D153,"")</f>
        <v/>
      </c>
      <c r="C151" s="14" t="str">
        <f>IF('KPI Plan'!F153&lt;&gt;"",'KPI Plan'!F153,"")</f>
        <v/>
      </c>
      <c r="D151" s="14" t="str">
        <f>IF('KPI Plan'!T153&lt;&gt;"",'KPI Plan'!T153,"")</f>
        <v/>
      </c>
      <c r="E151" s="14" t="str">
        <f>IF('KPI Plan'!U153&lt;&gt;"",'KPI Plan'!U153,"")</f>
        <v/>
      </c>
      <c r="F151" s="1" t="str">
        <f t="shared" si="4"/>
        <v/>
      </c>
    </row>
    <row r="152" spans="1:6">
      <c r="A152" s="14" t="str">
        <f>IF('KPI Plan'!A154&lt;&gt;"",'KPI Plan'!A154,"")</f>
        <v/>
      </c>
      <c r="B152" s="14" t="str">
        <f>IF('KPI Plan'!D154&lt;&gt;"",'KPI Plan'!D154,"")</f>
        <v/>
      </c>
      <c r="C152" s="14" t="str">
        <f>IF('KPI Plan'!F154&lt;&gt;"",'KPI Plan'!F154,"")</f>
        <v/>
      </c>
      <c r="D152" s="14" t="str">
        <f>IF('KPI Plan'!T154&lt;&gt;"",'KPI Plan'!T154,"")</f>
        <v/>
      </c>
      <c r="E152" s="14" t="str">
        <f>IF('KPI Plan'!U154&lt;&gt;"",'KPI Plan'!U154,"")</f>
        <v/>
      </c>
      <c r="F152" s="1" t="str">
        <f t="shared" si="4"/>
        <v/>
      </c>
    </row>
    <row r="153" spans="1:6">
      <c r="A153" s="14" t="str">
        <f>IF('KPI Plan'!A155&lt;&gt;"",'KPI Plan'!A155,"")</f>
        <v/>
      </c>
      <c r="B153" s="14" t="str">
        <f>IF('KPI Plan'!D155&lt;&gt;"",'KPI Plan'!D155,"")</f>
        <v/>
      </c>
      <c r="C153" s="14" t="str">
        <f>IF('KPI Plan'!F155&lt;&gt;"",'KPI Plan'!F155,"")</f>
        <v/>
      </c>
      <c r="D153" s="14" t="str">
        <f>IF('KPI Plan'!T155&lt;&gt;"",'KPI Plan'!T155,"")</f>
        <v/>
      </c>
      <c r="E153" s="14" t="str">
        <f>IF('KPI Plan'!U155&lt;&gt;"",'KPI Plan'!U155,"")</f>
        <v/>
      </c>
      <c r="F153" s="1" t="str">
        <f t="shared" si="4"/>
        <v/>
      </c>
    </row>
    <row r="154" spans="1:6">
      <c r="A154" s="14" t="str">
        <f>IF('KPI Plan'!A156&lt;&gt;"",'KPI Plan'!A156,"")</f>
        <v/>
      </c>
      <c r="B154" s="14" t="str">
        <f>IF('KPI Plan'!D156&lt;&gt;"",'KPI Plan'!D156,"")</f>
        <v/>
      </c>
      <c r="C154" s="14" t="str">
        <f>IF('KPI Plan'!F156&lt;&gt;"",'KPI Plan'!F156,"")</f>
        <v/>
      </c>
      <c r="D154" s="14" t="str">
        <f>IF('KPI Plan'!T156&lt;&gt;"",'KPI Plan'!T156,"")</f>
        <v/>
      </c>
      <c r="E154" s="14" t="str">
        <f>IF('KPI Plan'!U156&lt;&gt;"",'KPI Plan'!U156,"")</f>
        <v/>
      </c>
      <c r="F154" s="1" t="str">
        <f t="shared" si="4"/>
        <v/>
      </c>
    </row>
    <row r="155" spans="1:6">
      <c r="A155" s="14" t="str">
        <f>IF('KPI Plan'!A157&lt;&gt;"",'KPI Plan'!A157,"")</f>
        <v/>
      </c>
      <c r="B155" s="14" t="str">
        <f>IF('KPI Plan'!D157&lt;&gt;"",'KPI Plan'!D157,"")</f>
        <v/>
      </c>
      <c r="C155" s="14" t="str">
        <f>IF('KPI Plan'!F157&lt;&gt;"",'KPI Plan'!F157,"")</f>
        <v/>
      </c>
      <c r="D155" s="14" t="str">
        <f>IF('KPI Plan'!T157&lt;&gt;"",'KPI Plan'!T157,"")</f>
        <v/>
      </c>
      <c r="E155" s="14" t="str">
        <f>IF('KPI Plan'!U157&lt;&gt;"",'KPI Plan'!U157,"")</f>
        <v/>
      </c>
      <c r="F155" s="1" t="str">
        <f t="shared" si="4"/>
        <v/>
      </c>
    </row>
    <row r="156" spans="1:6">
      <c r="A156" s="14" t="str">
        <f>IF('KPI Plan'!A158&lt;&gt;"",'KPI Plan'!A158,"")</f>
        <v/>
      </c>
      <c r="B156" s="14" t="str">
        <f>IF('KPI Plan'!D158&lt;&gt;"",'KPI Plan'!D158,"")</f>
        <v/>
      </c>
      <c r="C156" s="14" t="str">
        <f>IF('KPI Plan'!F158&lt;&gt;"",'KPI Plan'!F158,"")</f>
        <v/>
      </c>
      <c r="D156" s="14" t="str">
        <f>IF('KPI Plan'!T158&lt;&gt;"",'KPI Plan'!T158,"")</f>
        <v/>
      </c>
      <c r="E156" s="14" t="str">
        <f>IF('KPI Plan'!U158&lt;&gt;"",'KPI Plan'!U158,"")</f>
        <v/>
      </c>
      <c r="F156" s="1" t="str">
        <f t="shared" si="4"/>
        <v/>
      </c>
    </row>
    <row r="157" spans="1:6">
      <c r="A157" s="14" t="str">
        <f>IF('KPI Plan'!A159&lt;&gt;"",'KPI Plan'!A159,"")</f>
        <v/>
      </c>
      <c r="B157" s="14" t="str">
        <f>IF('KPI Plan'!D159&lt;&gt;"",'KPI Plan'!D159,"")</f>
        <v/>
      </c>
      <c r="C157" s="14" t="str">
        <f>IF('KPI Plan'!F159&lt;&gt;"",'KPI Plan'!F159,"")</f>
        <v/>
      </c>
      <c r="D157" s="14" t="str">
        <f>IF('KPI Plan'!T159&lt;&gt;"",'KPI Plan'!T159,"")</f>
        <v/>
      </c>
      <c r="E157" s="14" t="str">
        <f>IF('KPI Plan'!U159&lt;&gt;"",'KPI Plan'!U159,"")</f>
        <v/>
      </c>
      <c r="F157" s="1" t="str">
        <f t="shared" si="4"/>
        <v/>
      </c>
    </row>
    <row r="158" spans="1:6">
      <c r="A158" s="14" t="str">
        <f>IF('KPI Plan'!A160&lt;&gt;"",'KPI Plan'!A160,"")</f>
        <v/>
      </c>
      <c r="B158" s="14" t="str">
        <f>IF('KPI Plan'!D160&lt;&gt;"",'KPI Plan'!D160,"")</f>
        <v/>
      </c>
      <c r="C158" s="14" t="str">
        <f>IF('KPI Plan'!F160&lt;&gt;"",'KPI Plan'!F160,"")</f>
        <v/>
      </c>
      <c r="D158" s="14" t="str">
        <f>IF('KPI Plan'!T160&lt;&gt;"",'KPI Plan'!T160,"")</f>
        <v/>
      </c>
      <c r="E158" s="14" t="str">
        <f>IF('KPI Plan'!U160&lt;&gt;"",'KPI Plan'!U160,"")</f>
        <v/>
      </c>
      <c r="F158" s="1" t="str">
        <f t="shared" si="4"/>
        <v/>
      </c>
    </row>
    <row r="159" spans="1:6">
      <c r="A159" s="14" t="str">
        <f>IF('KPI Plan'!A161&lt;&gt;"",'KPI Plan'!A161,"")</f>
        <v/>
      </c>
      <c r="B159" s="14" t="str">
        <f>IF('KPI Plan'!D161&lt;&gt;"",'KPI Plan'!D161,"")</f>
        <v/>
      </c>
      <c r="C159" s="14" t="str">
        <f>IF('KPI Plan'!F161&lt;&gt;"",'KPI Plan'!F161,"")</f>
        <v/>
      </c>
      <c r="D159" s="14" t="str">
        <f>IF('KPI Plan'!T161&lt;&gt;"",'KPI Plan'!T161,"")</f>
        <v/>
      </c>
      <c r="E159" s="14" t="str">
        <f>IF('KPI Plan'!U161&lt;&gt;"",'KPI Plan'!U161,"")</f>
        <v/>
      </c>
      <c r="F159" s="1" t="str">
        <f t="shared" si="4"/>
        <v/>
      </c>
    </row>
    <row r="160" spans="1:6">
      <c r="A160" s="14" t="str">
        <f>IF('KPI Plan'!A162&lt;&gt;"",'KPI Plan'!A162,"")</f>
        <v/>
      </c>
      <c r="B160" s="14" t="str">
        <f>IF('KPI Plan'!D162&lt;&gt;"",'KPI Plan'!D162,"")</f>
        <v/>
      </c>
      <c r="C160" s="14" t="str">
        <f>IF('KPI Plan'!F162&lt;&gt;"",'KPI Plan'!F162,"")</f>
        <v/>
      </c>
      <c r="D160" s="14" t="str">
        <f>IF('KPI Plan'!T162&lt;&gt;"",'KPI Plan'!T162,"")</f>
        <v/>
      </c>
      <c r="E160" s="14" t="str">
        <f>IF('KPI Plan'!U162&lt;&gt;"",'KPI Plan'!U162,"")</f>
        <v/>
      </c>
      <c r="F160" s="1" t="str">
        <f t="shared" si="4"/>
        <v/>
      </c>
    </row>
    <row r="161" spans="1:6">
      <c r="A161" s="14" t="str">
        <f>IF('KPI Plan'!A163&lt;&gt;"",'KPI Plan'!A163,"")</f>
        <v/>
      </c>
      <c r="B161" s="14" t="str">
        <f>IF('KPI Plan'!D163&lt;&gt;"",'KPI Plan'!D163,"")</f>
        <v/>
      </c>
      <c r="C161" s="14" t="str">
        <f>IF('KPI Plan'!F163&lt;&gt;"",'KPI Plan'!F163,"")</f>
        <v/>
      </c>
      <c r="D161" s="14" t="str">
        <f>IF('KPI Plan'!T163&lt;&gt;"",'KPI Plan'!T163,"")</f>
        <v/>
      </c>
      <c r="E161" s="14" t="str">
        <f>IF('KPI Plan'!U163&lt;&gt;"",'KPI Plan'!U163,"")</f>
        <v/>
      </c>
      <c r="F161" s="1" t="str">
        <f t="shared" si="4"/>
        <v/>
      </c>
    </row>
    <row r="162" spans="1:6">
      <c r="A162" s="14" t="str">
        <f>IF('KPI Plan'!A164&lt;&gt;"",'KPI Plan'!A164,"")</f>
        <v/>
      </c>
      <c r="B162" s="14" t="str">
        <f>IF('KPI Plan'!D164&lt;&gt;"",'KPI Plan'!D164,"")</f>
        <v/>
      </c>
      <c r="C162" s="14" t="str">
        <f>IF('KPI Plan'!F164&lt;&gt;"",'KPI Plan'!F164,"")</f>
        <v/>
      </c>
      <c r="D162" s="14" t="str">
        <f>IF('KPI Plan'!T164&lt;&gt;"",'KPI Plan'!T164,"")</f>
        <v/>
      </c>
      <c r="E162" s="14" t="str">
        <f>IF('KPI Plan'!U164&lt;&gt;"",'KPI Plan'!U164,"")</f>
        <v/>
      </c>
      <c r="F162" s="1" t="str">
        <f t="shared" si="4"/>
        <v/>
      </c>
    </row>
    <row r="163" spans="1:6">
      <c r="A163" s="14" t="str">
        <f>IF('KPI Plan'!A165&lt;&gt;"",'KPI Plan'!A165,"")</f>
        <v/>
      </c>
      <c r="B163" s="14" t="str">
        <f>IF('KPI Plan'!D165&lt;&gt;"",'KPI Plan'!D165,"")</f>
        <v/>
      </c>
      <c r="C163" s="14" t="str">
        <f>IF('KPI Plan'!F165&lt;&gt;"",'KPI Plan'!F165,"")</f>
        <v/>
      </c>
      <c r="D163" s="14" t="str">
        <f>IF('KPI Plan'!T165&lt;&gt;"",'KPI Plan'!T165,"")</f>
        <v/>
      </c>
      <c r="E163" s="14" t="str">
        <f>IF('KPI Plan'!U165&lt;&gt;"",'KPI Plan'!U165,"")</f>
        <v/>
      </c>
      <c r="F163" s="1" t="str">
        <f t="shared" si="4"/>
        <v/>
      </c>
    </row>
    <row r="164" spans="1:6">
      <c r="A164" s="14" t="str">
        <f>IF('KPI Plan'!A166&lt;&gt;"",'KPI Plan'!A166,"")</f>
        <v/>
      </c>
      <c r="B164" s="14" t="str">
        <f>IF('KPI Plan'!D166&lt;&gt;"",'KPI Plan'!D166,"")</f>
        <v/>
      </c>
      <c r="C164" s="14" t="str">
        <f>IF('KPI Plan'!F166&lt;&gt;"",'KPI Plan'!F166,"")</f>
        <v/>
      </c>
      <c r="D164" s="14" t="str">
        <f>IF('KPI Plan'!T166&lt;&gt;"",'KPI Plan'!T166,"")</f>
        <v/>
      </c>
      <c r="E164" s="14" t="str">
        <f>IF('KPI Plan'!U166&lt;&gt;"",'KPI Plan'!U166,"")</f>
        <v/>
      </c>
      <c r="F164" s="1" t="str">
        <f t="shared" si="4"/>
        <v/>
      </c>
    </row>
    <row r="165" spans="1:6">
      <c r="A165" s="14" t="str">
        <f>IF('KPI Plan'!A167&lt;&gt;"",'KPI Plan'!A167,"")</f>
        <v/>
      </c>
      <c r="B165" s="14" t="str">
        <f>IF('KPI Plan'!D167&lt;&gt;"",'KPI Plan'!D167,"")</f>
        <v/>
      </c>
      <c r="C165" s="14" t="str">
        <f>IF('KPI Plan'!F167&lt;&gt;"",'KPI Plan'!F167,"")</f>
        <v/>
      </c>
      <c r="D165" s="14" t="str">
        <f>IF('KPI Plan'!T167&lt;&gt;"",'KPI Plan'!T167,"")</f>
        <v/>
      </c>
      <c r="E165" s="14" t="str">
        <f>IF('KPI Plan'!U167&lt;&gt;"",'KPI Plan'!U167,"")</f>
        <v/>
      </c>
      <c r="F165" s="1" t="str">
        <f t="shared" si="4"/>
        <v/>
      </c>
    </row>
    <row r="166" spans="1:6">
      <c r="A166" s="14" t="str">
        <f>IF('KPI Plan'!A168&lt;&gt;"",'KPI Plan'!A168,"")</f>
        <v/>
      </c>
      <c r="B166" s="14" t="str">
        <f>IF('KPI Plan'!D168&lt;&gt;"",'KPI Plan'!D168,"")</f>
        <v/>
      </c>
      <c r="C166" s="14" t="str">
        <f>IF('KPI Plan'!F168&lt;&gt;"",'KPI Plan'!F168,"")</f>
        <v/>
      </c>
      <c r="D166" s="14" t="str">
        <f>IF('KPI Plan'!T168&lt;&gt;"",'KPI Plan'!T168,"")</f>
        <v/>
      </c>
      <c r="E166" s="14" t="str">
        <f>IF('KPI Plan'!U168&lt;&gt;"",'KPI Plan'!U168,"")</f>
        <v/>
      </c>
      <c r="F166" s="1" t="str">
        <f t="shared" si="4"/>
        <v/>
      </c>
    </row>
    <row r="167" spans="1:6">
      <c r="A167" s="14" t="str">
        <f>IF('KPI Plan'!A169&lt;&gt;"",'KPI Plan'!A169,"")</f>
        <v/>
      </c>
      <c r="B167" s="14" t="str">
        <f>IF('KPI Plan'!D169&lt;&gt;"",'KPI Plan'!D169,"")</f>
        <v/>
      </c>
      <c r="C167" s="14" t="str">
        <f>IF('KPI Plan'!F169&lt;&gt;"",'KPI Plan'!F169,"")</f>
        <v/>
      </c>
      <c r="D167" s="14" t="str">
        <f>IF('KPI Plan'!T169&lt;&gt;"",'KPI Plan'!T169,"")</f>
        <v/>
      </c>
      <c r="E167" s="14" t="str">
        <f>IF('KPI Plan'!U169&lt;&gt;"",'KPI Plan'!U169,"")</f>
        <v/>
      </c>
      <c r="F167" s="1" t="str">
        <f t="shared" si="4"/>
        <v/>
      </c>
    </row>
    <row r="168" spans="1:6">
      <c r="A168" s="14" t="str">
        <f>IF('KPI Plan'!A170&lt;&gt;"",'KPI Plan'!A170,"")</f>
        <v/>
      </c>
      <c r="B168" s="14" t="str">
        <f>IF('KPI Plan'!D170&lt;&gt;"",'KPI Plan'!D170,"")</f>
        <v/>
      </c>
      <c r="C168" s="14" t="str">
        <f>IF('KPI Plan'!F170&lt;&gt;"",'KPI Plan'!F170,"")</f>
        <v/>
      </c>
      <c r="D168" s="14" t="str">
        <f>IF('KPI Plan'!T170&lt;&gt;"",'KPI Plan'!T170,"")</f>
        <v/>
      </c>
      <c r="E168" s="14" t="str">
        <f>IF('KPI Plan'!U170&lt;&gt;"",'KPI Plan'!U170,"")</f>
        <v/>
      </c>
      <c r="F168" s="1" t="str">
        <f t="shared" si="4"/>
        <v/>
      </c>
    </row>
    <row r="169" spans="1:6">
      <c r="A169" s="14" t="str">
        <f>IF('KPI Plan'!A171&lt;&gt;"",'KPI Plan'!A171,"")</f>
        <v/>
      </c>
      <c r="B169" s="14" t="str">
        <f>IF('KPI Plan'!D171&lt;&gt;"",'KPI Plan'!D171,"")</f>
        <v/>
      </c>
      <c r="C169" s="14" t="str">
        <f>IF('KPI Plan'!F171&lt;&gt;"",'KPI Plan'!F171,"")</f>
        <v/>
      </c>
      <c r="D169" s="14" t="str">
        <f>IF('KPI Plan'!T171&lt;&gt;"",'KPI Plan'!T171,"")</f>
        <v/>
      </c>
      <c r="E169" s="14" t="str">
        <f>IF('KPI Plan'!U171&lt;&gt;"",'KPI Plan'!U171,"")</f>
        <v/>
      </c>
      <c r="F169" s="1" t="str">
        <f t="shared" si="4"/>
        <v/>
      </c>
    </row>
    <row r="170" spans="1:6">
      <c r="A170" s="14" t="str">
        <f>IF('KPI Plan'!A172&lt;&gt;"",'KPI Plan'!A172,"")</f>
        <v/>
      </c>
      <c r="B170" s="14" t="str">
        <f>IF('KPI Plan'!D172&lt;&gt;"",'KPI Plan'!D172,"")</f>
        <v/>
      </c>
      <c r="C170" s="14" t="str">
        <f>IF('KPI Plan'!F172&lt;&gt;"",'KPI Plan'!F172,"")</f>
        <v/>
      </c>
      <c r="D170" s="14" t="str">
        <f>IF('KPI Plan'!T172&lt;&gt;"",'KPI Plan'!T172,"")</f>
        <v/>
      </c>
      <c r="E170" s="14" t="str">
        <f>IF('KPI Plan'!U172&lt;&gt;"",'KPI Plan'!U172,"")</f>
        <v/>
      </c>
      <c r="F170" s="1" t="str">
        <f t="shared" si="4"/>
        <v/>
      </c>
    </row>
    <row r="171" spans="1:6">
      <c r="A171" s="14" t="str">
        <f>IF('KPI Plan'!A173&lt;&gt;"",'KPI Plan'!A173,"")</f>
        <v/>
      </c>
      <c r="B171" s="14" t="str">
        <f>IF('KPI Plan'!D173&lt;&gt;"",'KPI Plan'!D173,"")</f>
        <v/>
      </c>
      <c r="C171" s="14" t="str">
        <f>IF('KPI Plan'!F173&lt;&gt;"",'KPI Plan'!F173,"")</f>
        <v/>
      </c>
      <c r="D171" s="14" t="str">
        <f>IF('KPI Plan'!T173&lt;&gt;"",'KPI Plan'!T173,"")</f>
        <v/>
      </c>
      <c r="E171" s="14" t="str">
        <f>IF('KPI Plan'!U173&lt;&gt;"",'KPI Plan'!U173,"")</f>
        <v/>
      </c>
      <c r="F171" s="1" t="str">
        <f t="shared" si="4"/>
        <v/>
      </c>
    </row>
    <row r="172" spans="1:6">
      <c r="A172" s="14" t="str">
        <f>IF('KPI Plan'!A174&lt;&gt;"",'KPI Plan'!A174,"")</f>
        <v/>
      </c>
      <c r="B172" s="14" t="str">
        <f>IF('KPI Plan'!D174&lt;&gt;"",'KPI Plan'!D174,"")</f>
        <v/>
      </c>
      <c r="C172" s="14" t="str">
        <f>IF('KPI Plan'!F174&lt;&gt;"",'KPI Plan'!F174,"")</f>
        <v/>
      </c>
      <c r="D172" s="14" t="str">
        <f>IF('KPI Plan'!T174&lt;&gt;"",'KPI Plan'!T174,"")</f>
        <v/>
      </c>
      <c r="E172" s="14" t="str">
        <f>IF('KPI Plan'!U174&lt;&gt;"",'KPI Plan'!U174,"")</f>
        <v/>
      </c>
      <c r="F172" s="1" t="str">
        <f t="shared" si="4"/>
        <v/>
      </c>
    </row>
    <row r="173" spans="1:6">
      <c r="A173" s="14" t="str">
        <f>IF('KPI Plan'!A175&lt;&gt;"",'KPI Plan'!A175,"")</f>
        <v/>
      </c>
      <c r="B173" s="14" t="str">
        <f>IF('KPI Plan'!D175&lt;&gt;"",'KPI Plan'!D175,"")</f>
        <v/>
      </c>
      <c r="C173" s="14" t="str">
        <f>IF('KPI Plan'!F175&lt;&gt;"",'KPI Plan'!F175,"")</f>
        <v/>
      </c>
      <c r="D173" s="14" t="str">
        <f>IF('KPI Plan'!T175&lt;&gt;"",'KPI Plan'!T175,"")</f>
        <v/>
      </c>
      <c r="E173" s="14" t="str">
        <f>IF('KPI Plan'!U175&lt;&gt;"",'KPI Plan'!U175,"")</f>
        <v/>
      </c>
      <c r="F173" s="1" t="str">
        <f t="shared" si="4"/>
        <v/>
      </c>
    </row>
    <row r="174" spans="1:6">
      <c r="A174" s="14" t="str">
        <f>IF('KPI Plan'!A176&lt;&gt;"",'KPI Plan'!A176,"")</f>
        <v/>
      </c>
      <c r="B174" s="14" t="str">
        <f>IF('KPI Plan'!D176&lt;&gt;"",'KPI Plan'!D176,"")</f>
        <v/>
      </c>
      <c r="C174" s="14" t="str">
        <f>IF('KPI Plan'!F176&lt;&gt;"",'KPI Plan'!F176,"")</f>
        <v/>
      </c>
      <c r="D174" s="14" t="str">
        <f>IF('KPI Plan'!T176&lt;&gt;"",'KPI Plan'!T176,"")</f>
        <v/>
      </c>
      <c r="E174" s="14" t="str">
        <f>IF('KPI Plan'!U176&lt;&gt;"",'KPI Plan'!U176,"")</f>
        <v/>
      </c>
      <c r="F174" s="1" t="str">
        <f t="shared" si="4"/>
        <v/>
      </c>
    </row>
    <row r="175" spans="1:6">
      <c r="A175" s="14" t="str">
        <f>IF('KPI Plan'!A177&lt;&gt;"",'KPI Plan'!A177,"")</f>
        <v/>
      </c>
      <c r="B175" s="14" t="str">
        <f>IF('KPI Plan'!D177&lt;&gt;"",'KPI Plan'!D177,"")</f>
        <v/>
      </c>
      <c r="C175" s="14" t="str">
        <f>IF('KPI Plan'!F177&lt;&gt;"",'KPI Plan'!F177,"")</f>
        <v/>
      </c>
      <c r="D175" s="14" t="str">
        <f>IF('KPI Plan'!T177&lt;&gt;"",'KPI Plan'!T177,"")</f>
        <v/>
      </c>
      <c r="E175" s="14" t="str">
        <f>IF('KPI Plan'!U177&lt;&gt;"",'KPI Plan'!U177,"")</f>
        <v/>
      </c>
      <c r="F175" s="1" t="str">
        <f t="shared" si="4"/>
        <v/>
      </c>
    </row>
    <row r="176" spans="1:6">
      <c r="A176" s="14" t="str">
        <f>IF('KPI Plan'!A178&lt;&gt;"",'KPI Plan'!A178,"")</f>
        <v/>
      </c>
      <c r="B176" s="14" t="str">
        <f>IF('KPI Plan'!D178&lt;&gt;"",'KPI Plan'!D178,"")</f>
        <v/>
      </c>
      <c r="C176" s="14" t="str">
        <f>IF('KPI Plan'!F178&lt;&gt;"",'KPI Plan'!F178,"")</f>
        <v/>
      </c>
      <c r="D176" s="14" t="str">
        <f>IF('KPI Plan'!T178&lt;&gt;"",'KPI Plan'!T178,"")</f>
        <v/>
      </c>
      <c r="E176" s="14" t="str">
        <f>IF('KPI Plan'!U178&lt;&gt;"",'KPI Plan'!U178,"")</f>
        <v/>
      </c>
      <c r="F176" s="1" t="str">
        <f t="shared" si="4"/>
        <v/>
      </c>
    </row>
    <row r="177" spans="1:6">
      <c r="A177" s="14" t="str">
        <f>IF('KPI Plan'!A179&lt;&gt;"",'KPI Plan'!A179,"")</f>
        <v/>
      </c>
      <c r="B177" s="14" t="str">
        <f>IF('KPI Plan'!D179&lt;&gt;"",'KPI Plan'!D179,"")</f>
        <v/>
      </c>
      <c r="C177" s="14" t="str">
        <f>IF('KPI Plan'!F179&lt;&gt;"",'KPI Plan'!F179,"")</f>
        <v/>
      </c>
      <c r="D177" s="14" t="str">
        <f>IF('KPI Plan'!T179&lt;&gt;"",'KPI Plan'!T179,"")</f>
        <v/>
      </c>
      <c r="E177" s="14" t="str">
        <f>IF('KPI Plan'!U179&lt;&gt;"",'KPI Plan'!U179,"")</f>
        <v/>
      </c>
      <c r="F177" s="1" t="str">
        <f t="shared" si="4"/>
        <v/>
      </c>
    </row>
    <row r="178" spans="1:6">
      <c r="A178" s="14" t="str">
        <f>IF('KPI Plan'!A180&lt;&gt;"",'KPI Plan'!A180,"")</f>
        <v/>
      </c>
      <c r="B178" s="14" t="str">
        <f>IF('KPI Plan'!D180&lt;&gt;"",'KPI Plan'!D180,"")</f>
        <v/>
      </c>
      <c r="C178" s="14" t="str">
        <f>IF('KPI Plan'!F180&lt;&gt;"",'KPI Plan'!F180,"")</f>
        <v/>
      </c>
      <c r="D178" s="14" t="str">
        <f>IF('KPI Plan'!T180&lt;&gt;"",'KPI Plan'!T180,"")</f>
        <v/>
      </c>
      <c r="E178" s="14" t="str">
        <f>IF('KPI Plan'!U180&lt;&gt;"",'KPI Plan'!U180,"")</f>
        <v/>
      </c>
      <c r="F178" s="1" t="str">
        <f t="shared" si="4"/>
        <v/>
      </c>
    </row>
    <row r="179" spans="1:6">
      <c r="A179" s="14" t="str">
        <f>IF('KPI Plan'!A181&lt;&gt;"",'KPI Plan'!A181,"")</f>
        <v/>
      </c>
      <c r="B179" s="14" t="str">
        <f>IF('KPI Plan'!D181&lt;&gt;"",'KPI Plan'!D181,"")</f>
        <v/>
      </c>
      <c r="C179" s="14" t="str">
        <f>IF('KPI Plan'!F181&lt;&gt;"",'KPI Plan'!F181,"")</f>
        <v/>
      </c>
      <c r="D179" s="14" t="str">
        <f>IF('KPI Plan'!T181&lt;&gt;"",'KPI Plan'!T181,"")</f>
        <v/>
      </c>
      <c r="E179" s="14" t="str">
        <f>IF('KPI Plan'!U181&lt;&gt;"",'KPI Plan'!U181,"")</f>
        <v/>
      </c>
      <c r="F179" s="1" t="str">
        <f t="shared" si="4"/>
        <v/>
      </c>
    </row>
    <row r="180" spans="1:6">
      <c r="A180" s="14" t="str">
        <f>IF('KPI Plan'!A182&lt;&gt;"",'KPI Plan'!A182,"")</f>
        <v/>
      </c>
      <c r="B180" s="14" t="str">
        <f>IF('KPI Plan'!D182&lt;&gt;"",'KPI Plan'!D182,"")</f>
        <v/>
      </c>
      <c r="C180" s="14" t="str">
        <f>IF('KPI Plan'!F182&lt;&gt;"",'KPI Plan'!F182,"")</f>
        <v/>
      </c>
      <c r="D180" s="14" t="str">
        <f>IF('KPI Plan'!T182&lt;&gt;"",'KPI Plan'!T182,"")</f>
        <v/>
      </c>
      <c r="E180" s="14" t="str">
        <f>IF('KPI Plan'!U182&lt;&gt;"",'KPI Plan'!U182,"")</f>
        <v/>
      </c>
      <c r="F180" s="1" t="str">
        <f t="shared" si="4"/>
        <v/>
      </c>
    </row>
    <row r="181" spans="1:6">
      <c r="A181" s="14" t="str">
        <f>IF('KPI Plan'!A183&lt;&gt;"",'KPI Plan'!A183,"")</f>
        <v/>
      </c>
      <c r="B181" s="14" t="str">
        <f>IF('KPI Plan'!D183&lt;&gt;"",'KPI Plan'!D183,"")</f>
        <v/>
      </c>
      <c r="C181" s="14" t="str">
        <f>IF('KPI Plan'!F183&lt;&gt;"",'KPI Plan'!F183,"")</f>
        <v/>
      </c>
      <c r="D181" s="14" t="str">
        <f>IF('KPI Plan'!T183&lt;&gt;"",'KPI Plan'!T183,"")</f>
        <v/>
      </c>
      <c r="E181" s="14" t="str">
        <f>IF('KPI Plan'!U183&lt;&gt;"",'KPI Plan'!U183,"")</f>
        <v/>
      </c>
      <c r="F181" s="1" t="str">
        <f t="shared" si="4"/>
        <v/>
      </c>
    </row>
    <row r="182" spans="1:6">
      <c r="A182" s="14" t="str">
        <f>IF('KPI Plan'!A184&lt;&gt;"",'KPI Plan'!A184,"")</f>
        <v/>
      </c>
      <c r="B182" s="14" t="str">
        <f>IF('KPI Plan'!D184&lt;&gt;"",'KPI Plan'!D184,"")</f>
        <v/>
      </c>
      <c r="C182" s="14" t="str">
        <f>IF('KPI Plan'!F184&lt;&gt;"",'KPI Plan'!F184,"")</f>
        <v/>
      </c>
      <c r="D182" s="14" t="str">
        <f>IF('KPI Plan'!T184&lt;&gt;"",'KPI Plan'!T184,"")</f>
        <v/>
      </c>
      <c r="E182" s="14" t="str">
        <f>IF('KPI Plan'!U184&lt;&gt;"",'KPI Plan'!U184,"")</f>
        <v/>
      </c>
      <c r="F182" s="1" t="str">
        <f t="shared" si="4"/>
        <v/>
      </c>
    </row>
    <row r="183" spans="1:6">
      <c r="A183" s="14" t="str">
        <f>IF('KPI Plan'!A185&lt;&gt;"",'KPI Plan'!A185,"")</f>
        <v/>
      </c>
      <c r="B183" s="14" t="str">
        <f>IF('KPI Plan'!D185&lt;&gt;"",'KPI Plan'!D185,"")</f>
        <v/>
      </c>
      <c r="C183" s="14" t="str">
        <f>IF('KPI Plan'!F185&lt;&gt;"",'KPI Plan'!F185,"")</f>
        <v/>
      </c>
      <c r="D183" s="14" t="str">
        <f>IF('KPI Plan'!T185&lt;&gt;"",'KPI Plan'!T185,"")</f>
        <v/>
      </c>
      <c r="E183" s="14" t="str">
        <f>IF('KPI Plan'!U185&lt;&gt;"",'KPI Plan'!U185,"")</f>
        <v/>
      </c>
      <c r="F183" s="1" t="str">
        <f t="shared" si="4"/>
        <v/>
      </c>
    </row>
    <row r="184" spans="1:6">
      <c r="A184" s="14" t="str">
        <f>IF('KPI Plan'!A186&lt;&gt;"",'KPI Plan'!A186,"")</f>
        <v/>
      </c>
      <c r="B184" s="14" t="str">
        <f>IF('KPI Plan'!D186&lt;&gt;"",'KPI Plan'!D186,"")</f>
        <v/>
      </c>
      <c r="C184" s="14" t="str">
        <f>IF('KPI Plan'!F186&lt;&gt;"",'KPI Plan'!F186,"")</f>
        <v/>
      </c>
      <c r="D184" s="14" t="str">
        <f>IF('KPI Plan'!T186&lt;&gt;"",'KPI Plan'!T186,"")</f>
        <v/>
      </c>
      <c r="E184" s="14" t="str">
        <f>IF('KPI Plan'!U186&lt;&gt;"",'KPI Plan'!U186,"")</f>
        <v/>
      </c>
      <c r="F184" s="1" t="str">
        <f t="shared" si="4"/>
        <v/>
      </c>
    </row>
    <row r="185" spans="1:6">
      <c r="A185" s="14" t="str">
        <f>IF('KPI Plan'!A187&lt;&gt;"",'KPI Plan'!A187,"")</f>
        <v/>
      </c>
      <c r="B185" s="14" t="str">
        <f>IF('KPI Plan'!D187&lt;&gt;"",'KPI Plan'!D187,"")</f>
        <v/>
      </c>
      <c r="C185" s="14" t="str">
        <f>IF('KPI Plan'!F187&lt;&gt;"",'KPI Plan'!F187,"")</f>
        <v/>
      </c>
      <c r="D185" s="14" t="str">
        <f>IF('KPI Plan'!T187&lt;&gt;"",'KPI Plan'!T187,"")</f>
        <v/>
      </c>
      <c r="E185" s="14" t="str">
        <f>IF('KPI Plan'!U187&lt;&gt;"",'KPI Plan'!U187,"")</f>
        <v/>
      </c>
      <c r="F185" s="1" t="str">
        <f t="shared" si="4"/>
        <v/>
      </c>
    </row>
    <row r="186" spans="1:6">
      <c r="A186" s="14" t="str">
        <f>IF('KPI Plan'!A188&lt;&gt;"",'KPI Plan'!A188,"")</f>
        <v/>
      </c>
      <c r="B186" s="14" t="str">
        <f>IF('KPI Plan'!D188&lt;&gt;"",'KPI Plan'!D188,"")</f>
        <v/>
      </c>
      <c r="C186" s="14" t="str">
        <f>IF('KPI Plan'!F188&lt;&gt;"",'KPI Plan'!F188,"")</f>
        <v/>
      </c>
      <c r="D186" s="14" t="str">
        <f>IF('KPI Plan'!T188&lt;&gt;"",'KPI Plan'!T188,"")</f>
        <v/>
      </c>
      <c r="E186" s="14" t="str">
        <f>IF('KPI Plan'!U188&lt;&gt;"",'KPI Plan'!U188,"")</f>
        <v/>
      </c>
      <c r="F186" s="1" t="str">
        <f t="shared" si="4"/>
        <v/>
      </c>
    </row>
    <row r="187" spans="1:6">
      <c r="A187" s="14" t="str">
        <f>IF('KPI Plan'!A189&lt;&gt;"",'KPI Plan'!A189,"")</f>
        <v/>
      </c>
      <c r="B187" s="14" t="str">
        <f>IF('KPI Plan'!D189&lt;&gt;"",'KPI Plan'!D189,"")</f>
        <v/>
      </c>
      <c r="C187" s="14" t="str">
        <f>IF('KPI Plan'!F189&lt;&gt;"",'KPI Plan'!F189,"")</f>
        <v/>
      </c>
      <c r="D187" s="14" t="str">
        <f>IF('KPI Plan'!T189&lt;&gt;"",'KPI Plan'!T189,"")</f>
        <v/>
      </c>
      <c r="E187" s="14" t="str">
        <f>IF('KPI Plan'!U189&lt;&gt;"",'KPI Plan'!U189,"")</f>
        <v/>
      </c>
      <c r="F187" s="1" t="str">
        <f t="shared" si="4"/>
        <v/>
      </c>
    </row>
    <row r="188" spans="1:6">
      <c r="A188" s="14" t="str">
        <f>IF('KPI Plan'!A190&lt;&gt;"",'KPI Plan'!A190,"")</f>
        <v/>
      </c>
      <c r="B188" s="14" t="str">
        <f>IF('KPI Plan'!D190&lt;&gt;"",'KPI Plan'!D190,"")</f>
        <v/>
      </c>
      <c r="C188" s="14" t="str">
        <f>IF('KPI Plan'!F190&lt;&gt;"",'KPI Plan'!F190,"")</f>
        <v/>
      </c>
      <c r="D188" s="14" t="str">
        <f>IF('KPI Plan'!T190&lt;&gt;"",'KPI Plan'!T190,"")</f>
        <v/>
      </c>
      <c r="E188" s="14" t="str">
        <f>IF('KPI Plan'!U190&lt;&gt;"",'KPI Plan'!U190,"")</f>
        <v/>
      </c>
      <c r="F188" s="1" t="str">
        <f t="shared" si="4"/>
        <v/>
      </c>
    </row>
    <row r="189" spans="1:6">
      <c r="A189" s="14" t="str">
        <f>IF('KPI Plan'!A191&lt;&gt;"",'KPI Plan'!A191,"")</f>
        <v/>
      </c>
      <c r="B189" s="14" t="str">
        <f>IF('KPI Plan'!D191&lt;&gt;"",'KPI Plan'!D191,"")</f>
        <v/>
      </c>
      <c r="C189" s="14" t="str">
        <f>IF('KPI Plan'!F191&lt;&gt;"",'KPI Plan'!F191,"")</f>
        <v/>
      </c>
      <c r="D189" s="14" t="str">
        <f>IF('KPI Plan'!T191&lt;&gt;"",'KPI Plan'!T191,"")</f>
        <v/>
      </c>
      <c r="E189" s="14" t="str">
        <f>IF('KPI Plan'!U191&lt;&gt;"",'KPI Plan'!U191,"")</f>
        <v/>
      </c>
      <c r="F189" s="1" t="str">
        <f t="shared" si="4"/>
        <v/>
      </c>
    </row>
    <row r="190" spans="1:6">
      <c r="A190" s="14" t="str">
        <f>IF('KPI Plan'!A192&lt;&gt;"",'KPI Plan'!A192,"")</f>
        <v/>
      </c>
      <c r="B190" s="14" t="str">
        <f>IF('KPI Plan'!D192&lt;&gt;"",'KPI Plan'!D192,"")</f>
        <v/>
      </c>
      <c r="C190" s="14" t="str">
        <f>IF('KPI Plan'!F192&lt;&gt;"",'KPI Plan'!F192,"")</f>
        <v/>
      </c>
      <c r="D190" s="14" t="str">
        <f>IF('KPI Plan'!T192&lt;&gt;"",'KPI Plan'!T192,"")</f>
        <v/>
      </c>
      <c r="E190" s="14" t="str">
        <f>IF('KPI Plan'!U192&lt;&gt;"",'KPI Plan'!U192,"")</f>
        <v/>
      </c>
      <c r="F190" s="1" t="str">
        <f t="shared" si="4"/>
        <v/>
      </c>
    </row>
    <row r="191" spans="1:6">
      <c r="A191" s="14" t="str">
        <f>IF('KPI Plan'!A193&lt;&gt;"",'KPI Plan'!A193,"")</f>
        <v/>
      </c>
      <c r="B191" s="14" t="str">
        <f>IF('KPI Plan'!D193&lt;&gt;"",'KPI Plan'!D193,"")</f>
        <v/>
      </c>
      <c r="C191" s="14" t="str">
        <f>IF('KPI Plan'!F193&lt;&gt;"",'KPI Plan'!F193,"")</f>
        <v/>
      </c>
      <c r="D191" s="14" t="str">
        <f>IF('KPI Plan'!T193&lt;&gt;"",'KPI Plan'!T193,"")</f>
        <v/>
      </c>
      <c r="E191" s="14" t="str">
        <f>IF('KPI Plan'!U193&lt;&gt;"",'KPI Plan'!U193,"")</f>
        <v/>
      </c>
      <c r="F191" s="1" t="str">
        <f t="shared" si="4"/>
        <v/>
      </c>
    </row>
    <row r="192" spans="1:6">
      <c r="A192" s="14" t="str">
        <f>IF('KPI Plan'!A194&lt;&gt;"",'KPI Plan'!A194,"")</f>
        <v/>
      </c>
      <c r="B192" s="14" t="str">
        <f>IF('KPI Plan'!D194&lt;&gt;"",'KPI Plan'!D194,"")</f>
        <v/>
      </c>
      <c r="C192" s="14" t="str">
        <f>IF('KPI Plan'!F194&lt;&gt;"",'KPI Plan'!F194,"")</f>
        <v/>
      </c>
      <c r="D192" s="14" t="str">
        <f>IF('KPI Plan'!T194&lt;&gt;"",'KPI Plan'!T194,"")</f>
        <v/>
      </c>
      <c r="E192" s="14" t="str">
        <f>IF('KPI Plan'!U194&lt;&gt;"",'KPI Plan'!U194,"")</f>
        <v/>
      </c>
      <c r="F192" s="1" t="str">
        <f t="shared" si="4"/>
        <v/>
      </c>
    </row>
    <row r="193" spans="1:6">
      <c r="A193" s="14" t="str">
        <f>IF('KPI Plan'!A195&lt;&gt;"",'KPI Plan'!A195,"")</f>
        <v/>
      </c>
      <c r="B193" s="14" t="str">
        <f>IF('KPI Plan'!D195&lt;&gt;"",'KPI Plan'!D195,"")</f>
        <v/>
      </c>
      <c r="C193" s="14" t="str">
        <f>IF('KPI Plan'!F195&lt;&gt;"",'KPI Plan'!F195,"")</f>
        <v/>
      </c>
      <c r="D193" s="14" t="str">
        <f>IF('KPI Plan'!T195&lt;&gt;"",'KPI Plan'!T195,"")</f>
        <v/>
      </c>
      <c r="E193" s="14" t="str">
        <f>IF('KPI Plan'!U195&lt;&gt;"",'KPI Plan'!U195,"")</f>
        <v/>
      </c>
      <c r="F193" s="1" t="str">
        <f t="shared" si="4"/>
        <v/>
      </c>
    </row>
    <row r="194" spans="1:6">
      <c r="A194" s="14" t="str">
        <f>IF('KPI Plan'!A196&lt;&gt;"",'KPI Plan'!A196,"")</f>
        <v/>
      </c>
      <c r="B194" s="14" t="str">
        <f>IF('KPI Plan'!D196&lt;&gt;"",'KPI Plan'!D196,"")</f>
        <v/>
      </c>
      <c r="C194" s="14" t="str">
        <f>IF('KPI Plan'!F196&lt;&gt;"",'KPI Plan'!F196,"")</f>
        <v/>
      </c>
      <c r="D194" s="14" t="str">
        <f>IF('KPI Plan'!T196&lt;&gt;"",'KPI Plan'!T196,"")</f>
        <v/>
      </c>
      <c r="E194" s="14" t="str">
        <f>IF('KPI Plan'!U196&lt;&gt;"",'KPI Plan'!U196,"")</f>
        <v/>
      </c>
      <c r="F194" s="1" t="str">
        <f t="shared" si="4"/>
        <v/>
      </c>
    </row>
    <row r="195" spans="1:6">
      <c r="A195" s="14" t="str">
        <f>IF('KPI Plan'!A197&lt;&gt;"",'KPI Plan'!A197,"")</f>
        <v/>
      </c>
      <c r="B195" s="14" t="str">
        <f>IF('KPI Plan'!D197&lt;&gt;"",'KPI Plan'!D197,"")</f>
        <v/>
      </c>
      <c r="C195" s="14" t="str">
        <f>IF('KPI Plan'!F197&lt;&gt;"",'KPI Plan'!F197,"")</f>
        <v/>
      </c>
      <c r="D195" s="14" t="str">
        <f>IF('KPI Plan'!T197&lt;&gt;"",'KPI Plan'!T197,"")</f>
        <v/>
      </c>
      <c r="E195" s="14" t="str">
        <f>IF('KPI Plan'!U197&lt;&gt;"",'KPI Plan'!U197,"")</f>
        <v/>
      </c>
      <c r="F195" s="1" t="str">
        <f t="shared" ref="F195:F249" si="5">IF(A195&lt;&gt;"",COUNTIF($E$2:$E$100,C195),"")</f>
        <v/>
      </c>
    </row>
    <row r="196" spans="1:6">
      <c r="A196" s="14" t="str">
        <f>IF('KPI Plan'!A198&lt;&gt;"",'KPI Plan'!A198,"")</f>
        <v/>
      </c>
      <c r="B196" s="14" t="str">
        <f>IF('KPI Plan'!D198&lt;&gt;"",'KPI Plan'!D198,"")</f>
        <v/>
      </c>
      <c r="C196" s="14" t="str">
        <f>IF('KPI Plan'!F198&lt;&gt;"",'KPI Plan'!F198,"")</f>
        <v/>
      </c>
      <c r="D196" s="14" t="str">
        <f>IF('KPI Plan'!T198&lt;&gt;"",'KPI Plan'!T198,"")</f>
        <v/>
      </c>
      <c r="E196" s="14" t="str">
        <f>IF('KPI Plan'!U198&lt;&gt;"",'KPI Plan'!U198,"")</f>
        <v/>
      </c>
      <c r="F196" s="1" t="str">
        <f t="shared" si="5"/>
        <v/>
      </c>
    </row>
    <row r="197" spans="1:6">
      <c r="A197" s="14" t="str">
        <f>IF('KPI Plan'!A199&lt;&gt;"",'KPI Plan'!A199,"")</f>
        <v/>
      </c>
      <c r="B197" s="14" t="str">
        <f>IF('KPI Plan'!D199&lt;&gt;"",'KPI Plan'!D199,"")</f>
        <v/>
      </c>
      <c r="C197" s="14" t="str">
        <f>IF('KPI Plan'!F199&lt;&gt;"",'KPI Plan'!F199,"")</f>
        <v/>
      </c>
      <c r="D197" s="14" t="str">
        <f>IF('KPI Plan'!T199&lt;&gt;"",'KPI Plan'!T199,"")</f>
        <v/>
      </c>
      <c r="E197" s="14" t="str">
        <f>IF('KPI Plan'!U199&lt;&gt;"",'KPI Plan'!U199,"")</f>
        <v/>
      </c>
      <c r="F197" s="1" t="str">
        <f t="shared" si="5"/>
        <v/>
      </c>
    </row>
    <row r="198" spans="1:6">
      <c r="A198" s="14" t="str">
        <f>IF('KPI Plan'!A200&lt;&gt;"",'KPI Plan'!A200,"")</f>
        <v/>
      </c>
      <c r="B198" s="14" t="str">
        <f>IF('KPI Plan'!D200&lt;&gt;"",'KPI Plan'!D200,"")</f>
        <v/>
      </c>
      <c r="C198" s="14" t="str">
        <f>IF('KPI Plan'!F200&lt;&gt;"",'KPI Plan'!F200,"")</f>
        <v/>
      </c>
      <c r="D198" s="14" t="str">
        <f>IF('KPI Plan'!T200&lt;&gt;"",'KPI Plan'!T200,"")</f>
        <v/>
      </c>
      <c r="E198" s="14" t="str">
        <f>IF('KPI Plan'!U200&lt;&gt;"",'KPI Plan'!U200,"")</f>
        <v/>
      </c>
      <c r="F198" s="1" t="str">
        <f t="shared" si="5"/>
        <v/>
      </c>
    </row>
    <row r="199" spans="1:6">
      <c r="A199" s="14" t="str">
        <f>IF('KPI Plan'!A201&lt;&gt;"",'KPI Plan'!A201,"")</f>
        <v/>
      </c>
      <c r="B199" s="14" t="str">
        <f>IF('KPI Plan'!D201&lt;&gt;"",'KPI Plan'!D201,"")</f>
        <v/>
      </c>
      <c r="C199" s="14" t="str">
        <f>IF('KPI Plan'!F201&lt;&gt;"",'KPI Plan'!F201,"")</f>
        <v/>
      </c>
      <c r="D199" s="14" t="str">
        <f>IF('KPI Plan'!T201&lt;&gt;"",'KPI Plan'!T201,"")</f>
        <v/>
      </c>
      <c r="E199" s="14" t="str">
        <f>IF('KPI Plan'!U201&lt;&gt;"",'KPI Plan'!U201,"")</f>
        <v/>
      </c>
      <c r="F199" s="1" t="str">
        <f t="shared" si="5"/>
        <v/>
      </c>
    </row>
    <row r="200" spans="1:6">
      <c r="A200" s="14" t="str">
        <f>IF('KPI Plan'!A202&lt;&gt;"",'KPI Plan'!A202,"")</f>
        <v/>
      </c>
      <c r="B200" s="14" t="str">
        <f>IF('KPI Plan'!D202&lt;&gt;"",'KPI Plan'!D202,"")</f>
        <v/>
      </c>
      <c r="C200" s="14" t="str">
        <f>IF('KPI Plan'!F202&lt;&gt;"",'KPI Plan'!F202,"")</f>
        <v/>
      </c>
      <c r="D200" s="14" t="str">
        <f>IF('KPI Plan'!T202&lt;&gt;"",'KPI Plan'!T202,"")</f>
        <v/>
      </c>
      <c r="E200" s="14" t="str">
        <f>IF('KPI Plan'!U202&lt;&gt;"",'KPI Plan'!U202,"")</f>
        <v/>
      </c>
      <c r="F200" s="1" t="str">
        <f t="shared" si="5"/>
        <v/>
      </c>
    </row>
    <row r="201" spans="1:6">
      <c r="A201" s="14" t="str">
        <f>IF('KPI Plan'!A203&lt;&gt;"",'KPI Plan'!A203,"")</f>
        <v/>
      </c>
      <c r="B201" s="14" t="str">
        <f>IF('KPI Plan'!D203&lt;&gt;"",'KPI Plan'!D203,"")</f>
        <v/>
      </c>
      <c r="C201" s="14" t="str">
        <f>IF('KPI Plan'!F203&lt;&gt;"",'KPI Plan'!F203,"")</f>
        <v/>
      </c>
      <c r="D201" s="14" t="str">
        <f>IF('KPI Plan'!T203&lt;&gt;"",'KPI Plan'!T203,"")</f>
        <v/>
      </c>
      <c r="E201" s="14" t="str">
        <f>IF('KPI Plan'!U203&lt;&gt;"",'KPI Plan'!U203,"")</f>
        <v/>
      </c>
      <c r="F201" s="1" t="str">
        <f t="shared" si="5"/>
        <v/>
      </c>
    </row>
    <row r="202" spans="1:6">
      <c r="A202" s="14" t="str">
        <f>IF('KPI Plan'!A204&lt;&gt;"",'KPI Plan'!A204,"")</f>
        <v/>
      </c>
      <c r="B202" s="14" t="str">
        <f>IF('KPI Plan'!D204&lt;&gt;"",'KPI Plan'!D204,"")</f>
        <v/>
      </c>
      <c r="C202" s="14" t="str">
        <f>IF('KPI Plan'!F204&lt;&gt;"",'KPI Plan'!F204,"")</f>
        <v/>
      </c>
      <c r="D202" s="14" t="str">
        <f>IF('KPI Plan'!T204&lt;&gt;"",'KPI Plan'!T204,"")</f>
        <v/>
      </c>
      <c r="E202" s="14" t="str">
        <f>IF('KPI Plan'!U204&lt;&gt;"",'KPI Plan'!U204,"")</f>
        <v/>
      </c>
      <c r="F202" s="1" t="str">
        <f t="shared" si="5"/>
        <v/>
      </c>
    </row>
    <row r="203" spans="1:6">
      <c r="A203" s="14" t="str">
        <f>IF('KPI Plan'!A205&lt;&gt;"",'KPI Plan'!A205,"")</f>
        <v/>
      </c>
      <c r="B203" s="14" t="str">
        <f>IF('KPI Plan'!D205&lt;&gt;"",'KPI Plan'!D205,"")</f>
        <v/>
      </c>
      <c r="C203" s="14" t="str">
        <f>IF('KPI Plan'!F205&lt;&gt;"",'KPI Plan'!F205,"")</f>
        <v/>
      </c>
      <c r="D203" s="14" t="str">
        <f>IF('KPI Plan'!T205&lt;&gt;"",'KPI Plan'!T205,"")</f>
        <v/>
      </c>
      <c r="E203" s="14" t="str">
        <f>IF('KPI Plan'!U205&lt;&gt;"",'KPI Plan'!U205,"")</f>
        <v/>
      </c>
      <c r="F203" s="1" t="str">
        <f t="shared" si="5"/>
        <v/>
      </c>
    </row>
    <row r="204" spans="1:6">
      <c r="A204" s="14" t="str">
        <f>IF('KPI Plan'!A206&lt;&gt;"",'KPI Plan'!A206,"")</f>
        <v/>
      </c>
      <c r="B204" s="14" t="str">
        <f>IF('KPI Plan'!D206&lt;&gt;"",'KPI Plan'!D206,"")</f>
        <v/>
      </c>
      <c r="C204" s="14" t="str">
        <f>IF('KPI Plan'!F206&lt;&gt;"",'KPI Plan'!F206,"")</f>
        <v/>
      </c>
      <c r="D204" s="14" t="str">
        <f>IF('KPI Plan'!T206&lt;&gt;"",'KPI Plan'!T206,"")</f>
        <v/>
      </c>
      <c r="E204" s="14" t="str">
        <f>IF('KPI Plan'!U206&lt;&gt;"",'KPI Plan'!U206,"")</f>
        <v/>
      </c>
      <c r="F204" s="1" t="str">
        <f t="shared" si="5"/>
        <v/>
      </c>
    </row>
    <row r="205" spans="1:6">
      <c r="A205" s="14" t="str">
        <f>IF('KPI Plan'!A207&lt;&gt;"",'KPI Plan'!A207,"")</f>
        <v/>
      </c>
      <c r="B205" s="14" t="str">
        <f>IF('KPI Plan'!D207&lt;&gt;"",'KPI Plan'!D207,"")</f>
        <v/>
      </c>
      <c r="C205" s="14" t="str">
        <f>IF('KPI Plan'!F207&lt;&gt;"",'KPI Plan'!F207,"")</f>
        <v/>
      </c>
      <c r="D205" s="14" t="str">
        <f>IF('KPI Plan'!T207&lt;&gt;"",'KPI Plan'!T207,"")</f>
        <v/>
      </c>
      <c r="E205" s="14" t="str">
        <f>IF('KPI Plan'!U207&lt;&gt;"",'KPI Plan'!U207,"")</f>
        <v/>
      </c>
      <c r="F205" s="1" t="str">
        <f t="shared" si="5"/>
        <v/>
      </c>
    </row>
    <row r="206" spans="1:6">
      <c r="A206" s="14" t="str">
        <f>IF('KPI Plan'!A208&lt;&gt;"",'KPI Plan'!A208,"")</f>
        <v/>
      </c>
      <c r="B206" s="14" t="str">
        <f>IF('KPI Plan'!D208&lt;&gt;"",'KPI Plan'!D208,"")</f>
        <v/>
      </c>
      <c r="C206" s="14" t="str">
        <f>IF('KPI Plan'!F208&lt;&gt;"",'KPI Plan'!F208,"")</f>
        <v/>
      </c>
      <c r="D206" s="14" t="str">
        <f>IF('KPI Plan'!T208&lt;&gt;"",'KPI Plan'!T208,"")</f>
        <v/>
      </c>
      <c r="E206" s="14" t="str">
        <f>IF('KPI Plan'!U208&lt;&gt;"",'KPI Plan'!U208,"")</f>
        <v/>
      </c>
      <c r="F206" s="1" t="str">
        <f t="shared" si="5"/>
        <v/>
      </c>
    </row>
    <row r="207" spans="1:6">
      <c r="A207" s="14" t="str">
        <f>IF('KPI Plan'!A209&lt;&gt;"",'KPI Plan'!A209,"")</f>
        <v/>
      </c>
      <c r="B207" s="14" t="str">
        <f>IF('KPI Plan'!D209&lt;&gt;"",'KPI Plan'!D209,"")</f>
        <v/>
      </c>
      <c r="C207" s="14" t="str">
        <f>IF('KPI Plan'!F209&lt;&gt;"",'KPI Plan'!F209,"")</f>
        <v/>
      </c>
      <c r="D207" s="14" t="str">
        <f>IF('KPI Plan'!T209&lt;&gt;"",'KPI Plan'!T209,"")</f>
        <v/>
      </c>
      <c r="E207" s="14" t="str">
        <f>IF('KPI Plan'!U209&lt;&gt;"",'KPI Plan'!U209,"")</f>
        <v/>
      </c>
      <c r="F207" s="1" t="str">
        <f t="shared" si="5"/>
        <v/>
      </c>
    </row>
    <row r="208" spans="1:6">
      <c r="A208" s="14" t="str">
        <f>IF('KPI Plan'!A210&lt;&gt;"",'KPI Plan'!A210,"")</f>
        <v/>
      </c>
      <c r="B208" s="14" t="str">
        <f>IF('KPI Plan'!D210&lt;&gt;"",'KPI Plan'!D210,"")</f>
        <v/>
      </c>
      <c r="C208" s="14" t="str">
        <f>IF('KPI Plan'!F210&lt;&gt;"",'KPI Plan'!F210,"")</f>
        <v/>
      </c>
      <c r="D208" s="14" t="str">
        <f>IF('KPI Plan'!T210&lt;&gt;"",'KPI Plan'!T210,"")</f>
        <v/>
      </c>
      <c r="E208" s="14" t="str">
        <f>IF('KPI Plan'!U210&lt;&gt;"",'KPI Plan'!U210,"")</f>
        <v/>
      </c>
      <c r="F208" s="1" t="str">
        <f t="shared" si="5"/>
        <v/>
      </c>
    </row>
    <row r="209" spans="1:6">
      <c r="A209" s="14" t="str">
        <f>IF('KPI Plan'!A211&lt;&gt;"",'KPI Plan'!A211,"")</f>
        <v/>
      </c>
      <c r="B209" s="14" t="str">
        <f>IF('KPI Plan'!D211&lt;&gt;"",'KPI Plan'!D211,"")</f>
        <v/>
      </c>
      <c r="C209" s="14" t="str">
        <f>IF('KPI Plan'!F211&lt;&gt;"",'KPI Plan'!F211,"")</f>
        <v/>
      </c>
      <c r="D209" s="14" t="str">
        <f>IF('KPI Plan'!T211&lt;&gt;"",'KPI Plan'!T211,"")</f>
        <v/>
      </c>
      <c r="E209" s="14" t="str">
        <f>IF('KPI Plan'!U211&lt;&gt;"",'KPI Plan'!U211,"")</f>
        <v/>
      </c>
      <c r="F209" s="1" t="str">
        <f t="shared" si="5"/>
        <v/>
      </c>
    </row>
    <row r="210" spans="1:6">
      <c r="A210" s="14" t="str">
        <f>IF('KPI Plan'!A212&lt;&gt;"",'KPI Plan'!A212,"")</f>
        <v/>
      </c>
      <c r="B210" s="14" t="str">
        <f>IF('KPI Plan'!D212&lt;&gt;"",'KPI Plan'!D212,"")</f>
        <v/>
      </c>
      <c r="C210" s="14" t="str">
        <f>IF('KPI Plan'!F212&lt;&gt;"",'KPI Plan'!F212,"")</f>
        <v/>
      </c>
      <c r="D210" s="14" t="str">
        <f>IF('KPI Plan'!T212&lt;&gt;"",'KPI Plan'!T212,"")</f>
        <v/>
      </c>
      <c r="E210" s="14" t="str">
        <f>IF('KPI Plan'!U212&lt;&gt;"",'KPI Plan'!U212,"")</f>
        <v/>
      </c>
      <c r="F210" s="1" t="str">
        <f t="shared" si="5"/>
        <v/>
      </c>
    </row>
    <row r="211" spans="1:6">
      <c r="A211" s="14" t="str">
        <f>IF('KPI Plan'!A213&lt;&gt;"",'KPI Plan'!A213,"")</f>
        <v/>
      </c>
      <c r="B211" s="14" t="str">
        <f>IF('KPI Plan'!D213&lt;&gt;"",'KPI Plan'!D213,"")</f>
        <v/>
      </c>
      <c r="C211" s="14" t="str">
        <f>IF('KPI Plan'!F213&lt;&gt;"",'KPI Plan'!F213,"")</f>
        <v/>
      </c>
      <c r="D211" s="14" t="str">
        <f>IF('KPI Plan'!T213&lt;&gt;"",'KPI Plan'!T213,"")</f>
        <v/>
      </c>
      <c r="E211" s="14" t="str">
        <f>IF('KPI Plan'!U213&lt;&gt;"",'KPI Plan'!U213,"")</f>
        <v/>
      </c>
      <c r="F211" s="1" t="str">
        <f t="shared" si="5"/>
        <v/>
      </c>
    </row>
    <row r="212" spans="1:6">
      <c r="A212" s="14" t="str">
        <f>IF('KPI Plan'!A214&lt;&gt;"",'KPI Plan'!A214,"")</f>
        <v/>
      </c>
      <c r="B212" s="14" t="str">
        <f>IF('KPI Plan'!D214&lt;&gt;"",'KPI Plan'!D214,"")</f>
        <v/>
      </c>
      <c r="C212" s="14" t="str">
        <f>IF('KPI Plan'!F214&lt;&gt;"",'KPI Plan'!F214,"")</f>
        <v/>
      </c>
      <c r="D212" s="14" t="str">
        <f>IF('KPI Plan'!T214&lt;&gt;"",'KPI Plan'!T214,"")</f>
        <v/>
      </c>
      <c r="E212" s="14" t="str">
        <f>IF('KPI Plan'!U214&lt;&gt;"",'KPI Plan'!U214,"")</f>
        <v/>
      </c>
      <c r="F212" s="1" t="str">
        <f t="shared" si="5"/>
        <v/>
      </c>
    </row>
    <row r="213" spans="1:6">
      <c r="A213" s="14" t="str">
        <f>IF('KPI Plan'!A215&lt;&gt;"",'KPI Plan'!A215,"")</f>
        <v/>
      </c>
      <c r="B213" s="14" t="str">
        <f>IF('KPI Plan'!D215&lt;&gt;"",'KPI Plan'!D215,"")</f>
        <v/>
      </c>
      <c r="C213" s="14" t="str">
        <f>IF('KPI Plan'!F215&lt;&gt;"",'KPI Plan'!F215,"")</f>
        <v/>
      </c>
      <c r="D213" s="14" t="str">
        <f>IF('KPI Plan'!T215&lt;&gt;"",'KPI Plan'!T215,"")</f>
        <v/>
      </c>
      <c r="E213" s="14" t="str">
        <f>IF('KPI Plan'!U215&lt;&gt;"",'KPI Plan'!U215,"")</f>
        <v/>
      </c>
      <c r="F213" s="1" t="str">
        <f t="shared" si="5"/>
        <v/>
      </c>
    </row>
    <row r="214" spans="1:6">
      <c r="A214" s="14" t="str">
        <f>IF('KPI Plan'!A216&lt;&gt;"",'KPI Plan'!A216,"")</f>
        <v/>
      </c>
      <c r="B214" s="14" t="str">
        <f>IF('KPI Plan'!D216&lt;&gt;"",'KPI Plan'!D216,"")</f>
        <v/>
      </c>
      <c r="C214" s="14" t="str">
        <f>IF('KPI Plan'!F216&lt;&gt;"",'KPI Plan'!F216,"")</f>
        <v/>
      </c>
      <c r="D214" s="14" t="str">
        <f>IF('KPI Plan'!T216&lt;&gt;"",'KPI Plan'!T216,"")</f>
        <v/>
      </c>
      <c r="E214" s="14" t="str">
        <f>IF('KPI Plan'!U216&lt;&gt;"",'KPI Plan'!U216,"")</f>
        <v/>
      </c>
      <c r="F214" s="1" t="str">
        <f t="shared" si="5"/>
        <v/>
      </c>
    </row>
    <row r="215" spans="1:6">
      <c r="A215" s="14" t="str">
        <f>IF('KPI Plan'!A217&lt;&gt;"",'KPI Plan'!A217,"")</f>
        <v/>
      </c>
      <c r="B215" s="14" t="str">
        <f>IF('KPI Plan'!D217&lt;&gt;"",'KPI Plan'!D217,"")</f>
        <v/>
      </c>
      <c r="C215" s="14" t="str">
        <f>IF('KPI Plan'!F217&lt;&gt;"",'KPI Plan'!F217,"")</f>
        <v/>
      </c>
      <c r="D215" s="14" t="str">
        <f>IF('KPI Plan'!T217&lt;&gt;"",'KPI Plan'!T217,"")</f>
        <v/>
      </c>
      <c r="E215" s="14" t="str">
        <f>IF('KPI Plan'!U217&lt;&gt;"",'KPI Plan'!U217,"")</f>
        <v/>
      </c>
      <c r="F215" s="1" t="str">
        <f t="shared" si="5"/>
        <v/>
      </c>
    </row>
    <row r="216" spans="1:6">
      <c r="A216" s="14" t="str">
        <f>IF('KPI Plan'!A218&lt;&gt;"",'KPI Plan'!A218,"")</f>
        <v/>
      </c>
      <c r="B216" s="14" t="str">
        <f>IF('KPI Plan'!D218&lt;&gt;"",'KPI Plan'!D218,"")</f>
        <v/>
      </c>
      <c r="C216" s="14" t="str">
        <f>IF('KPI Plan'!F218&lt;&gt;"",'KPI Plan'!F218,"")</f>
        <v/>
      </c>
      <c r="D216" s="14" t="str">
        <f>IF('KPI Plan'!T218&lt;&gt;"",'KPI Plan'!T218,"")</f>
        <v/>
      </c>
      <c r="E216" s="14" t="str">
        <f>IF('KPI Plan'!U218&lt;&gt;"",'KPI Plan'!U218,"")</f>
        <v/>
      </c>
      <c r="F216" s="1" t="str">
        <f t="shared" si="5"/>
        <v/>
      </c>
    </row>
    <row r="217" spans="1:6">
      <c r="A217" s="14" t="str">
        <f>IF('KPI Plan'!A219&lt;&gt;"",'KPI Plan'!A219,"")</f>
        <v/>
      </c>
      <c r="B217" s="14" t="str">
        <f>IF('KPI Plan'!D219&lt;&gt;"",'KPI Plan'!D219,"")</f>
        <v/>
      </c>
      <c r="C217" s="14" t="str">
        <f>IF('KPI Plan'!F219&lt;&gt;"",'KPI Plan'!F219,"")</f>
        <v/>
      </c>
      <c r="D217" s="14" t="str">
        <f>IF('KPI Plan'!T219&lt;&gt;"",'KPI Plan'!T219,"")</f>
        <v/>
      </c>
      <c r="E217" s="14" t="str">
        <f>IF('KPI Plan'!U219&lt;&gt;"",'KPI Plan'!U219,"")</f>
        <v/>
      </c>
      <c r="F217" s="1" t="str">
        <f t="shared" si="5"/>
        <v/>
      </c>
    </row>
    <row r="218" spans="1:6">
      <c r="A218" s="14" t="str">
        <f>IF('KPI Plan'!A220&lt;&gt;"",'KPI Plan'!A220,"")</f>
        <v/>
      </c>
      <c r="B218" s="14" t="str">
        <f>IF('KPI Plan'!D220&lt;&gt;"",'KPI Plan'!D220,"")</f>
        <v/>
      </c>
      <c r="C218" s="14" t="str">
        <f>IF('KPI Plan'!F220&lt;&gt;"",'KPI Plan'!F220,"")</f>
        <v/>
      </c>
      <c r="D218" s="14" t="str">
        <f>IF('KPI Plan'!T220&lt;&gt;"",'KPI Plan'!T220,"")</f>
        <v/>
      </c>
      <c r="E218" s="14" t="str">
        <f>IF('KPI Plan'!U220&lt;&gt;"",'KPI Plan'!U220,"")</f>
        <v/>
      </c>
      <c r="F218" s="1" t="str">
        <f t="shared" si="5"/>
        <v/>
      </c>
    </row>
    <row r="219" spans="1:6">
      <c r="A219" s="14" t="str">
        <f>IF('KPI Plan'!A221&lt;&gt;"",'KPI Plan'!A221,"")</f>
        <v/>
      </c>
      <c r="B219" s="14" t="str">
        <f>IF('KPI Plan'!D221&lt;&gt;"",'KPI Plan'!D221,"")</f>
        <v/>
      </c>
      <c r="C219" s="14" t="str">
        <f>IF('KPI Plan'!F221&lt;&gt;"",'KPI Plan'!F221,"")</f>
        <v/>
      </c>
      <c r="D219" s="14" t="str">
        <f>IF('KPI Plan'!T221&lt;&gt;"",'KPI Plan'!T221,"")</f>
        <v/>
      </c>
      <c r="E219" s="14" t="str">
        <f>IF('KPI Plan'!U221&lt;&gt;"",'KPI Plan'!U221,"")</f>
        <v/>
      </c>
      <c r="F219" s="1" t="str">
        <f t="shared" si="5"/>
        <v/>
      </c>
    </row>
    <row r="220" spans="1:6">
      <c r="A220" s="14" t="str">
        <f>IF('KPI Plan'!A222&lt;&gt;"",'KPI Plan'!A222,"")</f>
        <v/>
      </c>
      <c r="B220" s="14" t="str">
        <f>IF('KPI Plan'!D222&lt;&gt;"",'KPI Plan'!D222,"")</f>
        <v/>
      </c>
      <c r="C220" s="14" t="str">
        <f>IF('KPI Plan'!F222&lt;&gt;"",'KPI Plan'!F222,"")</f>
        <v/>
      </c>
      <c r="D220" s="14" t="str">
        <f>IF('KPI Plan'!T222&lt;&gt;"",'KPI Plan'!T222,"")</f>
        <v/>
      </c>
      <c r="E220" s="14" t="str">
        <f>IF('KPI Plan'!U222&lt;&gt;"",'KPI Plan'!U222,"")</f>
        <v/>
      </c>
      <c r="F220" s="1" t="str">
        <f t="shared" si="5"/>
        <v/>
      </c>
    </row>
    <row r="221" spans="1:6">
      <c r="A221" s="14" t="str">
        <f>IF('KPI Plan'!A223&lt;&gt;"",'KPI Plan'!A223,"")</f>
        <v/>
      </c>
      <c r="B221" s="14" t="str">
        <f>IF('KPI Plan'!D223&lt;&gt;"",'KPI Plan'!D223,"")</f>
        <v/>
      </c>
      <c r="C221" s="14" t="str">
        <f>IF('KPI Plan'!F223&lt;&gt;"",'KPI Plan'!F223,"")</f>
        <v/>
      </c>
      <c r="D221" s="14" t="str">
        <f>IF('KPI Plan'!T223&lt;&gt;"",'KPI Plan'!T223,"")</f>
        <v/>
      </c>
      <c r="E221" s="14" t="str">
        <f>IF('KPI Plan'!U223&lt;&gt;"",'KPI Plan'!U223,"")</f>
        <v/>
      </c>
      <c r="F221" s="1" t="str">
        <f t="shared" si="5"/>
        <v/>
      </c>
    </row>
    <row r="222" spans="1:6">
      <c r="A222" s="14" t="str">
        <f>IF('KPI Plan'!A224&lt;&gt;"",'KPI Plan'!A224,"")</f>
        <v/>
      </c>
      <c r="B222" s="14" t="str">
        <f>IF('KPI Plan'!D224&lt;&gt;"",'KPI Plan'!D224,"")</f>
        <v/>
      </c>
      <c r="C222" s="14" t="str">
        <f>IF('KPI Plan'!F224&lt;&gt;"",'KPI Plan'!F224,"")</f>
        <v/>
      </c>
      <c r="D222" s="14" t="str">
        <f>IF('KPI Plan'!T224&lt;&gt;"",'KPI Plan'!T224,"")</f>
        <v/>
      </c>
      <c r="E222" s="14" t="str">
        <f>IF('KPI Plan'!U224&lt;&gt;"",'KPI Plan'!U224,"")</f>
        <v/>
      </c>
      <c r="F222" s="1" t="str">
        <f t="shared" si="5"/>
        <v/>
      </c>
    </row>
    <row r="223" spans="1:6">
      <c r="A223" s="14" t="str">
        <f>IF('KPI Plan'!A225&lt;&gt;"",'KPI Plan'!A225,"")</f>
        <v/>
      </c>
      <c r="B223" s="14" t="str">
        <f>IF('KPI Plan'!D225&lt;&gt;"",'KPI Plan'!D225,"")</f>
        <v/>
      </c>
      <c r="C223" s="14" t="str">
        <f>IF('KPI Plan'!F225&lt;&gt;"",'KPI Plan'!F225,"")</f>
        <v/>
      </c>
      <c r="D223" s="14" t="str">
        <f>IF('KPI Plan'!T225&lt;&gt;"",'KPI Plan'!T225,"")</f>
        <v/>
      </c>
      <c r="E223" s="14" t="str">
        <f>IF('KPI Plan'!U225&lt;&gt;"",'KPI Plan'!U225,"")</f>
        <v/>
      </c>
      <c r="F223" s="1" t="str">
        <f t="shared" si="5"/>
        <v/>
      </c>
    </row>
    <row r="224" spans="1:6">
      <c r="A224" s="14" t="str">
        <f>IF('KPI Plan'!A226&lt;&gt;"",'KPI Plan'!A226,"")</f>
        <v/>
      </c>
      <c r="B224" s="14" t="str">
        <f>IF('KPI Plan'!D226&lt;&gt;"",'KPI Plan'!D226,"")</f>
        <v/>
      </c>
      <c r="C224" s="14" t="str">
        <f>IF('KPI Plan'!F226&lt;&gt;"",'KPI Plan'!F226,"")</f>
        <v/>
      </c>
      <c r="D224" s="14" t="str">
        <f>IF('KPI Plan'!T226&lt;&gt;"",'KPI Plan'!T226,"")</f>
        <v/>
      </c>
      <c r="E224" s="14" t="str">
        <f>IF('KPI Plan'!U226&lt;&gt;"",'KPI Plan'!U226,"")</f>
        <v/>
      </c>
      <c r="F224" s="1" t="str">
        <f t="shared" si="5"/>
        <v/>
      </c>
    </row>
    <row r="225" spans="1:6">
      <c r="A225" s="14" t="str">
        <f>IF('KPI Plan'!A227&lt;&gt;"",'KPI Plan'!A227,"")</f>
        <v/>
      </c>
      <c r="B225" s="14" t="str">
        <f>IF('KPI Plan'!D227&lt;&gt;"",'KPI Plan'!D227,"")</f>
        <v/>
      </c>
      <c r="C225" s="14" t="str">
        <f>IF('KPI Plan'!F227&lt;&gt;"",'KPI Plan'!F227,"")</f>
        <v/>
      </c>
      <c r="D225" s="14" t="str">
        <f>IF('KPI Plan'!T227&lt;&gt;"",'KPI Plan'!T227,"")</f>
        <v/>
      </c>
      <c r="E225" s="14" t="str">
        <f>IF('KPI Plan'!U227&lt;&gt;"",'KPI Plan'!U227,"")</f>
        <v/>
      </c>
      <c r="F225" s="1" t="str">
        <f t="shared" si="5"/>
        <v/>
      </c>
    </row>
    <row r="226" spans="1:6">
      <c r="A226" s="14" t="str">
        <f>IF('KPI Plan'!A228&lt;&gt;"",'KPI Plan'!A228,"")</f>
        <v/>
      </c>
      <c r="B226" s="14" t="str">
        <f>IF('KPI Plan'!D228&lt;&gt;"",'KPI Plan'!D228,"")</f>
        <v/>
      </c>
      <c r="C226" s="14" t="str">
        <f>IF('KPI Plan'!F228&lt;&gt;"",'KPI Plan'!F228,"")</f>
        <v/>
      </c>
      <c r="D226" s="14" t="str">
        <f>IF('KPI Plan'!T228&lt;&gt;"",'KPI Plan'!T228,"")</f>
        <v/>
      </c>
      <c r="E226" s="14" t="str">
        <f>IF('KPI Plan'!U228&lt;&gt;"",'KPI Plan'!U228,"")</f>
        <v/>
      </c>
      <c r="F226" s="1" t="str">
        <f t="shared" si="5"/>
        <v/>
      </c>
    </row>
    <row r="227" spans="1:6">
      <c r="A227" s="14" t="str">
        <f>IF('KPI Plan'!A229&lt;&gt;"",'KPI Plan'!A229,"")</f>
        <v/>
      </c>
      <c r="B227" s="14" t="str">
        <f>IF('KPI Plan'!D229&lt;&gt;"",'KPI Plan'!D229,"")</f>
        <v/>
      </c>
      <c r="C227" s="14" t="str">
        <f>IF('KPI Plan'!F229&lt;&gt;"",'KPI Plan'!F229,"")</f>
        <v/>
      </c>
      <c r="D227" s="14" t="str">
        <f>IF('KPI Plan'!T229&lt;&gt;"",'KPI Plan'!T229,"")</f>
        <v/>
      </c>
      <c r="E227" s="14" t="str">
        <f>IF('KPI Plan'!U229&lt;&gt;"",'KPI Plan'!U229,"")</f>
        <v/>
      </c>
      <c r="F227" s="1" t="str">
        <f t="shared" si="5"/>
        <v/>
      </c>
    </row>
    <row r="228" spans="1:6">
      <c r="A228" s="14" t="str">
        <f>IF('KPI Plan'!A230&lt;&gt;"",'KPI Plan'!A230,"")</f>
        <v/>
      </c>
      <c r="B228" s="14" t="str">
        <f>IF('KPI Plan'!D230&lt;&gt;"",'KPI Plan'!D230,"")</f>
        <v/>
      </c>
      <c r="C228" s="14" t="str">
        <f>IF('KPI Plan'!F230&lt;&gt;"",'KPI Plan'!F230,"")</f>
        <v/>
      </c>
      <c r="D228" s="14" t="str">
        <f>IF('KPI Plan'!T230&lt;&gt;"",'KPI Plan'!T230,"")</f>
        <v/>
      </c>
      <c r="E228" s="14" t="str">
        <f>IF('KPI Plan'!U230&lt;&gt;"",'KPI Plan'!U230,"")</f>
        <v/>
      </c>
      <c r="F228" s="1" t="str">
        <f t="shared" si="5"/>
        <v/>
      </c>
    </row>
    <row r="229" spans="1:6">
      <c r="A229" s="14" t="str">
        <f>IF('KPI Plan'!A231&lt;&gt;"",'KPI Plan'!A231,"")</f>
        <v/>
      </c>
      <c r="B229" s="14" t="str">
        <f>IF('KPI Plan'!D231&lt;&gt;"",'KPI Plan'!D231,"")</f>
        <v/>
      </c>
      <c r="C229" s="14" t="str">
        <f>IF('KPI Plan'!F231&lt;&gt;"",'KPI Plan'!F231,"")</f>
        <v/>
      </c>
      <c r="D229" s="14" t="str">
        <f>IF('KPI Plan'!T231&lt;&gt;"",'KPI Plan'!T231,"")</f>
        <v/>
      </c>
      <c r="E229" s="14" t="str">
        <f>IF('KPI Plan'!U231&lt;&gt;"",'KPI Plan'!U231,"")</f>
        <v/>
      </c>
      <c r="F229" s="1" t="str">
        <f t="shared" si="5"/>
        <v/>
      </c>
    </row>
    <row r="230" spans="1:6">
      <c r="A230" s="14" t="str">
        <f>IF('KPI Plan'!A232&lt;&gt;"",'KPI Plan'!A232,"")</f>
        <v/>
      </c>
      <c r="B230" s="14" t="str">
        <f>IF('KPI Plan'!D232&lt;&gt;"",'KPI Plan'!D232,"")</f>
        <v/>
      </c>
      <c r="C230" s="14" t="str">
        <f>IF('KPI Plan'!F232&lt;&gt;"",'KPI Plan'!F232,"")</f>
        <v/>
      </c>
      <c r="D230" s="14" t="str">
        <f>IF('KPI Plan'!T232&lt;&gt;"",'KPI Plan'!T232,"")</f>
        <v/>
      </c>
      <c r="E230" s="14" t="str">
        <f>IF('KPI Plan'!U232&lt;&gt;"",'KPI Plan'!U232,"")</f>
        <v/>
      </c>
      <c r="F230" s="1" t="str">
        <f t="shared" si="5"/>
        <v/>
      </c>
    </row>
    <row r="231" spans="1:6">
      <c r="A231" s="14" t="str">
        <f>IF('KPI Plan'!A233&lt;&gt;"",'KPI Plan'!A233,"")</f>
        <v/>
      </c>
      <c r="B231" s="14" t="str">
        <f>IF('KPI Plan'!D233&lt;&gt;"",'KPI Plan'!D233,"")</f>
        <v/>
      </c>
      <c r="C231" s="14" t="str">
        <f>IF('KPI Plan'!F233&lt;&gt;"",'KPI Plan'!F233,"")</f>
        <v/>
      </c>
      <c r="D231" s="14" t="str">
        <f>IF('KPI Plan'!T233&lt;&gt;"",'KPI Plan'!T233,"")</f>
        <v/>
      </c>
      <c r="E231" s="14" t="str">
        <f>IF('KPI Plan'!U233&lt;&gt;"",'KPI Plan'!U233,"")</f>
        <v/>
      </c>
      <c r="F231" s="1" t="str">
        <f t="shared" si="5"/>
        <v/>
      </c>
    </row>
    <row r="232" spans="1:6">
      <c r="A232" s="14" t="str">
        <f>IF('KPI Plan'!A234&lt;&gt;"",'KPI Plan'!A234,"")</f>
        <v/>
      </c>
      <c r="B232" s="14" t="str">
        <f>IF('KPI Plan'!D234&lt;&gt;"",'KPI Plan'!D234,"")</f>
        <v/>
      </c>
      <c r="C232" s="14" t="str">
        <f>IF('KPI Plan'!F234&lt;&gt;"",'KPI Plan'!F234,"")</f>
        <v/>
      </c>
      <c r="D232" s="14" t="str">
        <f>IF('KPI Plan'!T234&lt;&gt;"",'KPI Plan'!T234,"")</f>
        <v/>
      </c>
      <c r="E232" s="14" t="str">
        <f>IF('KPI Plan'!U234&lt;&gt;"",'KPI Plan'!U234,"")</f>
        <v/>
      </c>
      <c r="F232" s="1" t="str">
        <f t="shared" si="5"/>
        <v/>
      </c>
    </row>
    <row r="233" spans="1:6">
      <c r="A233" s="14" t="str">
        <f>IF('KPI Plan'!A235&lt;&gt;"",'KPI Plan'!A235,"")</f>
        <v/>
      </c>
      <c r="B233" s="14" t="str">
        <f>IF('KPI Plan'!D235&lt;&gt;"",'KPI Plan'!D235,"")</f>
        <v/>
      </c>
      <c r="C233" s="14" t="str">
        <f>IF('KPI Plan'!F235&lt;&gt;"",'KPI Plan'!F235,"")</f>
        <v/>
      </c>
      <c r="D233" s="14" t="str">
        <f>IF('KPI Plan'!T235&lt;&gt;"",'KPI Plan'!T235,"")</f>
        <v/>
      </c>
      <c r="E233" s="14" t="str">
        <f>IF('KPI Plan'!U235&lt;&gt;"",'KPI Plan'!U235,"")</f>
        <v/>
      </c>
      <c r="F233" s="1" t="str">
        <f t="shared" si="5"/>
        <v/>
      </c>
    </row>
    <row r="234" spans="1:6">
      <c r="A234" s="14" t="str">
        <f>IF('KPI Plan'!A236&lt;&gt;"",'KPI Plan'!A236,"")</f>
        <v/>
      </c>
      <c r="B234" s="14" t="str">
        <f>IF('KPI Plan'!D236&lt;&gt;"",'KPI Plan'!D236,"")</f>
        <v/>
      </c>
      <c r="C234" s="14" t="str">
        <f>IF('KPI Plan'!F236&lt;&gt;"",'KPI Plan'!F236,"")</f>
        <v/>
      </c>
      <c r="D234" s="14" t="str">
        <f>IF('KPI Plan'!T236&lt;&gt;"",'KPI Plan'!T236,"")</f>
        <v/>
      </c>
      <c r="E234" s="14" t="str">
        <f>IF('KPI Plan'!U236&lt;&gt;"",'KPI Plan'!U236,"")</f>
        <v/>
      </c>
      <c r="F234" s="1" t="str">
        <f t="shared" si="5"/>
        <v/>
      </c>
    </row>
    <row r="235" spans="1:6">
      <c r="A235" s="14" t="str">
        <f>IF('KPI Plan'!A237&lt;&gt;"",'KPI Plan'!A237,"")</f>
        <v/>
      </c>
      <c r="B235" s="14" t="str">
        <f>IF('KPI Plan'!D237&lt;&gt;"",'KPI Plan'!D237,"")</f>
        <v/>
      </c>
      <c r="C235" s="14" t="str">
        <f>IF('KPI Plan'!F237&lt;&gt;"",'KPI Plan'!F237,"")</f>
        <v/>
      </c>
      <c r="D235" s="14" t="str">
        <f>IF('KPI Plan'!T237&lt;&gt;"",'KPI Plan'!T237,"")</f>
        <v/>
      </c>
      <c r="E235" s="14" t="str">
        <f>IF('KPI Plan'!U237&lt;&gt;"",'KPI Plan'!U237,"")</f>
        <v/>
      </c>
      <c r="F235" s="1" t="str">
        <f t="shared" si="5"/>
        <v/>
      </c>
    </row>
    <row r="236" spans="1:6">
      <c r="A236" s="14" t="str">
        <f>IF('KPI Plan'!A238&lt;&gt;"",'KPI Plan'!A238,"")</f>
        <v/>
      </c>
      <c r="B236" s="14" t="str">
        <f>IF('KPI Plan'!D238&lt;&gt;"",'KPI Plan'!D238,"")</f>
        <v/>
      </c>
      <c r="C236" s="14" t="str">
        <f>IF('KPI Plan'!F238&lt;&gt;"",'KPI Plan'!F238,"")</f>
        <v/>
      </c>
      <c r="D236" s="14" t="str">
        <f>IF('KPI Plan'!T238&lt;&gt;"",'KPI Plan'!T238,"")</f>
        <v/>
      </c>
      <c r="E236" s="14" t="str">
        <f>IF('KPI Plan'!U238&lt;&gt;"",'KPI Plan'!U238,"")</f>
        <v/>
      </c>
      <c r="F236" s="1" t="str">
        <f t="shared" si="5"/>
        <v/>
      </c>
    </row>
    <row r="237" spans="1:6">
      <c r="A237" s="14" t="str">
        <f>IF('KPI Plan'!A239&lt;&gt;"",'KPI Plan'!A239,"")</f>
        <v/>
      </c>
      <c r="B237" s="14" t="str">
        <f>IF('KPI Plan'!D239&lt;&gt;"",'KPI Plan'!D239,"")</f>
        <v/>
      </c>
      <c r="C237" s="14" t="str">
        <f>IF('KPI Plan'!F239&lt;&gt;"",'KPI Plan'!F239,"")</f>
        <v/>
      </c>
      <c r="D237" s="14" t="str">
        <f>IF('KPI Plan'!T239&lt;&gt;"",'KPI Plan'!T239,"")</f>
        <v/>
      </c>
      <c r="E237" s="14" t="str">
        <f>IF('KPI Plan'!U239&lt;&gt;"",'KPI Plan'!U239,"")</f>
        <v/>
      </c>
      <c r="F237" s="1" t="str">
        <f t="shared" si="5"/>
        <v/>
      </c>
    </row>
    <row r="238" spans="1:6">
      <c r="A238" s="14" t="str">
        <f>IF('KPI Plan'!A240&lt;&gt;"",'KPI Plan'!A240,"")</f>
        <v/>
      </c>
      <c r="B238" s="14" t="str">
        <f>IF('KPI Plan'!D240&lt;&gt;"",'KPI Plan'!D240,"")</f>
        <v/>
      </c>
      <c r="C238" s="14" t="str">
        <f>IF('KPI Plan'!F240&lt;&gt;"",'KPI Plan'!F240,"")</f>
        <v/>
      </c>
      <c r="D238" s="14" t="str">
        <f>IF('KPI Plan'!T240&lt;&gt;"",'KPI Plan'!T240,"")</f>
        <v/>
      </c>
      <c r="E238" s="14" t="str">
        <f>IF('KPI Plan'!U240&lt;&gt;"",'KPI Plan'!U240,"")</f>
        <v/>
      </c>
      <c r="F238" s="1" t="str">
        <f t="shared" si="5"/>
        <v/>
      </c>
    </row>
    <row r="239" spans="1:6">
      <c r="A239" s="14" t="str">
        <f>IF('KPI Plan'!A241&lt;&gt;"",'KPI Plan'!A241,"")</f>
        <v/>
      </c>
      <c r="B239" s="14" t="str">
        <f>IF('KPI Plan'!D241&lt;&gt;"",'KPI Plan'!D241,"")</f>
        <v/>
      </c>
      <c r="C239" s="14" t="str">
        <f>IF('KPI Plan'!F241&lt;&gt;"",'KPI Plan'!F241,"")</f>
        <v/>
      </c>
      <c r="D239" s="14" t="str">
        <f>IF('KPI Plan'!T241&lt;&gt;"",'KPI Plan'!T241,"")</f>
        <v/>
      </c>
      <c r="E239" s="14" t="str">
        <f>IF('KPI Plan'!U241&lt;&gt;"",'KPI Plan'!U241,"")</f>
        <v/>
      </c>
      <c r="F239" s="1" t="str">
        <f t="shared" si="5"/>
        <v/>
      </c>
    </row>
    <row r="240" spans="1:6">
      <c r="A240" s="14" t="str">
        <f>IF('KPI Plan'!A242&lt;&gt;"",'KPI Plan'!A242,"")</f>
        <v/>
      </c>
      <c r="B240" s="14" t="str">
        <f>IF('KPI Plan'!D242&lt;&gt;"",'KPI Plan'!D242,"")</f>
        <v/>
      </c>
      <c r="C240" s="14" t="str">
        <f>IF('KPI Plan'!F242&lt;&gt;"",'KPI Plan'!F242,"")</f>
        <v/>
      </c>
      <c r="D240" s="14" t="str">
        <f>IF('KPI Plan'!T242&lt;&gt;"",'KPI Plan'!T242,"")</f>
        <v/>
      </c>
      <c r="E240" s="14" t="str">
        <f>IF('KPI Plan'!U242&lt;&gt;"",'KPI Plan'!U242,"")</f>
        <v/>
      </c>
      <c r="F240" s="1" t="str">
        <f t="shared" si="5"/>
        <v/>
      </c>
    </row>
    <row r="241" spans="1:6">
      <c r="A241" s="14" t="str">
        <f>IF('KPI Plan'!A243&lt;&gt;"",'KPI Plan'!A243,"")</f>
        <v/>
      </c>
      <c r="B241" s="14" t="str">
        <f>IF('KPI Plan'!D243&lt;&gt;"",'KPI Plan'!D243,"")</f>
        <v/>
      </c>
      <c r="C241" s="14" t="str">
        <f>IF('KPI Plan'!F243&lt;&gt;"",'KPI Plan'!F243,"")</f>
        <v/>
      </c>
      <c r="D241" s="14" t="str">
        <f>IF('KPI Plan'!T243&lt;&gt;"",'KPI Plan'!T243,"")</f>
        <v/>
      </c>
      <c r="E241" s="14" t="str">
        <f>IF('KPI Plan'!U243&lt;&gt;"",'KPI Plan'!U243,"")</f>
        <v/>
      </c>
      <c r="F241" s="1" t="str">
        <f t="shared" si="5"/>
        <v/>
      </c>
    </row>
    <row r="242" spans="1:6">
      <c r="A242" s="14" t="str">
        <f>IF('KPI Plan'!A244&lt;&gt;"",'KPI Plan'!A244,"")</f>
        <v/>
      </c>
      <c r="B242" s="14" t="str">
        <f>IF('KPI Plan'!D244&lt;&gt;"",'KPI Plan'!D244,"")</f>
        <v/>
      </c>
      <c r="C242" s="14" t="str">
        <f>IF('KPI Plan'!F244&lt;&gt;"",'KPI Plan'!F244,"")</f>
        <v/>
      </c>
      <c r="D242" s="14" t="str">
        <f>IF('KPI Plan'!T244&lt;&gt;"",'KPI Plan'!T244,"")</f>
        <v/>
      </c>
      <c r="E242" s="14" t="str">
        <f>IF('KPI Plan'!U244&lt;&gt;"",'KPI Plan'!U244,"")</f>
        <v/>
      </c>
      <c r="F242" s="1" t="str">
        <f t="shared" si="5"/>
        <v/>
      </c>
    </row>
    <row r="243" spans="1:6">
      <c r="A243" s="14" t="str">
        <f>IF('KPI Plan'!A245&lt;&gt;"",'KPI Plan'!A245,"")</f>
        <v/>
      </c>
      <c r="B243" s="14" t="str">
        <f>IF('KPI Plan'!D245&lt;&gt;"",'KPI Plan'!D245,"")</f>
        <v/>
      </c>
      <c r="C243" s="14" t="str">
        <f>IF('KPI Plan'!F245&lt;&gt;"",'KPI Plan'!F245,"")</f>
        <v/>
      </c>
      <c r="D243" s="14" t="str">
        <f>IF('KPI Plan'!T245&lt;&gt;"",'KPI Plan'!T245,"")</f>
        <v/>
      </c>
      <c r="E243" s="14" t="str">
        <f>IF('KPI Plan'!U245&lt;&gt;"",'KPI Plan'!U245,"")</f>
        <v/>
      </c>
      <c r="F243" s="1" t="str">
        <f t="shared" si="5"/>
        <v/>
      </c>
    </row>
    <row r="244" spans="1:6">
      <c r="A244" s="14" t="str">
        <f>IF('KPI Plan'!A246&lt;&gt;"",'KPI Plan'!A246,"")</f>
        <v/>
      </c>
      <c r="B244" s="14" t="str">
        <f>IF('KPI Plan'!D246&lt;&gt;"",'KPI Plan'!D246,"")</f>
        <v/>
      </c>
      <c r="C244" s="14" t="str">
        <f>IF('KPI Plan'!F246&lt;&gt;"",'KPI Plan'!F246,"")</f>
        <v/>
      </c>
      <c r="D244" s="14" t="str">
        <f>IF('KPI Plan'!T246&lt;&gt;"",'KPI Plan'!T246,"")</f>
        <v/>
      </c>
      <c r="E244" s="14" t="str">
        <f>IF('KPI Plan'!U246&lt;&gt;"",'KPI Plan'!U246,"")</f>
        <v/>
      </c>
      <c r="F244" s="1" t="str">
        <f t="shared" si="5"/>
        <v/>
      </c>
    </row>
    <row r="245" spans="1:6">
      <c r="A245" s="14" t="str">
        <f>IF('KPI Plan'!A247&lt;&gt;"",'KPI Plan'!A247,"")</f>
        <v/>
      </c>
      <c r="B245" s="14" t="str">
        <f>IF('KPI Plan'!D247&lt;&gt;"",'KPI Plan'!D247,"")</f>
        <v/>
      </c>
      <c r="C245" s="14" t="str">
        <f>IF('KPI Plan'!F247&lt;&gt;"",'KPI Plan'!F247,"")</f>
        <v/>
      </c>
      <c r="D245" s="14" t="str">
        <f>IF('KPI Plan'!T247&lt;&gt;"",'KPI Plan'!T247,"")</f>
        <v/>
      </c>
      <c r="E245" s="14" t="str">
        <f>IF('KPI Plan'!U247&lt;&gt;"",'KPI Plan'!U247,"")</f>
        <v/>
      </c>
      <c r="F245" s="1" t="str">
        <f t="shared" si="5"/>
        <v/>
      </c>
    </row>
    <row r="246" spans="1:6">
      <c r="A246" s="14" t="str">
        <f>IF('KPI Plan'!A248&lt;&gt;"",'KPI Plan'!A248,"")</f>
        <v/>
      </c>
      <c r="B246" s="14" t="str">
        <f>IF('KPI Plan'!D248&lt;&gt;"",'KPI Plan'!D248,"")</f>
        <v/>
      </c>
      <c r="C246" s="14" t="str">
        <f>IF('KPI Plan'!F248&lt;&gt;"",'KPI Plan'!F248,"")</f>
        <v/>
      </c>
      <c r="D246" s="14" t="str">
        <f>IF('KPI Plan'!T248&lt;&gt;"",'KPI Plan'!T248,"")</f>
        <v/>
      </c>
      <c r="E246" s="14" t="str">
        <f>IF('KPI Plan'!U248&lt;&gt;"",'KPI Plan'!U248,"")</f>
        <v/>
      </c>
      <c r="F246" s="1" t="str">
        <f t="shared" si="5"/>
        <v/>
      </c>
    </row>
    <row r="247" spans="1:6">
      <c r="A247" s="14" t="str">
        <f>IF('KPI Plan'!A249&lt;&gt;"",'KPI Plan'!A249,"")</f>
        <v/>
      </c>
      <c r="B247" s="14" t="str">
        <f>IF('KPI Plan'!D249&lt;&gt;"",'KPI Plan'!D249,"")</f>
        <v/>
      </c>
      <c r="C247" s="14" t="str">
        <f>IF('KPI Plan'!F249&lt;&gt;"",'KPI Plan'!F249,"")</f>
        <v/>
      </c>
      <c r="D247" s="14" t="str">
        <f>IF('KPI Plan'!T249&lt;&gt;"",'KPI Plan'!T249,"")</f>
        <v/>
      </c>
      <c r="E247" s="14" t="str">
        <f>IF('KPI Plan'!U249&lt;&gt;"",'KPI Plan'!U249,"")</f>
        <v/>
      </c>
      <c r="F247" s="1" t="str">
        <f t="shared" si="5"/>
        <v/>
      </c>
    </row>
    <row r="248" spans="1:6">
      <c r="A248" s="14" t="str">
        <f>IF('KPI Plan'!A250&lt;&gt;"",'KPI Plan'!A250,"")</f>
        <v/>
      </c>
      <c r="B248" s="14" t="str">
        <f>IF('KPI Plan'!D250&lt;&gt;"",'KPI Plan'!D250,"")</f>
        <v/>
      </c>
      <c r="C248" s="14" t="str">
        <f>IF('KPI Plan'!F250&lt;&gt;"",'KPI Plan'!F250,"")</f>
        <v/>
      </c>
      <c r="D248" s="14" t="str">
        <f>IF('KPI Plan'!T250&lt;&gt;"",'KPI Plan'!T250,"")</f>
        <v/>
      </c>
      <c r="E248" s="14" t="str">
        <f>IF('KPI Plan'!U250&lt;&gt;"",'KPI Plan'!U250,"")</f>
        <v/>
      </c>
      <c r="F248" s="1" t="str">
        <f t="shared" si="5"/>
        <v/>
      </c>
    </row>
    <row r="249" spans="1:6">
      <c r="A249" s="14" t="str">
        <f>IF('KPI Plan'!A251&lt;&gt;"",'KPI Plan'!A251,"")</f>
        <v/>
      </c>
      <c r="B249" s="14" t="str">
        <f>IF('KPI Plan'!D251&lt;&gt;"",'KPI Plan'!D251,"")</f>
        <v/>
      </c>
      <c r="C249" s="14" t="str">
        <f>IF('KPI Plan'!F251&lt;&gt;"",'KPI Plan'!F251,"")</f>
        <v/>
      </c>
      <c r="D249" s="14" t="str">
        <f>IF('KPI Plan'!T251&lt;&gt;"",'KPI Plan'!T251,"")</f>
        <v/>
      </c>
      <c r="E249" s="14" t="str">
        <f>IF('KPI Plan'!U251&lt;&gt;"",'KPI Plan'!U251,"")</f>
        <v/>
      </c>
      <c r="F249" s="1" t="str">
        <f t="shared" si="5"/>
        <v/>
      </c>
    </row>
  </sheetData>
  <sortState xmlns:xlrd2="http://schemas.microsoft.com/office/spreadsheetml/2017/richdata2" ref="A2:F7">
    <sortCondition ref="A2"/>
    <sortCondition descending="1" ref="F2"/>
  </sortState>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9C5BF-6225-42C3-A11B-77C12DDFAB34}">
  <sheetPr codeName="Sheet29"/>
  <dimension ref="A1:W2"/>
  <sheetViews>
    <sheetView workbookViewId="0">
      <selection activeCell="Q3" sqref="Q3"/>
    </sheetView>
  </sheetViews>
  <sheetFormatPr defaultRowHeight="12.5"/>
  <sheetData>
    <row r="1" spans="1:23">
      <c r="A1" s="492" t="s">
        <v>1184</v>
      </c>
      <c r="B1" s="493"/>
      <c r="C1" s="493"/>
      <c r="D1" s="493"/>
      <c r="E1" s="493"/>
      <c r="F1" s="493"/>
      <c r="G1" s="493"/>
      <c r="H1" s="493"/>
      <c r="I1" s="493"/>
      <c r="J1" s="493"/>
      <c r="K1" s="493"/>
      <c r="L1" s="493"/>
      <c r="M1" s="493"/>
      <c r="N1" s="493"/>
      <c r="O1" s="493"/>
      <c r="P1" s="493"/>
      <c r="Q1" s="493"/>
      <c r="R1" s="493"/>
      <c r="S1" s="493"/>
      <c r="T1" s="493"/>
      <c r="U1" s="493"/>
      <c r="V1" s="493"/>
      <c r="W1" s="494"/>
    </row>
    <row r="2" spans="1:23" ht="13" thickBot="1">
      <c r="A2" s="495"/>
      <c r="B2" s="496"/>
      <c r="C2" s="496"/>
      <c r="D2" s="496"/>
      <c r="E2" s="496"/>
      <c r="F2" s="496"/>
      <c r="G2" s="496"/>
      <c r="H2" s="496"/>
      <c r="I2" s="496"/>
      <c r="J2" s="496"/>
      <c r="K2" s="496"/>
      <c r="L2" s="496"/>
      <c r="M2" s="496"/>
      <c r="N2" s="496"/>
      <c r="O2" s="496"/>
      <c r="P2" s="496"/>
      <c r="Q2" s="496"/>
      <c r="R2" s="496"/>
      <c r="S2" s="496"/>
      <c r="T2" s="496"/>
      <c r="U2" s="496"/>
      <c r="V2" s="496"/>
      <c r="W2" s="497"/>
    </row>
  </sheetData>
  <mergeCells count="1">
    <mergeCell ref="A1:W2"/>
  </mergeCells>
  <pageMargins left="0.7" right="0.7" top="0.75" bottom="0.75" header="0.3" footer="0.3"/>
  <pageSetup orientation="portrait" r:id="rId1"/>
  <drawing r:id="rId2"/>
  <legacyDrawing r:id="rId3"/>
  <controls>
    <mc:AlternateContent xmlns:mc="http://schemas.openxmlformats.org/markup-compatibility/2006">
      <mc:Choice Requires="x14">
        <control shapeId="515073" r:id="rId4" name="cmdUpdatecHart">
          <controlPr defaultSize="0" autoLine="0" autoPict="0" r:id="rId5">
            <anchor moveWithCells="1">
              <from>
                <xdr:col>0</xdr:col>
                <xdr:colOff>31750</xdr:colOff>
                <xdr:row>0</xdr:row>
                <xdr:rowOff>0</xdr:rowOff>
              </from>
              <to>
                <xdr:col>3</xdr:col>
                <xdr:colOff>247650</xdr:colOff>
                <xdr:row>2</xdr:row>
                <xdr:rowOff>0</xdr:rowOff>
              </to>
            </anchor>
          </controlPr>
        </control>
      </mc:Choice>
      <mc:Fallback>
        <control shapeId="515073" r:id="rId4" name="cmdUpdatecHart"/>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EEAAF-A12C-4EA3-A21E-CAE018A4B6E2}">
  <sheetPr codeName="Sheet7"/>
  <dimension ref="A1:CG542"/>
  <sheetViews>
    <sheetView workbookViewId="0">
      <selection activeCell="G7" sqref="G7"/>
    </sheetView>
  </sheetViews>
  <sheetFormatPr defaultColWidth="9.1796875" defaultRowHeight="13"/>
  <cols>
    <col min="1" max="1" width="10.26953125" style="31" bestFit="1" customWidth="1"/>
    <col min="2" max="2" width="26.453125" style="31" bestFit="1" customWidth="1"/>
    <col min="3" max="3" width="20.453125" style="31" customWidth="1"/>
    <col min="4" max="4" width="14.453125" style="31" bestFit="1" customWidth="1"/>
    <col min="5" max="5" width="14.453125" style="342" customWidth="1"/>
    <col min="6" max="6" width="29.453125" style="31" bestFit="1" customWidth="1"/>
    <col min="7" max="7" width="22.26953125" style="31" customWidth="1"/>
    <col min="8" max="8" width="30.1796875" style="31" bestFit="1" customWidth="1"/>
    <col min="9" max="9" width="21.54296875" style="31" bestFit="1" customWidth="1"/>
    <col min="10" max="10" width="22.81640625" style="31" customWidth="1"/>
    <col min="11" max="11" width="14" style="31" bestFit="1" customWidth="1"/>
    <col min="12" max="12" width="25.54296875" style="31" customWidth="1"/>
    <col min="13" max="13" width="12.1796875" style="31" bestFit="1" customWidth="1"/>
    <col min="14" max="14" width="35.453125" style="31" bestFit="1" customWidth="1"/>
    <col min="15" max="15" width="33.453125" style="31" bestFit="1" customWidth="1"/>
    <col min="16" max="16" width="37" style="31" bestFit="1" customWidth="1"/>
    <col min="17" max="17" width="26" style="31" customWidth="1"/>
    <col min="18" max="18" width="9.1796875" style="31"/>
    <col min="19" max="19" width="21.26953125" style="31" customWidth="1"/>
    <col min="20" max="20" width="21.81640625" style="31" customWidth="1"/>
    <col min="21" max="21" width="11.54296875" style="31" customWidth="1"/>
    <col min="22" max="22" width="32" style="31" customWidth="1"/>
    <col min="23" max="23" width="13.26953125" style="31" customWidth="1"/>
    <col min="24" max="24" width="27.26953125" style="31" customWidth="1"/>
    <col min="25" max="25" width="25.81640625" style="31" customWidth="1"/>
    <col min="26" max="26" width="13.54296875" style="31" customWidth="1"/>
    <col min="27" max="27" width="18.1796875" style="31" customWidth="1"/>
    <col min="28" max="42" width="9.1796875" style="31"/>
    <col min="43" max="48" width="15.7265625" style="31" customWidth="1"/>
    <col min="49" max="49" width="21.7265625" style="203" customWidth="1"/>
    <col min="50" max="50" width="22.54296875" style="203" customWidth="1"/>
    <col min="51" max="51" width="15.54296875" style="203" customWidth="1"/>
    <col min="52" max="52" width="9.1796875" style="31"/>
    <col min="53" max="53" width="17.81640625" style="203" customWidth="1"/>
    <col min="54" max="54" width="16.7265625" style="203" customWidth="1"/>
    <col min="55" max="55" width="23.81640625" style="203" customWidth="1"/>
    <col min="56" max="56" width="20.1796875" style="203" customWidth="1"/>
    <col min="57" max="57" width="18.7265625" style="203" bestFit="1" customWidth="1"/>
    <col min="58" max="61" width="19.26953125" style="31" bestFit="1" customWidth="1"/>
    <col min="62" max="62" width="9.1796875" style="31"/>
    <col min="63" max="63" width="23.81640625" style="203" customWidth="1"/>
    <col min="64" max="64" width="36" style="203" customWidth="1"/>
    <col min="65" max="65" width="36.26953125" style="203" customWidth="1"/>
    <col min="66" max="66" width="16.7265625" style="203" customWidth="1"/>
    <col min="67" max="67" width="23.81640625" style="203" customWidth="1"/>
    <col min="68" max="69" width="20.1796875" style="203" customWidth="1"/>
    <col min="70" max="70" width="52" style="31" customWidth="1"/>
    <col min="71" max="78" width="9.1796875" style="31"/>
    <col min="79" max="79" width="32" style="31" customWidth="1"/>
    <col min="80" max="80" width="27.1796875" style="31" customWidth="1"/>
    <col min="81" max="81" width="34.26953125" style="31" customWidth="1"/>
    <col min="82" max="82" width="9.1796875" style="31"/>
    <col min="83" max="83" width="40.26953125" style="31" customWidth="1"/>
    <col min="84" max="84" width="34" style="31" customWidth="1"/>
    <col min="85" max="85" width="46.54296875" style="31" customWidth="1"/>
    <col min="86" max="16384" width="9.1796875" style="31"/>
  </cols>
  <sheetData>
    <row r="1" spans="1:85" ht="52.5" thickBot="1">
      <c r="A1" s="179" t="s">
        <v>1185</v>
      </c>
      <c r="B1" s="179" t="s">
        <v>3</v>
      </c>
      <c r="C1" s="179" t="s">
        <v>1186</v>
      </c>
      <c r="D1" s="335" t="s">
        <v>11</v>
      </c>
      <c r="E1" s="339" t="s">
        <v>1187</v>
      </c>
      <c r="F1" s="179" t="s">
        <v>13</v>
      </c>
      <c r="G1" s="179" t="s">
        <v>14</v>
      </c>
      <c r="H1" s="179" t="s">
        <v>12</v>
      </c>
      <c r="I1" s="179" t="s">
        <v>21</v>
      </c>
      <c r="J1" s="204" t="s">
        <v>1188</v>
      </c>
      <c r="K1" s="204" t="s">
        <v>1189</v>
      </c>
      <c r="L1" s="204" t="s">
        <v>1190</v>
      </c>
      <c r="M1" s="204" t="s">
        <v>1191</v>
      </c>
      <c r="N1" s="204" t="s">
        <v>28</v>
      </c>
      <c r="O1" s="204" t="s">
        <v>46</v>
      </c>
      <c r="P1" s="204" t="s">
        <v>102</v>
      </c>
      <c r="Q1" s="204" t="s">
        <v>1192</v>
      </c>
      <c r="R1" s="179" t="s">
        <v>614</v>
      </c>
      <c r="S1" s="205" t="s">
        <v>1193</v>
      </c>
      <c r="T1" s="205" t="s">
        <v>1194</v>
      </c>
      <c r="U1" s="205" t="s">
        <v>1195</v>
      </c>
      <c r="V1" s="205" t="s">
        <v>1196</v>
      </c>
      <c r="W1" s="206" t="s">
        <v>1197</v>
      </c>
      <c r="X1" s="206" t="s">
        <v>1198</v>
      </c>
      <c r="Y1" s="31" t="s">
        <v>1199</v>
      </c>
      <c r="Z1" s="212" t="s">
        <v>1200</v>
      </c>
      <c r="AA1" s="212" t="s">
        <v>1201</v>
      </c>
      <c r="AB1" s="212"/>
      <c r="AG1" s="428" t="s">
        <v>1202</v>
      </c>
      <c r="AH1" s="429"/>
      <c r="AI1" s="429"/>
      <c r="AJ1" s="429"/>
      <c r="AK1" s="429"/>
      <c r="AL1" s="430"/>
      <c r="AQ1" s="31" t="s">
        <v>1665</v>
      </c>
      <c r="AW1" s="207" t="s">
        <v>3</v>
      </c>
      <c r="AX1" s="207" t="s">
        <v>1203</v>
      </c>
      <c r="AY1" s="207" t="str">
        <f>IF(SUMPRODUCT((AY2:AY53&lt;&gt;"")*1)=1,_xlfn.TEXTJOIN(", ",TRUE,AY2:AY35)&amp;" Category",IF(SUMPRODUCT((AY2:AY53&lt;&gt;"")*1)&gt;1,_xlfn.TEXTJOIN(", ",TRUE,AY2:AY35) &amp;" Categories",""))</f>
        <v>Time &amp; Speed, Efficiency, Delivered Quality Categories</v>
      </c>
      <c r="BA1" s="208" t="s">
        <v>1204</v>
      </c>
      <c r="BB1" s="209" t="s">
        <v>559</v>
      </c>
      <c r="BC1" s="209" t="s">
        <v>1205</v>
      </c>
      <c r="BD1" s="210" t="s">
        <v>19</v>
      </c>
      <c r="BE1" s="211" t="s">
        <v>0</v>
      </c>
      <c r="BF1" s="212"/>
      <c r="BG1" s="212"/>
      <c r="BH1" s="212"/>
      <c r="BI1" s="212"/>
      <c r="BK1" s="209" t="s">
        <v>1205</v>
      </c>
      <c r="BL1" s="188" t="s">
        <v>1</v>
      </c>
      <c r="BM1" s="209"/>
      <c r="BN1" s="209" t="s">
        <v>559</v>
      </c>
      <c r="BO1" s="209" t="s">
        <v>1205</v>
      </c>
      <c r="BP1" s="210" t="s">
        <v>19</v>
      </c>
      <c r="BQ1" s="211" t="s">
        <v>0</v>
      </c>
      <c r="BR1" s="243" t="s">
        <v>572</v>
      </c>
      <c r="CA1" s="31" t="s">
        <v>28</v>
      </c>
      <c r="CB1" s="31" t="s">
        <v>1206</v>
      </c>
      <c r="CC1" s="31" t="s">
        <v>28</v>
      </c>
      <c r="CE1" s="31" t="s">
        <v>1</v>
      </c>
      <c r="CF1" s="31" t="s">
        <v>1207</v>
      </c>
      <c r="CG1" s="31" t="s">
        <v>1206</v>
      </c>
    </row>
    <row r="2" spans="1:85" ht="14">
      <c r="A2" s="213" t="s">
        <v>34</v>
      </c>
      <c r="B2" s="213" t="s">
        <v>140</v>
      </c>
      <c r="C2" s="213">
        <v>1</v>
      </c>
      <c r="D2" s="336" t="s">
        <v>35</v>
      </c>
      <c r="E2" s="338" t="s">
        <v>651</v>
      </c>
      <c r="F2" s="213" t="s">
        <v>1208</v>
      </c>
      <c r="G2" s="213" t="s">
        <v>557</v>
      </c>
      <c r="H2" s="213" t="s">
        <v>1209</v>
      </c>
      <c r="I2" s="213" t="s">
        <v>79</v>
      </c>
      <c r="J2" s="213" t="s">
        <v>1210</v>
      </c>
      <c r="K2" s="213" t="s">
        <v>1211</v>
      </c>
      <c r="L2" s="214" t="s">
        <v>1199</v>
      </c>
      <c r="M2" s="214" t="s">
        <v>90</v>
      </c>
      <c r="N2" s="215" t="s">
        <v>29</v>
      </c>
      <c r="O2" s="216" t="s">
        <v>57</v>
      </c>
      <c r="P2" s="216" t="s">
        <v>126</v>
      </c>
      <c r="Q2" s="217" t="s">
        <v>1212</v>
      </c>
      <c r="R2" s="213" t="s">
        <v>1213</v>
      </c>
      <c r="S2" s="215" t="s">
        <v>1214</v>
      </c>
      <c r="T2" s="215" t="s">
        <v>1215</v>
      </c>
      <c r="U2" s="215" t="s">
        <v>1216</v>
      </c>
      <c r="V2" s="217" t="s">
        <v>1217</v>
      </c>
      <c r="W2" s="215" t="s">
        <v>1218</v>
      </c>
      <c r="X2" s="215" t="s">
        <v>1219</v>
      </c>
      <c r="Y2" s="31" t="s">
        <v>1220</v>
      </c>
      <c r="Z2" s="31">
        <f>COUNTA(MetricsDefinition!A2:A408)</f>
        <v>83</v>
      </c>
      <c r="AA2" s="31" t="str" cm="1">
        <f t="array" ref="AA2">_xlfn.IFNA(INDEX('KPI Plan'!$F$5:$F$75,MATCH(0,IF("Process Objective"='KPI Plan'!$A$5:$A$75,COUNTIF($AA$1:$AA1,'KPI Plan'!$F$5:$F$75),""),0)),"")</f>
        <v/>
      </c>
      <c r="AG2" s="218"/>
      <c r="AH2" s="219" t="s">
        <v>85</v>
      </c>
      <c r="AI2" s="219" t="s">
        <v>1221</v>
      </c>
      <c r="AJ2" s="220"/>
      <c r="AK2" s="220"/>
      <c r="AL2" s="221" t="s">
        <v>1222</v>
      </c>
      <c r="AQ2" s="31" t="s">
        <v>28</v>
      </c>
      <c r="AW2" s="203" t="str">
        <f>IF(B2&lt;&gt;"",B2,"")</f>
        <v>Time &amp; Speed</v>
      </c>
      <c r="AX2" s="203">
        <f>IF(AW2&lt;&gt;"",COUNTIF('KPI Plan'!$E$5:$E$99,ListMaster!AW2),"")</f>
        <v>0</v>
      </c>
      <c r="AY2" s="203" t="str">
        <f>IF(AW2&lt;&gt;"",IF(AX2-C2&lt;0,AW2,""),"")</f>
        <v>Time &amp; Speed</v>
      </c>
      <c r="BA2" s="222" t="str">
        <f t="array" ref="BA2">IFERROR(INDEX($BB$2:$BB$250, MATCH(0, COUNTIF($BA$1:BA1,$BB$2:$BB$250&amp;"") + IF($BB$2:$BB$250="",1,0), 0)), "")</f>
        <v>Delivered Quality</v>
      </c>
      <c r="BB2" s="222" t="s">
        <v>154</v>
      </c>
      <c r="BC2" s="222" t="s">
        <v>155</v>
      </c>
      <c r="BD2" s="222" t="s">
        <v>43</v>
      </c>
      <c r="BE2" s="222" t="s">
        <v>46</v>
      </c>
      <c r="BK2" s="222" t="s">
        <v>88</v>
      </c>
      <c r="BL2" s="222" t="s">
        <v>86</v>
      </c>
      <c r="BM2" s="222" t="e">
        <f>VLOOKUP(BK2,#REF!,3,FALSE)</f>
        <v>#REF!</v>
      </c>
      <c r="BN2" s="222" t="s">
        <v>30</v>
      </c>
      <c r="BO2" s="222" t="s">
        <v>31</v>
      </c>
      <c r="BP2" s="222" t="s">
        <v>43</v>
      </c>
      <c r="BQ2" s="222" t="s">
        <v>28</v>
      </c>
      <c r="BR2" s="244" t="str">
        <f>IF($BO2&lt;&gt;"",IF(IFERROR(VLOOKUP($BO2,#REF!,4,FALSE),"")=0,"",IFERROR(VLOOKUP($BO2,#REF!,4,FALSE),"")),"")</f>
        <v/>
      </c>
      <c r="CA2" s="31" t="s">
        <v>86</v>
      </c>
      <c r="CB2" s="31" t="s">
        <v>1223</v>
      </c>
      <c r="CC2" s="31" t="s">
        <v>1224</v>
      </c>
      <c r="CE2" s="31" t="s">
        <v>29</v>
      </c>
      <c r="CF2" s="31" t="s">
        <v>29</v>
      </c>
      <c r="CG2" s="31" t="str">
        <f>VLOOKUP(CF2,ListMaster!$CA$2:$CB$50,2,FALSE)</f>
        <v>Meet Profitability Target</v>
      </c>
    </row>
    <row r="3" spans="1:85" ht="63">
      <c r="A3" s="213" t="s">
        <v>51</v>
      </c>
      <c r="B3" s="213" t="s">
        <v>72</v>
      </c>
      <c r="C3" s="213">
        <v>1</v>
      </c>
      <c r="D3" s="336" t="s">
        <v>61</v>
      </c>
      <c r="E3" s="338" t="s">
        <v>656</v>
      </c>
      <c r="F3" s="213" t="s">
        <v>556</v>
      </c>
      <c r="G3" s="213" t="s">
        <v>1225</v>
      </c>
      <c r="H3" s="213" t="s">
        <v>1226</v>
      </c>
      <c r="I3" s="213" t="s">
        <v>44</v>
      </c>
      <c r="J3" s="215" t="s">
        <v>1227</v>
      </c>
      <c r="K3" s="213" t="s">
        <v>1211</v>
      </c>
      <c r="L3" s="214" t="s">
        <v>1228</v>
      </c>
      <c r="M3" s="214" t="s">
        <v>1211</v>
      </c>
      <c r="N3" s="216" t="s">
        <v>86</v>
      </c>
      <c r="O3" s="216" t="s">
        <v>94</v>
      </c>
      <c r="P3" s="216" t="s">
        <v>103</v>
      </c>
      <c r="Q3" s="217" t="s">
        <v>1229</v>
      </c>
      <c r="R3" s="213" t="s">
        <v>1230</v>
      </c>
      <c r="S3" s="215" t="s">
        <v>1231</v>
      </c>
      <c r="T3" s="215" t="s">
        <v>1232</v>
      </c>
      <c r="U3" s="215" t="s">
        <v>1233</v>
      </c>
      <c r="V3" s="217" t="s">
        <v>1234</v>
      </c>
      <c r="W3" s="215" t="s">
        <v>1235</v>
      </c>
      <c r="X3" s="215" t="s">
        <v>1236</v>
      </c>
      <c r="Y3" s="31" t="s">
        <v>1237</v>
      </c>
      <c r="AA3" s="31" t="str" cm="1">
        <f t="array" ref="AA3">_xlfn.IFNA(INDEX('KPI Plan'!$F$5:$F$75,MATCH(0,IF("Process Objective"='KPI Plan'!$A$5:$A$75,COUNTIF($AA$1:$AA2,'KPI Plan'!$F$5:$F$75),""),0)),"")</f>
        <v/>
      </c>
      <c r="AG3" s="223" t="s">
        <v>595</v>
      </c>
      <c r="AH3" s="224">
        <v>1</v>
      </c>
      <c r="AI3" s="224">
        <v>0</v>
      </c>
      <c r="AJ3" s="224"/>
      <c r="AK3" s="224"/>
      <c r="AL3" s="225">
        <v>0.15</v>
      </c>
      <c r="AQ3" s="31" t="s">
        <v>1666</v>
      </c>
      <c r="AW3" s="203" t="str">
        <f t="shared" ref="AW3:AW23" si="0">IF(B3&lt;&gt;"",B3,"")</f>
        <v>Efficiency</v>
      </c>
      <c r="AX3" s="203">
        <f>IF(AW3&lt;&gt;"",COUNTIF('KPI Plan'!$E$5:$E$99,ListMaster!AW3),"")</f>
        <v>0</v>
      </c>
      <c r="AY3" s="203" t="str">
        <f t="shared" ref="AY3:AY26" si="1">IF(AW3&lt;&gt;"",IF(AX3-C3&lt;0,AW3,""),"")</f>
        <v>Efficiency</v>
      </c>
      <c r="BA3" s="203" t="str">
        <f t="array" ref="BA3">IFERROR(INDEX($BB$2:$BB$250, MATCH(0, COUNTIF($BA$1:BA2,$BB$2:$BB$250&amp;"") + IF($BB$2:$BB$250="",1,0), 0)), "")</f>
        <v>Delivery Capabilty</v>
      </c>
      <c r="BB3" s="203" t="s">
        <v>154</v>
      </c>
      <c r="BC3" s="203" t="s">
        <v>163</v>
      </c>
      <c r="BD3" s="203" t="s">
        <v>43</v>
      </c>
      <c r="BE3" s="203" t="s">
        <v>46</v>
      </c>
      <c r="BK3" s="203" t="s">
        <v>31</v>
      </c>
      <c r="BL3" s="203" t="s">
        <v>29</v>
      </c>
      <c r="BN3" s="203" t="s">
        <v>87</v>
      </c>
      <c r="BO3" s="203" t="s">
        <v>88</v>
      </c>
      <c r="BP3" s="203" t="s">
        <v>43</v>
      </c>
      <c r="BQ3" s="203" t="s">
        <v>28</v>
      </c>
      <c r="BR3" s="244" t="str">
        <f>IF($BO3&lt;&gt;"",IF(IFERROR(VLOOKUP($BO3,#REF!,4,FALSE),"")=0,"",IFERROR(VLOOKUP($BO3,#REF!,4,FALSE),"")),"")</f>
        <v/>
      </c>
      <c r="CA3" s="31" t="s">
        <v>29</v>
      </c>
      <c r="CB3" s="31" t="s">
        <v>1238</v>
      </c>
      <c r="CC3" s="31" t="s">
        <v>1239</v>
      </c>
      <c r="CE3" s="31" t="s">
        <v>47</v>
      </c>
      <c r="CF3" s="31" t="s">
        <v>29</v>
      </c>
      <c r="CG3" s="31" t="str">
        <f>VLOOKUP(CF3,ListMaster!$CA$2:$CB$50,2,FALSE)</f>
        <v>Meet Profitability Target</v>
      </c>
    </row>
    <row r="4" spans="1:85" ht="42">
      <c r="A4" s="213" t="s">
        <v>265</v>
      </c>
      <c r="B4" s="213" t="s">
        <v>95</v>
      </c>
      <c r="C4" s="213">
        <v>0</v>
      </c>
      <c r="D4" s="336" t="s">
        <v>67</v>
      </c>
      <c r="E4" s="338"/>
      <c r="F4" s="213" t="s">
        <v>1240</v>
      </c>
      <c r="G4" s="213" t="s">
        <v>1241</v>
      </c>
      <c r="H4" s="213" t="s">
        <v>498</v>
      </c>
      <c r="I4" s="213" t="s">
        <v>1242</v>
      </c>
      <c r="J4" s="215" t="s">
        <v>1243</v>
      </c>
      <c r="K4" s="213" t="s">
        <v>1211</v>
      </c>
      <c r="L4" s="226" t="s">
        <v>1244</v>
      </c>
      <c r="M4" s="214" t="s">
        <v>1211</v>
      </c>
      <c r="N4" s="227"/>
      <c r="O4" s="216" t="s">
        <v>139</v>
      </c>
      <c r="P4" s="216" t="s">
        <v>262</v>
      </c>
      <c r="Q4" s="217" t="s">
        <v>1245</v>
      </c>
      <c r="R4" s="213" t="s">
        <v>41</v>
      </c>
      <c r="S4" s="215" t="s">
        <v>1246</v>
      </c>
      <c r="T4" s="215" t="s">
        <v>1247</v>
      </c>
      <c r="U4" s="215" t="s">
        <v>1248</v>
      </c>
      <c r="V4" s="217" t="s">
        <v>1249</v>
      </c>
      <c r="W4" s="215" t="s">
        <v>1250</v>
      </c>
      <c r="X4" s="215" t="s">
        <v>1251</v>
      </c>
      <c r="Y4" s="31" t="s">
        <v>558</v>
      </c>
      <c r="AA4" s="31" t="str" cm="1">
        <f t="array" ref="AA4">_xlfn.IFNA(INDEX('KPI Plan'!$F$5:$F$75,MATCH(0,IF("Process Objective"='KPI Plan'!$A$5:$A$75,COUNTIF($AA$1:$AA3,'KPI Plan'!$F$5:$F$75),""),0)),"")</f>
        <v/>
      </c>
      <c r="AG4" s="223" t="s">
        <v>1252</v>
      </c>
      <c r="AH4" s="224">
        <v>1</v>
      </c>
      <c r="AI4" s="224">
        <v>0</v>
      </c>
      <c r="AJ4" s="228"/>
      <c r="AK4" s="228"/>
      <c r="AL4" s="225">
        <v>0.3</v>
      </c>
      <c r="AQ4" s="31" t="s">
        <v>1667</v>
      </c>
      <c r="AW4" s="203" t="str">
        <f t="shared" si="0"/>
        <v>Internal Quality</v>
      </c>
      <c r="AX4" s="203">
        <f>IF(AW4&lt;&gt;"",COUNTIF('KPI Plan'!$E$5:$E$99,ListMaster!AW4),"")</f>
        <v>0</v>
      </c>
      <c r="AY4" s="203" t="str">
        <f t="shared" si="1"/>
        <v/>
      </c>
      <c r="BA4" s="203" t="str">
        <f t="array" ref="BA4">IFERROR(INDEX($BB$2:$BB$250, MATCH(0, COUNTIF($BA$1:BA3,$BB$2:$BB$250&amp;"") + IF($BB$2:$BB$250="",1,0), 0)), "")</f>
        <v>Efficiency</v>
      </c>
      <c r="BB4" s="203" t="s">
        <v>154</v>
      </c>
      <c r="BC4" s="203" t="s">
        <v>530</v>
      </c>
      <c r="BD4" s="203" t="s">
        <v>43</v>
      </c>
      <c r="BE4" s="203" t="s">
        <v>46</v>
      </c>
      <c r="BK4" s="203" t="s">
        <v>1253</v>
      </c>
      <c r="BL4" s="203" t="s">
        <v>148</v>
      </c>
      <c r="BN4" s="203" t="s">
        <v>154</v>
      </c>
      <c r="BO4" s="203" t="s">
        <v>155</v>
      </c>
      <c r="BP4" s="203" t="s">
        <v>43</v>
      </c>
      <c r="BQ4" s="203" t="s">
        <v>46</v>
      </c>
      <c r="BR4" s="244" t="str">
        <f>IF($BO4&lt;&gt;"",IF(IFERROR(VLOOKUP($BO4,#REF!,4,FALSE),"")=0,"",IFERROR(VLOOKUP($BO4,#REF!,4,FALSE),"")),"")</f>
        <v/>
      </c>
      <c r="CA4" s="31" t="s">
        <v>1254</v>
      </c>
      <c r="CB4" s="31" t="s">
        <v>1255</v>
      </c>
      <c r="CC4" s="31" t="s">
        <v>1254</v>
      </c>
      <c r="CE4" s="31" t="s">
        <v>57</v>
      </c>
      <c r="CF4" s="31" t="s">
        <v>29</v>
      </c>
      <c r="CG4" s="31" t="str">
        <f>VLOOKUP(CF4,ListMaster!$CA$2:$CB$50,2,FALSE)</f>
        <v>Meet Profitability Target</v>
      </c>
    </row>
    <row r="5" spans="1:85" ht="20.5" thickBot="1">
      <c r="A5" s="215"/>
      <c r="B5" s="213" t="s">
        <v>154</v>
      </c>
      <c r="C5" s="213">
        <v>1</v>
      </c>
      <c r="D5" s="336" t="s">
        <v>313</v>
      </c>
      <c r="E5" s="338" t="s">
        <v>1256</v>
      </c>
      <c r="F5" s="213" t="s">
        <v>406</v>
      </c>
      <c r="G5" s="213" t="s">
        <v>1257</v>
      </c>
      <c r="H5" s="213" t="s">
        <v>1258</v>
      </c>
      <c r="I5" s="215"/>
      <c r="J5" s="215" t="s">
        <v>1259</v>
      </c>
      <c r="K5" s="213" t="s">
        <v>1211</v>
      </c>
      <c r="L5" s="214" t="s">
        <v>1260</v>
      </c>
      <c r="M5" s="214" t="s">
        <v>90</v>
      </c>
      <c r="N5" s="227"/>
      <c r="O5" s="216" t="s">
        <v>47</v>
      </c>
      <c r="P5" s="216" t="s">
        <v>281</v>
      </c>
      <c r="Q5" s="217" t="s">
        <v>1261</v>
      </c>
      <c r="R5" s="213" t="s">
        <v>101</v>
      </c>
      <c r="S5" s="215" t="s">
        <v>1262</v>
      </c>
      <c r="T5" s="215"/>
      <c r="U5" s="215"/>
      <c r="V5" s="217" t="s">
        <v>1263</v>
      </c>
      <c r="W5" s="215" t="s">
        <v>1264</v>
      </c>
      <c r="X5" s="215" t="s">
        <v>1265</v>
      </c>
      <c r="Y5" s="31" t="s">
        <v>1266</v>
      </c>
      <c r="AA5" s="31" t="str" cm="1">
        <f t="array" ref="AA5">_xlfn.IFNA(INDEX('KPI Plan'!$F$5:$F$75,MATCH(0,IF("Process Objective"='KPI Plan'!$A$5:$A$75,COUNTIF($AA$1:$AA4,'KPI Plan'!$F$5:$F$75),""),0)),"")</f>
        <v/>
      </c>
      <c r="AG5" s="229"/>
      <c r="AH5" s="230" t="s">
        <v>288</v>
      </c>
      <c r="AI5" s="230" t="s">
        <v>1267</v>
      </c>
      <c r="AJ5" s="230" t="s">
        <v>1268</v>
      </c>
      <c r="AK5" s="230" t="s">
        <v>1269</v>
      </c>
      <c r="AL5" s="225"/>
      <c r="AQ5" s="31" t="s">
        <v>1668</v>
      </c>
      <c r="AW5" s="203" t="str">
        <f t="shared" si="0"/>
        <v>Delivered Quality</v>
      </c>
      <c r="AX5" s="203">
        <f>IF(AW5&lt;&gt;"",COUNTIF('KPI Plan'!$E$5:$E$99,ListMaster!AW5),"")</f>
        <v>0</v>
      </c>
      <c r="AY5" s="203" t="str">
        <f t="shared" si="1"/>
        <v>Delivered Quality</v>
      </c>
      <c r="BA5" s="203" t="str">
        <f t="array" ref="BA5">IFERROR(INDEX($BB$2:$BB$250, MATCH(0, COUNTIF($BA$1:BA4,$BB$2:$BB$250&amp;"") + IF($BB$2:$BB$250="",1,0), 0)), "")</f>
        <v>Financial</v>
      </c>
      <c r="BB5" s="203" t="s">
        <v>104</v>
      </c>
      <c r="BC5" s="203" t="s">
        <v>105</v>
      </c>
      <c r="BD5" s="203" t="s">
        <v>110</v>
      </c>
      <c r="BE5" s="203" t="s">
        <v>102</v>
      </c>
      <c r="BK5" s="203" t="s">
        <v>395</v>
      </c>
      <c r="BL5" s="203" t="s">
        <v>148</v>
      </c>
      <c r="BN5" s="203" t="s">
        <v>154</v>
      </c>
      <c r="BO5" s="203" t="s">
        <v>163</v>
      </c>
      <c r="BP5" s="203" t="s">
        <v>43</v>
      </c>
      <c r="BQ5" s="203" t="s">
        <v>46</v>
      </c>
      <c r="BR5" s="244" t="str">
        <f>IF($BO5&lt;&gt;"",IF(IFERROR(VLOOKUP($BO5,#REF!,4,FALSE),"")=0,"",IFERROR(VLOOKUP($BO5,#REF!,4,FALSE),"")),"")</f>
        <v/>
      </c>
      <c r="CE5" s="31" t="s">
        <v>86</v>
      </c>
      <c r="CF5" s="31" t="s">
        <v>86</v>
      </c>
      <c r="CG5" s="31" t="str">
        <f>VLOOKUP(CF5,ListMaster!$CA$2:$CB$50,2,FALSE)</f>
        <v>Drive Revenue Growth</v>
      </c>
    </row>
    <row r="6" spans="1:85" ht="21.5" thickBot="1">
      <c r="A6" s="215"/>
      <c r="B6" s="213" t="s">
        <v>149</v>
      </c>
      <c r="C6" s="213">
        <v>0</v>
      </c>
      <c r="D6" s="336" t="s">
        <v>288</v>
      </c>
      <c r="E6" s="338"/>
      <c r="F6" s="213" t="s">
        <v>415</v>
      </c>
      <c r="G6" s="213" t="s">
        <v>1270</v>
      </c>
      <c r="H6" s="213" t="s">
        <v>1271</v>
      </c>
      <c r="I6" s="215"/>
      <c r="J6" s="215" t="s">
        <v>1272</v>
      </c>
      <c r="K6" s="213" t="s">
        <v>1211</v>
      </c>
      <c r="L6" s="214" t="s">
        <v>1273</v>
      </c>
      <c r="M6" s="214" t="s">
        <v>1274</v>
      </c>
      <c r="N6" s="231"/>
      <c r="O6" s="216" t="s">
        <v>148</v>
      </c>
      <c r="P6" s="216" t="s">
        <v>174</v>
      </c>
      <c r="Q6" s="217" t="s">
        <v>1275</v>
      </c>
      <c r="R6" s="213" t="s">
        <v>1276</v>
      </c>
      <c r="S6" s="215" t="s">
        <v>1277</v>
      </c>
      <c r="T6" s="215"/>
      <c r="U6" s="215"/>
      <c r="V6" s="217" t="s">
        <v>1278</v>
      </c>
      <c r="W6" s="215" t="s">
        <v>1279</v>
      </c>
      <c r="X6" s="215" t="s">
        <v>1280</v>
      </c>
      <c r="Y6" s="31" t="s">
        <v>1281</v>
      </c>
      <c r="AA6" s="31" t="str" cm="1">
        <f t="array" ref="AA6">_xlfn.IFNA(INDEX('KPI Plan'!$F$5:$F$75,MATCH(0,IF("Process Objective"='KPI Plan'!$A$5:$A$75,COUNTIF($AA$1:$AA5,'KPI Plan'!$F$5:$F$75),""),0)),"")</f>
        <v/>
      </c>
      <c r="AG6" s="12" t="s">
        <v>594</v>
      </c>
      <c r="AH6" s="224">
        <v>0</v>
      </c>
      <c r="AI6" s="224">
        <v>3</v>
      </c>
      <c r="AJ6" s="224">
        <v>2</v>
      </c>
      <c r="AK6" s="224">
        <v>1</v>
      </c>
      <c r="AL6" s="225">
        <v>0.25</v>
      </c>
      <c r="AW6" s="203" t="str">
        <f t="shared" si="0"/>
        <v>Scope</v>
      </c>
      <c r="AX6" s="203">
        <f>IF(AW6&lt;&gt;"",COUNTIF('KPI Plan'!$E$5:$E$99,ListMaster!AW6),"")</f>
        <v>0</v>
      </c>
      <c r="AY6" s="203" t="str">
        <f t="shared" si="1"/>
        <v/>
      </c>
      <c r="BA6" s="203" t="str">
        <f t="array" ref="BA6">IFERROR(INDEX($BB$2:$BB$250, MATCH(0, COUNTIF($BA$1:BA5,$BB$2:$BB$250&amp;"") + IF($BB$2:$BB$250="",1,0), 0)), "")</f>
        <v>Internal Quality</v>
      </c>
      <c r="BB6" s="203" t="s">
        <v>104</v>
      </c>
      <c r="BC6" s="203" t="s">
        <v>111</v>
      </c>
      <c r="BD6" s="203" t="s">
        <v>110</v>
      </c>
      <c r="BE6" s="203" t="s">
        <v>102</v>
      </c>
      <c r="BK6" s="203" t="s">
        <v>409</v>
      </c>
      <c r="BL6" s="203" t="s">
        <v>148</v>
      </c>
      <c r="BN6" s="203" t="s">
        <v>154</v>
      </c>
      <c r="BO6" s="203" t="s">
        <v>530</v>
      </c>
      <c r="BP6" s="203" t="s">
        <v>43</v>
      </c>
      <c r="BQ6" s="203" t="s">
        <v>46</v>
      </c>
      <c r="BR6" s="244" t="str">
        <f>IF($BO6&lt;&gt;"",IF(IFERROR(VLOOKUP($BO6,#REF!,4,FALSE),"")=0,"",IFERROR(VLOOKUP($BO6,#REF!,4,FALSE),"")),"")</f>
        <v/>
      </c>
      <c r="CE6" s="31" t="s">
        <v>94</v>
      </c>
      <c r="CF6" s="31" t="s">
        <v>86</v>
      </c>
      <c r="CG6" s="31" t="str">
        <f>VLOOKUP(CF6,ListMaster!$CA$2:$CB$50,2,FALSE)</f>
        <v>Drive Revenue Growth</v>
      </c>
    </row>
    <row r="7" spans="1:85" ht="53" thickBot="1">
      <c r="A7" s="215"/>
      <c r="B7" s="213" t="s">
        <v>30</v>
      </c>
      <c r="C7" s="213">
        <v>0</v>
      </c>
      <c r="D7" s="337"/>
      <c r="E7" s="340"/>
      <c r="F7" s="213" t="s">
        <v>1282</v>
      </c>
      <c r="G7" s="215" t="s">
        <v>1731</v>
      </c>
      <c r="H7" s="213" t="s">
        <v>1283</v>
      </c>
      <c r="I7" s="215"/>
      <c r="J7" s="215" t="s">
        <v>1284</v>
      </c>
      <c r="K7" s="213" t="s">
        <v>1211</v>
      </c>
      <c r="L7" s="214" t="s">
        <v>1285</v>
      </c>
      <c r="M7" s="214" t="s">
        <v>1285</v>
      </c>
      <c r="N7" s="227"/>
      <c r="O7" s="216" t="s">
        <v>438</v>
      </c>
      <c r="P7" s="216" t="s">
        <v>187</v>
      </c>
      <c r="Q7" s="227"/>
      <c r="R7" s="213" t="s">
        <v>1664</v>
      </c>
      <c r="S7" s="215" t="s">
        <v>1287</v>
      </c>
      <c r="T7" s="215"/>
      <c r="U7" s="215"/>
      <c r="V7" s="217" t="s">
        <v>1288</v>
      </c>
      <c r="W7" s="215" t="s">
        <v>1289</v>
      </c>
      <c r="X7" s="215" t="s">
        <v>1290</v>
      </c>
      <c r="Y7" s="31" t="s">
        <v>1291</v>
      </c>
      <c r="AA7" s="31" t="str" cm="1">
        <f t="array" ref="AA7">_xlfn.IFNA(INDEX('KPI Plan'!$F$5:$F$75,MATCH(0,IF("Process Objective"='KPI Plan'!$A$5:$A$75,COUNTIF($AA$1:$AA6,'KPI Plan'!$F$5:$F$75),""),0)),"")</f>
        <v/>
      </c>
      <c r="AG7" s="232" t="s">
        <v>1292</v>
      </c>
      <c r="AH7" s="233">
        <v>0</v>
      </c>
      <c r="AI7" s="233">
        <v>3</v>
      </c>
      <c r="AJ7" s="233">
        <v>2</v>
      </c>
      <c r="AK7" s="233">
        <v>1</v>
      </c>
      <c r="AL7" s="234">
        <v>0.3</v>
      </c>
      <c r="AW7" s="203" t="str">
        <f t="shared" si="0"/>
        <v>Financial</v>
      </c>
      <c r="AX7" s="203">
        <f>IF(AW7&lt;&gt;"",COUNTIF('KPI Plan'!$E$5:$E$99,ListMaster!AW7),"")</f>
        <v>0</v>
      </c>
      <c r="AY7" s="203" t="str">
        <f t="shared" si="1"/>
        <v/>
      </c>
      <c r="BA7" s="203" t="str">
        <f t="array" ref="BA7">IFERROR(INDEX($BB$2:$BB$250, MATCH(0, COUNTIF($BA$1:BA6,$BB$2:$BB$250&amp;"") + IF($BB$2:$BB$250="",1,0), 0)), "")</f>
        <v xml:space="preserve">Knowledge &amp; Reuse </v>
      </c>
      <c r="BB7" s="203" t="s">
        <v>104</v>
      </c>
      <c r="BC7" s="203" t="s">
        <v>116</v>
      </c>
      <c r="BD7" s="203" t="s">
        <v>110</v>
      </c>
      <c r="BE7" s="203" t="s">
        <v>102</v>
      </c>
      <c r="BK7" s="203" t="s">
        <v>286</v>
      </c>
      <c r="BL7" s="203" t="s">
        <v>285</v>
      </c>
      <c r="BN7" s="203" t="s">
        <v>72</v>
      </c>
      <c r="BO7" s="203" t="s">
        <v>73</v>
      </c>
      <c r="BP7" s="203" t="s">
        <v>55</v>
      </c>
      <c r="BQ7" s="203" t="s">
        <v>46</v>
      </c>
      <c r="BR7" s="244" t="str">
        <f>IF($BO7&lt;&gt;"",IF(IFERROR(VLOOKUP($BO7,#REF!,4,FALSE),"")=0,"",IFERROR(VLOOKUP($BO7,#REF!,4,FALSE),"")),"")</f>
        <v/>
      </c>
      <c r="CE7" s="31" t="s">
        <v>103</v>
      </c>
      <c r="CF7" s="31" t="s">
        <v>29</v>
      </c>
      <c r="CG7" s="31" t="str">
        <f>VLOOKUP(CF7,ListMaster!$CA$2:$CB$50,2,FALSE)</f>
        <v>Meet Profitability Target</v>
      </c>
    </row>
    <row r="8" spans="1:85" ht="14">
      <c r="A8" s="215"/>
      <c r="B8" s="213" t="s">
        <v>87</v>
      </c>
      <c r="C8" s="213">
        <v>0</v>
      </c>
      <c r="D8" s="337"/>
      <c r="E8" s="340"/>
      <c r="F8" s="213" t="s">
        <v>1293</v>
      </c>
      <c r="G8" s="215"/>
      <c r="H8" s="213" t="s">
        <v>1294</v>
      </c>
      <c r="I8" s="215"/>
      <c r="J8" s="215" t="s">
        <v>1295</v>
      </c>
      <c r="K8" s="213" t="s">
        <v>1211</v>
      </c>
      <c r="L8" s="214" t="s">
        <v>1296</v>
      </c>
      <c r="M8" s="214" t="s">
        <v>1274</v>
      </c>
      <c r="N8" s="227"/>
      <c r="O8" s="227"/>
      <c r="P8" s="216" t="s">
        <v>198</v>
      </c>
      <c r="Q8" s="227"/>
      <c r="R8" s="213" t="s">
        <v>1286</v>
      </c>
      <c r="S8" s="215" t="s">
        <v>1298</v>
      </c>
      <c r="T8" s="215"/>
      <c r="U8" s="215"/>
      <c r="V8" s="217" t="s">
        <v>1299</v>
      </c>
      <c r="W8" s="215" t="s">
        <v>1300</v>
      </c>
      <c r="X8" s="215" t="s">
        <v>1301</v>
      </c>
      <c r="Y8" s="31" t="s">
        <v>1302</v>
      </c>
      <c r="AA8" s="31" t="str" cm="1">
        <f t="array" ref="AA8">_xlfn.IFNA(INDEX('KPI Plan'!$F$5:$F$75,MATCH(0,IF("Process Objective"='KPI Plan'!$A$5:$A$75,COUNTIF($AA$1:$AA7,'KPI Plan'!$F$5:$F$75),""),0)),"")</f>
        <v/>
      </c>
      <c r="AG8" s="145"/>
      <c r="AH8" s="145"/>
      <c r="AI8" s="145"/>
      <c r="AJ8" s="145"/>
      <c r="AK8" s="145"/>
      <c r="AL8" s="145"/>
      <c r="AW8" s="203" t="str">
        <f>IF(B10&lt;&gt;"",B10,"")</f>
        <v/>
      </c>
      <c r="AX8" s="203" t="str">
        <f>IF(AW8&lt;&gt;"",COUNTIF('KPI Plan'!$E$5:$E$99,ListMaster!AW8),"")</f>
        <v/>
      </c>
      <c r="AY8" s="203" t="str">
        <f t="shared" si="1"/>
        <v/>
      </c>
      <c r="BA8" s="203" t="str">
        <f t="array" ref="BA8">IFERROR(INDEX($BB$2:$BB$250, MATCH(0, COUNTIF($BA$1:BA7,$BB$2:$BB$250&amp;"") + IF($BB$2:$BB$250="",1,0), 0)), "")</f>
        <v>Non-functional-Maintainability</v>
      </c>
      <c r="BB8" s="203" t="s">
        <v>104</v>
      </c>
      <c r="BC8" s="203" t="s">
        <v>119</v>
      </c>
      <c r="BD8" s="203" t="s">
        <v>110</v>
      </c>
      <c r="BE8" s="203" t="s">
        <v>102</v>
      </c>
      <c r="BK8" s="203" t="s">
        <v>291</v>
      </c>
      <c r="BL8" s="203" t="s">
        <v>285</v>
      </c>
      <c r="BN8" s="203" t="s">
        <v>72</v>
      </c>
      <c r="BO8" s="203" t="s">
        <v>80</v>
      </c>
      <c r="BP8" s="203" t="s">
        <v>43</v>
      </c>
      <c r="BQ8" s="203" t="s">
        <v>46</v>
      </c>
      <c r="BR8" s="244" t="str">
        <f>IF($BO8&lt;&gt;"",IF(IFERROR(VLOOKUP($BO8,#REF!,4,FALSE),"")=0,"",IFERROR(VLOOKUP($BO8,#REF!,4,FALSE),"")),"")</f>
        <v/>
      </c>
      <c r="CE8" s="31" t="s">
        <v>126</v>
      </c>
      <c r="CF8" s="31" t="s">
        <v>29</v>
      </c>
      <c r="CG8" s="31" t="str">
        <f>VLOOKUP(CF8,ListMaster!$CA$2:$CB$50,2,FALSE)</f>
        <v>Meet Profitability Target</v>
      </c>
    </row>
    <row r="9" spans="1:85" ht="14.5" thickBot="1">
      <c r="A9" s="215"/>
      <c r="B9" s="213" t="s">
        <v>268</v>
      </c>
      <c r="C9" s="213">
        <v>0</v>
      </c>
      <c r="D9" s="337"/>
      <c r="E9" s="340"/>
      <c r="F9" s="213" t="s">
        <v>1303</v>
      </c>
      <c r="G9" s="215"/>
      <c r="H9" s="213" t="s">
        <v>1304</v>
      </c>
      <c r="I9" s="215"/>
      <c r="J9" s="213" t="s">
        <v>1305</v>
      </c>
      <c r="K9" s="215" t="s">
        <v>1199</v>
      </c>
      <c r="L9" s="214" t="s">
        <v>1306</v>
      </c>
      <c r="M9" s="214" t="s">
        <v>90</v>
      </c>
      <c r="N9" s="227"/>
      <c r="O9" s="227"/>
      <c r="P9" s="216" t="s">
        <v>205</v>
      </c>
      <c r="Q9" s="227"/>
      <c r="R9" s="213" t="s">
        <v>1297</v>
      </c>
      <c r="S9" s="215"/>
      <c r="T9" s="215"/>
      <c r="U9" s="215"/>
      <c r="V9" s="217" t="s">
        <v>1308</v>
      </c>
      <c r="W9" s="215" t="s">
        <v>1309</v>
      </c>
      <c r="X9" s="215" t="s">
        <v>1310</v>
      </c>
      <c r="Y9" s="31" t="s">
        <v>1311</v>
      </c>
      <c r="AA9" s="31" t="str" cm="1">
        <f t="array" ref="AA9">_xlfn.IFNA(INDEX('KPI Plan'!$F$5:$F$75,MATCH(0,IF("Process Objective"='KPI Plan'!$A$5:$A$75,COUNTIF($AA$1:$AA8,'KPI Plan'!$F$5:$F$75),""),0)),"")</f>
        <v/>
      </c>
      <c r="AG9" s="431" t="s">
        <v>1312</v>
      </c>
      <c r="AH9" s="432"/>
      <c r="AI9" s="432"/>
      <c r="AJ9" s="432"/>
      <c r="AK9" s="432"/>
      <c r="AL9" s="432"/>
      <c r="AW9" s="203" t="str">
        <f>IF(B8&lt;&gt;"",B8,"")</f>
        <v>Stakeholder Perception</v>
      </c>
      <c r="AX9" s="203">
        <f>IF(AW9&lt;&gt;"",COUNTIF('KPI Plan'!$E$5:$E$99,ListMaster!AW9),"")</f>
        <v>0</v>
      </c>
      <c r="AY9" s="203" t="str">
        <f t="shared" si="1"/>
        <v/>
      </c>
      <c r="BA9" s="203" t="str">
        <f t="array" ref="BA9">IFERROR(INDEX($BB$2:$BB$250, MATCH(0, COUNTIF($BA$1:BA8,$BB$2:$BB$250&amp;"") + IF($BB$2:$BB$250="",1,0), 0)), "")</f>
        <v>Non-functional-Performance</v>
      </c>
      <c r="BB9" s="203" t="s">
        <v>104</v>
      </c>
      <c r="BC9" s="203" t="s">
        <v>122</v>
      </c>
      <c r="BD9" s="203" t="s">
        <v>110</v>
      </c>
      <c r="BE9" s="203" t="s">
        <v>102</v>
      </c>
      <c r="BK9" s="203" t="s">
        <v>48</v>
      </c>
      <c r="BL9" s="203" t="s">
        <v>47</v>
      </c>
      <c r="BN9" s="203" t="s">
        <v>72</v>
      </c>
      <c r="BO9" s="203" t="s">
        <v>232</v>
      </c>
      <c r="BP9" s="203" t="s">
        <v>43</v>
      </c>
      <c r="BQ9" s="203" t="s">
        <v>46</v>
      </c>
      <c r="BR9" s="244" t="str">
        <f>IF($BO9&lt;&gt;"",IF(IFERROR(VLOOKUP($BO9,#REF!,4,FALSE),"")=0,"",IFERROR(VLOOKUP($BO9,#REF!,4,FALSE),"")),"")</f>
        <v/>
      </c>
      <c r="CE9" s="31" t="s">
        <v>139</v>
      </c>
      <c r="CF9" s="31" t="s">
        <v>86</v>
      </c>
      <c r="CG9" s="31" t="str">
        <f>VLOOKUP(CF9,ListMaster!$CA$2:$CB$50,2,FALSE)</f>
        <v>Drive Revenue Growth</v>
      </c>
    </row>
    <row r="10" spans="1:85" ht="32" thickBot="1">
      <c r="A10" s="215"/>
      <c r="B10" s="213"/>
      <c r="C10" s="213"/>
      <c r="D10" s="337"/>
      <c r="E10" s="340"/>
      <c r="F10" s="213" t="s">
        <v>1313</v>
      </c>
      <c r="G10" s="215"/>
      <c r="H10" s="213" t="s">
        <v>1314</v>
      </c>
      <c r="I10" s="215"/>
      <c r="J10" s="213" t="s">
        <v>1315</v>
      </c>
      <c r="K10" s="215" t="s">
        <v>1199</v>
      </c>
      <c r="L10" s="214" t="s">
        <v>1316</v>
      </c>
      <c r="M10" s="214" t="s">
        <v>1274</v>
      </c>
      <c r="N10" s="227"/>
      <c r="O10" s="227"/>
      <c r="P10" s="216" t="s">
        <v>1317</v>
      </c>
      <c r="Q10" s="227"/>
      <c r="R10" s="213" t="s">
        <v>1307</v>
      </c>
      <c r="S10" s="215"/>
      <c r="T10" s="215"/>
      <c r="U10" s="215"/>
      <c r="V10" s="217" t="s">
        <v>1319</v>
      </c>
      <c r="W10" s="215" t="s">
        <v>1320</v>
      </c>
      <c r="X10" s="215" t="s">
        <v>1321</v>
      </c>
      <c r="Y10" s="31" t="s">
        <v>1322</v>
      </c>
      <c r="AA10" s="31" t="str" cm="1">
        <f t="array" ref="AA10">_xlfn.IFNA(INDEX('KPI Plan'!$F$5:$F$75,MATCH(0,IF("Process Objective"='KPI Plan'!$A$5:$A$75,COUNTIF($AA$1:$AA9,'KPI Plan'!$F$5:$F$75),""),0)),"")</f>
        <v/>
      </c>
      <c r="AG10" s="235" t="s">
        <v>601</v>
      </c>
      <c r="AH10" s="236" t="s">
        <v>600</v>
      </c>
      <c r="AI10" s="145"/>
      <c r="AJ10" s="145"/>
      <c r="AK10" s="145"/>
      <c r="AL10" s="145"/>
      <c r="AW10" s="203" t="str">
        <f>IF(B9&lt;&gt;"",B9,"")</f>
        <v xml:space="preserve">Knowledge &amp; Reuse </v>
      </c>
      <c r="AX10" s="203">
        <f>IF(AW10&lt;&gt;"",COUNTIF('KPI Plan'!$E$5:$E$99,ListMaster!AW10),"")</f>
        <v>0</v>
      </c>
      <c r="AY10" s="203" t="str">
        <f t="shared" si="1"/>
        <v/>
      </c>
      <c r="BA10" s="203" t="str">
        <f t="array" ref="BA10">IFERROR(INDEX($BB$2:$BB$250, MATCH(0, COUNTIF($BA$1:BA9,$BB$2:$BB$250&amp;"") + IF($BB$2:$BB$250="",1,0), 0)), "")</f>
        <v>Non-functional-Security</v>
      </c>
      <c r="BB10" s="203" t="s">
        <v>104</v>
      </c>
      <c r="BC10" s="203" t="s">
        <v>127</v>
      </c>
      <c r="BD10" s="203" t="s">
        <v>55</v>
      </c>
      <c r="BE10" s="203" t="s">
        <v>102</v>
      </c>
      <c r="BK10" s="203" t="s">
        <v>56</v>
      </c>
      <c r="BL10" s="203" t="s">
        <v>47</v>
      </c>
      <c r="BN10" s="203" t="s">
        <v>72</v>
      </c>
      <c r="BO10" s="203" t="s">
        <v>242</v>
      </c>
      <c r="BP10" s="203" t="s">
        <v>43</v>
      </c>
      <c r="BQ10" s="203" t="s">
        <v>46</v>
      </c>
      <c r="BR10" s="244" t="str">
        <f>IF($BO10&lt;&gt;"",IF(IFERROR(VLOOKUP($BO10,#REF!,4,FALSE),"")=0,"",IFERROR(VLOOKUP($BO10,#REF!,4,FALSE),"")),"")</f>
        <v/>
      </c>
      <c r="CE10" s="31" t="s">
        <v>148</v>
      </c>
      <c r="CF10" s="31" t="s">
        <v>86</v>
      </c>
      <c r="CG10" s="31" t="str">
        <f>VLOOKUP(CF10,ListMaster!$CA$2:$CB$50,2,FALSE)</f>
        <v>Drive Revenue Growth</v>
      </c>
    </row>
    <row r="11" spans="1:85" ht="20.5" thickBot="1">
      <c r="A11" s="215"/>
      <c r="B11" s="213"/>
      <c r="C11" s="213"/>
      <c r="D11" s="215"/>
      <c r="E11" s="341"/>
      <c r="F11" s="213" t="s">
        <v>1323</v>
      </c>
      <c r="G11" s="215"/>
      <c r="H11" s="213" t="s">
        <v>1324</v>
      </c>
      <c r="I11" s="215"/>
      <c r="J11" s="213" t="s">
        <v>1325</v>
      </c>
      <c r="K11" s="215" t="s">
        <v>1199</v>
      </c>
      <c r="L11" s="214" t="s">
        <v>1326</v>
      </c>
      <c r="M11" s="214" t="s">
        <v>1274</v>
      </c>
      <c r="N11" s="227"/>
      <c r="O11" s="227"/>
      <c r="P11" s="216" t="s">
        <v>468</v>
      </c>
      <c r="Q11" s="227"/>
      <c r="R11" s="213" t="s">
        <v>1318</v>
      </c>
      <c r="S11" s="215"/>
      <c r="T11" s="215"/>
      <c r="U11" s="215"/>
      <c r="V11" s="217" t="s">
        <v>1328</v>
      </c>
      <c r="W11" s="215" t="s">
        <v>1329</v>
      </c>
      <c r="X11" s="215" t="s">
        <v>1330</v>
      </c>
      <c r="Y11" s="31" t="s">
        <v>1331</v>
      </c>
      <c r="AA11" s="31" t="str" cm="1">
        <f t="array" ref="AA11">_xlfn.IFNA(INDEX('KPI Plan'!$F$5:$F$75,MATCH(0,IF("Process Objective"='KPI Plan'!$A$5:$A$75,COUNTIF($AA$1:$AA10,'KPI Plan'!$F$5:$F$75),""),0)),"")</f>
        <v/>
      </c>
      <c r="AG11" s="237" t="s">
        <v>589</v>
      </c>
      <c r="AH11" s="238" t="s">
        <v>588</v>
      </c>
      <c r="AI11" s="239">
        <v>0.75</v>
      </c>
      <c r="AJ11" s="145"/>
      <c r="AK11" s="145"/>
      <c r="AL11" s="145"/>
      <c r="AW11" s="203" t="str">
        <f t="shared" si="0"/>
        <v/>
      </c>
      <c r="AX11" s="203" t="str">
        <f>IF(AW11&lt;&gt;"",COUNTIF('KPI Plan'!$E$5:$E$99,ListMaster!AW11),"")</f>
        <v/>
      </c>
      <c r="AY11" s="203" t="str">
        <f t="shared" si="1"/>
        <v/>
      </c>
      <c r="BA11" s="203" t="str">
        <f t="array" ref="BA11">IFERROR(INDEX($BB$2:$BB$250, MATCH(0, COUNTIF($BA$1:BA10,$BB$2:$BB$250&amp;"") + IF($BB$2:$BB$250="",1,0), 0)), "")</f>
        <v>Non-functional-Usability</v>
      </c>
      <c r="BB11" s="203" t="s">
        <v>72</v>
      </c>
      <c r="BC11" s="203" t="s">
        <v>73</v>
      </c>
      <c r="BD11" s="203" t="s">
        <v>55</v>
      </c>
      <c r="BE11" s="203" t="s">
        <v>46</v>
      </c>
      <c r="BK11" s="203" t="s">
        <v>80</v>
      </c>
      <c r="BL11" s="203" t="s">
        <v>47</v>
      </c>
      <c r="BN11" s="203" t="s">
        <v>72</v>
      </c>
      <c r="BO11" s="203" t="s">
        <v>303</v>
      </c>
      <c r="BP11" s="203" t="s">
        <v>43</v>
      </c>
      <c r="BQ11" s="203" t="s">
        <v>46</v>
      </c>
      <c r="BR11" s="244" t="str">
        <f>IF($BO11&lt;&gt;"",IF(IFERROR(VLOOKUP($BO11,#REF!,4,FALSE),"")=0,"",IFERROR(VLOOKUP($BO11,#REF!,4,FALSE),"")),"")</f>
        <v/>
      </c>
      <c r="CE11" s="31" t="s">
        <v>174</v>
      </c>
      <c r="CF11" s="31" t="s">
        <v>86</v>
      </c>
      <c r="CG11" s="31" t="str">
        <f>VLOOKUP(CF11,ListMaster!$CA$2:$CB$50,2,FALSE)</f>
        <v>Drive Revenue Growth</v>
      </c>
    </row>
    <row r="12" spans="1:85" ht="20.5" thickBot="1">
      <c r="A12" s="215"/>
      <c r="B12" s="213"/>
      <c r="C12" s="213"/>
      <c r="D12" s="215"/>
      <c r="E12" s="341"/>
      <c r="F12" s="213" t="s">
        <v>1332</v>
      </c>
      <c r="G12" s="215"/>
      <c r="H12" s="213" t="s">
        <v>1333</v>
      </c>
      <c r="I12" s="215"/>
      <c r="J12" s="213" t="s">
        <v>1334</v>
      </c>
      <c r="K12" s="215" t="s">
        <v>1199</v>
      </c>
      <c r="L12" s="214" t="s">
        <v>459</v>
      </c>
      <c r="M12" s="214" t="s">
        <v>1274</v>
      </c>
      <c r="N12" s="227"/>
      <c r="O12" s="227"/>
      <c r="P12" s="216" t="s">
        <v>285</v>
      </c>
      <c r="Q12" s="227"/>
      <c r="R12" s="213" t="s">
        <v>1327</v>
      </c>
      <c r="S12" s="215"/>
      <c r="T12" s="215"/>
      <c r="U12" s="215"/>
      <c r="V12" s="217" t="s">
        <v>1335</v>
      </c>
      <c r="W12" s="215" t="s">
        <v>1336</v>
      </c>
      <c r="X12" s="215" t="s">
        <v>147</v>
      </c>
      <c r="Y12" s="31" t="s">
        <v>1337</v>
      </c>
      <c r="AA12" s="31" t="str" cm="1">
        <f t="array" ref="AA12">_xlfn.IFNA(INDEX('KPI Plan'!$F$5:$F$75,MATCH(0,IF("Process Objective"='KPI Plan'!$A$5:$A$75,COUNTIF($AA$1:$AA11,'KPI Plan'!$F$5:$F$75),""),0)),"")</f>
        <v/>
      </c>
      <c r="AG12" s="240" t="s">
        <v>591</v>
      </c>
      <c r="AH12" s="241" t="s">
        <v>590</v>
      </c>
      <c r="AI12" s="239">
        <v>0.7</v>
      </c>
      <c r="AJ12" s="145"/>
      <c r="AK12" s="145"/>
      <c r="AL12" s="145"/>
      <c r="AW12" s="203" t="str">
        <f t="shared" si="0"/>
        <v/>
      </c>
      <c r="AX12" s="203" t="str">
        <f>IF(AW12&lt;&gt;"",COUNTIF('KPI Plan'!$E$5:$E$99,ListMaster!AW12),"")</f>
        <v/>
      </c>
      <c r="AY12" s="203" t="str">
        <f t="shared" si="1"/>
        <v/>
      </c>
      <c r="BA12" s="203" t="str">
        <f t="array" ref="BA12">IFERROR(INDEX($BB$2:$BB$250, MATCH(0, COUNTIF($BA$1:BA11,$BB$2:$BB$250&amp;"") + IF($BB$2:$BB$250="",1,0), 0)), "")</f>
        <v>Scope</v>
      </c>
      <c r="BB12" s="203" t="s">
        <v>72</v>
      </c>
      <c r="BC12" s="203" t="s">
        <v>80</v>
      </c>
      <c r="BD12" s="203" t="s">
        <v>43</v>
      </c>
      <c r="BE12" s="203" t="s">
        <v>46</v>
      </c>
      <c r="BK12" s="203" t="s">
        <v>105</v>
      </c>
      <c r="BL12" s="203" t="s">
        <v>103</v>
      </c>
      <c r="BN12" s="203" t="s">
        <v>72</v>
      </c>
      <c r="BO12" s="203" t="s">
        <v>306</v>
      </c>
      <c r="BP12" s="203" t="s">
        <v>55</v>
      </c>
      <c r="BQ12" s="203" t="s">
        <v>46</v>
      </c>
      <c r="BR12" s="244" t="str">
        <f>IF($BO12&lt;&gt;"",IF(IFERROR(VLOOKUP($BO12,#REF!,4,FALSE),"")=0,"",IFERROR(VLOOKUP($BO12,#REF!,4,FALSE),"")),"")</f>
        <v/>
      </c>
      <c r="CE12" s="31" t="s">
        <v>187</v>
      </c>
      <c r="CF12" s="31" t="s">
        <v>86</v>
      </c>
      <c r="CG12" s="31" t="str">
        <f>VLOOKUP(CF12,ListMaster!$CA$2:$CB$50,2,FALSE)</f>
        <v>Drive Revenue Growth</v>
      </c>
    </row>
    <row r="13" spans="1:85">
      <c r="A13" s="215"/>
      <c r="B13" s="213"/>
      <c r="C13" s="213"/>
      <c r="D13" s="215"/>
      <c r="E13" s="341"/>
      <c r="F13" s="213" t="s">
        <v>538</v>
      </c>
      <c r="G13" s="215"/>
      <c r="H13" s="213" t="s">
        <v>1338</v>
      </c>
      <c r="I13" s="215"/>
      <c r="J13" s="213" t="s">
        <v>1220</v>
      </c>
      <c r="K13" s="215" t="s">
        <v>1199</v>
      </c>
      <c r="L13" s="214" t="s">
        <v>1339</v>
      </c>
      <c r="M13" s="214" t="s">
        <v>1274</v>
      </c>
      <c r="N13" s="227"/>
      <c r="O13" s="227"/>
      <c r="P13" s="227"/>
      <c r="Q13" s="227"/>
      <c r="R13" s="215"/>
      <c r="S13" s="215"/>
      <c r="T13" s="215"/>
      <c r="U13" s="215"/>
      <c r="V13" s="217" t="s">
        <v>1340</v>
      </c>
      <c r="W13" s="215" t="s">
        <v>1341</v>
      </c>
      <c r="X13" s="215" t="s">
        <v>1342</v>
      </c>
      <c r="AA13" s="31" t="str" cm="1">
        <f t="array" ref="AA13">_xlfn.IFNA(INDEX('KPI Plan'!$F$5:$F$75,MATCH(0,IF("Process Objective"='KPI Plan'!$A$5:$A$75,COUNTIF($AA$1:$AA12,'KPI Plan'!$F$5:$F$75),""),0)),"")</f>
        <v/>
      </c>
      <c r="AW13" s="203" t="str">
        <f t="shared" si="0"/>
        <v/>
      </c>
      <c r="AX13" s="203" t="str">
        <f>IF(AW13&lt;&gt;"",COUNTIF('KPI Plan'!$E$5:$E$99,ListMaster!AW13),"")</f>
        <v/>
      </c>
      <c r="AY13" s="203" t="str">
        <f t="shared" si="1"/>
        <v/>
      </c>
      <c r="BA13" s="203" t="str">
        <f t="array" ref="BA13">IFERROR(INDEX($BB$2:$BB$250, MATCH(0, COUNTIF($BA$1:BA12,$BB$2:$BB$250&amp;"") + IF($BB$2:$BB$250="",1,0), 0)), "")</f>
        <v>Stakeholder Perception</v>
      </c>
      <c r="BB13" s="203" t="s">
        <v>72</v>
      </c>
      <c r="BC13" s="203" t="s">
        <v>232</v>
      </c>
      <c r="BD13" s="203" t="s">
        <v>43</v>
      </c>
      <c r="BE13" s="203" t="s">
        <v>46</v>
      </c>
      <c r="BK13" s="203" t="s">
        <v>111</v>
      </c>
      <c r="BL13" s="203" t="s">
        <v>103</v>
      </c>
      <c r="BN13" s="203" t="s">
        <v>72</v>
      </c>
      <c r="BO13" s="203" t="s">
        <v>404</v>
      </c>
      <c r="BP13" s="203" t="s">
        <v>43</v>
      </c>
      <c r="BQ13" s="203" t="s">
        <v>46</v>
      </c>
      <c r="BR13" s="244" t="str">
        <f>IF($BO13&lt;&gt;"",IF(IFERROR(VLOOKUP($BO13,#REF!,4,FALSE),"")=0,"",IFERROR(VLOOKUP($BO13,#REF!,4,FALSE),"")),"")</f>
        <v/>
      </c>
      <c r="CE13" s="31" t="s">
        <v>198</v>
      </c>
      <c r="CF13" s="31" t="s">
        <v>86</v>
      </c>
      <c r="CG13" s="31" t="str">
        <f>VLOOKUP(CF13,ListMaster!$CA$2:$CB$50,2,FALSE)</f>
        <v>Drive Revenue Growth</v>
      </c>
    </row>
    <row r="14" spans="1:85">
      <c r="A14" s="215"/>
      <c r="B14" s="213"/>
      <c r="C14" s="213"/>
      <c r="D14" s="215"/>
      <c r="E14" s="341"/>
      <c r="F14" s="215"/>
      <c r="G14" s="215"/>
      <c r="H14" s="213" t="s">
        <v>1343</v>
      </c>
      <c r="I14" s="215"/>
      <c r="J14" s="213" t="s">
        <v>558</v>
      </c>
      <c r="K14" s="215" t="s">
        <v>1199</v>
      </c>
      <c r="L14" s="214" t="s">
        <v>1344</v>
      </c>
      <c r="M14" s="214" t="s">
        <v>1274</v>
      </c>
      <c r="N14" s="227"/>
      <c r="O14" s="227"/>
      <c r="P14" s="227"/>
      <c r="Q14" s="227"/>
      <c r="R14" s="215"/>
      <c r="S14" s="215"/>
      <c r="T14" s="215"/>
      <c r="U14" s="215"/>
      <c r="V14" s="217"/>
      <c r="W14" s="215" t="s">
        <v>1345</v>
      </c>
      <c r="X14" s="215" t="s">
        <v>1346</v>
      </c>
      <c r="AA14" s="31" t="str" cm="1">
        <f t="array" ref="AA14">_xlfn.IFNA(INDEX('KPI Plan'!$F$5:$F$75,MATCH(0,IF("Process Objective"='KPI Plan'!$A$5:$A$75,COUNTIF($AA$1:$AA13,'KPI Plan'!$F$5:$F$75),""),0)),"")</f>
        <v/>
      </c>
      <c r="AW14" s="203" t="str">
        <f t="shared" si="0"/>
        <v/>
      </c>
      <c r="AX14" s="203" t="str">
        <f>IF(AW14&lt;&gt;"",COUNTIF('KPI Plan'!$E$5:$E$99,ListMaster!AW14),"")</f>
        <v/>
      </c>
      <c r="AY14" s="203" t="str">
        <f t="shared" si="1"/>
        <v/>
      </c>
      <c r="BA14" s="203" t="str">
        <f t="array" ref="BA14">IFERROR(INDEX($BB$2:$BB$250, MATCH(0, COUNTIF($BA$1:BA13,$BB$2:$BB$250&amp;"") + IF($BB$2:$BB$250="",1,0), 0)), "")</f>
        <v>Time &amp; Speed</v>
      </c>
      <c r="BB14" s="203" t="s">
        <v>72</v>
      </c>
      <c r="BC14" s="203" t="s">
        <v>242</v>
      </c>
      <c r="BD14" s="203" t="s">
        <v>43</v>
      </c>
      <c r="BE14" s="203" t="s">
        <v>46</v>
      </c>
      <c r="BK14" s="203" t="s">
        <v>116</v>
      </c>
      <c r="BL14" s="203" t="s">
        <v>103</v>
      </c>
      <c r="BN14" s="203" t="s">
        <v>30</v>
      </c>
      <c r="BO14" s="203" t="s">
        <v>48</v>
      </c>
      <c r="BP14" s="203" t="s">
        <v>55</v>
      </c>
      <c r="BQ14" s="203" t="s">
        <v>46</v>
      </c>
      <c r="BR14" s="244" t="str">
        <f>IF($BO14&lt;&gt;"",IF(IFERROR(VLOOKUP($BO14,#REF!,4,FALSE),"")=0,"",IFERROR(VLOOKUP($BO14,#REF!,4,FALSE),"")),"")</f>
        <v/>
      </c>
      <c r="CE14" s="31" t="s">
        <v>205</v>
      </c>
      <c r="CF14" s="31" t="s">
        <v>86</v>
      </c>
      <c r="CG14" s="31" t="str">
        <f>VLOOKUP(CF14,ListMaster!$CA$2:$CB$50,2,FALSE)</f>
        <v>Drive Revenue Growth</v>
      </c>
    </row>
    <row r="15" spans="1:85">
      <c r="A15" s="215"/>
      <c r="B15" s="215"/>
      <c r="C15" s="215"/>
      <c r="D15" s="215"/>
      <c r="E15" s="341"/>
      <c r="F15" s="215"/>
      <c r="G15" s="215"/>
      <c r="H15" s="213" t="s">
        <v>537</v>
      </c>
      <c r="I15" s="215"/>
      <c r="J15" s="213" t="s">
        <v>1266</v>
      </c>
      <c r="K15" s="215" t="s">
        <v>1199</v>
      </c>
      <c r="L15" s="214" t="s">
        <v>1347</v>
      </c>
      <c r="M15" s="214" t="s">
        <v>1274</v>
      </c>
      <c r="N15" s="227"/>
      <c r="O15" s="227"/>
      <c r="P15" s="227"/>
      <c r="Q15" s="227"/>
      <c r="R15" s="215"/>
      <c r="S15" s="215"/>
      <c r="T15" s="215"/>
      <c r="U15" s="215"/>
      <c r="V15" s="217"/>
      <c r="W15" s="215"/>
      <c r="X15" s="215" t="s">
        <v>1348</v>
      </c>
      <c r="AA15" s="31" t="str" cm="1">
        <f t="array" ref="AA15">_xlfn.IFNA(INDEX('KPI Plan'!$F$5:$F$75,MATCH(0,IF("Process Objective"='KPI Plan'!$A$5:$A$75,COUNTIF($AA$1:$AA14,'KPI Plan'!$F$5:$F$75),""),0)),"")</f>
        <v/>
      </c>
      <c r="AW15" s="203" t="str">
        <f t="shared" si="0"/>
        <v/>
      </c>
      <c r="AX15" s="203" t="str">
        <f>IF(AW15&lt;&gt;"",COUNTIF('KPI Plan'!$E$5:$E$99,ListMaster!AW15),"")</f>
        <v/>
      </c>
      <c r="AY15" s="203" t="str">
        <f t="shared" si="1"/>
        <v/>
      </c>
      <c r="BA15" s="203" t="str">
        <f t="array" ref="BA15">IFERROR(INDEX($BB$2:$BB$250, MATCH(0, COUNTIF($BA$1:BA14,$BB$2:$BB$250&amp;"") + IF($BB$2:$BB$250="",1,0), 0)), "")</f>
        <v/>
      </c>
      <c r="BB15" s="203" t="s">
        <v>72</v>
      </c>
      <c r="BC15" s="203" t="s">
        <v>263</v>
      </c>
      <c r="BD15" s="203" t="s">
        <v>110</v>
      </c>
      <c r="BE15" s="203" t="s">
        <v>102</v>
      </c>
      <c r="BK15" s="203" t="s">
        <v>119</v>
      </c>
      <c r="BL15" s="203" t="s">
        <v>103</v>
      </c>
      <c r="BN15" s="203" t="s">
        <v>30</v>
      </c>
      <c r="BO15" s="203" t="s">
        <v>56</v>
      </c>
      <c r="BP15" s="203" t="s">
        <v>55</v>
      </c>
      <c r="BQ15" s="203" t="s">
        <v>46</v>
      </c>
      <c r="BR15" s="244" t="str">
        <f>IF($BO15&lt;&gt;"",IF(IFERROR(VLOOKUP($BO15,#REF!,4,FALSE),"")=0,"",IFERROR(VLOOKUP($BO15,#REF!,4,FALSE),"")),"")</f>
        <v/>
      </c>
      <c r="CE15" s="31" t="s">
        <v>262</v>
      </c>
      <c r="CF15" s="31" t="s">
        <v>29</v>
      </c>
      <c r="CG15" s="31" t="str">
        <f>VLOOKUP(CF15,ListMaster!$CA$2:$CB$50,2,FALSE)</f>
        <v>Meet Profitability Target</v>
      </c>
    </row>
    <row r="16" spans="1:85">
      <c r="J16" s="213" t="s">
        <v>1281</v>
      </c>
      <c r="K16" s="215" t="s">
        <v>1199</v>
      </c>
      <c r="L16" s="214" t="s">
        <v>1349</v>
      </c>
      <c r="M16" s="214" t="s">
        <v>1274</v>
      </c>
      <c r="N16" s="227"/>
      <c r="O16" s="227"/>
      <c r="P16" s="227"/>
      <c r="Q16" s="227"/>
      <c r="R16" s="215"/>
      <c r="S16" s="215"/>
      <c r="T16" s="215"/>
      <c r="U16" s="215"/>
      <c r="V16" s="217"/>
      <c r="W16" s="215"/>
      <c r="X16" s="215" t="s">
        <v>1350</v>
      </c>
      <c r="AA16" s="31" t="str" cm="1">
        <f t="array" ref="AA16">_xlfn.IFNA(INDEX('KPI Plan'!$F$5:$F$75,MATCH(0,IF("Process Objective"='KPI Plan'!$A$5:$A$75,COUNTIF($AA$1:$AA15,'KPI Plan'!$F$5:$F$75),""),0)),"")</f>
        <v/>
      </c>
      <c r="AW16" s="203" t="str">
        <f t="shared" si="0"/>
        <v/>
      </c>
      <c r="AX16" s="203" t="str">
        <f>IF(AW16&lt;&gt;"",COUNTIF('KPI Plan'!$E$5:$E$99,ListMaster!AW16),"")</f>
        <v/>
      </c>
      <c r="AY16" s="203" t="str">
        <f t="shared" si="1"/>
        <v/>
      </c>
      <c r="BA16" s="203" t="str">
        <f t="array" ref="BA16">IFERROR(INDEX($BB$2:$BB$250, MATCH(0, COUNTIF($BA$1:BA15,$BB$2:$BB$250&amp;"") + IF($BB$2:$BB$250="",1,0), 0)), "")</f>
        <v/>
      </c>
      <c r="BB16" s="203" t="s">
        <v>72</v>
      </c>
      <c r="BC16" s="203" t="s">
        <v>303</v>
      </c>
      <c r="BD16" s="203" t="s">
        <v>43</v>
      </c>
      <c r="BE16" s="203" t="s">
        <v>46</v>
      </c>
      <c r="BK16" s="203" t="s">
        <v>122</v>
      </c>
      <c r="BL16" s="203" t="s">
        <v>103</v>
      </c>
      <c r="BN16" s="203" t="s">
        <v>30</v>
      </c>
      <c r="BO16" s="203" t="s">
        <v>58</v>
      </c>
      <c r="BP16" s="203" t="s">
        <v>55</v>
      </c>
      <c r="BQ16" s="203" t="s">
        <v>46</v>
      </c>
      <c r="BR16" s="244" t="str">
        <f>IF($BO16&lt;&gt;"",IF(IFERROR(VLOOKUP($BO16,#REF!,4,FALSE),"")=0,"",IFERROR(VLOOKUP($BO16,#REF!,4,FALSE),"")),"")</f>
        <v/>
      </c>
      <c r="CE16" s="31" t="s">
        <v>281</v>
      </c>
      <c r="CF16" s="31" t="s">
        <v>86</v>
      </c>
      <c r="CG16" s="31" t="str">
        <f>VLOOKUP(CF16,ListMaster!$CA$2:$CB$50,2,FALSE)</f>
        <v>Drive Revenue Growth</v>
      </c>
    </row>
    <row r="17" spans="10:85">
      <c r="J17" s="213" t="s">
        <v>1302</v>
      </c>
      <c r="K17" s="215" t="s">
        <v>1199</v>
      </c>
      <c r="L17" s="214" t="s">
        <v>1351</v>
      </c>
      <c r="M17" s="214" t="s">
        <v>90</v>
      </c>
      <c r="N17" s="227"/>
      <c r="O17" s="227"/>
      <c r="P17" s="227"/>
      <c r="Q17" s="227"/>
      <c r="R17" s="215"/>
      <c r="S17" s="215"/>
      <c r="T17" s="215"/>
      <c r="U17" s="215"/>
      <c r="V17" s="217"/>
      <c r="W17" s="215"/>
      <c r="X17" s="215" t="s">
        <v>1352</v>
      </c>
      <c r="AA17" s="31" t="str" cm="1">
        <f t="array" ref="AA17">_xlfn.IFNA(INDEX('KPI Plan'!$F$5:$F$75,MATCH(0,IF("Process Objective"='KPI Plan'!$A$5:$A$75,COUNTIF($AA$1:$AA16,'KPI Plan'!$F$5:$F$75),""),0)),"")</f>
        <v/>
      </c>
      <c r="AW17" s="203" t="str">
        <f t="shared" si="0"/>
        <v/>
      </c>
      <c r="AX17" s="203" t="str">
        <f>IF(AW17&lt;&gt;"",COUNTIF('KPI Plan'!$E$5:$E$99,ListMaster!AW17),"")</f>
        <v/>
      </c>
      <c r="AY17" s="203" t="str">
        <f t="shared" si="1"/>
        <v/>
      </c>
      <c r="BA17" s="203" t="str">
        <f t="array" ref="BA17">IFERROR(INDEX($BB$2:$BB$250, MATCH(0, COUNTIF($BA$1:BA16,$BB$2:$BB$250&amp;"") + IF($BB$2:$BB$250="",1,0), 0)), "")</f>
        <v/>
      </c>
      <c r="BB17" s="203" t="s">
        <v>72</v>
      </c>
      <c r="BC17" s="203" t="s">
        <v>306</v>
      </c>
      <c r="BD17" s="203" t="s">
        <v>55</v>
      </c>
      <c r="BE17" s="203" t="s">
        <v>46</v>
      </c>
      <c r="BK17" s="203" t="s">
        <v>282</v>
      </c>
      <c r="BL17" s="203" t="s">
        <v>281</v>
      </c>
      <c r="BN17" s="203" t="s">
        <v>30</v>
      </c>
      <c r="BO17" s="203" t="s">
        <v>63</v>
      </c>
      <c r="BP17" s="203" t="s">
        <v>55</v>
      </c>
      <c r="BQ17" s="203" t="s">
        <v>46</v>
      </c>
      <c r="BR17" s="244" t="str">
        <f>IF($BO17&lt;&gt;"",IF(IFERROR(VLOOKUP($BO17,#REF!,4,FALSE),"")=0,"",IFERROR(VLOOKUP($BO17,#REF!,4,FALSE),"")),"")</f>
        <v/>
      </c>
      <c r="CE17" s="31" t="s">
        <v>285</v>
      </c>
      <c r="CF17" s="31" t="s">
        <v>86</v>
      </c>
      <c r="CG17" s="31" t="str">
        <f>VLOOKUP(CF17,ListMaster!$CA$2:$CB$50,2,FALSE)</f>
        <v>Drive Revenue Growth</v>
      </c>
    </row>
    <row r="18" spans="10:85">
      <c r="J18" s="213" t="s">
        <v>1291</v>
      </c>
      <c r="K18" s="215" t="s">
        <v>1199</v>
      </c>
      <c r="N18" s="227"/>
      <c r="O18" s="227"/>
      <c r="P18" s="227"/>
      <c r="Q18" s="227"/>
      <c r="R18" s="215"/>
      <c r="S18" s="215"/>
      <c r="T18" s="215"/>
      <c r="U18" s="215"/>
      <c r="V18" s="217"/>
      <c r="W18" s="215"/>
      <c r="X18" s="215" t="s">
        <v>1353</v>
      </c>
      <c r="AA18" s="31" t="str" cm="1">
        <f t="array" ref="AA18">_xlfn.IFNA(INDEX('KPI Plan'!$F$5:$F$75,MATCH(0,IF("Process Objective"='KPI Plan'!$A$5:$A$75,COUNTIF($AA$1:$AA17,'KPI Plan'!$F$5:$F$75),""),0)),"")</f>
        <v/>
      </c>
      <c r="AW18" s="203" t="str">
        <f t="shared" si="0"/>
        <v/>
      </c>
      <c r="AX18" s="203" t="str">
        <f>IF(AW18&lt;&gt;"",COUNTIF('KPI Plan'!$E$5:$E$99,ListMaster!AW18),"")</f>
        <v/>
      </c>
      <c r="AY18" s="203" t="str">
        <f t="shared" si="1"/>
        <v/>
      </c>
      <c r="BA18" s="203" t="str">
        <f t="array" ref="BA18">IFERROR(INDEX($BB$2:$BB$250, MATCH(0, COUNTIF($BA$1:BA17,$BB$2:$BB$250&amp;"") + IF($BB$2:$BB$250="",1,0), 0)), "")</f>
        <v/>
      </c>
      <c r="BB18" s="203" t="s">
        <v>72</v>
      </c>
      <c r="BC18" s="203" t="s">
        <v>367</v>
      </c>
      <c r="BD18" s="203" t="s">
        <v>55</v>
      </c>
      <c r="BE18" s="203" t="s">
        <v>102</v>
      </c>
      <c r="BK18" s="203" t="s">
        <v>311</v>
      </c>
      <c r="BL18" s="203" t="s">
        <v>281</v>
      </c>
      <c r="BN18" s="203" t="s">
        <v>30</v>
      </c>
      <c r="BO18" s="203" t="s">
        <v>64</v>
      </c>
      <c r="BP18" s="203" t="s">
        <v>55</v>
      </c>
      <c r="BQ18" s="203" t="s">
        <v>46</v>
      </c>
      <c r="BR18" s="244" t="str">
        <f>IF($BO18&lt;&gt;"",IF(IFERROR(VLOOKUP($BO18,#REF!,4,FALSE),"")=0,"",IFERROR(VLOOKUP($BO18,#REF!,4,FALSE),"")),"")</f>
        <v/>
      </c>
      <c r="CE18" s="31" t="s">
        <v>438</v>
      </c>
      <c r="CF18" s="31" t="s">
        <v>86</v>
      </c>
      <c r="CG18" s="31" t="str">
        <f>VLOOKUP(CF18,ListMaster!$CA$2:$CB$50,2,FALSE)</f>
        <v>Drive Revenue Growth</v>
      </c>
    </row>
    <row r="19" spans="10:85">
      <c r="J19" s="213" t="s">
        <v>1311</v>
      </c>
      <c r="K19" s="215" t="s">
        <v>1199</v>
      </c>
      <c r="N19" s="227"/>
      <c r="O19" s="227"/>
      <c r="P19" s="227"/>
      <c r="Q19" s="227"/>
      <c r="R19" s="227"/>
      <c r="S19" s="227"/>
      <c r="T19" s="227"/>
      <c r="U19" s="227"/>
      <c r="V19" s="227"/>
      <c r="W19" s="215"/>
      <c r="X19" s="215" t="s">
        <v>1354</v>
      </c>
      <c r="AA19" s="31" t="str" cm="1">
        <f t="array" ref="AA19">_xlfn.IFNA(INDEX('KPI Plan'!$F$5:$F$75,MATCH(0,IF("Process Objective"='KPI Plan'!$A$5:$A$75,COUNTIF($AA$1:$AA18,'KPI Plan'!$F$5:$F$75),""),0)),"")</f>
        <v/>
      </c>
      <c r="AW19" s="203" t="str">
        <f t="shared" si="0"/>
        <v/>
      </c>
      <c r="AX19" s="203" t="str">
        <f>IF(AW19&lt;&gt;"",COUNTIF('KPI Plan'!$E$5:$E$99,ListMaster!AW19),"")</f>
        <v/>
      </c>
      <c r="AY19" s="203" t="str">
        <f t="shared" si="1"/>
        <v/>
      </c>
      <c r="BA19" s="203" t="str">
        <f t="array" ref="BA19">IFERROR(INDEX($BB$2:$BB$250, MATCH(0, COUNTIF($BA$1:BA18,$BB$2:$BB$250&amp;"") + IF($BB$2:$BB$250="",1,0), 0)), "")</f>
        <v/>
      </c>
      <c r="BB19" s="203" t="s">
        <v>72</v>
      </c>
      <c r="BC19" s="203" t="s">
        <v>372</v>
      </c>
      <c r="BD19" s="203" t="s">
        <v>55</v>
      </c>
      <c r="BE19" s="203" t="s">
        <v>102</v>
      </c>
      <c r="BK19" s="203" t="s">
        <v>315</v>
      </c>
      <c r="BL19" s="203" t="s">
        <v>281</v>
      </c>
      <c r="BN19" s="203" t="s">
        <v>30</v>
      </c>
      <c r="BO19" s="203" t="s">
        <v>226</v>
      </c>
      <c r="BP19" s="203" t="s">
        <v>147</v>
      </c>
      <c r="BQ19" s="203" t="s">
        <v>46</v>
      </c>
      <c r="BR19" s="244" t="str">
        <f>IF($BO19&lt;&gt;"",IF(IFERROR(VLOOKUP($BO19,#REF!,4,FALSE),"")=0,"",IFERROR(VLOOKUP($BO19,#REF!,4,FALSE),"")),"")</f>
        <v/>
      </c>
      <c r="CE19" s="31" t="s">
        <v>468</v>
      </c>
      <c r="CF19" s="31" t="s">
        <v>86</v>
      </c>
      <c r="CG19" s="31" t="str">
        <f>VLOOKUP(CF19,ListMaster!$CA$2:$CB$50,2,FALSE)</f>
        <v>Drive Revenue Growth</v>
      </c>
    </row>
    <row r="20" spans="10:85">
      <c r="J20" s="213" t="s">
        <v>1322</v>
      </c>
      <c r="K20" s="215" t="s">
        <v>1260</v>
      </c>
      <c r="N20" s="227"/>
      <c r="O20" s="227"/>
      <c r="P20" s="227"/>
      <c r="Q20" s="227"/>
      <c r="R20" s="227"/>
      <c r="S20" s="227"/>
      <c r="T20" s="227"/>
      <c r="U20" s="227"/>
      <c r="V20" s="227"/>
      <c r="W20" s="215"/>
      <c r="X20" s="215" t="s">
        <v>1355</v>
      </c>
      <c r="AA20" s="31" t="str" cm="1">
        <f t="array" ref="AA20">_xlfn.IFNA(INDEX('KPI Plan'!$F$5:$F$75,MATCH(0,IF("Process Objective"='KPI Plan'!$A$5:$A$75,COUNTIF($AA$1:$AA19,'KPI Plan'!$F$5:$F$75),""),0)),"")</f>
        <v/>
      </c>
      <c r="AW20" s="203" t="str">
        <f t="shared" si="0"/>
        <v/>
      </c>
      <c r="AX20" s="203" t="str">
        <f>IF(AW20&lt;&gt;"",COUNTIF('KPI Plan'!$E$5:$E$99,ListMaster!AW20),"")</f>
        <v/>
      </c>
      <c r="AY20" s="203" t="str">
        <f t="shared" si="1"/>
        <v/>
      </c>
      <c r="BA20" s="203" t="str">
        <f t="array" ref="BA20">IFERROR(INDEX($BB$2:$BB$250, MATCH(0, COUNTIF($BA$1:BA19,$BB$2:$BB$250&amp;"") + IF($BB$2:$BB$250="",1,0), 0)), "")</f>
        <v/>
      </c>
      <c r="BB20" s="203" t="s">
        <v>72</v>
      </c>
      <c r="BC20" s="203" t="s">
        <v>375</v>
      </c>
      <c r="BD20" s="203" t="s">
        <v>55</v>
      </c>
      <c r="BE20" s="203" t="s">
        <v>102</v>
      </c>
      <c r="BK20" s="203" t="s">
        <v>318</v>
      </c>
      <c r="BL20" s="203" t="s">
        <v>281</v>
      </c>
      <c r="BN20" s="203" t="s">
        <v>95</v>
      </c>
      <c r="BO20" s="203" t="s">
        <v>96</v>
      </c>
      <c r="BP20" s="203" t="s">
        <v>55</v>
      </c>
      <c r="BQ20" s="203" t="s">
        <v>46</v>
      </c>
      <c r="BR20" s="244" t="str">
        <f>IF($BO20&lt;&gt;"",IF(IFERROR(VLOOKUP($BO20,#REF!,4,FALSE),"")=0,"",IFERROR(VLOOKUP($BO20,#REF!,4,FALSE),"")),"")</f>
        <v/>
      </c>
    </row>
    <row r="21" spans="10:85">
      <c r="J21" s="213" t="s">
        <v>1331</v>
      </c>
      <c r="K21" s="215" t="s">
        <v>1260</v>
      </c>
      <c r="N21" s="227"/>
      <c r="O21" s="227"/>
      <c r="P21" s="227"/>
      <c r="Q21" s="227"/>
      <c r="R21" s="227"/>
      <c r="S21" s="227"/>
      <c r="T21" s="227"/>
      <c r="U21" s="227"/>
      <c r="V21" s="227"/>
      <c r="W21" s="215"/>
      <c r="X21" s="215" t="s">
        <v>1356</v>
      </c>
      <c r="AA21" s="31" t="str" cm="1">
        <f t="array" ref="AA21">_xlfn.IFNA(INDEX('KPI Plan'!$F$5:$F$75,MATCH(0,IF("Process Objective"='KPI Plan'!$A$5:$A$75,COUNTIF($AA$1:$AA20,'KPI Plan'!$F$5:$F$75),""),0)),"")</f>
        <v/>
      </c>
      <c r="AW21" s="203" t="str">
        <f t="shared" si="0"/>
        <v/>
      </c>
      <c r="AX21" s="203" t="str">
        <f>IF(AW21&lt;&gt;"",COUNTIF('KPI Plan'!$E$5:$E$99,ListMaster!AW21),"")</f>
        <v/>
      </c>
      <c r="AY21" s="203" t="str">
        <f t="shared" si="1"/>
        <v/>
      </c>
      <c r="BA21" s="203" t="str">
        <f t="array" ref="BA21">IFERROR(INDEX($BB$2:$BB$250, MATCH(0, COUNTIF($BA$1:BA20,$BB$2:$BB$250&amp;"") + IF($BB$2:$BB$250="",1,0), 0)), "")</f>
        <v/>
      </c>
      <c r="BB21" s="203" t="s">
        <v>72</v>
      </c>
      <c r="BC21" s="203" t="s">
        <v>381</v>
      </c>
      <c r="BD21" s="203" t="s">
        <v>55</v>
      </c>
      <c r="BE21" s="203" t="s">
        <v>102</v>
      </c>
      <c r="BK21" s="203" t="s">
        <v>323</v>
      </c>
      <c r="BL21" s="203" t="s">
        <v>281</v>
      </c>
      <c r="BN21" s="203" t="s">
        <v>95</v>
      </c>
      <c r="BO21" s="203" t="s">
        <v>168</v>
      </c>
      <c r="BP21" s="203" t="s">
        <v>55</v>
      </c>
      <c r="BQ21" s="203" t="s">
        <v>46</v>
      </c>
      <c r="BR21" s="244" t="str">
        <f>IF($BO21&lt;&gt;"",IF(IFERROR(VLOOKUP($BO21,#REF!,4,FALSE),"")=0,"",IFERROR(VLOOKUP($BO21,#REF!,4,FALSE),"")),"")</f>
        <v/>
      </c>
    </row>
    <row r="22" spans="10:85">
      <c r="J22" s="213" t="s">
        <v>1337</v>
      </c>
      <c r="K22" s="215" t="s">
        <v>1260</v>
      </c>
      <c r="N22" s="227"/>
      <c r="O22" s="227"/>
      <c r="P22" s="227"/>
      <c r="Q22" s="227"/>
      <c r="R22" s="227"/>
      <c r="S22" s="227"/>
      <c r="T22" s="227"/>
      <c r="U22" s="227"/>
      <c r="V22" s="227"/>
      <c r="W22" s="215"/>
      <c r="X22" s="215" t="s">
        <v>1357</v>
      </c>
      <c r="AA22" s="31" t="str" cm="1">
        <f t="array" ref="AA22">_xlfn.IFNA(INDEX('KPI Plan'!$F$5:$F$75,MATCH(0,IF("Process Objective"='KPI Plan'!$A$5:$A$75,COUNTIF($AA$1:$AA21,'KPI Plan'!$F$5:$F$75),""),0)),"")</f>
        <v/>
      </c>
      <c r="AW22" s="203" t="str">
        <f t="shared" si="0"/>
        <v/>
      </c>
      <c r="AX22" s="203" t="str">
        <f>IF(AW22&lt;&gt;"",COUNTIF('KPI Plan'!$E$5:$E$99,ListMaster!AW22),"")</f>
        <v/>
      </c>
      <c r="AY22" s="203" t="str">
        <f t="shared" si="1"/>
        <v/>
      </c>
      <c r="BA22" s="203" t="str">
        <f t="array" ref="BA22">IFERROR(INDEX($BB$2:$BB$250, MATCH(0, COUNTIF($BA$1:BA21,$BB$2:$BB$250&amp;"") + IF($BB$2:$BB$250="",1,0), 0)), "")</f>
        <v/>
      </c>
      <c r="BB22" s="203" t="s">
        <v>72</v>
      </c>
      <c r="BC22" s="203" t="s">
        <v>387</v>
      </c>
      <c r="BD22" s="203" t="s">
        <v>55</v>
      </c>
      <c r="BE22" s="203" t="s">
        <v>102</v>
      </c>
      <c r="BK22" s="203" t="s">
        <v>330</v>
      </c>
      <c r="BL22" s="203" t="s">
        <v>281</v>
      </c>
      <c r="BN22" s="203" t="s">
        <v>95</v>
      </c>
      <c r="BO22" s="203" t="s">
        <v>171</v>
      </c>
      <c r="BP22" s="203" t="s">
        <v>55</v>
      </c>
      <c r="BQ22" s="203" t="s">
        <v>46</v>
      </c>
      <c r="BR22" s="244" t="str">
        <f>IF($BO22&lt;&gt;"",IF(IFERROR(VLOOKUP($BO22,#REF!,4,FALSE),"")=0,"",IFERROR(VLOOKUP($BO22,#REF!,4,FALSE),"")),"")</f>
        <v/>
      </c>
    </row>
    <row r="23" spans="10:85">
      <c r="J23" s="213" t="s">
        <v>1358</v>
      </c>
      <c r="K23" s="215" t="s">
        <v>1359</v>
      </c>
      <c r="N23" s="227"/>
      <c r="O23" s="227"/>
      <c r="P23" s="227"/>
      <c r="Q23" s="227"/>
      <c r="R23" s="227"/>
      <c r="S23" s="227"/>
      <c r="T23" s="227"/>
      <c r="U23" s="227"/>
      <c r="V23" s="227"/>
      <c r="W23" s="215"/>
      <c r="X23" s="215" t="s">
        <v>1360</v>
      </c>
      <c r="AA23" s="31" t="str" cm="1">
        <f t="array" ref="AA23">_xlfn.IFNA(INDEX('KPI Plan'!$F$5:$F$75,MATCH(0,IF("Process Objective"='KPI Plan'!$A$5:$A$75,COUNTIF($AA$1:$AA22,'KPI Plan'!$F$5:$F$75),""),0)),"")</f>
        <v/>
      </c>
      <c r="AW23" s="203" t="str">
        <f t="shared" si="0"/>
        <v/>
      </c>
      <c r="AX23" s="203" t="str">
        <f>IF(AW23&lt;&gt;"",COUNTIF('KPI Plan'!$E$5:$E$99,ListMaster!AW23),"")</f>
        <v/>
      </c>
      <c r="AY23" s="203" t="str">
        <f t="shared" si="1"/>
        <v/>
      </c>
      <c r="BA23" s="203" t="str">
        <f t="array" ref="BA23">IFERROR(INDEX($BB$2:$BB$250, MATCH(0, COUNTIF($BA$1:BA22,$BB$2:$BB$250&amp;"") + IF($BB$2:$BB$250="",1,0), 0)), "")</f>
        <v/>
      </c>
      <c r="BB23" s="203" t="s">
        <v>72</v>
      </c>
      <c r="BC23" s="203" t="s">
        <v>404</v>
      </c>
      <c r="BD23" s="203" t="s">
        <v>43</v>
      </c>
      <c r="BE23" s="203" t="s">
        <v>46</v>
      </c>
      <c r="BK23" s="203" t="s">
        <v>334</v>
      </c>
      <c r="BL23" s="203" t="s">
        <v>281</v>
      </c>
      <c r="BN23" s="203" t="s">
        <v>95</v>
      </c>
      <c r="BO23" s="203" t="s">
        <v>520</v>
      </c>
      <c r="BP23" s="203" t="s">
        <v>43</v>
      </c>
      <c r="BQ23" s="203" t="s">
        <v>46</v>
      </c>
      <c r="BR23" s="244" t="str">
        <f>IF($BO23&lt;&gt;"",IF(IFERROR(VLOOKUP($BO23,#REF!,4,FALSE),"")=0,"",IFERROR(VLOOKUP($BO23,#REF!,4,FALSE),"")),"")</f>
        <v/>
      </c>
    </row>
    <row r="24" spans="10:85">
      <c r="J24" s="213" t="s">
        <v>1361</v>
      </c>
      <c r="K24" s="215" t="s">
        <v>1359</v>
      </c>
      <c r="N24" s="227"/>
      <c r="O24" s="227"/>
      <c r="P24" s="227"/>
      <c r="Q24" s="227"/>
      <c r="R24" s="227"/>
      <c r="S24" s="227"/>
      <c r="T24" s="227"/>
      <c r="U24" s="227"/>
      <c r="V24" s="227"/>
      <c r="W24" s="215"/>
      <c r="X24" s="215" t="s">
        <v>1362</v>
      </c>
      <c r="AA24" s="31" t="str" cm="1">
        <f t="array" ref="AA24">_xlfn.IFNA(INDEX('KPI Plan'!$F$5:$F$75,MATCH(0,IF("Process Objective"='KPI Plan'!$A$5:$A$75,COUNTIF($AA$1:$AA23,'KPI Plan'!$F$5:$F$75),""),0)),"")</f>
        <v/>
      </c>
      <c r="AX24" s="203" t="str">
        <f>IF(AW24&lt;&gt;"",COUNTIF('KPI Plan'!$E$5:$E$99,ListMaster!AW24),"")</f>
        <v/>
      </c>
      <c r="AY24" s="203" t="str">
        <f t="shared" si="1"/>
        <v/>
      </c>
      <c r="BA24" s="203" t="str">
        <f t="array" ref="BA24">IFERROR(INDEX($BB$2:$BB$250, MATCH(0, COUNTIF($BA$1:BA23,$BB$2:$BB$250&amp;"") + IF($BB$2:$BB$250="",1,0), 0)), "")</f>
        <v/>
      </c>
      <c r="BB24" s="203" t="s">
        <v>30</v>
      </c>
      <c r="BC24" s="203" t="s">
        <v>31</v>
      </c>
      <c r="BD24" s="203" t="s">
        <v>43</v>
      </c>
      <c r="BE24" s="203" t="s">
        <v>28</v>
      </c>
      <c r="BK24" s="203" t="s">
        <v>339</v>
      </c>
      <c r="BL24" s="203" t="s">
        <v>281</v>
      </c>
      <c r="BN24" s="203" t="s">
        <v>95</v>
      </c>
      <c r="BO24" s="203" t="s">
        <v>524</v>
      </c>
      <c r="BP24" s="203" t="s">
        <v>147</v>
      </c>
      <c r="BQ24" s="203" t="s">
        <v>46</v>
      </c>
      <c r="BR24" s="244" t="str">
        <f>IF($BO24&lt;&gt;"",IF(IFERROR(VLOOKUP($BO24,#REF!,4,FALSE),"")=0,"",IFERROR(VLOOKUP($BO24,#REF!,4,FALSE),"")),"")</f>
        <v/>
      </c>
    </row>
    <row r="25" spans="10:85">
      <c r="J25" s="213" t="s">
        <v>1363</v>
      </c>
      <c r="K25" s="215" t="s">
        <v>1364</v>
      </c>
      <c r="N25" s="227"/>
      <c r="O25" s="227"/>
      <c r="P25" s="227"/>
      <c r="Q25" s="227"/>
      <c r="R25" s="227"/>
      <c r="S25" s="227"/>
      <c r="T25" s="227"/>
      <c r="U25" s="227"/>
      <c r="V25" s="227"/>
      <c r="W25" s="215"/>
      <c r="X25" s="215" t="s">
        <v>1365</v>
      </c>
      <c r="AA25" s="31" t="str" cm="1">
        <f t="array" ref="AA25">_xlfn.IFNA(INDEX('KPI Plan'!$F$5:$F$75,MATCH(0,IF("Process Objective"='KPI Plan'!$A$5:$A$75,COUNTIF($AA$1:$AA24,'KPI Plan'!$F$5:$F$75),""),0)),"")</f>
        <v/>
      </c>
      <c r="AX25" s="203" t="str">
        <f>IF(AW25&lt;&gt;"",COUNTIF('KPI Plan'!$E$5:$E$99,ListMaster!AW25),"")</f>
        <v/>
      </c>
      <c r="AY25" s="203" t="str">
        <f t="shared" si="1"/>
        <v/>
      </c>
      <c r="BA25" s="203" t="str">
        <f t="array" ref="BA25">IFERROR(INDEX($BB$2:$BB$250, MATCH(0, COUNTIF($BA$1:BA24,$BB$2:$BB$250&amp;"") + IF($BB$2:$BB$250="",1,0), 0)), "")</f>
        <v/>
      </c>
      <c r="BB25" s="203" t="s">
        <v>30</v>
      </c>
      <c r="BC25" s="203" t="s">
        <v>48</v>
      </c>
      <c r="BD25" s="203" t="s">
        <v>55</v>
      </c>
      <c r="BE25" s="203" t="s">
        <v>46</v>
      </c>
      <c r="BK25" s="203" t="s">
        <v>343</v>
      </c>
      <c r="BL25" s="203" t="s">
        <v>281</v>
      </c>
      <c r="BN25" s="203" t="s">
        <v>95</v>
      </c>
      <c r="BO25" s="203" t="s">
        <v>527</v>
      </c>
      <c r="BP25" s="203" t="s">
        <v>55</v>
      </c>
      <c r="BQ25" s="203" t="s">
        <v>46</v>
      </c>
      <c r="BR25" s="244" t="str">
        <f>IF($BO25&lt;&gt;"",IF(IFERROR(VLOOKUP($BO25,#REF!,4,FALSE),"")=0,"",IFERROR(VLOOKUP($BO25,#REF!,4,FALSE),"")),"")</f>
        <v/>
      </c>
    </row>
    <row r="26" spans="10:85">
      <c r="J26" s="213" t="s">
        <v>1366</v>
      </c>
      <c r="K26" s="215" t="s">
        <v>1364</v>
      </c>
      <c r="N26" s="227"/>
      <c r="O26" s="227"/>
      <c r="P26" s="227"/>
      <c r="Q26" s="227"/>
      <c r="R26" s="227"/>
      <c r="S26" s="227"/>
      <c r="T26" s="227"/>
      <c r="U26" s="227"/>
      <c r="V26" s="227"/>
      <c r="W26" s="215"/>
      <c r="X26" s="215" t="s">
        <v>1367</v>
      </c>
      <c r="AA26" s="31" t="str" cm="1">
        <f t="array" ref="AA26">_xlfn.IFNA(INDEX('KPI Plan'!$F$5:$F$75,MATCH(0,IF("Process Objective"='KPI Plan'!$A$5:$A$75,COUNTIF($AA$1:$AA25,'KPI Plan'!$F$5:$F$75),""),0)),"")</f>
        <v/>
      </c>
      <c r="AX26" s="203" t="str">
        <f>IF(AW26&lt;&gt;"",COUNTIF('KPI Plan'!$E$5:$E$99,ListMaster!AW26),"")</f>
        <v/>
      </c>
      <c r="AY26" s="203" t="str">
        <f t="shared" si="1"/>
        <v/>
      </c>
      <c r="BA26" s="203" t="str">
        <f t="array" ref="BA26">IFERROR(INDEX($BB$2:$BB$250, MATCH(0, COUNTIF($BA$1:BA25,$BB$2:$BB$250&amp;"") + IF($BB$2:$BB$250="",1,0), 0)), "")</f>
        <v/>
      </c>
      <c r="BB26" s="203" t="s">
        <v>30</v>
      </c>
      <c r="BC26" s="203" t="s">
        <v>56</v>
      </c>
      <c r="BD26" s="203" t="s">
        <v>55</v>
      </c>
      <c r="BE26" s="203" t="s">
        <v>46</v>
      </c>
      <c r="BK26" s="203" t="s">
        <v>349</v>
      </c>
      <c r="BL26" s="203" t="s">
        <v>281</v>
      </c>
      <c r="BN26" s="203" t="s">
        <v>149</v>
      </c>
      <c r="BO26" s="203" t="s">
        <v>1253</v>
      </c>
      <c r="BP26" s="203" t="s">
        <v>43</v>
      </c>
      <c r="BQ26" s="203" t="s">
        <v>46</v>
      </c>
      <c r="BR26" s="244" t="str">
        <f>IF($BO26&lt;&gt;"",IF(IFERROR(VLOOKUP($BO26,#REF!,4,FALSE),"")=0,"",IFERROR(VLOOKUP($BO26,#REF!,4,FALSE),"")),"")</f>
        <v/>
      </c>
    </row>
    <row r="27" spans="10:85">
      <c r="J27" s="213" t="s">
        <v>1368</v>
      </c>
      <c r="K27" s="215" t="s">
        <v>1364</v>
      </c>
      <c r="N27" s="227"/>
      <c r="O27" s="227"/>
      <c r="P27" s="227"/>
      <c r="Q27" s="227"/>
      <c r="R27" s="227"/>
      <c r="S27" s="227"/>
      <c r="T27" s="227"/>
      <c r="U27" s="227"/>
      <c r="V27" s="227"/>
      <c r="W27" s="215"/>
      <c r="X27" s="215" t="s">
        <v>1369</v>
      </c>
      <c r="AA27" s="31" t="str" cm="1">
        <f t="array" ref="AA27">_xlfn.IFNA(INDEX('KPI Plan'!$F$5:$F$75,MATCH(0,IF("Process Objective"='KPI Plan'!$A$5:$A$75,COUNTIF($AA$1:$AA26,'KPI Plan'!$F$5:$F$75),""),0)),"")</f>
        <v/>
      </c>
      <c r="AX27" s="203" t="str">
        <f>IF(AW27&lt;&gt;"",COUNTIF('KPI Plan'!$E$5:$E$99,ListMaster!AW27),"")</f>
        <v/>
      </c>
      <c r="BA27" s="203" t="str">
        <f t="array" ref="BA27">IFERROR(INDEX($BB$2:$BB$250, MATCH(0, COUNTIF($BA$1:BA26,$BB$2:$BB$250&amp;"") + IF($BB$2:$BB$250="",1,0), 0)), "")</f>
        <v/>
      </c>
      <c r="BB27" s="203" t="s">
        <v>30</v>
      </c>
      <c r="BC27" s="203" t="s">
        <v>58</v>
      </c>
      <c r="BD27" s="203" t="s">
        <v>55</v>
      </c>
      <c r="BE27" s="203" t="s">
        <v>46</v>
      </c>
      <c r="BK27" s="203" t="s">
        <v>353</v>
      </c>
      <c r="BL27" s="203" t="s">
        <v>281</v>
      </c>
      <c r="BN27" s="203" t="s">
        <v>149</v>
      </c>
      <c r="BO27" s="203" t="s">
        <v>308</v>
      </c>
      <c r="BP27" s="203" t="s">
        <v>43</v>
      </c>
      <c r="BQ27" s="203" t="s">
        <v>46</v>
      </c>
      <c r="BR27" s="244" t="str">
        <f>IF($BO27&lt;&gt;"",IF(IFERROR(VLOOKUP($BO27,#REF!,4,FALSE),"")=0,"",IFERROR(VLOOKUP($BO27,#REF!,4,FALSE),"")),"")</f>
        <v/>
      </c>
    </row>
    <row r="28" spans="10:85">
      <c r="J28" s="213" t="s">
        <v>536</v>
      </c>
      <c r="K28" s="215" t="s">
        <v>1364</v>
      </c>
      <c r="N28" s="227"/>
      <c r="O28" s="227"/>
      <c r="P28" s="227"/>
      <c r="Q28" s="227"/>
      <c r="R28" s="227"/>
      <c r="S28" s="227"/>
      <c r="T28" s="227"/>
      <c r="U28" s="227"/>
      <c r="V28" s="227"/>
      <c r="W28" s="215"/>
      <c r="X28" s="215" t="s">
        <v>1370</v>
      </c>
      <c r="AA28" s="31" t="str" cm="1">
        <f t="array" ref="AA28">_xlfn.IFNA(INDEX('KPI Plan'!$F$5:$F$75,MATCH(0,IF("Process Objective"='KPI Plan'!$A$5:$A$75,COUNTIF($AA$1:$AA27,'KPI Plan'!$F$5:$F$75),""),0)),"")</f>
        <v/>
      </c>
      <c r="AX28" s="203" t="str">
        <f>IF(AW28&lt;&gt;"",COUNTIF('KPI Plan'!$E$5:$E$99,ListMaster!AW28),"")</f>
        <v/>
      </c>
      <c r="BA28" s="203" t="str">
        <f t="array" ref="BA28">IFERROR(INDEX($BB$2:$BB$250, MATCH(0, COUNTIF($BA$1:BA27,$BB$2:$BB$250&amp;"") + IF($BB$2:$BB$250="",1,0), 0)), "")</f>
        <v/>
      </c>
      <c r="BB28" s="203" t="s">
        <v>30</v>
      </c>
      <c r="BC28" s="203" t="s">
        <v>63</v>
      </c>
      <c r="BD28" s="203" t="s">
        <v>55</v>
      </c>
      <c r="BE28" s="203" t="s">
        <v>46</v>
      </c>
      <c r="BK28" s="203" t="s">
        <v>357</v>
      </c>
      <c r="BL28" s="203" t="s">
        <v>281</v>
      </c>
      <c r="BN28" s="203" t="s">
        <v>149</v>
      </c>
      <c r="BO28" s="203" t="s">
        <v>395</v>
      </c>
      <c r="BP28" s="203" t="s">
        <v>43</v>
      </c>
      <c r="BQ28" s="203" t="s">
        <v>46</v>
      </c>
      <c r="BR28" s="244" t="str">
        <f>IF($BO28&lt;&gt;"",IF(IFERROR(VLOOKUP($BO28,#REF!,4,FALSE),"")=0,"",IFERROR(VLOOKUP($BO28,#REF!,4,FALSE),"")),"")</f>
        <v/>
      </c>
    </row>
    <row r="29" spans="10:85">
      <c r="J29" s="213" t="s">
        <v>1371</v>
      </c>
      <c r="K29" s="215" t="s">
        <v>1364</v>
      </c>
      <c r="N29" s="227"/>
      <c r="O29" s="227"/>
      <c r="P29" s="227"/>
      <c r="Q29" s="227"/>
      <c r="R29" s="227"/>
      <c r="S29" s="227"/>
      <c r="T29" s="227"/>
      <c r="U29" s="227"/>
      <c r="V29" s="227"/>
      <c r="W29" s="215"/>
      <c r="X29" s="215" t="s">
        <v>1372</v>
      </c>
      <c r="AA29" s="31" t="str" cm="1">
        <f t="array" ref="AA29">_xlfn.IFNA(INDEX('KPI Plan'!$F$5:$F$75,MATCH(0,IF("Process Objective"='KPI Plan'!$A$5:$A$75,COUNTIF($AA$1:$AA28,'KPI Plan'!$F$5:$F$75),""),0)),"")</f>
        <v/>
      </c>
      <c r="AX29" s="203" t="str">
        <f>IF(AW29&lt;&gt;"",COUNTIF('KPI Plan'!$E$5:$E$99,ListMaster!AW29),"")</f>
        <v/>
      </c>
      <c r="BA29" s="203" t="str">
        <f t="array" ref="BA29">IFERROR(INDEX($BB$2:$BB$250, MATCH(0, COUNTIF($BA$1:BA28,$BB$2:$BB$250&amp;"") + IF($BB$2:$BB$250="",1,0), 0)), "")</f>
        <v/>
      </c>
      <c r="BB29" s="203" t="s">
        <v>30</v>
      </c>
      <c r="BC29" s="203" t="s">
        <v>64</v>
      </c>
      <c r="BD29" s="203" t="s">
        <v>55</v>
      </c>
      <c r="BE29" s="203" t="s">
        <v>46</v>
      </c>
      <c r="BK29" s="203" t="s">
        <v>362</v>
      </c>
      <c r="BL29" s="203" t="s">
        <v>281</v>
      </c>
      <c r="BN29" s="203" t="s">
        <v>149</v>
      </c>
      <c r="BO29" s="203" t="s">
        <v>409</v>
      </c>
      <c r="BP29" s="203" t="s">
        <v>147</v>
      </c>
      <c r="BQ29" s="203" t="s">
        <v>46</v>
      </c>
      <c r="BR29" s="244" t="str">
        <f>IF($BO29&lt;&gt;"",IF(IFERROR(VLOOKUP($BO29,#REF!,4,FALSE),"")=0,"",IFERROR(VLOOKUP($BO29,#REF!,4,FALSE),"")),"")</f>
        <v/>
      </c>
    </row>
    <row r="30" spans="10:85">
      <c r="J30" s="213" t="s">
        <v>1373</v>
      </c>
      <c r="K30" s="215" t="s">
        <v>1364</v>
      </c>
      <c r="W30" s="215"/>
      <c r="X30" s="215" t="s">
        <v>1374</v>
      </c>
      <c r="AA30" s="31" t="str" cm="1">
        <f t="array" ref="AA30">_xlfn.IFNA(INDEX('KPI Plan'!$F$5:$F$75,MATCH(0,IF("Process Objective"='KPI Plan'!$A$5:$A$75,COUNTIF($AA$1:$AA29,'KPI Plan'!$F$5:$F$75),""),0)),"")</f>
        <v/>
      </c>
      <c r="AX30" s="203" t="str">
        <f>IF(AW30&lt;&gt;"",COUNTIF('KPI Plan'!$E$5:$E$99,ListMaster!AW30),"")</f>
        <v/>
      </c>
      <c r="BA30" s="203" t="str">
        <f t="array" ref="BA30">IFERROR(INDEX($BB$2:$BB$250, MATCH(0, COUNTIF($BA$1:BA29,$BB$2:$BB$250&amp;"") + IF($BB$2:$BB$250="",1,0), 0)), "")</f>
        <v/>
      </c>
      <c r="BB30" s="203" t="s">
        <v>30</v>
      </c>
      <c r="BC30" s="203" t="s">
        <v>226</v>
      </c>
      <c r="BD30" s="203" t="s">
        <v>147</v>
      </c>
      <c r="BE30" s="203" t="s">
        <v>46</v>
      </c>
      <c r="BK30" s="203" t="s">
        <v>384</v>
      </c>
      <c r="BL30" s="203" t="s">
        <v>281</v>
      </c>
      <c r="BN30" s="203" t="s">
        <v>140</v>
      </c>
      <c r="BO30" s="203" t="s">
        <v>246</v>
      </c>
      <c r="BP30" s="203" t="s">
        <v>147</v>
      </c>
      <c r="BQ30" s="203" t="s">
        <v>46</v>
      </c>
      <c r="BR30" s="244" t="str">
        <f>IF($BO30&lt;&gt;"",IF(IFERROR(VLOOKUP($BO30,#REF!,4,FALSE),"")=0,"",IFERROR(VLOOKUP($BO30,#REF!,4,FALSE),"")),"")</f>
        <v/>
      </c>
    </row>
    <row r="31" spans="10:85">
      <c r="J31" s="213" t="s">
        <v>1375</v>
      </c>
      <c r="K31" s="215" t="s">
        <v>1364</v>
      </c>
      <c r="W31" s="215"/>
      <c r="X31" s="215" t="s">
        <v>1376</v>
      </c>
      <c r="AA31" s="31" t="str" cm="1">
        <f t="array" ref="AA31">_xlfn.IFNA(INDEX('KPI Plan'!$F$5:$F$75,MATCH(0,IF("Process Objective"='KPI Plan'!$A$5:$A$75,COUNTIF($AA$1:$AA30,'KPI Plan'!$F$5:$F$75),""),0)),"")</f>
        <v/>
      </c>
      <c r="AX31" s="203" t="str">
        <f>IF(AW31&lt;&gt;"",COUNTIF('KPI Plan'!$E$5:$E$99,ListMaster!AW31),"")</f>
        <v/>
      </c>
      <c r="BA31" s="203" t="str">
        <f t="array" ref="BA31">IFERROR(INDEX($BB$2:$BB$250, MATCH(0, COUNTIF($BA$1:BA30,$BB$2:$BB$250&amp;"") + IF($BB$2:$BB$250="",1,0), 0)), "")</f>
        <v/>
      </c>
      <c r="BB31" s="203" t="s">
        <v>95</v>
      </c>
      <c r="BC31" s="203" t="s">
        <v>96</v>
      </c>
      <c r="BD31" s="203" t="s">
        <v>55</v>
      </c>
      <c r="BE31" s="203" t="s">
        <v>46</v>
      </c>
      <c r="BK31" s="203" t="s">
        <v>431</v>
      </c>
      <c r="BL31" s="203" t="s">
        <v>281</v>
      </c>
      <c r="BN31" s="203" t="s">
        <v>140</v>
      </c>
      <c r="BO31" s="203" t="s">
        <v>253</v>
      </c>
      <c r="BP31" s="203" t="s">
        <v>110</v>
      </c>
      <c r="BQ31" s="203" t="s">
        <v>46</v>
      </c>
      <c r="BR31" s="244" t="str">
        <f>IF($BO31&lt;&gt;"",IF(IFERROR(VLOOKUP($BO31,#REF!,4,FALSE),"")=0,"",IFERROR(VLOOKUP($BO31,#REF!,4,FALSE),"")),"")</f>
        <v/>
      </c>
    </row>
    <row r="32" spans="10:85">
      <c r="J32" s="213" t="s">
        <v>1377</v>
      </c>
      <c r="K32" s="215" t="s">
        <v>1364</v>
      </c>
      <c r="W32" s="215"/>
      <c r="X32" s="215" t="s">
        <v>1378</v>
      </c>
      <c r="AX32" s="203" t="str">
        <f>IF(AW32&lt;&gt;"",COUNTIF('KPI Plan'!$E$5:$E$99,ListMaster!AW32),"")</f>
        <v/>
      </c>
      <c r="BA32" s="203" t="str">
        <f t="array" ref="BA32">IFERROR(INDEX($BB$2:$BB$250, MATCH(0, COUNTIF($BA$1:BA31,$BB$2:$BB$250&amp;"") + IF($BB$2:$BB$250="",1,0), 0)), "")</f>
        <v/>
      </c>
      <c r="BB32" s="203" t="s">
        <v>95</v>
      </c>
      <c r="BC32" s="203" t="s">
        <v>168</v>
      </c>
      <c r="BD32" s="203" t="s">
        <v>55</v>
      </c>
      <c r="BE32" s="203" t="s">
        <v>46</v>
      </c>
      <c r="BK32" s="203" t="s">
        <v>505</v>
      </c>
      <c r="BL32" s="203" t="s">
        <v>281</v>
      </c>
      <c r="BN32" s="203" t="s">
        <v>140</v>
      </c>
      <c r="BO32" s="203" t="s">
        <v>257</v>
      </c>
      <c r="BP32" s="203" t="s">
        <v>147</v>
      </c>
      <c r="BQ32" s="203" t="s">
        <v>46</v>
      </c>
      <c r="BR32" s="244" t="str">
        <f>IF($BO32&lt;&gt;"",IF(IFERROR(VLOOKUP($BO32,#REF!,4,FALSE),"")=0,"",IFERROR(VLOOKUP($BO32,#REF!,4,FALSE),"")),"")</f>
        <v/>
      </c>
    </row>
    <row r="33" spans="23:70">
      <c r="W33" s="215"/>
      <c r="X33" s="215" t="s">
        <v>1379</v>
      </c>
      <c r="BA33" s="203" t="str">
        <f t="array" ref="BA33">IFERROR(INDEX($BB$2:$BB$250, MATCH(0, COUNTIF($BA$1:BA32,$BB$2:$BB$250&amp;"") + IF($BB$2:$BB$250="",1,0), 0)), "")</f>
        <v/>
      </c>
      <c r="BB33" s="203" t="s">
        <v>95</v>
      </c>
      <c r="BC33" s="203" t="s">
        <v>171</v>
      </c>
      <c r="BD33" s="203" t="s">
        <v>55</v>
      </c>
      <c r="BE33" s="203" t="s">
        <v>46</v>
      </c>
      <c r="BK33" s="203" t="s">
        <v>511</v>
      </c>
      <c r="BL33" s="203" t="s">
        <v>281</v>
      </c>
      <c r="BN33" s="203" t="s">
        <v>140</v>
      </c>
      <c r="BO33" s="203" t="s">
        <v>296</v>
      </c>
      <c r="BP33" s="203" t="s">
        <v>43</v>
      </c>
      <c r="BQ33" s="203" t="s">
        <v>46</v>
      </c>
      <c r="BR33" s="244" t="str">
        <f>IF($BO33&lt;&gt;"",IF(IFERROR(VLOOKUP($BO33,#REF!,4,FALSE),"")=0,"",IFERROR(VLOOKUP($BO33,#REF!,4,FALSE),"")),"")</f>
        <v/>
      </c>
    </row>
    <row r="34" spans="23:70">
      <c r="W34" s="215"/>
      <c r="X34" s="215" t="s">
        <v>1380</v>
      </c>
      <c r="BA34" s="203" t="str">
        <f t="array" ref="BA34">IFERROR(INDEX($BB$2:$BB$250, MATCH(0, COUNTIF($BA$1:BA33,$BB$2:$BB$250&amp;"") + IF($BB$2:$BB$250="",1,0), 0)), "")</f>
        <v/>
      </c>
      <c r="BB34" s="203" t="s">
        <v>95</v>
      </c>
      <c r="BC34" s="203" t="s">
        <v>311</v>
      </c>
      <c r="BD34" s="203" t="s">
        <v>55</v>
      </c>
      <c r="BE34" s="203" t="s">
        <v>102</v>
      </c>
      <c r="BK34" s="203" t="s">
        <v>515</v>
      </c>
      <c r="BL34" s="203" t="s">
        <v>281</v>
      </c>
      <c r="BN34" s="203" t="s">
        <v>140</v>
      </c>
      <c r="BO34" s="203" t="s">
        <v>300</v>
      </c>
      <c r="BP34" s="203" t="s">
        <v>55</v>
      </c>
      <c r="BQ34" s="203" t="s">
        <v>46</v>
      </c>
      <c r="BR34" s="244" t="str">
        <f>IF($BO34&lt;&gt;"",IF(IFERROR(VLOOKUP($BO34,#REF!,4,FALSE),"")=0,"",IFERROR(VLOOKUP($BO34,#REF!,4,FALSE),"")),"")</f>
        <v/>
      </c>
    </row>
    <row r="35" spans="23:70">
      <c r="W35" s="215"/>
      <c r="X35" s="215" t="s">
        <v>1381</v>
      </c>
      <c r="BA35" s="203" t="str">
        <f t="array" ref="BA35">IFERROR(INDEX($BB$2:$BB$250, MATCH(0, COUNTIF($BA$1:BA34,$BB$2:$BB$250&amp;"") + IF($BB$2:$BB$250="",1,0), 0)), "")</f>
        <v/>
      </c>
      <c r="BB35" s="203" t="s">
        <v>95</v>
      </c>
      <c r="BC35" s="203" t="s">
        <v>315</v>
      </c>
      <c r="BD35" s="203" t="s">
        <v>55</v>
      </c>
      <c r="BE35" s="203" t="s">
        <v>102</v>
      </c>
      <c r="BK35" s="203" t="s">
        <v>246</v>
      </c>
      <c r="BL35" s="203" t="s">
        <v>139</v>
      </c>
      <c r="BN35" s="203" t="s">
        <v>140</v>
      </c>
      <c r="BO35" s="203" t="s">
        <v>390</v>
      </c>
      <c r="BP35" s="203" t="s">
        <v>43</v>
      </c>
      <c r="BQ35" s="203" t="s">
        <v>46</v>
      </c>
      <c r="BR35" s="244" t="str">
        <f>IF($BO35&lt;&gt;"",IF(IFERROR(VLOOKUP($BO35,#REF!,4,FALSE),"")=0,"",IFERROR(VLOOKUP($BO35,#REF!,4,FALSE),"")),"")</f>
        <v/>
      </c>
    </row>
    <row r="36" spans="23:70">
      <c r="W36" s="215"/>
      <c r="X36" s="215" t="s">
        <v>1382</v>
      </c>
      <c r="BA36" s="203" t="str">
        <f t="array" ref="BA36">IFERROR(INDEX($BB$2:$BB$250, MATCH(0, COUNTIF($BA$1:BA35,$BB$2:$BB$250&amp;"") + IF($BB$2:$BB$250="",1,0), 0)), "")</f>
        <v/>
      </c>
      <c r="BB36" s="203" t="s">
        <v>95</v>
      </c>
      <c r="BC36" s="203" t="s">
        <v>318</v>
      </c>
      <c r="BD36" s="203" t="s">
        <v>110</v>
      </c>
      <c r="BE36" s="203" t="s">
        <v>102</v>
      </c>
      <c r="BK36" s="203" t="s">
        <v>253</v>
      </c>
      <c r="BL36" s="203" t="s">
        <v>139</v>
      </c>
      <c r="BN36" s="203" t="s">
        <v>140</v>
      </c>
      <c r="BO36" s="203" t="s">
        <v>399</v>
      </c>
      <c r="BP36" s="203" t="s">
        <v>147</v>
      </c>
      <c r="BQ36" s="203" t="s">
        <v>46</v>
      </c>
      <c r="BR36" s="244" t="str">
        <f>IF($BO36&lt;&gt;"",IF(IFERROR(VLOOKUP($BO36,#REF!,4,FALSE),"")=0,"",IFERROR(VLOOKUP($BO36,#REF!,4,FALSE),"")),"")</f>
        <v/>
      </c>
    </row>
    <row r="37" spans="23:70">
      <c r="W37" s="215"/>
      <c r="X37" s="215" t="s">
        <v>1383</v>
      </c>
      <c r="BA37" s="203" t="str">
        <f t="array" ref="BA37">IFERROR(INDEX($BB$2:$BB$250, MATCH(0, COUNTIF($BA$1:BA36,$BB$2:$BB$250&amp;"") + IF($BB$2:$BB$250="",1,0), 0)), "")</f>
        <v/>
      </c>
      <c r="BB37" s="203" t="s">
        <v>95</v>
      </c>
      <c r="BC37" s="203" t="s">
        <v>323</v>
      </c>
      <c r="BD37" s="203" t="s">
        <v>147</v>
      </c>
      <c r="BE37" s="203" t="s">
        <v>102</v>
      </c>
      <c r="BK37" s="203" t="s">
        <v>257</v>
      </c>
      <c r="BL37" s="203" t="s">
        <v>139</v>
      </c>
      <c r="BN37" s="203" t="s">
        <v>104</v>
      </c>
      <c r="BO37" s="203" t="s">
        <v>105</v>
      </c>
      <c r="BP37" s="203" t="s">
        <v>110</v>
      </c>
      <c r="BQ37" s="203" t="s">
        <v>102</v>
      </c>
      <c r="BR37" s="244" t="str">
        <f>IF($BO37&lt;&gt;"",IF(IFERROR(VLOOKUP($BO37,#REF!,4,FALSE),"")=0,"",IFERROR(VLOOKUP($BO37,#REF!,4,FALSE),"")),"")</f>
        <v/>
      </c>
    </row>
    <row r="38" spans="23:70">
      <c r="W38" s="215"/>
      <c r="X38" s="215" t="s">
        <v>1384</v>
      </c>
      <c r="BA38" s="203" t="str">
        <f t="array" ref="BA38">IFERROR(INDEX($BB$2:$BB$250, MATCH(0, COUNTIF($BA$1:BA37,$BB$2:$BB$250&amp;"") + IF($BB$2:$BB$250="",1,0), 0)), "")</f>
        <v/>
      </c>
      <c r="BB38" s="203" t="s">
        <v>95</v>
      </c>
      <c r="BC38" s="203" t="s">
        <v>330</v>
      </c>
      <c r="BD38" s="203" t="s">
        <v>43</v>
      </c>
      <c r="BE38" s="203" t="s">
        <v>102</v>
      </c>
      <c r="BK38" s="203" t="s">
        <v>296</v>
      </c>
      <c r="BL38" s="203" t="s">
        <v>139</v>
      </c>
      <c r="BN38" s="203" t="s">
        <v>104</v>
      </c>
      <c r="BO38" s="203" t="s">
        <v>111</v>
      </c>
      <c r="BP38" s="203" t="s">
        <v>110</v>
      </c>
      <c r="BQ38" s="203" t="s">
        <v>102</v>
      </c>
      <c r="BR38" s="244" t="str">
        <f>IF($BO38&lt;&gt;"",IF(IFERROR(VLOOKUP($BO38,#REF!,4,FALSE),"")=0,"",IFERROR(VLOOKUP($BO38,#REF!,4,FALSE),"")),"")</f>
        <v/>
      </c>
    </row>
    <row r="39" spans="23:70">
      <c r="W39" s="215"/>
      <c r="X39" s="215" t="s">
        <v>1385</v>
      </c>
      <c r="BA39" s="203" t="str">
        <f t="array" ref="BA39">IFERROR(INDEX($BB$2:$BB$250, MATCH(0, COUNTIF($BA$1:BA38,$BB$2:$BB$250&amp;"") + IF($BB$2:$BB$250="",1,0), 0)), "")</f>
        <v/>
      </c>
      <c r="BB39" s="203" t="s">
        <v>95</v>
      </c>
      <c r="BC39" s="203" t="s">
        <v>334</v>
      </c>
      <c r="BD39" s="203" t="s">
        <v>55</v>
      </c>
      <c r="BE39" s="203" t="s">
        <v>102</v>
      </c>
      <c r="BK39" s="203" t="s">
        <v>300</v>
      </c>
      <c r="BL39" s="203" t="s">
        <v>139</v>
      </c>
      <c r="BN39" s="203" t="s">
        <v>104</v>
      </c>
      <c r="BO39" s="203" t="s">
        <v>116</v>
      </c>
      <c r="BP39" s="203" t="s">
        <v>110</v>
      </c>
      <c r="BQ39" s="203" t="s">
        <v>102</v>
      </c>
      <c r="BR39" s="244" t="str">
        <f>IF($BO39&lt;&gt;"",IF(IFERROR(VLOOKUP($BO39,#REF!,4,FALSE),"")=0,"",IFERROR(VLOOKUP($BO39,#REF!,4,FALSE),"")),"")</f>
        <v/>
      </c>
    </row>
    <row r="40" spans="23:70">
      <c r="W40" s="215"/>
      <c r="X40" s="215" t="s">
        <v>1386</v>
      </c>
      <c r="BA40" s="203" t="str">
        <f t="array" ref="BA40">IFERROR(INDEX($BB$2:$BB$250, MATCH(0, COUNTIF($BA$1:BA39,$BB$2:$BB$250&amp;"") + IF($BB$2:$BB$250="",1,0), 0)), "")</f>
        <v/>
      </c>
      <c r="BB40" s="203" t="s">
        <v>95</v>
      </c>
      <c r="BC40" s="203" t="s">
        <v>339</v>
      </c>
      <c r="BD40" s="203" t="s">
        <v>55</v>
      </c>
      <c r="BE40" s="203" t="s">
        <v>102</v>
      </c>
      <c r="BK40" s="203" t="s">
        <v>390</v>
      </c>
      <c r="BL40" s="203" t="s">
        <v>139</v>
      </c>
      <c r="BN40" s="203" t="s">
        <v>104</v>
      </c>
      <c r="BO40" s="203" t="s">
        <v>119</v>
      </c>
      <c r="BP40" s="203" t="s">
        <v>110</v>
      </c>
      <c r="BQ40" s="203" t="s">
        <v>102</v>
      </c>
      <c r="BR40" s="244" t="str">
        <f>IF($BO40&lt;&gt;"",IF(IFERROR(VLOOKUP($BO40,#REF!,4,FALSE),"")=0,"",IFERROR(VLOOKUP($BO40,#REF!,4,FALSE),"")),"")</f>
        <v/>
      </c>
    </row>
    <row r="41" spans="23:70">
      <c r="W41" s="215"/>
      <c r="X41" s="215" t="s">
        <v>1387</v>
      </c>
      <c r="BA41" s="203" t="str">
        <f t="array" ref="BA41">IFERROR(INDEX($BB$2:$BB$250, MATCH(0, COUNTIF($BA$1:BA40,$BB$2:$BB$250&amp;"") + IF($BB$2:$BB$250="",1,0), 0)), "")</f>
        <v/>
      </c>
      <c r="BB41" s="203" t="s">
        <v>95</v>
      </c>
      <c r="BC41" s="203" t="s">
        <v>343</v>
      </c>
      <c r="BD41" s="203" t="s">
        <v>43</v>
      </c>
      <c r="BE41" s="203" t="s">
        <v>102</v>
      </c>
      <c r="BK41" s="203" t="s">
        <v>399</v>
      </c>
      <c r="BL41" s="203" t="s">
        <v>139</v>
      </c>
      <c r="BN41" s="203" t="s">
        <v>104</v>
      </c>
      <c r="BO41" s="203" t="s">
        <v>122</v>
      </c>
      <c r="BP41" s="203" t="s">
        <v>110</v>
      </c>
      <c r="BQ41" s="203" t="s">
        <v>102</v>
      </c>
      <c r="BR41" s="244" t="str">
        <f>IF($BO41&lt;&gt;"",IF(IFERROR(VLOOKUP($BO41,#REF!,4,FALSE),"")=0,"",IFERROR(VLOOKUP($BO41,#REF!,4,FALSE),"")),"")</f>
        <v/>
      </c>
    </row>
    <row r="42" spans="23:70">
      <c r="W42" s="215"/>
      <c r="X42" s="215" t="s">
        <v>1388</v>
      </c>
      <c r="BA42" s="203" t="str">
        <f t="array" ref="BA42">IFERROR(INDEX($BB$2:$BB$250, MATCH(0, COUNTIF($BA$1:BA41,$BB$2:$BB$250&amp;"") + IF($BB$2:$BB$250="",1,0), 0)), "")</f>
        <v/>
      </c>
      <c r="BB42" s="203" t="s">
        <v>95</v>
      </c>
      <c r="BC42" s="203" t="s">
        <v>349</v>
      </c>
      <c r="BD42" s="203" t="s">
        <v>43</v>
      </c>
      <c r="BE42" s="203" t="s">
        <v>102</v>
      </c>
      <c r="BK42" s="203" t="s">
        <v>127</v>
      </c>
      <c r="BL42" s="203" t="s">
        <v>126</v>
      </c>
      <c r="BN42" s="203" t="s">
        <v>104</v>
      </c>
      <c r="BO42" s="203" t="s">
        <v>127</v>
      </c>
      <c r="BP42" s="203" t="s">
        <v>55</v>
      </c>
      <c r="BQ42" s="203" t="s">
        <v>102</v>
      </c>
      <c r="BR42" s="244" t="str">
        <f>IF($BO42&lt;&gt;"",IF(IFERROR(VLOOKUP($BO42,#REF!,4,FALSE),"")=0,"",IFERROR(VLOOKUP($BO42,#REF!,4,FALSE),"")),"")</f>
        <v/>
      </c>
    </row>
    <row r="43" spans="23:70">
      <c r="W43" s="215"/>
      <c r="X43" s="215" t="s">
        <v>1389</v>
      </c>
      <c r="BA43" s="203" t="str">
        <f t="array" ref="BA43">IFERROR(INDEX($BB$2:$BB$250, MATCH(0, COUNTIF($BA$1:BA42,$BB$2:$BB$250&amp;"") + IF($BB$2:$BB$250="",1,0), 0)), "")</f>
        <v/>
      </c>
      <c r="BB43" s="203" t="s">
        <v>95</v>
      </c>
      <c r="BC43" s="203" t="s">
        <v>353</v>
      </c>
      <c r="BD43" s="203" t="s">
        <v>43</v>
      </c>
      <c r="BE43" s="203" t="s">
        <v>102</v>
      </c>
      <c r="BK43" s="203" t="s">
        <v>58</v>
      </c>
      <c r="BL43" s="203" t="s">
        <v>57</v>
      </c>
      <c r="BN43" s="203" t="s">
        <v>72</v>
      </c>
      <c r="BO43" s="203" t="s">
        <v>263</v>
      </c>
      <c r="BP43" s="203" t="s">
        <v>110</v>
      </c>
      <c r="BQ43" s="203" t="s">
        <v>102</v>
      </c>
      <c r="BR43" s="244" t="str">
        <f>IF($BO43&lt;&gt;"",IF(IFERROR(VLOOKUP($BO43,#REF!,4,FALSE),"")=0,"",IFERROR(VLOOKUP($BO43,#REF!,4,FALSE),"")),"")</f>
        <v/>
      </c>
    </row>
    <row r="44" spans="23:70">
      <c r="W44" s="215"/>
      <c r="X44" s="215" t="s">
        <v>1390</v>
      </c>
      <c r="BA44" s="203" t="str">
        <f t="array" ref="BA44">IFERROR(INDEX($BB$2:$BB$250, MATCH(0, COUNTIF($BA$1:BA43,$BB$2:$BB$250&amp;"") + IF($BB$2:$BB$250="",1,0), 0)), "")</f>
        <v/>
      </c>
      <c r="BB44" s="203" t="s">
        <v>95</v>
      </c>
      <c r="BC44" s="203" t="s">
        <v>357</v>
      </c>
      <c r="BD44" s="203" t="s">
        <v>43</v>
      </c>
      <c r="BE44" s="203" t="s">
        <v>102</v>
      </c>
      <c r="BK44" s="203" t="s">
        <v>63</v>
      </c>
      <c r="BL44" s="203" t="s">
        <v>57</v>
      </c>
      <c r="BN44" s="203" t="s">
        <v>72</v>
      </c>
      <c r="BO44" s="203" t="s">
        <v>367</v>
      </c>
      <c r="BP44" s="203" t="s">
        <v>55</v>
      </c>
      <c r="BQ44" s="203" t="s">
        <v>102</v>
      </c>
      <c r="BR44" s="244" t="str">
        <f>IF($BO44&lt;&gt;"",IF(IFERROR(VLOOKUP($BO44,#REF!,4,FALSE),"")=0,"",IFERROR(VLOOKUP($BO44,#REF!,4,FALSE),"")),"")</f>
        <v/>
      </c>
    </row>
    <row r="45" spans="23:70">
      <c r="W45" s="215"/>
      <c r="X45" s="215" t="s">
        <v>1391</v>
      </c>
      <c r="BA45" s="203" t="str">
        <f t="array" ref="BA45">IFERROR(INDEX($BB$2:$BB$250, MATCH(0, COUNTIF($BA$1:BA44,$BB$2:$BB$250&amp;"") + IF($BB$2:$BB$250="",1,0), 0)), "")</f>
        <v/>
      </c>
      <c r="BB45" s="203" t="s">
        <v>95</v>
      </c>
      <c r="BC45" s="203" t="s">
        <v>362</v>
      </c>
      <c r="BD45" s="203" t="s">
        <v>110</v>
      </c>
      <c r="BE45" s="203" t="s">
        <v>102</v>
      </c>
      <c r="BK45" s="203" t="s">
        <v>64</v>
      </c>
      <c r="BL45" s="203" t="s">
        <v>57</v>
      </c>
      <c r="BN45" s="203" t="s">
        <v>72</v>
      </c>
      <c r="BO45" s="203" t="s">
        <v>372</v>
      </c>
      <c r="BP45" s="203" t="s">
        <v>55</v>
      </c>
      <c r="BQ45" s="203" t="s">
        <v>102</v>
      </c>
      <c r="BR45" s="244" t="str">
        <f>IF($BO45&lt;&gt;"",IF(IFERROR(VLOOKUP($BO45,#REF!,4,FALSE),"")=0,"",IFERROR(VLOOKUP($BO45,#REF!,4,FALSE),"")),"")</f>
        <v/>
      </c>
    </row>
    <row r="46" spans="23:70">
      <c r="W46" s="215"/>
      <c r="X46" s="215" t="s">
        <v>1392</v>
      </c>
      <c r="BA46" s="203" t="str">
        <f t="array" ref="BA46">IFERROR(INDEX($BB$2:$BB$250, MATCH(0, COUNTIF($BA$1:BA45,$BB$2:$BB$250&amp;"") + IF($BB$2:$BB$250="",1,0), 0)), "")</f>
        <v/>
      </c>
      <c r="BB46" s="203" t="s">
        <v>95</v>
      </c>
      <c r="BC46" s="203" t="s">
        <v>378</v>
      </c>
      <c r="BD46" s="203" t="s">
        <v>55</v>
      </c>
      <c r="BE46" s="203" t="s">
        <v>102</v>
      </c>
      <c r="BK46" s="203" t="s">
        <v>73</v>
      </c>
      <c r="BL46" s="203" t="s">
        <v>57</v>
      </c>
      <c r="BN46" s="203" t="s">
        <v>72</v>
      </c>
      <c r="BO46" s="203" t="s">
        <v>375</v>
      </c>
      <c r="BP46" s="203" t="s">
        <v>55</v>
      </c>
      <c r="BQ46" s="203" t="s">
        <v>102</v>
      </c>
      <c r="BR46" s="244" t="str">
        <f>IF($BO46&lt;&gt;"",IF(IFERROR(VLOOKUP($BO46,#REF!,4,FALSE),"")=0,"",IFERROR(VLOOKUP($BO46,#REF!,4,FALSE),"")),"")</f>
        <v/>
      </c>
    </row>
    <row r="47" spans="23:70">
      <c r="W47" s="215"/>
      <c r="X47" s="215" t="s">
        <v>1393</v>
      </c>
      <c r="BA47" s="203" t="str">
        <f t="array" ref="BA47">IFERROR(INDEX($BB$2:$BB$250, MATCH(0, COUNTIF($BA$1:BA46,$BB$2:$BB$250&amp;"") + IF($BB$2:$BB$250="",1,0), 0)), "")</f>
        <v/>
      </c>
      <c r="BB47" s="203" t="s">
        <v>95</v>
      </c>
      <c r="BC47" s="203" t="s">
        <v>384</v>
      </c>
      <c r="BD47" s="203" t="s">
        <v>55</v>
      </c>
      <c r="BE47" s="203" t="s">
        <v>102</v>
      </c>
      <c r="BK47" s="203" t="s">
        <v>226</v>
      </c>
      <c r="BL47" s="203" t="s">
        <v>57</v>
      </c>
      <c r="BN47" s="203" t="s">
        <v>72</v>
      </c>
      <c r="BO47" s="203" t="s">
        <v>381</v>
      </c>
      <c r="BP47" s="203" t="s">
        <v>55</v>
      </c>
      <c r="BQ47" s="203" t="s">
        <v>102</v>
      </c>
      <c r="BR47" s="244" t="str">
        <f>IF($BO47&lt;&gt;"",IF(IFERROR(VLOOKUP($BO47,#REF!,4,FALSE),"")=0,"",IFERROR(VLOOKUP($BO47,#REF!,4,FALSE),"")),"")</f>
        <v/>
      </c>
    </row>
    <row r="48" spans="23:70">
      <c r="W48" s="215"/>
      <c r="X48" s="215" t="s">
        <v>1394</v>
      </c>
      <c r="BA48" s="203" t="str">
        <f t="array" ref="BA48">IFERROR(INDEX($BB$2:$BB$250, MATCH(0, COUNTIF($BA$1:BA47,$BB$2:$BB$250&amp;"") + IF($BB$2:$BB$250="",1,0), 0)), "")</f>
        <v/>
      </c>
      <c r="BB48" s="203" t="s">
        <v>95</v>
      </c>
      <c r="BC48" s="203" t="s">
        <v>431</v>
      </c>
      <c r="BD48" s="203" t="s">
        <v>55</v>
      </c>
      <c r="BE48" s="203" t="s">
        <v>102</v>
      </c>
      <c r="BK48" s="203" t="s">
        <v>232</v>
      </c>
      <c r="BL48" s="203" t="s">
        <v>57</v>
      </c>
      <c r="BN48" s="203" t="s">
        <v>72</v>
      </c>
      <c r="BO48" s="203" t="s">
        <v>387</v>
      </c>
      <c r="BP48" s="203" t="s">
        <v>55</v>
      </c>
      <c r="BQ48" s="203" t="s">
        <v>102</v>
      </c>
      <c r="BR48" s="244" t="str">
        <f>IF($BO48&lt;&gt;"",IF(IFERROR(VLOOKUP($BO48,#REF!,4,FALSE),"")=0,"",IFERROR(VLOOKUP($BO48,#REF!,4,FALSE),"")),"")</f>
        <v/>
      </c>
    </row>
    <row r="49" spans="23:70">
      <c r="W49" s="215"/>
      <c r="X49" s="215" t="s">
        <v>1395</v>
      </c>
      <c r="BA49" s="203" t="str">
        <f t="array" ref="BA49">IFERROR(INDEX($BB$2:$BB$250, MATCH(0, COUNTIF($BA$1:BA48,$BB$2:$BB$250&amp;"") + IF($BB$2:$BB$250="",1,0), 0)), "")</f>
        <v/>
      </c>
      <c r="BB49" s="203" t="s">
        <v>95</v>
      </c>
      <c r="BC49" s="203" t="s">
        <v>520</v>
      </c>
      <c r="BD49" s="203" t="s">
        <v>43</v>
      </c>
      <c r="BE49" s="203" t="s">
        <v>46</v>
      </c>
      <c r="BK49" s="203" t="s">
        <v>242</v>
      </c>
      <c r="BL49" s="203" t="s">
        <v>57</v>
      </c>
      <c r="BN49" s="203" t="s">
        <v>95</v>
      </c>
      <c r="BO49" s="203" t="s">
        <v>311</v>
      </c>
      <c r="BP49" s="203" t="s">
        <v>55</v>
      </c>
      <c r="BQ49" s="203" t="s">
        <v>102</v>
      </c>
      <c r="BR49" s="244" t="str">
        <f>IF($BO49&lt;&gt;"",IF(IFERROR(VLOOKUP($BO49,#REF!,4,FALSE),"")=0,"",IFERROR(VLOOKUP($BO49,#REF!,4,FALSE),"")),"")</f>
        <v/>
      </c>
    </row>
    <row r="50" spans="23:70">
      <c r="W50" s="215"/>
      <c r="X50" s="215" t="s">
        <v>1396</v>
      </c>
      <c r="BA50" s="203" t="str">
        <f t="array" ref="BA50">IFERROR(INDEX($BB$2:$BB$250, MATCH(0, COUNTIF($BA$1:BA49,$BB$2:$BB$250&amp;"") + IF($BB$2:$BB$250="",1,0), 0)), "")</f>
        <v/>
      </c>
      <c r="BB50" s="203" t="s">
        <v>95</v>
      </c>
      <c r="BC50" s="203" t="s">
        <v>524</v>
      </c>
      <c r="BD50" s="203" t="s">
        <v>147</v>
      </c>
      <c r="BE50" s="203" t="s">
        <v>46</v>
      </c>
      <c r="BK50" s="203" t="s">
        <v>303</v>
      </c>
      <c r="BL50" s="203" t="s">
        <v>57</v>
      </c>
      <c r="BN50" s="203" t="s">
        <v>95</v>
      </c>
      <c r="BO50" s="203" t="s">
        <v>315</v>
      </c>
      <c r="BP50" s="203" t="s">
        <v>55</v>
      </c>
      <c r="BQ50" s="203" t="s">
        <v>102</v>
      </c>
      <c r="BR50" s="244" t="str">
        <f>IF($BO50&lt;&gt;"",IF(IFERROR(VLOOKUP($BO50,#REF!,4,FALSE),"")=0,"",IFERROR(VLOOKUP($BO50,#REF!,4,FALSE),"")),"")</f>
        <v/>
      </c>
    </row>
    <row r="51" spans="23:70">
      <c r="W51" s="215"/>
      <c r="X51" s="215" t="s">
        <v>1397</v>
      </c>
      <c r="BA51" s="203" t="str">
        <f t="array" ref="BA51">IFERROR(INDEX($BB$2:$BB$250, MATCH(0, COUNTIF($BA$1:BA50,$BB$2:$BB$250&amp;"") + IF($BB$2:$BB$250="",1,0), 0)), "")</f>
        <v/>
      </c>
      <c r="BB51" s="203" t="s">
        <v>95</v>
      </c>
      <c r="BC51" s="203" t="s">
        <v>527</v>
      </c>
      <c r="BD51" s="203" t="s">
        <v>55</v>
      </c>
      <c r="BE51" s="203" t="s">
        <v>46</v>
      </c>
      <c r="BK51" s="203" t="s">
        <v>306</v>
      </c>
      <c r="BL51" s="203" t="s">
        <v>57</v>
      </c>
      <c r="BN51" s="203" t="s">
        <v>95</v>
      </c>
      <c r="BO51" s="203" t="s">
        <v>318</v>
      </c>
      <c r="BP51" s="203" t="s">
        <v>110</v>
      </c>
      <c r="BQ51" s="203" t="s">
        <v>102</v>
      </c>
      <c r="BR51" s="244" t="str">
        <f>IF($BO51&lt;&gt;"",IF(IFERROR(VLOOKUP($BO51,#REF!,4,FALSE),"")=0,"",IFERROR(VLOOKUP($BO51,#REF!,4,FALSE),"")),"")</f>
        <v/>
      </c>
    </row>
    <row r="52" spans="23:70">
      <c r="W52" s="215"/>
      <c r="X52" s="215" t="s">
        <v>1398</v>
      </c>
      <c r="BA52" s="203" t="str">
        <f t="array" ref="BA52">IFERROR(INDEX($BB$2:$BB$250, MATCH(0, COUNTIF($BA$1:BA51,$BB$2:$BB$250&amp;"") + IF($BB$2:$BB$250="",1,0), 0)), "")</f>
        <v/>
      </c>
      <c r="BB52" s="203" t="s">
        <v>268</v>
      </c>
      <c r="BC52" s="203" t="s">
        <v>269</v>
      </c>
      <c r="BD52" s="203" t="s">
        <v>147</v>
      </c>
      <c r="BE52" s="203" t="s">
        <v>102</v>
      </c>
      <c r="BK52" s="203" t="s">
        <v>308</v>
      </c>
      <c r="BL52" s="203" t="s">
        <v>57</v>
      </c>
      <c r="BN52" s="203" t="s">
        <v>95</v>
      </c>
      <c r="BO52" s="203" t="s">
        <v>323</v>
      </c>
      <c r="BP52" s="203" t="s">
        <v>147</v>
      </c>
      <c r="BQ52" s="203" t="s">
        <v>102</v>
      </c>
      <c r="BR52" s="244" t="str">
        <f>IF($BO52&lt;&gt;"",IF(IFERROR(VLOOKUP($BO52,#REF!,4,FALSE),"")=0,"",IFERROR(VLOOKUP($BO52,#REF!,4,FALSE),"")),"")</f>
        <v/>
      </c>
    </row>
    <row r="53" spans="23:70">
      <c r="W53" s="215"/>
      <c r="X53" s="215" t="s">
        <v>1399</v>
      </c>
      <c r="BA53" s="203" t="str">
        <f t="array" ref="BA53">IFERROR(INDEX($BB$2:$BB$250, MATCH(0, COUNTIF($BA$1:BA52,$BB$2:$BB$250&amp;"") + IF($BB$2:$BB$250="",1,0), 0)), "")</f>
        <v/>
      </c>
      <c r="BB53" s="203" t="s">
        <v>268</v>
      </c>
      <c r="BC53" s="203" t="s">
        <v>276</v>
      </c>
      <c r="BD53" s="203" t="s">
        <v>147</v>
      </c>
      <c r="BE53" s="203" t="s">
        <v>102</v>
      </c>
      <c r="BK53" s="203" t="s">
        <v>404</v>
      </c>
      <c r="BL53" s="203" t="s">
        <v>57</v>
      </c>
      <c r="BN53" s="203" t="s">
        <v>95</v>
      </c>
      <c r="BO53" s="203" t="s">
        <v>330</v>
      </c>
      <c r="BP53" s="203" t="s">
        <v>43</v>
      </c>
      <c r="BQ53" s="203" t="s">
        <v>102</v>
      </c>
      <c r="BR53" s="244" t="str">
        <f>IF($BO53&lt;&gt;"",IF(IFERROR(VLOOKUP($BO53,#REF!,4,FALSE),"")=0,"",IFERROR(VLOOKUP($BO53,#REF!,4,FALSE),"")),"")</f>
        <v/>
      </c>
    </row>
    <row r="54" spans="23:70">
      <c r="W54" s="215"/>
      <c r="X54" s="215" t="s">
        <v>1400</v>
      </c>
      <c r="BA54" s="203" t="str">
        <f t="array" ref="BA54">IFERROR(INDEX($BB$2:$BB$250, MATCH(0, COUNTIF($BA$1:BA53,$BB$2:$BB$250&amp;"") + IF($BB$2:$BB$250="",1,0), 0)), "")</f>
        <v/>
      </c>
      <c r="BB54" s="203" t="s">
        <v>268</v>
      </c>
      <c r="BC54" s="203" t="s">
        <v>282</v>
      </c>
      <c r="BD54" s="203" t="s">
        <v>147</v>
      </c>
      <c r="BE54" s="203" t="s">
        <v>102</v>
      </c>
      <c r="BK54" s="203" t="s">
        <v>96</v>
      </c>
      <c r="BL54" s="203" t="s">
        <v>94</v>
      </c>
      <c r="BN54" s="203" t="s">
        <v>95</v>
      </c>
      <c r="BO54" s="203" t="s">
        <v>334</v>
      </c>
      <c r="BP54" s="203" t="s">
        <v>55</v>
      </c>
      <c r="BQ54" s="203" t="s">
        <v>102</v>
      </c>
      <c r="BR54" s="244" t="str">
        <f>IF($BO54&lt;&gt;"",IF(IFERROR(VLOOKUP($BO54,#REF!,4,FALSE),"")=0,"",IFERROR(VLOOKUP($BO54,#REF!,4,FALSE),"")),"")</f>
        <v/>
      </c>
    </row>
    <row r="55" spans="23:70">
      <c r="W55" s="215"/>
      <c r="X55" s="215" t="s">
        <v>1401</v>
      </c>
      <c r="BA55" s="203" t="str">
        <f t="array" ref="BA55">IFERROR(INDEX($BB$2:$BB$250, MATCH(0, COUNTIF($BA$1:BA54,$BB$2:$BB$250&amp;"") + IF($BB$2:$BB$250="",1,0), 0)), "")</f>
        <v/>
      </c>
      <c r="BB55" s="203" t="s">
        <v>206</v>
      </c>
      <c r="BC55" s="203" t="s">
        <v>207</v>
      </c>
      <c r="BD55" s="203" t="s">
        <v>110</v>
      </c>
      <c r="BE55" s="203" t="s">
        <v>102</v>
      </c>
      <c r="BK55" s="203" t="s">
        <v>155</v>
      </c>
      <c r="BL55" s="203" t="s">
        <v>94</v>
      </c>
      <c r="BN55" s="203" t="s">
        <v>95</v>
      </c>
      <c r="BO55" s="203" t="s">
        <v>339</v>
      </c>
      <c r="BP55" s="203" t="s">
        <v>55</v>
      </c>
      <c r="BQ55" s="203" t="s">
        <v>102</v>
      </c>
      <c r="BR55" s="244" t="str">
        <f>IF($BO55&lt;&gt;"",IF(IFERROR(VLOOKUP($BO55,#REF!,4,FALSE),"")=0,"",IFERROR(VLOOKUP($BO55,#REF!,4,FALSE),"")),"")</f>
        <v/>
      </c>
    </row>
    <row r="56" spans="23:70">
      <c r="W56" s="215"/>
      <c r="X56" s="215" t="s">
        <v>1402</v>
      </c>
      <c r="BA56" s="203" t="str">
        <f t="array" ref="BA56">IFERROR(INDEX($BB$2:$BB$250, MATCH(0, COUNTIF($BA$1:BA55,$BB$2:$BB$250&amp;"") + IF($BB$2:$BB$250="",1,0), 0)), "")</f>
        <v/>
      </c>
      <c r="BB56" s="203" t="s">
        <v>206</v>
      </c>
      <c r="BC56" s="203" t="s">
        <v>213</v>
      </c>
      <c r="BD56" s="203" t="s">
        <v>110</v>
      </c>
      <c r="BE56" s="203" t="s">
        <v>102</v>
      </c>
      <c r="BK56" s="203" t="s">
        <v>163</v>
      </c>
      <c r="BL56" s="203" t="s">
        <v>94</v>
      </c>
      <c r="BN56" s="203" t="s">
        <v>95</v>
      </c>
      <c r="BO56" s="203" t="s">
        <v>343</v>
      </c>
      <c r="BP56" s="203" t="s">
        <v>43</v>
      </c>
      <c r="BQ56" s="203" t="s">
        <v>102</v>
      </c>
      <c r="BR56" s="244" t="str">
        <f>IF($BO56&lt;&gt;"",IF(IFERROR(VLOOKUP($BO56,#REF!,4,FALSE),"")=0,"",IFERROR(VLOOKUP($BO56,#REF!,4,FALSE),"")),"")</f>
        <v/>
      </c>
    </row>
    <row r="57" spans="23:70">
      <c r="W57" s="215"/>
      <c r="X57" s="215" t="s">
        <v>1403</v>
      </c>
      <c r="BA57" s="203" t="str">
        <f t="array" ref="BA57">IFERROR(INDEX($BB$2:$BB$250, MATCH(0, COUNTIF($BA$1:BA56,$BB$2:$BB$250&amp;"") + IF($BB$2:$BB$250="",1,0), 0)), "")</f>
        <v/>
      </c>
      <c r="BB57" s="203" t="s">
        <v>206</v>
      </c>
      <c r="BC57" s="203" t="s">
        <v>216</v>
      </c>
      <c r="BD57" s="203" t="s">
        <v>110</v>
      </c>
      <c r="BE57" s="203" t="s">
        <v>102</v>
      </c>
      <c r="BK57" s="203" t="s">
        <v>168</v>
      </c>
      <c r="BL57" s="203" t="s">
        <v>94</v>
      </c>
      <c r="BN57" s="203" t="s">
        <v>95</v>
      </c>
      <c r="BO57" s="203" t="s">
        <v>349</v>
      </c>
      <c r="BP57" s="203" t="s">
        <v>43</v>
      </c>
      <c r="BQ57" s="203" t="s">
        <v>102</v>
      </c>
      <c r="BR57" s="244" t="str">
        <f>IF($BO57&lt;&gt;"",IF(IFERROR(VLOOKUP($BO57,#REF!,4,FALSE),"")=0,"",IFERROR(VLOOKUP($BO57,#REF!,4,FALSE),"")),"")</f>
        <v/>
      </c>
    </row>
    <row r="58" spans="23:70">
      <c r="W58" s="215"/>
      <c r="X58" s="215" t="s">
        <v>1404</v>
      </c>
      <c r="BA58" s="203" t="str">
        <f t="array" ref="BA58">IFERROR(INDEX($BB$2:$BB$250, MATCH(0, COUNTIF($BA$1:BA57,$BB$2:$BB$250&amp;"") + IF($BB$2:$BB$250="",1,0), 0)), "")</f>
        <v/>
      </c>
      <c r="BB58" s="203" t="s">
        <v>206</v>
      </c>
      <c r="BC58" s="203" t="s">
        <v>220</v>
      </c>
      <c r="BD58" s="203" t="s">
        <v>110</v>
      </c>
      <c r="BE58" s="203" t="s">
        <v>102</v>
      </c>
      <c r="BK58" s="203" t="s">
        <v>171</v>
      </c>
      <c r="BL58" s="203" t="s">
        <v>94</v>
      </c>
      <c r="BN58" s="203" t="s">
        <v>95</v>
      </c>
      <c r="BO58" s="203" t="s">
        <v>353</v>
      </c>
      <c r="BP58" s="203" t="s">
        <v>43</v>
      </c>
      <c r="BQ58" s="203" t="s">
        <v>102</v>
      </c>
      <c r="BR58" s="244" t="str">
        <f>IF($BO58&lt;&gt;"",IF(IFERROR(VLOOKUP($BO58,#REF!,4,FALSE),"")=0,"",IFERROR(VLOOKUP($BO58,#REF!,4,FALSE),"")),"")</f>
        <v/>
      </c>
    </row>
    <row r="59" spans="23:70">
      <c r="W59" s="215"/>
      <c r="X59" s="215" t="s">
        <v>1405</v>
      </c>
      <c r="BA59" s="203" t="str">
        <f t="array" ref="BA59">IFERROR(INDEX($BB$2:$BB$250, MATCH(0, COUNTIF($BA$1:BA58,$BB$2:$BB$250&amp;"") + IF($BB$2:$BB$250="",1,0), 0)), "")</f>
        <v/>
      </c>
      <c r="BB59" s="203" t="s">
        <v>206</v>
      </c>
      <c r="BC59" s="203" t="s">
        <v>223</v>
      </c>
      <c r="BD59" s="203" t="s">
        <v>110</v>
      </c>
      <c r="BE59" s="203" t="s">
        <v>102</v>
      </c>
      <c r="BK59" s="203" t="s">
        <v>520</v>
      </c>
      <c r="BL59" s="203" t="s">
        <v>94</v>
      </c>
      <c r="BN59" s="203" t="s">
        <v>95</v>
      </c>
      <c r="BO59" s="203" t="s">
        <v>357</v>
      </c>
      <c r="BP59" s="203" t="s">
        <v>43</v>
      </c>
      <c r="BQ59" s="203" t="s">
        <v>102</v>
      </c>
      <c r="BR59" s="244" t="str">
        <f>IF($BO59&lt;&gt;"",IF(IFERROR(VLOOKUP($BO59,#REF!,4,FALSE),"")=0,"",IFERROR(VLOOKUP($BO59,#REF!,4,FALSE),"")),"")</f>
        <v/>
      </c>
    </row>
    <row r="60" spans="23:70">
      <c r="W60" s="215"/>
      <c r="X60" s="215" t="s">
        <v>1406</v>
      </c>
      <c r="BA60" s="203" t="str">
        <f t="array" ref="BA60">IFERROR(INDEX($BB$2:$BB$250, MATCH(0, COUNTIF($BA$1:BA59,$BB$2:$BB$250&amp;"") + IF($BB$2:$BB$250="",1,0), 0)), "")</f>
        <v/>
      </c>
      <c r="BB60" s="203" t="s">
        <v>175</v>
      </c>
      <c r="BC60" s="203" t="s">
        <v>176</v>
      </c>
      <c r="BD60" s="203" t="s">
        <v>110</v>
      </c>
      <c r="BE60" s="203" t="s">
        <v>102</v>
      </c>
      <c r="BK60" s="203" t="s">
        <v>524</v>
      </c>
      <c r="BL60" s="203" t="s">
        <v>94</v>
      </c>
      <c r="BN60" s="203" t="s">
        <v>95</v>
      </c>
      <c r="BO60" s="203" t="s">
        <v>362</v>
      </c>
      <c r="BP60" s="203" t="s">
        <v>110</v>
      </c>
      <c r="BQ60" s="203" t="s">
        <v>102</v>
      </c>
      <c r="BR60" s="244" t="str">
        <f>IF($BO60&lt;&gt;"",IF(IFERROR(VLOOKUP($BO60,#REF!,4,FALSE),"")=0,"",IFERROR(VLOOKUP($BO60,#REF!,4,FALSE),"")),"")</f>
        <v/>
      </c>
    </row>
    <row r="61" spans="23:70">
      <c r="W61" s="215"/>
      <c r="X61" s="215" t="s">
        <v>1407</v>
      </c>
      <c r="BA61" s="203" t="str">
        <f t="array" ref="BA61">IFERROR(INDEX($BB$2:$BB$250, MATCH(0, COUNTIF($BA$1:BA60,$BB$2:$BB$250&amp;"") + IF($BB$2:$BB$250="",1,0), 0)), "")</f>
        <v/>
      </c>
      <c r="BB61" s="203" t="s">
        <v>175</v>
      </c>
      <c r="BC61" s="203" t="s">
        <v>182</v>
      </c>
      <c r="BD61" s="203" t="s">
        <v>110</v>
      </c>
      <c r="BE61" s="203" t="s">
        <v>102</v>
      </c>
      <c r="BK61" s="203" t="s">
        <v>527</v>
      </c>
      <c r="BL61" s="203" t="s">
        <v>94</v>
      </c>
      <c r="BN61" s="203" t="s">
        <v>95</v>
      </c>
      <c r="BO61" s="203" t="s">
        <v>378</v>
      </c>
      <c r="BP61" s="203" t="s">
        <v>55</v>
      </c>
      <c r="BQ61" s="203" t="s">
        <v>102</v>
      </c>
      <c r="BR61" s="244" t="str">
        <f>IF($BO61&lt;&gt;"",IF(IFERROR(VLOOKUP($BO61,#REF!,4,FALSE),"")=0,"",IFERROR(VLOOKUP($BO61,#REF!,4,FALSE),"")),"")</f>
        <v/>
      </c>
    </row>
    <row r="62" spans="23:70">
      <c r="W62" s="215"/>
      <c r="X62" s="215" t="s">
        <v>1408</v>
      </c>
      <c r="BA62" s="203" t="str">
        <f t="array" ref="BA62">IFERROR(INDEX($BB$2:$BB$250, MATCH(0, COUNTIF($BA$1:BA61,$BB$2:$BB$250&amp;"") + IF($BB$2:$BB$250="",1,0), 0)), "")</f>
        <v/>
      </c>
      <c r="BB62" s="203" t="s">
        <v>188</v>
      </c>
      <c r="BC62" s="203" t="s">
        <v>189</v>
      </c>
      <c r="BD62" s="203" t="s">
        <v>110</v>
      </c>
      <c r="BE62" s="203" t="s">
        <v>102</v>
      </c>
      <c r="BK62" s="203" t="s">
        <v>530</v>
      </c>
      <c r="BL62" s="203" t="s">
        <v>94</v>
      </c>
      <c r="BN62" s="203" t="s">
        <v>95</v>
      </c>
      <c r="BO62" s="203" t="s">
        <v>384</v>
      </c>
      <c r="BP62" s="203" t="s">
        <v>55</v>
      </c>
      <c r="BQ62" s="203" t="s">
        <v>102</v>
      </c>
      <c r="BR62" s="244" t="str">
        <f>IF($BO62&lt;&gt;"",IF(IFERROR(VLOOKUP($BO62,#REF!,4,FALSE),"")=0,"",IFERROR(VLOOKUP($BO62,#REF!,4,FALSE),"")),"")</f>
        <v/>
      </c>
    </row>
    <row r="63" spans="23:70">
      <c r="W63" s="215"/>
      <c r="X63" s="215" t="s">
        <v>1409</v>
      </c>
      <c r="BA63" s="203" t="str">
        <f t="array" ref="BA63">IFERROR(INDEX($BB$2:$BB$250, MATCH(0, COUNTIF($BA$1:BA62,$BB$2:$BB$250&amp;"") + IF($BB$2:$BB$250="",1,0), 0)), "")</f>
        <v/>
      </c>
      <c r="BB63" s="203" t="s">
        <v>188</v>
      </c>
      <c r="BC63" s="203" t="s">
        <v>194</v>
      </c>
      <c r="BD63" s="203" t="s">
        <v>110</v>
      </c>
      <c r="BE63" s="203" t="s">
        <v>102</v>
      </c>
      <c r="BK63" s="203" t="s">
        <v>263</v>
      </c>
      <c r="BL63" s="203" t="s">
        <v>262</v>
      </c>
      <c r="BN63" s="203" t="s">
        <v>95</v>
      </c>
      <c r="BO63" s="203" t="s">
        <v>431</v>
      </c>
      <c r="BP63" s="203" t="s">
        <v>55</v>
      </c>
      <c r="BQ63" s="203" t="s">
        <v>102</v>
      </c>
      <c r="BR63" s="244" t="str">
        <f>IF($BO63&lt;&gt;"",IF(IFERROR(VLOOKUP($BO63,#REF!,4,FALSE),"")=0,"",IFERROR(VLOOKUP($BO63,#REF!,4,FALSE),"")),"")</f>
        <v/>
      </c>
    </row>
    <row r="64" spans="23:70">
      <c r="W64" s="215"/>
      <c r="X64" s="215" t="s">
        <v>1410</v>
      </c>
      <c r="BA64" s="203" t="str">
        <f t="array" ref="BA64">IFERROR(INDEX($BB$2:$BB$250, MATCH(0, COUNTIF($BA$1:BA63,$BB$2:$BB$250&amp;"") + IF($BB$2:$BB$250="",1,0), 0)), "")</f>
        <v/>
      </c>
      <c r="BB64" s="203" t="s">
        <v>199</v>
      </c>
      <c r="BC64" s="203" t="s">
        <v>200</v>
      </c>
      <c r="BD64" s="203" t="s">
        <v>110</v>
      </c>
      <c r="BE64" s="203" t="s">
        <v>102</v>
      </c>
      <c r="BK64" s="203" t="s">
        <v>269</v>
      </c>
      <c r="BL64" s="203" t="s">
        <v>262</v>
      </c>
      <c r="BN64" s="203" t="s">
        <v>268</v>
      </c>
      <c r="BO64" s="203" t="s">
        <v>269</v>
      </c>
      <c r="BP64" s="203" t="s">
        <v>147</v>
      </c>
      <c r="BQ64" s="203" t="s">
        <v>102</v>
      </c>
      <c r="BR64" s="244" t="str">
        <f>IF($BO64&lt;&gt;"",IF(IFERROR(VLOOKUP($BO64,#REF!,4,FALSE),"")=0,"",IFERROR(VLOOKUP($BO64,#REF!,4,FALSE),"")),"")</f>
        <v/>
      </c>
    </row>
    <row r="65" spans="23:70">
      <c r="W65" s="215"/>
      <c r="X65" s="215" t="s">
        <v>1411</v>
      </c>
      <c r="BA65" s="203" t="str">
        <f t="array" ref="BA65">IFERROR(INDEX($BB$2:$BB$250, MATCH(0, COUNTIF($BA$1:BA64,$BB$2:$BB$250&amp;"") + IF($BB$2:$BB$250="",1,0), 0)), "")</f>
        <v/>
      </c>
      <c r="BB65" s="203" t="s">
        <v>149</v>
      </c>
      <c r="BC65" s="203" t="s">
        <v>1253</v>
      </c>
      <c r="BD65" s="203" t="s">
        <v>43</v>
      </c>
      <c r="BE65" s="203" t="s">
        <v>46</v>
      </c>
      <c r="BK65" s="203" t="s">
        <v>276</v>
      </c>
      <c r="BL65" s="203" t="s">
        <v>262</v>
      </c>
      <c r="BN65" s="203" t="s">
        <v>268</v>
      </c>
      <c r="BO65" s="203" t="s">
        <v>276</v>
      </c>
      <c r="BP65" s="203" t="s">
        <v>147</v>
      </c>
      <c r="BQ65" s="203" t="s">
        <v>102</v>
      </c>
      <c r="BR65" s="244" t="str">
        <f>IF($BO65&lt;&gt;"",IF(IFERROR(VLOOKUP($BO65,#REF!,4,FALSE),"")=0,"",IFERROR(VLOOKUP($BO65,#REF!,4,FALSE),"")),"")</f>
        <v/>
      </c>
    </row>
    <row r="66" spans="23:70">
      <c r="W66" s="215"/>
      <c r="X66" s="215" t="s">
        <v>1412</v>
      </c>
      <c r="BA66" s="203" t="str">
        <f t="array" ref="BA66">IFERROR(INDEX($BB$2:$BB$250, MATCH(0, COUNTIF($BA$1:BA65,$BB$2:$BB$250&amp;"") + IF($BB$2:$BB$250="",1,0), 0)), "")</f>
        <v/>
      </c>
      <c r="BB66" s="203" t="s">
        <v>149</v>
      </c>
      <c r="BC66" s="203" t="s">
        <v>286</v>
      </c>
      <c r="BD66" s="203" t="s">
        <v>55</v>
      </c>
      <c r="BE66" s="203" t="s">
        <v>102</v>
      </c>
      <c r="BK66" s="203" t="s">
        <v>367</v>
      </c>
      <c r="BL66" s="203" t="s">
        <v>262</v>
      </c>
      <c r="BN66" s="203" t="s">
        <v>268</v>
      </c>
      <c r="BO66" s="203" t="s">
        <v>282</v>
      </c>
      <c r="BP66" s="203" t="s">
        <v>147</v>
      </c>
      <c r="BQ66" s="203" t="s">
        <v>102</v>
      </c>
      <c r="BR66" s="244" t="str">
        <f>IF($BO66&lt;&gt;"",IF(IFERROR(VLOOKUP($BO66,#REF!,4,FALSE),"")=0,"",IFERROR(VLOOKUP($BO66,#REF!,4,FALSE),"")),"")</f>
        <v/>
      </c>
    </row>
    <row r="67" spans="23:70">
      <c r="W67" s="215"/>
      <c r="X67" s="215" t="s">
        <v>1413</v>
      </c>
      <c r="BA67" s="203" t="str">
        <f t="array" ref="BA67">IFERROR(INDEX($BB$2:$BB$250, MATCH(0, COUNTIF($BA$1:BA66,$BB$2:$BB$250&amp;"") + IF($BB$2:$BB$250="",1,0), 0)), "")</f>
        <v/>
      </c>
      <c r="BB67" s="203" t="s">
        <v>149</v>
      </c>
      <c r="BC67" s="203" t="s">
        <v>291</v>
      </c>
      <c r="BD67" s="203" t="s">
        <v>147</v>
      </c>
      <c r="BE67" s="203" t="s">
        <v>102</v>
      </c>
      <c r="BK67" s="203" t="s">
        <v>372</v>
      </c>
      <c r="BL67" s="203" t="s">
        <v>262</v>
      </c>
      <c r="BN67" s="203" t="s">
        <v>206</v>
      </c>
      <c r="BO67" s="203" t="s">
        <v>207</v>
      </c>
      <c r="BP67" s="203" t="s">
        <v>110</v>
      </c>
      <c r="BQ67" s="203" t="s">
        <v>102</v>
      </c>
      <c r="BR67" s="244" t="str">
        <f>IF($BO67&lt;&gt;"",IF(IFERROR(VLOOKUP($BO67,#REF!,4,FALSE),"")=0,"",IFERROR(VLOOKUP($BO67,#REF!,4,FALSE),"")),"")</f>
        <v/>
      </c>
    </row>
    <row r="68" spans="23:70">
      <c r="W68" s="215"/>
      <c r="X68" s="215" t="s">
        <v>1414</v>
      </c>
      <c r="BA68" s="203" t="str">
        <f t="array" ref="BA68">IFERROR(INDEX($BB$2:$BB$250, MATCH(0, COUNTIF($BA$1:BA67,$BB$2:$BB$250&amp;"") + IF($BB$2:$BB$250="",1,0), 0)), "")</f>
        <v/>
      </c>
      <c r="BB68" s="203" t="s">
        <v>149</v>
      </c>
      <c r="BC68" s="203" t="s">
        <v>308</v>
      </c>
      <c r="BD68" s="203" t="s">
        <v>43</v>
      </c>
      <c r="BE68" s="203" t="s">
        <v>46</v>
      </c>
      <c r="BK68" s="203" t="s">
        <v>375</v>
      </c>
      <c r="BL68" s="203" t="s">
        <v>262</v>
      </c>
      <c r="BN68" s="203" t="s">
        <v>206</v>
      </c>
      <c r="BO68" s="203" t="s">
        <v>213</v>
      </c>
      <c r="BP68" s="203" t="s">
        <v>110</v>
      </c>
      <c r="BQ68" s="203" t="s">
        <v>102</v>
      </c>
      <c r="BR68" s="244" t="str">
        <f>IF($BO68&lt;&gt;"",IF(IFERROR(VLOOKUP($BO68,#REF!,4,FALSE),"")=0,"",IFERROR(VLOOKUP($BO68,#REF!,4,FALSE),"")),"")</f>
        <v/>
      </c>
    </row>
    <row r="69" spans="23:70">
      <c r="W69" s="215"/>
      <c r="X69" s="215" t="s">
        <v>1415</v>
      </c>
      <c r="BA69" s="203" t="str">
        <f t="array" ref="BA69">IFERROR(INDEX($BB$2:$BB$250, MATCH(0, COUNTIF($BA$1:BA68,$BB$2:$BB$250&amp;"") + IF($BB$2:$BB$250="",1,0), 0)), "")</f>
        <v/>
      </c>
      <c r="BB69" s="203" t="s">
        <v>149</v>
      </c>
      <c r="BC69" s="203" t="s">
        <v>395</v>
      </c>
      <c r="BD69" s="203" t="s">
        <v>43</v>
      </c>
      <c r="BE69" s="203" t="s">
        <v>46</v>
      </c>
      <c r="BK69" s="203" t="s">
        <v>378</v>
      </c>
      <c r="BL69" s="203" t="s">
        <v>262</v>
      </c>
      <c r="BN69" s="203" t="s">
        <v>206</v>
      </c>
      <c r="BO69" s="203" t="s">
        <v>216</v>
      </c>
      <c r="BP69" s="203" t="s">
        <v>110</v>
      </c>
      <c r="BQ69" s="203" t="s">
        <v>102</v>
      </c>
      <c r="BR69" s="244" t="str">
        <f>IF($BO69&lt;&gt;"",IF(IFERROR(VLOOKUP($BO69,#REF!,4,FALSE),"")=0,"",IFERROR(VLOOKUP($BO69,#REF!,4,FALSE),"")),"")</f>
        <v/>
      </c>
    </row>
    <row r="70" spans="23:70">
      <c r="W70" s="215"/>
      <c r="X70" s="215" t="s">
        <v>1416</v>
      </c>
      <c r="BA70" s="203" t="str">
        <f t="array" ref="BA70">IFERROR(INDEX($BB$2:$BB$250, MATCH(0, COUNTIF($BA$1:BA69,$BB$2:$BB$250&amp;"") + IF($BB$2:$BB$250="",1,0), 0)), "")</f>
        <v/>
      </c>
      <c r="BB70" s="203" t="s">
        <v>149</v>
      </c>
      <c r="BC70" s="203" t="s">
        <v>409</v>
      </c>
      <c r="BD70" s="203" t="s">
        <v>147</v>
      </c>
      <c r="BE70" s="203" t="s">
        <v>46</v>
      </c>
      <c r="BK70" s="203" t="s">
        <v>381</v>
      </c>
      <c r="BL70" s="203" t="s">
        <v>262</v>
      </c>
      <c r="BN70" s="203" t="s">
        <v>206</v>
      </c>
      <c r="BO70" s="203" t="s">
        <v>220</v>
      </c>
      <c r="BP70" s="203" t="s">
        <v>110</v>
      </c>
      <c r="BQ70" s="203" t="s">
        <v>102</v>
      </c>
      <c r="BR70" s="244" t="str">
        <f>IF($BO70&lt;&gt;"",IF(IFERROR(VLOOKUP($BO70,#REF!,4,FALSE),"")=0,"",IFERROR(VLOOKUP($BO70,#REF!,4,FALSE),"")),"")</f>
        <v/>
      </c>
    </row>
    <row r="71" spans="23:70">
      <c r="W71" s="215"/>
      <c r="X71" s="215" t="s">
        <v>1417</v>
      </c>
      <c r="BA71" s="203" t="str">
        <f t="array" ref="BA71">IFERROR(INDEX($BB$2:$BB$250, MATCH(0, COUNTIF($BA$1:BA70,$BB$2:$BB$250&amp;"") + IF($BB$2:$BB$250="",1,0), 0)), "")</f>
        <v/>
      </c>
      <c r="BB71" s="203" t="s">
        <v>149</v>
      </c>
      <c r="BC71" s="203" t="s">
        <v>505</v>
      </c>
      <c r="BD71" s="203" t="s">
        <v>55</v>
      </c>
      <c r="BE71" s="203" t="s">
        <v>102</v>
      </c>
      <c r="BK71" s="203" t="s">
        <v>387</v>
      </c>
      <c r="BL71" s="203" t="s">
        <v>262</v>
      </c>
      <c r="BN71" s="203" t="s">
        <v>206</v>
      </c>
      <c r="BO71" s="203" t="s">
        <v>223</v>
      </c>
      <c r="BP71" s="203" t="s">
        <v>110</v>
      </c>
      <c r="BQ71" s="203" t="s">
        <v>102</v>
      </c>
      <c r="BR71" s="244" t="str">
        <f>IF($BO71&lt;&gt;"",IF(IFERROR(VLOOKUP($BO71,#REF!,4,FALSE),"")=0,"",IFERROR(VLOOKUP($BO71,#REF!,4,FALSE),"")),"")</f>
        <v/>
      </c>
    </row>
    <row r="72" spans="23:70">
      <c r="W72" s="215"/>
      <c r="X72" s="215" t="s">
        <v>1418</v>
      </c>
      <c r="BA72" s="203" t="str">
        <f t="array" ref="BA72">IFERROR(INDEX($BB$2:$BB$250, MATCH(0, COUNTIF($BA$1:BA71,$BB$2:$BB$250&amp;"") + IF($BB$2:$BB$250="",1,0), 0)), "")</f>
        <v/>
      </c>
      <c r="BB72" s="203" t="s">
        <v>149</v>
      </c>
      <c r="BC72" s="203" t="s">
        <v>511</v>
      </c>
      <c r="BD72" s="203" t="s">
        <v>55</v>
      </c>
      <c r="BE72" s="203" t="s">
        <v>102</v>
      </c>
      <c r="BK72" s="203" t="s">
        <v>207</v>
      </c>
      <c r="BL72" s="203" t="s">
        <v>205</v>
      </c>
      <c r="BN72" s="203" t="s">
        <v>175</v>
      </c>
      <c r="BO72" s="203" t="s">
        <v>176</v>
      </c>
      <c r="BP72" s="203" t="s">
        <v>110</v>
      </c>
      <c r="BQ72" s="203" t="s">
        <v>102</v>
      </c>
      <c r="BR72" s="244" t="str">
        <f>IF($BO72&lt;&gt;"",IF(IFERROR(VLOOKUP($BO72,#REF!,4,FALSE),"")=0,"",IFERROR(VLOOKUP($BO72,#REF!,4,FALSE),"")),"")</f>
        <v/>
      </c>
    </row>
    <row r="73" spans="23:70">
      <c r="W73" s="215"/>
      <c r="X73" s="215" t="s">
        <v>1419</v>
      </c>
      <c r="BA73" s="203" t="str">
        <f t="array" ref="BA73">IFERROR(INDEX($BB$2:$BB$250, MATCH(0, COUNTIF($BA$1:BA72,$BB$2:$BB$250&amp;"") + IF($BB$2:$BB$250="",1,0), 0)), "")</f>
        <v/>
      </c>
      <c r="BB73" s="203" t="s">
        <v>149</v>
      </c>
      <c r="BC73" s="203" t="s">
        <v>515</v>
      </c>
      <c r="BD73" s="203" t="s">
        <v>147</v>
      </c>
      <c r="BE73" s="203" t="s">
        <v>102</v>
      </c>
      <c r="BK73" s="203" t="s">
        <v>213</v>
      </c>
      <c r="BL73" s="203" t="s">
        <v>205</v>
      </c>
      <c r="BN73" s="203" t="s">
        <v>175</v>
      </c>
      <c r="BO73" s="203" t="s">
        <v>182</v>
      </c>
      <c r="BP73" s="203" t="s">
        <v>110</v>
      </c>
      <c r="BQ73" s="203" t="s">
        <v>102</v>
      </c>
      <c r="BR73" s="244" t="str">
        <f>IF($BO73&lt;&gt;"",IF(IFERROR(VLOOKUP($BO73,#REF!,4,FALSE),"")=0,"",IFERROR(VLOOKUP($BO73,#REF!,4,FALSE),"")),"")</f>
        <v/>
      </c>
    </row>
    <row r="74" spans="23:70">
      <c r="W74" s="215"/>
      <c r="X74" s="215" t="s">
        <v>1420</v>
      </c>
      <c r="BA74" s="203" t="str">
        <f t="array" ref="BA74">IFERROR(INDEX($BB$2:$BB$250, MATCH(0, COUNTIF($BA$1:BA73,$BB$2:$BB$250&amp;"") + IF($BB$2:$BB$250="",1,0), 0)), "")</f>
        <v/>
      </c>
      <c r="BB74" s="203" t="s">
        <v>87</v>
      </c>
      <c r="BC74" s="203" t="s">
        <v>88</v>
      </c>
      <c r="BD74" s="203" t="s">
        <v>43</v>
      </c>
      <c r="BE74" s="203" t="s">
        <v>28</v>
      </c>
      <c r="BK74" s="203" t="s">
        <v>216</v>
      </c>
      <c r="BL74" s="203" t="s">
        <v>205</v>
      </c>
      <c r="BN74" s="203" t="s">
        <v>188</v>
      </c>
      <c r="BO74" s="203" t="s">
        <v>189</v>
      </c>
      <c r="BP74" s="203" t="s">
        <v>110</v>
      </c>
      <c r="BQ74" s="203" t="s">
        <v>102</v>
      </c>
      <c r="BR74" s="244" t="str">
        <f>IF($BO74&lt;&gt;"",IF(IFERROR(VLOOKUP($BO74,#REF!,4,FALSE),"")=0,"",IFERROR(VLOOKUP($BO74,#REF!,4,FALSE),"")),"")</f>
        <v/>
      </c>
    </row>
    <row r="75" spans="23:70">
      <c r="W75" s="215"/>
      <c r="X75" s="215" t="s">
        <v>1421</v>
      </c>
      <c r="BA75" s="203" t="str">
        <f t="array" ref="BA75">IFERROR(INDEX($BB$2:$BB$250, MATCH(0, COUNTIF($BA$1:BA74,$BB$2:$BB$250&amp;"") + IF($BB$2:$BB$250="",1,0), 0)), "")</f>
        <v/>
      </c>
      <c r="BB75" s="203" t="s">
        <v>140</v>
      </c>
      <c r="BC75" s="203" t="s">
        <v>246</v>
      </c>
      <c r="BD75" s="203" t="s">
        <v>147</v>
      </c>
      <c r="BE75" s="203" t="s">
        <v>46</v>
      </c>
      <c r="BK75" s="203" t="s">
        <v>220</v>
      </c>
      <c r="BL75" s="203" t="s">
        <v>205</v>
      </c>
      <c r="BN75" s="203" t="s">
        <v>188</v>
      </c>
      <c r="BO75" s="203" t="s">
        <v>194</v>
      </c>
      <c r="BP75" s="203" t="s">
        <v>110</v>
      </c>
      <c r="BQ75" s="203" t="s">
        <v>102</v>
      </c>
      <c r="BR75" s="244" t="str">
        <f>IF($BO75&lt;&gt;"",IF(IFERROR(VLOOKUP($BO75,#REF!,4,FALSE),"")=0,"",IFERROR(VLOOKUP($BO75,#REF!,4,FALSE),"")),"")</f>
        <v/>
      </c>
    </row>
    <row r="76" spans="23:70">
      <c r="W76" s="215"/>
      <c r="X76" s="215" t="s">
        <v>1422</v>
      </c>
      <c r="BA76" s="203" t="str">
        <f t="array" ref="BA76">IFERROR(INDEX($BB$2:$BB$250, MATCH(0, COUNTIF($BA$1:BA75,$BB$2:$BB$250&amp;"") + IF($BB$2:$BB$250="",1,0), 0)), "")</f>
        <v/>
      </c>
      <c r="BB76" s="203" t="s">
        <v>140</v>
      </c>
      <c r="BC76" s="203" t="s">
        <v>253</v>
      </c>
      <c r="BD76" s="203" t="s">
        <v>110</v>
      </c>
      <c r="BE76" s="203" t="s">
        <v>46</v>
      </c>
      <c r="BK76" s="203" t="s">
        <v>223</v>
      </c>
      <c r="BL76" s="203" t="s">
        <v>205</v>
      </c>
      <c r="BN76" s="203" t="s">
        <v>199</v>
      </c>
      <c r="BO76" s="203" t="s">
        <v>200</v>
      </c>
      <c r="BP76" s="203" t="s">
        <v>110</v>
      </c>
      <c r="BQ76" s="203" t="s">
        <v>102</v>
      </c>
      <c r="BR76" s="244" t="str">
        <f>IF($BO76&lt;&gt;"",IF(IFERROR(VLOOKUP($BO76,#REF!,4,FALSE),"")=0,"",IFERROR(VLOOKUP($BO76,#REF!,4,FALSE),"")),"")</f>
        <v/>
      </c>
    </row>
    <row r="77" spans="23:70">
      <c r="W77" s="215"/>
      <c r="X77" s="215" t="s">
        <v>1423</v>
      </c>
      <c r="BA77" s="203" t="str">
        <f t="array" ref="BA77">IFERROR(INDEX($BB$2:$BB$250, MATCH(0, COUNTIF($BA$1:BA76,$BB$2:$BB$250&amp;"") + IF($BB$2:$BB$250="",1,0), 0)), "")</f>
        <v/>
      </c>
      <c r="BB77" s="203" t="s">
        <v>140</v>
      </c>
      <c r="BC77" s="203" t="s">
        <v>257</v>
      </c>
      <c r="BD77" s="203" t="s">
        <v>147</v>
      </c>
      <c r="BE77" s="203" t="s">
        <v>46</v>
      </c>
      <c r="BK77" s="203" t="s">
        <v>176</v>
      </c>
      <c r="BL77" s="203" t="s">
        <v>174</v>
      </c>
      <c r="BN77" s="203" t="s">
        <v>149</v>
      </c>
      <c r="BO77" s="203" t="s">
        <v>286</v>
      </c>
      <c r="BP77" s="203" t="s">
        <v>55</v>
      </c>
      <c r="BQ77" s="203" t="s">
        <v>102</v>
      </c>
      <c r="BR77" s="244" t="str">
        <f>IF($BO77&lt;&gt;"",IF(IFERROR(VLOOKUP($BO77,#REF!,4,FALSE),"")=0,"",IFERROR(VLOOKUP($BO77,#REF!,4,FALSE),"")),"")</f>
        <v/>
      </c>
    </row>
    <row r="78" spans="23:70">
      <c r="W78" s="215"/>
      <c r="X78" s="215" t="s">
        <v>1424</v>
      </c>
      <c r="BA78" s="203" t="str">
        <f t="array" ref="BA78">IFERROR(INDEX($BB$2:$BB$250, MATCH(0, COUNTIF($BA$1:BA77,$BB$2:$BB$250&amp;"") + IF($BB$2:$BB$250="",1,0), 0)), "")</f>
        <v/>
      </c>
      <c r="BB78" s="203" t="s">
        <v>140</v>
      </c>
      <c r="BC78" s="203" t="s">
        <v>296</v>
      </c>
      <c r="BD78" s="203" t="s">
        <v>43</v>
      </c>
      <c r="BE78" s="203" t="s">
        <v>46</v>
      </c>
      <c r="BK78" s="203" t="s">
        <v>182</v>
      </c>
      <c r="BL78" s="203" t="s">
        <v>174</v>
      </c>
      <c r="BN78" s="203" t="s">
        <v>149</v>
      </c>
      <c r="BO78" s="203" t="s">
        <v>291</v>
      </c>
      <c r="BP78" s="203" t="s">
        <v>147</v>
      </c>
      <c r="BQ78" s="203" t="s">
        <v>102</v>
      </c>
      <c r="BR78" s="244" t="str">
        <f>IF($BO78&lt;&gt;"",IF(IFERROR(VLOOKUP($BO78,#REF!,4,FALSE),"")=0,"",IFERROR(VLOOKUP($BO78,#REF!,4,FALSE),"")),"")</f>
        <v/>
      </c>
    </row>
    <row r="79" spans="23:70">
      <c r="W79" s="215"/>
      <c r="X79" s="215" t="s">
        <v>1425</v>
      </c>
      <c r="BA79" s="203" t="str">
        <f t="array" ref="BA79">IFERROR(INDEX($BB$2:$BB$250, MATCH(0, COUNTIF($BA$1:BA78,$BB$2:$BB$250&amp;"") + IF($BB$2:$BB$250="",1,0), 0)), "")</f>
        <v/>
      </c>
      <c r="BB79" s="203" t="s">
        <v>140</v>
      </c>
      <c r="BC79" s="203" t="s">
        <v>300</v>
      </c>
      <c r="BD79" s="203" t="s">
        <v>55</v>
      </c>
      <c r="BE79" s="203" t="s">
        <v>46</v>
      </c>
      <c r="BK79" s="203" t="s">
        <v>189</v>
      </c>
      <c r="BL79" s="203" t="s">
        <v>187</v>
      </c>
      <c r="BN79" s="203" t="s">
        <v>149</v>
      </c>
      <c r="BO79" s="203" t="s">
        <v>505</v>
      </c>
      <c r="BP79" s="203" t="s">
        <v>55</v>
      </c>
      <c r="BQ79" s="203" t="s">
        <v>102</v>
      </c>
      <c r="BR79" s="244" t="str">
        <f>IF($BO79&lt;&gt;"",IF(IFERROR(VLOOKUP($BO79,#REF!,4,FALSE),"")=0,"",IFERROR(VLOOKUP($BO79,#REF!,4,FALSE),"")),"")</f>
        <v/>
      </c>
    </row>
    <row r="80" spans="23:70">
      <c r="W80" s="215"/>
      <c r="X80" s="215" t="s">
        <v>1426</v>
      </c>
      <c r="BA80" s="203" t="str">
        <f t="array" ref="BA80">IFERROR(INDEX($BB$2:$BB$250, MATCH(0, COUNTIF($BA$1:BA79,$BB$2:$BB$250&amp;"") + IF($BB$2:$BB$250="",1,0), 0)), "")</f>
        <v/>
      </c>
      <c r="BB80" s="203" t="s">
        <v>140</v>
      </c>
      <c r="BC80" s="203" t="s">
        <v>390</v>
      </c>
      <c r="BD80" s="203" t="s">
        <v>43</v>
      </c>
      <c r="BE80" s="203" t="s">
        <v>46</v>
      </c>
      <c r="BK80" s="203" t="s">
        <v>194</v>
      </c>
      <c r="BL80" s="203" t="s">
        <v>187</v>
      </c>
      <c r="BN80" s="203" t="s">
        <v>149</v>
      </c>
      <c r="BO80" s="203" t="s">
        <v>511</v>
      </c>
      <c r="BP80" s="203" t="s">
        <v>55</v>
      </c>
      <c r="BQ80" s="203" t="s">
        <v>102</v>
      </c>
      <c r="BR80" s="244" t="str">
        <f>IF($BO80&lt;&gt;"",IF(IFERROR(VLOOKUP($BO80,#REF!,4,FALSE),"")=0,"",IFERROR(VLOOKUP($BO80,#REF!,4,FALSE),"")),"")</f>
        <v/>
      </c>
    </row>
    <row r="81" spans="23:70">
      <c r="W81" s="215"/>
      <c r="X81" s="215" t="s">
        <v>1427</v>
      </c>
      <c r="BA81" s="203" t="str">
        <f t="array" ref="BA81">IFERROR(INDEX($BB$2:$BB$250, MATCH(0, COUNTIF($BA$1:BA80,$BB$2:$BB$250&amp;"") + IF($BB$2:$BB$250="",1,0), 0)), "")</f>
        <v/>
      </c>
      <c r="BB81" s="203" t="s">
        <v>140</v>
      </c>
      <c r="BC81" s="203" t="s">
        <v>399</v>
      </c>
      <c r="BD81" s="203" t="s">
        <v>147</v>
      </c>
      <c r="BE81" s="203" t="s">
        <v>46</v>
      </c>
      <c r="BK81" s="203" t="s">
        <v>200</v>
      </c>
      <c r="BL81" s="203" t="s">
        <v>198</v>
      </c>
      <c r="BN81" s="203" t="s">
        <v>149</v>
      </c>
      <c r="BO81" s="203" t="s">
        <v>515</v>
      </c>
      <c r="BP81" s="203" t="s">
        <v>147</v>
      </c>
      <c r="BQ81" s="203" t="s">
        <v>102</v>
      </c>
      <c r="BR81" s="244" t="str">
        <f>IF($BO81&lt;&gt;"",IF(IFERROR(VLOOKUP($BO81,#REF!,4,FALSE),"")=0,"",IFERROR(VLOOKUP($BO81,#REF!,4,FALSE),"")),"")</f>
        <v/>
      </c>
    </row>
    <row r="82" spans="23:70">
      <c r="W82" s="215"/>
      <c r="X82" s="215" t="s">
        <v>1428</v>
      </c>
      <c r="BA82" s="203" t="str">
        <f t="array" ref="BA82">IFERROR(INDEX($BB$2:$BB$250, MATCH(0, COUNTIF($BA$1:BA81,$BB$2:$BB$250&amp;"") + IF($BB$2:$BB$250="",1,0), 0)), "")</f>
        <v/>
      </c>
      <c r="BR82" s="244" t="str">
        <f>IF($BO82&lt;&gt;"",IF(IFERROR(VLOOKUP($BO82,#REF!,4,FALSE),"")=0,"",IFERROR(VLOOKUP($BO82,#REF!,4,FALSE),"")),"")</f>
        <v/>
      </c>
    </row>
    <row r="83" spans="23:70">
      <c r="W83" s="215"/>
      <c r="X83" s="215" t="s">
        <v>1429</v>
      </c>
      <c r="BA83" s="203" t="str">
        <f t="array" ref="BA83">IFERROR(INDEX($BB$2:$BB$250, MATCH(0, COUNTIF($BA$1:BA82,$BB$2:$BB$250&amp;"") + IF($BB$2:$BB$250="",1,0), 0)), "")</f>
        <v/>
      </c>
      <c r="BR83" s="244" t="str">
        <f>IF($BO83&lt;&gt;"",IF(IFERROR(VLOOKUP($BO83,#REF!,4,FALSE),"")=0,"",IFERROR(VLOOKUP($BO83,#REF!,4,FALSE),"")),"")</f>
        <v/>
      </c>
    </row>
    <row r="84" spans="23:70">
      <c r="W84" s="215"/>
      <c r="X84" s="215" t="s">
        <v>1430</v>
      </c>
      <c r="BA84" s="203" t="str">
        <f t="array" ref="BA84">IFERROR(INDEX($BB$2:$BB$250, MATCH(0, COUNTIF($BA$1:BA83,$BB$2:$BB$250&amp;"") + IF($BB$2:$BB$250="",1,0), 0)), "")</f>
        <v/>
      </c>
      <c r="BR84" s="244" t="str">
        <f>IF($BO84&lt;&gt;"",IF(IFERROR(VLOOKUP($BO84,#REF!,4,FALSE),"")=0,"",IFERROR(VLOOKUP($BO84,#REF!,4,FALSE),"")),"")</f>
        <v/>
      </c>
    </row>
    <row r="85" spans="23:70">
      <c r="W85" s="215"/>
      <c r="X85" s="215" t="s">
        <v>1431</v>
      </c>
      <c r="BA85" s="203" t="str">
        <f t="array" ref="BA85">IFERROR(INDEX($BB$2:$BB$250, MATCH(0, COUNTIF($BA$1:BA84,$BB$2:$BB$250&amp;"") + IF($BB$2:$BB$250="",1,0), 0)), "")</f>
        <v/>
      </c>
      <c r="BR85" s="244" t="str">
        <f>IF($BO85&lt;&gt;"",IF(IFERROR(VLOOKUP($BO85,#REF!,4,FALSE),"")=0,"",IFERROR(VLOOKUP($BO85,#REF!,4,FALSE),"")),"")</f>
        <v/>
      </c>
    </row>
    <row r="86" spans="23:70">
      <c r="W86" s="215"/>
      <c r="X86" s="215" t="s">
        <v>1432</v>
      </c>
      <c r="BA86" s="203" t="str">
        <f t="array" ref="BA86">IFERROR(INDEX($BB$2:$BB$250, MATCH(0, COUNTIF($BA$1:BA85,$BB$2:$BB$250&amp;"") + IF($BB$2:$BB$250="",1,0), 0)), "")</f>
        <v/>
      </c>
      <c r="BR86" s="244" t="str">
        <f>IF($BO86&lt;&gt;"",IF(IFERROR(VLOOKUP($BO86,#REF!,4,FALSE),"")=0,"",IFERROR(VLOOKUP($BO86,#REF!,4,FALSE),"")),"")</f>
        <v/>
      </c>
    </row>
    <row r="87" spans="23:70">
      <c r="W87" s="215"/>
      <c r="X87" s="215" t="s">
        <v>1433</v>
      </c>
      <c r="BA87" s="203" t="str">
        <f t="array" ref="BA87">IFERROR(INDEX($BB$2:$BB$250, MATCH(0, COUNTIF($BA$1:BA86,$BB$2:$BB$250&amp;"") + IF($BB$2:$BB$250="",1,0), 0)), "")</f>
        <v/>
      </c>
      <c r="BR87" s="244" t="str">
        <f>IF($BO87&lt;&gt;"",IF(IFERROR(VLOOKUP($BO87,#REF!,4,FALSE),"")=0,"",IFERROR(VLOOKUP($BO87,#REF!,4,FALSE),"")),"")</f>
        <v/>
      </c>
    </row>
    <row r="88" spans="23:70">
      <c r="W88" s="215"/>
      <c r="X88" s="215" t="s">
        <v>1434</v>
      </c>
      <c r="BA88" s="203" t="str">
        <f t="array" ref="BA88">IFERROR(INDEX($BB$2:$BB$250, MATCH(0, COUNTIF($BA$1:BA87,$BB$2:$BB$250&amp;"") + IF($BB$2:$BB$250="",1,0), 0)), "")</f>
        <v/>
      </c>
      <c r="BR88" s="244" t="str">
        <f>IF($BO88&lt;&gt;"",IF(IFERROR(VLOOKUP($BO88,#REF!,4,FALSE),"")=0,"",IFERROR(VLOOKUP($BO88,#REF!,4,FALSE),"")),"")</f>
        <v/>
      </c>
    </row>
    <row r="89" spans="23:70">
      <c r="W89" s="215"/>
      <c r="X89" s="215" t="s">
        <v>1435</v>
      </c>
      <c r="BA89" s="203" t="str">
        <f t="array" ref="BA89">IFERROR(INDEX($BB$2:$BB$250, MATCH(0, COUNTIF($BA$1:BA88,$BB$2:$BB$250&amp;"") + IF($BB$2:$BB$250="",1,0), 0)), "")</f>
        <v/>
      </c>
      <c r="BR89" s="244" t="str">
        <f>IF($BO89&lt;&gt;"",IF(IFERROR(VLOOKUP($BO89,#REF!,4,FALSE),"")=0,"",IFERROR(VLOOKUP($BO89,#REF!,4,FALSE),"")),"")</f>
        <v/>
      </c>
    </row>
    <row r="90" spans="23:70">
      <c r="W90" s="215"/>
      <c r="X90" s="215" t="s">
        <v>1436</v>
      </c>
      <c r="BA90" s="203" t="str">
        <f t="array" ref="BA90">IFERROR(INDEX($BB$2:$BB$250, MATCH(0, COUNTIF($BA$1:BA89,$BB$2:$BB$250&amp;"") + IF($BB$2:$BB$250="",1,0), 0)), "")</f>
        <v/>
      </c>
      <c r="BR90" s="244" t="str">
        <f>IF($BO90&lt;&gt;"",IF(IFERROR(VLOOKUP($BO90,#REF!,4,FALSE),"")=0,"",IFERROR(VLOOKUP($BO90,#REF!,4,FALSE),"")),"")</f>
        <v/>
      </c>
    </row>
    <row r="91" spans="23:70">
      <c r="W91" s="215"/>
      <c r="X91" s="215" t="s">
        <v>1437</v>
      </c>
      <c r="BA91" s="203" t="str">
        <f t="array" ref="BA91">IFERROR(INDEX($BB$2:$BB$250, MATCH(0, COUNTIF($BA$1:BA90,$BB$2:$BB$250&amp;"") + IF($BB$2:$BB$250="",1,0), 0)), "")</f>
        <v/>
      </c>
      <c r="BR91" s="244" t="str">
        <f>IF($BO91&lt;&gt;"",IF(IFERROR(VLOOKUP($BO91,#REF!,4,FALSE),"")=0,"",IFERROR(VLOOKUP($BO91,#REF!,4,FALSE),"")),"")</f>
        <v/>
      </c>
    </row>
    <row r="92" spans="23:70">
      <c r="W92" s="215"/>
      <c r="X92" s="215" t="s">
        <v>1438</v>
      </c>
      <c r="BA92" s="203" t="str">
        <f t="array" ref="BA92">IFERROR(INDEX($BB$2:$BB$250, MATCH(0, COUNTIF($BA$1:BA91,$BB$2:$BB$250&amp;"") + IF($BB$2:$BB$250="",1,0), 0)), "")</f>
        <v/>
      </c>
      <c r="BR92" s="244" t="str">
        <f>IF($BO92&lt;&gt;"",IF(IFERROR(VLOOKUP($BO92,#REF!,4,FALSE),"")=0,"",IFERROR(VLOOKUP($BO92,#REF!,4,FALSE),"")),"")</f>
        <v/>
      </c>
    </row>
    <row r="93" spans="23:70">
      <c r="W93" s="215"/>
      <c r="X93" s="215" t="s">
        <v>1439</v>
      </c>
      <c r="BA93" s="203" t="str">
        <f t="array" ref="BA93">IFERROR(INDEX($BB$2:$BB$250, MATCH(0, COUNTIF($BA$1:BA92,$BB$2:$BB$250&amp;"") + IF($BB$2:$BB$250="",1,0), 0)), "")</f>
        <v/>
      </c>
      <c r="BR93" s="244" t="str">
        <f>IF($BO93&lt;&gt;"",IF(IFERROR(VLOOKUP($BO93,#REF!,4,FALSE),"")=0,"",IFERROR(VLOOKUP($BO93,#REF!,4,FALSE),"")),"")</f>
        <v/>
      </c>
    </row>
    <row r="94" spans="23:70">
      <c r="W94" s="215"/>
      <c r="X94" s="215" t="s">
        <v>1440</v>
      </c>
      <c r="BA94" s="203" t="str">
        <f t="array" ref="BA94">IFERROR(INDEX($BB$2:$BB$250, MATCH(0, COUNTIF($BA$1:BA93,$BB$2:$BB$250&amp;"") + IF($BB$2:$BB$250="",1,0), 0)), "")</f>
        <v/>
      </c>
      <c r="BR94" s="244" t="str">
        <f>IF($BO94&lt;&gt;"",IF(IFERROR(VLOOKUP($BO94,#REF!,4,FALSE),"")=0,"",IFERROR(VLOOKUP($BO94,#REF!,4,FALSE),"")),"")</f>
        <v/>
      </c>
    </row>
    <row r="95" spans="23:70">
      <c r="W95" s="215"/>
      <c r="X95" s="215" t="s">
        <v>1441</v>
      </c>
      <c r="BA95" s="203" t="str">
        <f t="array" ref="BA95">IFERROR(INDEX($BB$2:$BB$250, MATCH(0, COUNTIF($BA$1:BA94,$BB$2:$BB$250&amp;"") + IF($BB$2:$BB$250="",1,0), 0)), "")</f>
        <v/>
      </c>
      <c r="BR95" s="244" t="str">
        <f>IF($BO95&lt;&gt;"",IF(IFERROR(VLOOKUP($BO95,#REF!,4,FALSE),"")=0,"",IFERROR(VLOOKUP($BO95,#REF!,4,FALSE),"")),"")</f>
        <v/>
      </c>
    </row>
    <row r="96" spans="23:70">
      <c r="W96" s="215"/>
      <c r="X96" s="215" t="s">
        <v>1442</v>
      </c>
      <c r="BA96" s="203" t="str">
        <f t="array" ref="BA96">IFERROR(INDEX($BB$2:$BB$250, MATCH(0, COUNTIF($BA$1:BA95,$BB$2:$BB$250&amp;"") + IF($BB$2:$BB$250="",1,0), 0)), "")</f>
        <v/>
      </c>
      <c r="BR96" s="244" t="str">
        <f>IF($BO96&lt;&gt;"",IF(IFERROR(VLOOKUP($BO96,#REF!,4,FALSE),"")=0,"",IFERROR(VLOOKUP($BO96,#REF!,4,FALSE),"")),"")</f>
        <v/>
      </c>
    </row>
    <row r="97" spans="23:70">
      <c r="W97" s="215"/>
      <c r="X97" s="215" t="s">
        <v>1443</v>
      </c>
      <c r="BA97" s="203" t="str">
        <f t="array" ref="BA97">IFERROR(INDEX($BB$2:$BB$250, MATCH(0, COUNTIF($BA$1:BA96,$BB$2:$BB$250&amp;"") + IF($BB$2:$BB$250="",1,0), 0)), "")</f>
        <v/>
      </c>
      <c r="BR97" s="244" t="str">
        <f>IF($BO97&lt;&gt;"",IF(IFERROR(VLOOKUP($BO97,#REF!,4,FALSE),"")=0,"",IFERROR(VLOOKUP($BO97,#REF!,4,FALSE),"")),"")</f>
        <v/>
      </c>
    </row>
    <row r="98" spans="23:70">
      <c r="W98" s="215"/>
      <c r="X98" s="215" t="s">
        <v>1444</v>
      </c>
      <c r="BA98" s="203" t="str">
        <f t="array" ref="BA98">IFERROR(INDEX($BB$2:$BB$250, MATCH(0, COUNTIF($BA$1:BA97,$BB$2:$BB$250&amp;"") + IF($BB$2:$BB$250="",1,0), 0)), "")</f>
        <v/>
      </c>
      <c r="BR98" s="244" t="str">
        <f>IF($BO98&lt;&gt;"",IF(IFERROR(VLOOKUP($BO98,#REF!,4,FALSE),"")=0,"",IFERROR(VLOOKUP($BO98,#REF!,4,FALSE),"")),"")</f>
        <v/>
      </c>
    </row>
    <row r="99" spans="23:70">
      <c r="W99" s="215"/>
      <c r="X99" s="215" t="s">
        <v>1445</v>
      </c>
      <c r="BA99" s="203" t="str">
        <f t="array" ref="BA99">IFERROR(INDEX($BB$2:$BB$250, MATCH(0, COUNTIF($BA$1:BA98,$BB$2:$BB$250&amp;"") + IF($BB$2:$BB$250="",1,0), 0)), "")</f>
        <v/>
      </c>
      <c r="BR99" s="244" t="str">
        <f>IF($BO99&lt;&gt;"",IF(IFERROR(VLOOKUP($BO99,#REF!,4,FALSE),"")=0,"",IFERROR(VLOOKUP($BO99,#REF!,4,FALSE),"")),"")</f>
        <v/>
      </c>
    </row>
    <row r="100" spans="23:70">
      <c r="W100" s="215"/>
      <c r="X100" s="215" t="s">
        <v>1446</v>
      </c>
      <c r="BA100" s="203" t="str">
        <f t="array" ref="BA100">IFERROR(INDEX($BB$2:$BB$250, MATCH(0, COUNTIF($BA$1:BA99,$BB$2:$BB$250&amp;"") + IF($BB$2:$BB$250="",1,0), 0)), "")</f>
        <v/>
      </c>
      <c r="BR100" s="244" t="str">
        <f>IF($BO100&lt;&gt;"",IF(IFERROR(VLOOKUP($BO100,#REF!,4,FALSE),"")=0,"",IFERROR(VLOOKUP($BO100,#REF!,4,FALSE),"")),"")</f>
        <v/>
      </c>
    </row>
    <row r="101" spans="23:70">
      <c r="W101" s="215"/>
      <c r="X101" s="215" t="s">
        <v>1447</v>
      </c>
      <c r="BA101" s="203" t="str">
        <f t="array" ref="BA101">IFERROR(INDEX($BB$2:$BB$250, MATCH(0, COUNTIF($BA$1:BA100,$BB$2:$BB$250&amp;"") + IF($BB$2:$BB$250="",1,0), 0)), "")</f>
        <v/>
      </c>
      <c r="BR101" s="244" t="str">
        <f>IF($BO101&lt;&gt;"",IF(IFERROR(VLOOKUP($BO101,#REF!,4,FALSE),"")=0,"",IFERROR(VLOOKUP($BO101,#REF!,4,FALSE),"")),"")</f>
        <v/>
      </c>
    </row>
    <row r="102" spans="23:70">
      <c r="W102" s="215"/>
      <c r="X102" s="215" t="s">
        <v>1448</v>
      </c>
      <c r="BA102" s="203" t="str">
        <f t="array" ref="BA102">IFERROR(INDEX($BB$2:$BB$250, MATCH(0, COUNTIF($BA$1:BA101,$BB$2:$BB$250&amp;"") + IF($BB$2:$BB$250="",1,0), 0)), "")</f>
        <v/>
      </c>
      <c r="BR102" s="244" t="str">
        <f>IF($BO102&lt;&gt;"",IF(IFERROR(VLOOKUP($BO102,#REF!,4,FALSE),"")=0,"",IFERROR(VLOOKUP($BO102,#REF!,4,FALSE),"")),"")</f>
        <v/>
      </c>
    </row>
    <row r="103" spans="23:70">
      <c r="W103" s="215"/>
      <c r="X103" s="215" t="s">
        <v>1449</v>
      </c>
      <c r="BR103" s="244" t="str">
        <f>IF($BO103&lt;&gt;"",IF(IFERROR(VLOOKUP($BO103,#REF!,4,FALSE),"")=0,"",IFERROR(VLOOKUP($BO103,#REF!,4,FALSE),"")),"")</f>
        <v/>
      </c>
    </row>
    <row r="104" spans="23:70">
      <c r="W104" s="215"/>
      <c r="X104" s="215" t="s">
        <v>1450</v>
      </c>
      <c r="BR104" s="244" t="str">
        <f>IF($BO104&lt;&gt;"",IF(IFERROR(VLOOKUP($BO104,#REF!,4,FALSE),"")=0,"",IFERROR(VLOOKUP($BO104,#REF!,4,FALSE),"")),"")</f>
        <v/>
      </c>
    </row>
    <row r="105" spans="23:70">
      <c r="W105" s="215"/>
      <c r="X105" s="215" t="s">
        <v>1451</v>
      </c>
      <c r="BR105" s="244" t="str">
        <f>IF($BO105&lt;&gt;"",IF(IFERROR(VLOOKUP($BO105,#REF!,4,FALSE),"")=0,"",IFERROR(VLOOKUP($BO105,#REF!,4,FALSE),"")),"")</f>
        <v/>
      </c>
    </row>
    <row r="106" spans="23:70">
      <c r="W106" s="215"/>
      <c r="X106" s="215" t="s">
        <v>1452</v>
      </c>
      <c r="BR106" s="244" t="str">
        <f>IF($BO106&lt;&gt;"",IF(IFERROR(VLOOKUP($BO106,#REF!,4,FALSE),"")=0,"",IFERROR(VLOOKUP($BO106,#REF!,4,FALSE),"")),"")</f>
        <v/>
      </c>
    </row>
    <row r="107" spans="23:70">
      <c r="W107" s="215"/>
      <c r="X107" s="215" t="s">
        <v>1453</v>
      </c>
      <c r="BR107" s="244" t="str">
        <f>IF($BO107&lt;&gt;"",IF(IFERROR(VLOOKUP($BO107,#REF!,4,FALSE),"")=0,"",IFERROR(VLOOKUP($BO107,#REF!,4,FALSE),"")),"")</f>
        <v/>
      </c>
    </row>
    <row r="108" spans="23:70">
      <c r="W108" s="215"/>
      <c r="X108" s="215" t="s">
        <v>1454</v>
      </c>
      <c r="BR108" s="244" t="str">
        <f>IF($BO108&lt;&gt;"",IF(IFERROR(VLOOKUP($BO108,#REF!,4,FALSE),"")=0,"",IFERROR(VLOOKUP($BO108,#REF!,4,FALSE),"")),"")</f>
        <v/>
      </c>
    </row>
    <row r="109" spans="23:70">
      <c r="W109" s="215"/>
      <c r="X109" s="215" t="s">
        <v>1455</v>
      </c>
      <c r="BR109" s="244" t="str">
        <f>IF($BO109&lt;&gt;"",IF(IFERROR(VLOOKUP($BO109,#REF!,4,FALSE),"")=0,"",IFERROR(VLOOKUP($BO109,#REF!,4,FALSE),"")),"")</f>
        <v/>
      </c>
    </row>
    <row r="110" spans="23:70">
      <c r="W110" s="215"/>
      <c r="X110" s="215" t="s">
        <v>1456</v>
      </c>
      <c r="BR110" s="244" t="str">
        <f>IF($BO110&lt;&gt;"",IF(IFERROR(VLOOKUP($BO110,#REF!,4,FALSE),"")=0,"",IFERROR(VLOOKUP($BO110,#REF!,4,FALSE),"")),"")</f>
        <v/>
      </c>
    </row>
    <row r="111" spans="23:70">
      <c r="W111" s="215"/>
      <c r="X111" s="215" t="s">
        <v>1457</v>
      </c>
      <c r="BR111" s="244" t="str">
        <f>IF($BO111&lt;&gt;"",IF(IFERROR(VLOOKUP($BO111,#REF!,4,FALSE),"")=0,"",IFERROR(VLOOKUP($BO111,#REF!,4,FALSE),"")),"")</f>
        <v/>
      </c>
    </row>
    <row r="112" spans="23:70">
      <c r="W112" s="215"/>
      <c r="X112" s="215" t="s">
        <v>1458</v>
      </c>
      <c r="BR112" s="244" t="str">
        <f>IF($BO112&lt;&gt;"",IF(IFERROR(VLOOKUP($BO112,#REF!,4,FALSE),"")=0,"",IFERROR(VLOOKUP($BO112,#REF!,4,FALSE),"")),"")</f>
        <v/>
      </c>
    </row>
    <row r="113" spans="23:70">
      <c r="W113" s="215"/>
      <c r="X113" s="215" t="s">
        <v>1459</v>
      </c>
      <c r="BR113" s="244" t="str">
        <f>IF($BO113&lt;&gt;"",IF(IFERROR(VLOOKUP($BO113,#REF!,4,FALSE),"")=0,"",IFERROR(VLOOKUP($BO113,#REF!,4,FALSE),"")),"")</f>
        <v/>
      </c>
    </row>
    <row r="114" spans="23:70">
      <c r="W114" s="215"/>
      <c r="X114" s="215" t="s">
        <v>1460</v>
      </c>
      <c r="BR114" s="244" t="str">
        <f>IF($BO114&lt;&gt;"",IF(IFERROR(VLOOKUP($BO114,#REF!,4,FALSE),"")=0,"",IFERROR(VLOOKUP($BO114,#REF!,4,FALSE),"")),"")</f>
        <v/>
      </c>
    </row>
    <row r="115" spans="23:70">
      <c r="W115" s="215"/>
      <c r="X115" s="215" t="s">
        <v>1461</v>
      </c>
      <c r="BR115" s="244" t="str">
        <f>IF($BO115&lt;&gt;"",IF(IFERROR(VLOOKUP($BO115,#REF!,4,FALSE),"")=0,"",IFERROR(VLOOKUP($BO115,#REF!,4,FALSE),"")),"")</f>
        <v/>
      </c>
    </row>
    <row r="116" spans="23:70">
      <c r="W116" s="215"/>
      <c r="X116" s="215" t="s">
        <v>1462</v>
      </c>
      <c r="BR116" s="244" t="str">
        <f>IF($BO116&lt;&gt;"",IF(IFERROR(VLOOKUP($BO116,#REF!,4,FALSE),"")=0,"",IFERROR(VLOOKUP($BO116,#REF!,4,FALSE),"")),"")</f>
        <v/>
      </c>
    </row>
    <row r="117" spans="23:70">
      <c r="W117" s="215"/>
      <c r="X117" s="215" t="s">
        <v>1463</v>
      </c>
      <c r="BR117" s="244" t="str">
        <f>IF($BO117&lt;&gt;"",IF(IFERROR(VLOOKUP($BO117,#REF!,4,FALSE),"")=0,"",IFERROR(VLOOKUP($BO117,#REF!,4,FALSE),"")),"")</f>
        <v/>
      </c>
    </row>
    <row r="118" spans="23:70">
      <c r="W118" s="215"/>
      <c r="X118" s="215" t="s">
        <v>1464</v>
      </c>
      <c r="BR118" s="244" t="str">
        <f>IF($BO118&lt;&gt;"",IF(IFERROR(VLOOKUP($BO118,#REF!,4,FALSE),"")=0,"",IFERROR(VLOOKUP($BO118,#REF!,4,FALSE),"")),"")</f>
        <v/>
      </c>
    </row>
    <row r="119" spans="23:70">
      <c r="W119" s="215"/>
      <c r="X119" s="215" t="s">
        <v>1465</v>
      </c>
      <c r="BR119" s="244" t="str">
        <f>IF($BO119&lt;&gt;"",IF(IFERROR(VLOOKUP($BO119,#REF!,4,FALSE),"")=0,"",IFERROR(VLOOKUP($BO119,#REF!,4,FALSE),"")),"")</f>
        <v/>
      </c>
    </row>
    <row r="120" spans="23:70">
      <c r="W120" s="215"/>
      <c r="X120" s="215" t="s">
        <v>1466</v>
      </c>
      <c r="BR120" s="244" t="str">
        <f>IF($BO120&lt;&gt;"",IF(IFERROR(VLOOKUP($BO120,#REF!,4,FALSE),"")=0,"",IFERROR(VLOOKUP($BO120,#REF!,4,FALSE),"")),"")</f>
        <v/>
      </c>
    </row>
    <row r="121" spans="23:70">
      <c r="W121" s="215"/>
      <c r="X121" s="215" t="s">
        <v>1467</v>
      </c>
      <c r="BR121" s="244" t="str">
        <f>IF($BO121&lt;&gt;"",IF(IFERROR(VLOOKUP($BO121,#REF!,4,FALSE),"")=0,"",IFERROR(VLOOKUP($BO121,#REF!,4,FALSE),"")),"")</f>
        <v/>
      </c>
    </row>
    <row r="122" spans="23:70">
      <c r="W122" s="215"/>
      <c r="X122" s="215" t="s">
        <v>1468</v>
      </c>
      <c r="BR122" s="244" t="str">
        <f>IF($BO122&lt;&gt;"",IF(IFERROR(VLOOKUP($BO122,#REF!,4,FALSE),"")=0,"",IFERROR(VLOOKUP($BO122,#REF!,4,FALSE),"")),"")</f>
        <v/>
      </c>
    </row>
    <row r="123" spans="23:70">
      <c r="W123" s="215"/>
      <c r="X123" s="215" t="s">
        <v>1469</v>
      </c>
      <c r="BR123" s="244" t="str">
        <f>IF($BO123&lt;&gt;"",IF(IFERROR(VLOOKUP($BO123,#REF!,4,FALSE),"")=0,"",IFERROR(VLOOKUP($BO123,#REF!,4,FALSE),"")),"")</f>
        <v/>
      </c>
    </row>
    <row r="124" spans="23:70">
      <c r="W124" s="215"/>
      <c r="X124" s="215" t="s">
        <v>1470</v>
      </c>
      <c r="BR124" s="244" t="str">
        <f>IF($BO124&lt;&gt;"",IF(IFERROR(VLOOKUP($BO124,#REF!,4,FALSE),"")=0,"",IFERROR(VLOOKUP($BO124,#REF!,4,FALSE),"")),"")</f>
        <v/>
      </c>
    </row>
    <row r="125" spans="23:70">
      <c r="W125" s="215"/>
      <c r="X125" s="215" t="s">
        <v>1471</v>
      </c>
      <c r="BR125" s="244" t="str">
        <f>IF($BO125&lt;&gt;"",IF(IFERROR(VLOOKUP($BO125,#REF!,4,FALSE),"")=0,"",IFERROR(VLOOKUP($BO125,#REF!,4,FALSE),"")),"")</f>
        <v/>
      </c>
    </row>
    <row r="126" spans="23:70">
      <c r="W126" s="215"/>
      <c r="X126" s="215" t="s">
        <v>1472</v>
      </c>
      <c r="BR126" s="244" t="str">
        <f>IF($BO126&lt;&gt;"",IF(IFERROR(VLOOKUP($BO126,#REF!,4,FALSE),"")=0,"",IFERROR(VLOOKUP($BO126,#REF!,4,FALSE),"")),"")</f>
        <v/>
      </c>
    </row>
    <row r="127" spans="23:70">
      <c r="W127" s="215"/>
      <c r="X127" s="215" t="s">
        <v>1473</v>
      </c>
      <c r="BR127" s="244" t="str">
        <f>IF($BO127&lt;&gt;"",IF(IFERROR(VLOOKUP($BO127,#REF!,4,FALSE),"")=0,"",IFERROR(VLOOKUP($BO127,#REF!,4,FALSE),"")),"")</f>
        <v/>
      </c>
    </row>
    <row r="128" spans="23:70">
      <c r="W128" s="215"/>
      <c r="X128" s="215" t="s">
        <v>1474</v>
      </c>
      <c r="BR128" s="244" t="str">
        <f>IF($BO128&lt;&gt;"",IF(IFERROR(VLOOKUP($BO128,#REF!,4,FALSE),"")=0,"",IFERROR(VLOOKUP($BO128,#REF!,4,FALSE),"")),"")</f>
        <v/>
      </c>
    </row>
    <row r="129" spans="23:70">
      <c r="W129" s="215"/>
      <c r="X129" s="215" t="s">
        <v>1475</v>
      </c>
      <c r="BR129" s="244" t="str">
        <f>IF($BO129&lt;&gt;"",IF(IFERROR(VLOOKUP($BO129,#REF!,4,FALSE),"")=0,"",IFERROR(VLOOKUP($BO129,#REF!,4,FALSE),"")),"")</f>
        <v/>
      </c>
    </row>
    <row r="130" spans="23:70">
      <c r="W130" s="215"/>
      <c r="X130" s="215" t="s">
        <v>1476</v>
      </c>
      <c r="BR130" s="244" t="str">
        <f>IF($BO130&lt;&gt;"",IF(IFERROR(VLOOKUP($BO130,#REF!,4,FALSE),"")=0,"",IFERROR(VLOOKUP($BO130,#REF!,4,FALSE),"")),"")</f>
        <v/>
      </c>
    </row>
    <row r="131" spans="23:70">
      <c r="W131" s="215"/>
      <c r="X131" s="215" t="s">
        <v>1477</v>
      </c>
      <c r="BR131" s="244" t="str">
        <f>IF($BO131&lt;&gt;"",IF(IFERROR(VLOOKUP($BO131,#REF!,4,FALSE),"")=0,"",IFERROR(VLOOKUP($BO131,#REF!,4,FALSE),"")),"")</f>
        <v/>
      </c>
    </row>
    <row r="132" spans="23:70">
      <c r="W132" s="215"/>
      <c r="X132" s="215" t="s">
        <v>1478</v>
      </c>
      <c r="BR132" s="244" t="str">
        <f>IF($BO132&lt;&gt;"",IF(IFERROR(VLOOKUP($BO132,#REF!,4,FALSE),"")=0,"",IFERROR(VLOOKUP($BO132,#REF!,4,FALSE),"")),"")</f>
        <v/>
      </c>
    </row>
    <row r="133" spans="23:70">
      <c r="W133" s="215"/>
      <c r="X133" s="215" t="s">
        <v>1479</v>
      </c>
      <c r="BR133" s="244" t="str">
        <f>IF($BO133&lt;&gt;"",IF(IFERROR(VLOOKUP($BO133,#REF!,4,FALSE),"")=0,"",IFERROR(VLOOKUP($BO133,#REF!,4,FALSE),"")),"")</f>
        <v/>
      </c>
    </row>
    <row r="134" spans="23:70">
      <c r="W134" s="215"/>
      <c r="X134" s="215" t="s">
        <v>1480</v>
      </c>
      <c r="BR134" s="244" t="str">
        <f>IF($BO134&lt;&gt;"",IF(IFERROR(VLOOKUP($BO134,#REF!,4,FALSE),"")=0,"",IFERROR(VLOOKUP($BO134,#REF!,4,FALSE),"")),"")</f>
        <v/>
      </c>
    </row>
    <row r="135" spans="23:70">
      <c r="W135" s="215"/>
      <c r="X135" s="215" t="s">
        <v>1345</v>
      </c>
      <c r="BR135" s="244" t="str">
        <f>IF($BO135&lt;&gt;"",IF(IFERROR(VLOOKUP($BO135,#REF!,4,FALSE),"")=0,"",IFERROR(VLOOKUP($BO135,#REF!,4,FALSE),"")),"")</f>
        <v/>
      </c>
    </row>
    <row r="136" spans="23:70">
      <c r="W136" s="215"/>
      <c r="X136" s="215" t="s">
        <v>1481</v>
      </c>
      <c r="BR136" s="244" t="str">
        <f>IF($BO136&lt;&gt;"",IF(IFERROR(VLOOKUP($BO136,#REF!,4,FALSE),"")=0,"",IFERROR(VLOOKUP($BO136,#REF!,4,FALSE),"")),"")</f>
        <v/>
      </c>
    </row>
    <row r="137" spans="23:70">
      <c r="W137" s="215"/>
      <c r="X137" s="215" t="s">
        <v>1482</v>
      </c>
      <c r="BR137" s="244" t="str">
        <f>IF($BO137&lt;&gt;"",IF(IFERROR(VLOOKUP($BO137,#REF!,4,FALSE),"")=0,"",IFERROR(VLOOKUP($BO137,#REF!,4,FALSE),"")),"")</f>
        <v/>
      </c>
    </row>
    <row r="138" spans="23:70">
      <c r="W138" s="215"/>
      <c r="X138" s="215" t="s">
        <v>1483</v>
      </c>
      <c r="BR138" s="244" t="str">
        <f>IF($BO138&lt;&gt;"",IF(IFERROR(VLOOKUP($BO138,#REF!,4,FALSE),"")=0,"",IFERROR(VLOOKUP($BO138,#REF!,4,FALSE),"")),"")</f>
        <v/>
      </c>
    </row>
    <row r="139" spans="23:70">
      <c r="W139" s="215"/>
      <c r="X139" s="215" t="s">
        <v>1484</v>
      </c>
      <c r="BR139" s="244" t="str">
        <f>IF($BO139&lt;&gt;"",IF(IFERROR(VLOOKUP($BO139,#REF!,4,FALSE),"")=0,"",IFERROR(VLOOKUP($BO139,#REF!,4,FALSE),"")),"")</f>
        <v/>
      </c>
    </row>
    <row r="140" spans="23:70">
      <c r="W140" s="215"/>
      <c r="X140" s="215" t="s">
        <v>1485</v>
      </c>
      <c r="BR140" s="244" t="str">
        <f>IF($BO140&lt;&gt;"",IF(IFERROR(VLOOKUP($BO140,#REF!,4,FALSE),"")=0,"",IFERROR(VLOOKUP($BO140,#REF!,4,FALSE),"")),"")</f>
        <v/>
      </c>
    </row>
    <row r="141" spans="23:70">
      <c r="W141" s="215"/>
      <c r="X141" s="215" t="s">
        <v>1486</v>
      </c>
      <c r="BR141" s="244" t="str">
        <f>IF($BO141&lt;&gt;"",IF(IFERROR(VLOOKUP($BO141,#REF!,4,FALSE),"")=0,"",IFERROR(VLOOKUP($BO141,#REF!,4,FALSE),"")),"")</f>
        <v/>
      </c>
    </row>
    <row r="142" spans="23:70">
      <c r="W142" s="215"/>
      <c r="X142" s="215" t="s">
        <v>1487</v>
      </c>
      <c r="BR142" s="244" t="str">
        <f>IF($BO142&lt;&gt;"",IF(IFERROR(VLOOKUP($BO142,#REF!,4,FALSE),"")=0,"",IFERROR(VLOOKUP($BO142,#REF!,4,FALSE),"")),"")</f>
        <v/>
      </c>
    </row>
    <row r="143" spans="23:70">
      <c r="W143" s="215"/>
      <c r="X143" s="215" t="s">
        <v>1488</v>
      </c>
      <c r="BR143" s="244" t="str">
        <f>IF($BO143&lt;&gt;"",IF(IFERROR(VLOOKUP($BO143,#REF!,4,FALSE),"")=0,"",IFERROR(VLOOKUP($BO143,#REF!,4,FALSE),"")),"")</f>
        <v/>
      </c>
    </row>
    <row r="144" spans="23:70">
      <c r="W144" s="215"/>
      <c r="X144" s="215" t="s">
        <v>1489</v>
      </c>
      <c r="BR144" s="244" t="str">
        <f>IF($BO144&lt;&gt;"",IF(IFERROR(VLOOKUP($BO144,#REF!,4,FALSE),"")=0,"",IFERROR(VLOOKUP($BO144,#REF!,4,FALSE),"")),"")</f>
        <v/>
      </c>
    </row>
    <row r="145" spans="23:70">
      <c r="W145" s="215"/>
      <c r="X145" s="215" t="s">
        <v>1490</v>
      </c>
      <c r="BR145" s="244" t="str">
        <f>IF($BO145&lt;&gt;"",IF(IFERROR(VLOOKUP($BO145,#REF!,4,FALSE),"")=0,"",IFERROR(VLOOKUP($BO145,#REF!,4,FALSE),"")),"")</f>
        <v/>
      </c>
    </row>
    <row r="146" spans="23:70">
      <c r="W146" s="215"/>
      <c r="X146" s="215" t="s">
        <v>1491</v>
      </c>
      <c r="BR146" s="244" t="str">
        <f>IF($BO146&lt;&gt;"",IF(IFERROR(VLOOKUP($BO146,#REF!,4,FALSE),"")=0,"",IFERROR(VLOOKUP($BO146,#REF!,4,FALSE),"")),"")</f>
        <v/>
      </c>
    </row>
    <row r="147" spans="23:70">
      <c r="W147" s="215"/>
      <c r="X147" s="215" t="s">
        <v>1492</v>
      </c>
      <c r="BR147" s="244" t="str">
        <f>IF($BO147&lt;&gt;"",IF(IFERROR(VLOOKUP($BO147,#REF!,4,FALSE),"")=0,"",IFERROR(VLOOKUP($BO147,#REF!,4,FALSE),"")),"")</f>
        <v/>
      </c>
    </row>
    <row r="148" spans="23:70">
      <c r="W148" s="215"/>
      <c r="X148" s="215" t="s">
        <v>1493</v>
      </c>
      <c r="BR148" s="244" t="str">
        <f>IF($BO148&lt;&gt;"",IF(IFERROR(VLOOKUP($BO148,#REF!,4,FALSE),"")=0,"",IFERROR(VLOOKUP($BO148,#REF!,4,FALSE),"")),"")</f>
        <v/>
      </c>
    </row>
    <row r="149" spans="23:70">
      <c r="W149" s="215"/>
      <c r="X149" s="215" t="s">
        <v>1494</v>
      </c>
      <c r="BR149" s="244" t="str">
        <f>IF($BO149&lt;&gt;"",IF(IFERROR(VLOOKUP($BO149,#REF!,4,FALSE),"")=0,"",IFERROR(VLOOKUP($BO149,#REF!,4,FALSE),"")),"")</f>
        <v/>
      </c>
    </row>
    <row r="150" spans="23:70">
      <c r="W150" s="215"/>
      <c r="X150" s="215" t="s">
        <v>1495</v>
      </c>
      <c r="BR150" s="244" t="str">
        <f>IF($BO150&lt;&gt;"",IF(IFERROR(VLOOKUP($BO150,#REF!,4,FALSE),"")=0,"",IFERROR(VLOOKUP($BO150,#REF!,4,FALSE),"")),"")</f>
        <v/>
      </c>
    </row>
    <row r="151" spans="23:70">
      <c r="W151" s="215"/>
      <c r="X151" s="215" t="s">
        <v>1496</v>
      </c>
      <c r="BR151" s="244" t="str">
        <f>IF($BO151&lt;&gt;"",IF(IFERROR(VLOOKUP($BO151,#REF!,4,FALSE),"")=0,"",IFERROR(VLOOKUP($BO151,#REF!,4,FALSE),"")),"")</f>
        <v/>
      </c>
    </row>
    <row r="152" spans="23:70">
      <c r="W152" s="215"/>
      <c r="X152" s="215" t="s">
        <v>1497</v>
      </c>
      <c r="BR152" s="244" t="str">
        <f>IF($BO152&lt;&gt;"",IF(IFERROR(VLOOKUP($BO152,#REF!,4,FALSE),"")=0,"",IFERROR(VLOOKUP($BO152,#REF!,4,FALSE),"")),"")</f>
        <v/>
      </c>
    </row>
    <row r="153" spans="23:70">
      <c r="W153" s="215"/>
      <c r="X153" s="215" t="s">
        <v>1498</v>
      </c>
      <c r="BR153" s="244" t="str">
        <f>IF($BO153&lt;&gt;"",IF(IFERROR(VLOOKUP($BO153,#REF!,4,FALSE),"")=0,"",IFERROR(VLOOKUP($BO153,#REF!,4,FALSE),"")),"")</f>
        <v/>
      </c>
    </row>
    <row r="154" spans="23:70">
      <c r="W154" s="215"/>
      <c r="X154" s="215" t="s">
        <v>1499</v>
      </c>
      <c r="BR154" s="244" t="str">
        <f>IF($BO154&lt;&gt;"",IF(IFERROR(VLOOKUP($BO154,#REF!,4,FALSE),"")=0,"",IFERROR(VLOOKUP($BO154,#REF!,4,FALSE),"")),"")</f>
        <v/>
      </c>
    </row>
    <row r="155" spans="23:70">
      <c r="W155" s="215"/>
      <c r="X155" s="215" t="s">
        <v>1500</v>
      </c>
      <c r="BR155" s="244" t="str">
        <f>IF($BO155&lt;&gt;"",IF(IFERROR(VLOOKUP($BO155,#REF!,4,FALSE),"")=0,"",IFERROR(VLOOKUP($BO155,#REF!,4,FALSE),"")),"")</f>
        <v/>
      </c>
    </row>
    <row r="156" spans="23:70">
      <c r="W156" s="215"/>
      <c r="X156" s="215" t="s">
        <v>1501</v>
      </c>
      <c r="BR156" s="244" t="str">
        <f>IF($BO156&lt;&gt;"",IF(IFERROR(VLOOKUP($BO156,#REF!,4,FALSE),"")=0,"",IFERROR(VLOOKUP($BO156,#REF!,4,FALSE),"")),"")</f>
        <v/>
      </c>
    </row>
    <row r="157" spans="23:70">
      <c r="W157" s="215"/>
      <c r="X157" s="215" t="s">
        <v>1502</v>
      </c>
      <c r="BR157" s="244" t="str">
        <f>IF($BO157&lt;&gt;"",IF(IFERROR(VLOOKUP($BO157,#REF!,4,FALSE),"")=0,"",IFERROR(VLOOKUP($BO157,#REF!,4,FALSE),"")),"")</f>
        <v/>
      </c>
    </row>
    <row r="158" spans="23:70">
      <c r="W158" s="215"/>
      <c r="X158" s="215" t="s">
        <v>1503</v>
      </c>
      <c r="BR158" s="244" t="str">
        <f>IF($BO158&lt;&gt;"",IF(IFERROR(VLOOKUP($BO158,#REF!,4,FALSE),"")=0,"",IFERROR(VLOOKUP($BO158,#REF!,4,FALSE),"")),"")</f>
        <v/>
      </c>
    </row>
    <row r="159" spans="23:70">
      <c r="W159" s="215"/>
      <c r="X159" s="215" t="s">
        <v>1504</v>
      </c>
      <c r="BR159" s="244" t="str">
        <f>IF($BO159&lt;&gt;"",IF(IFERROR(VLOOKUP($BO159,#REF!,4,FALSE),"")=0,"",IFERROR(VLOOKUP($BO159,#REF!,4,FALSE),"")),"")</f>
        <v/>
      </c>
    </row>
    <row r="160" spans="23:70">
      <c r="W160" s="215"/>
      <c r="X160" s="215" t="s">
        <v>1505</v>
      </c>
      <c r="BR160" s="244" t="str">
        <f>IF($BO160&lt;&gt;"",IF(IFERROR(VLOOKUP($BO160,#REF!,4,FALSE),"")=0,"",IFERROR(VLOOKUP($BO160,#REF!,4,FALSE),"")),"")</f>
        <v/>
      </c>
    </row>
    <row r="161" spans="23:70">
      <c r="W161" s="215"/>
      <c r="X161" s="215" t="s">
        <v>1506</v>
      </c>
      <c r="BR161" s="244" t="str">
        <f>IF($BO161&lt;&gt;"",IF(IFERROR(VLOOKUP($BO161,#REF!,4,FALSE),"")=0,"",IFERROR(VLOOKUP($BO161,#REF!,4,FALSE),"")),"")</f>
        <v/>
      </c>
    </row>
    <row r="162" spans="23:70">
      <c r="W162" s="215"/>
      <c r="X162" s="215" t="s">
        <v>1507</v>
      </c>
      <c r="BR162" s="244" t="str">
        <f>IF($BO162&lt;&gt;"",IF(IFERROR(VLOOKUP($BO162,#REF!,4,FALSE),"")=0,"",IFERROR(VLOOKUP($BO162,#REF!,4,FALSE),"")),"")</f>
        <v/>
      </c>
    </row>
    <row r="163" spans="23:70">
      <c r="W163" s="215"/>
      <c r="X163" s="215" t="s">
        <v>1508</v>
      </c>
      <c r="BR163" s="244" t="str">
        <f>IF($BO163&lt;&gt;"",IF(IFERROR(VLOOKUP($BO163,#REF!,4,FALSE),"")=0,"",IFERROR(VLOOKUP($BO163,#REF!,4,FALSE),"")),"")</f>
        <v/>
      </c>
    </row>
    <row r="164" spans="23:70">
      <c r="W164" s="215"/>
      <c r="X164" s="215" t="s">
        <v>1509</v>
      </c>
      <c r="BR164" s="244" t="str">
        <f>IF($BO164&lt;&gt;"",IF(IFERROR(VLOOKUP($BO164,#REF!,4,FALSE),"")=0,"",IFERROR(VLOOKUP($BO164,#REF!,4,FALSE),"")),"")</f>
        <v/>
      </c>
    </row>
    <row r="165" spans="23:70">
      <c r="W165" s="215"/>
      <c r="X165" s="215" t="s">
        <v>1510</v>
      </c>
      <c r="BR165" s="244" t="str">
        <f>IF($BO165&lt;&gt;"",IF(IFERROR(VLOOKUP($BO165,#REF!,4,FALSE),"")=0,"",IFERROR(VLOOKUP($BO165,#REF!,4,FALSE),"")),"")</f>
        <v/>
      </c>
    </row>
    <row r="166" spans="23:70">
      <c r="W166" s="215"/>
      <c r="X166" s="215" t="s">
        <v>1511</v>
      </c>
      <c r="BR166" s="244" t="str">
        <f>IF($BO166&lt;&gt;"",IF(IFERROR(VLOOKUP($BO166,#REF!,4,FALSE),"")=0,"",IFERROR(VLOOKUP($BO166,#REF!,4,FALSE),"")),"")</f>
        <v/>
      </c>
    </row>
    <row r="167" spans="23:70">
      <c r="W167" s="215"/>
      <c r="X167" s="215" t="s">
        <v>1512</v>
      </c>
      <c r="BR167" s="244" t="str">
        <f>IF($BO167&lt;&gt;"",IF(IFERROR(VLOOKUP($BO167,#REF!,4,FALSE),"")=0,"",IFERROR(VLOOKUP($BO167,#REF!,4,FALSE),"")),"")</f>
        <v/>
      </c>
    </row>
    <row r="168" spans="23:70">
      <c r="W168" s="215"/>
      <c r="X168" s="215" t="s">
        <v>1513</v>
      </c>
      <c r="BR168" s="244" t="str">
        <f>IF($BO168&lt;&gt;"",IF(IFERROR(VLOOKUP($BO168,#REF!,4,FALSE),"")=0,"",IFERROR(VLOOKUP($BO168,#REF!,4,FALSE),"")),"")</f>
        <v/>
      </c>
    </row>
    <row r="169" spans="23:70">
      <c r="W169" s="215"/>
      <c r="X169" s="215" t="s">
        <v>1514</v>
      </c>
      <c r="BR169" s="244" t="str">
        <f>IF($BO169&lt;&gt;"",IF(IFERROR(VLOOKUP($BO169,#REF!,4,FALSE),"")=0,"",IFERROR(VLOOKUP($BO169,#REF!,4,FALSE),"")),"")</f>
        <v/>
      </c>
    </row>
    <row r="170" spans="23:70">
      <c r="W170" s="215"/>
      <c r="X170" s="215" t="s">
        <v>1515</v>
      </c>
      <c r="BR170" s="244" t="str">
        <f>IF($BO170&lt;&gt;"",IF(IFERROR(VLOOKUP($BO170,#REF!,4,FALSE),"")=0,"",IFERROR(VLOOKUP($BO170,#REF!,4,FALSE),"")),"")</f>
        <v/>
      </c>
    </row>
    <row r="171" spans="23:70">
      <c r="W171" s="215"/>
      <c r="X171" s="215" t="s">
        <v>1516</v>
      </c>
      <c r="BR171" s="244" t="str">
        <f>IF($BO171&lt;&gt;"",IF(IFERROR(VLOOKUP($BO171,#REF!,4,FALSE),"")=0,"",IFERROR(VLOOKUP($BO171,#REF!,4,FALSE),"")),"")</f>
        <v/>
      </c>
    </row>
    <row r="172" spans="23:70">
      <c r="W172" s="215"/>
      <c r="X172" s="215" t="s">
        <v>1517</v>
      </c>
      <c r="BR172" s="244" t="str">
        <f>IF($BO172&lt;&gt;"",IF(IFERROR(VLOOKUP($BO172,#REF!,4,FALSE),"")=0,"",IFERROR(VLOOKUP($BO172,#REF!,4,FALSE),"")),"")</f>
        <v/>
      </c>
    </row>
    <row r="173" spans="23:70">
      <c r="W173" s="215"/>
      <c r="X173" s="215" t="s">
        <v>1518</v>
      </c>
      <c r="BR173" s="244" t="str">
        <f>IF($BO173&lt;&gt;"",IF(IFERROR(VLOOKUP($BO173,#REF!,4,FALSE),"")=0,"",IFERROR(VLOOKUP($BO173,#REF!,4,FALSE),"")),"")</f>
        <v/>
      </c>
    </row>
    <row r="174" spans="23:70">
      <c r="W174" s="215"/>
      <c r="X174" s="215" t="s">
        <v>1519</v>
      </c>
      <c r="BR174" s="244" t="str">
        <f>IF($BO174&lt;&gt;"",IF(IFERROR(VLOOKUP($BO174,#REF!,4,FALSE),"")=0,"",IFERROR(VLOOKUP($BO174,#REF!,4,FALSE),"")),"")</f>
        <v/>
      </c>
    </row>
    <row r="175" spans="23:70">
      <c r="W175" s="215"/>
      <c r="X175" s="215" t="s">
        <v>1520</v>
      </c>
      <c r="BR175" s="244" t="str">
        <f>IF($BO175&lt;&gt;"",IF(IFERROR(VLOOKUP($BO175,#REF!,4,FALSE),"")=0,"",IFERROR(VLOOKUP($BO175,#REF!,4,FALSE),"")),"")</f>
        <v/>
      </c>
    </row>
    <row r="176" spans="23:70">
      <c r="W176" s="215"/>
      <c r="X176" s="215" t="s">
        <v>1521</v>
      </c>
      <c r="BR176" s="244" t="str">
        <f>IF($BO176&lt;&gt;"",IF(IFERROR(VLOOKUP($BO176,#REF!,4,FALSE),"")=0,"",IFERROR(VLOOKUP($BO176,#REF!,4,FALSE),"")),"")</f>
        <v/>
      </c>
    </row>
    <row r="177" spans="23:70">
      <c r="W177" s="215"/>
      <c r="X177" s="215" t="s">
        <v>1522</v>
      </c>
      <c r="BR177" s="244" t="str">
        <f>IF($BO177&lt;&gt;"",IF(IFERROR(VLOOKUP($BO177,#REF!,4,FALSE),"")=0,"",IFERROR(VLOOKUP($BO177,#REF!,4,FALSE),"")),"")</f>
        <v/>
      </c>
    </row>
    <row r="178" spans="23:70">
      <c r="W178" s="215"/>
      <c r="X178" s="215" t="s">
        <v>1523</v>
      </c>
      <c r="BR178" s="244" t="str">
        <f>IF($BO178&lt;&gt;"",IF(IFERROR(VLOOKUP($BO178,#REF!,4,FALSE),"")=0,"",IFERROR(VLOOKUP($BO178,#REF!,4,FALSE),"")),"")</f>
        <v/>
      </c>
    </row>
    <row r="179" spans="23:70">
      <c r="W179" s="215"/>
      <c r="X179" s="215" t="s">
        <v>1524</v>
      </c>
      <c r="BR179" s="244" t="str">
        <f>IF($BO179&lt;&gt;"",IF(IFERROR(VLOOKUP($BO179,#REF!,4,FALSE),"")=0,"",IFERROR(VLOOKUP($BO179,#REF!,4,FALSE),"")),"")</f>
        <v/>
      </c>
    </row>
    <row r="180" spans="23:70">
      <c r="W180" s="215"/>
      <c r="X180" s="215" t="s">
        <v>1525</v>
      </c>
      <c r="BR180" s="244" t="str">
        <f>IF($BO180&lt;&gt;"",IF(IFERROR(VLOOKUP($BO180,#REF!,4,FALSE),"")=0,"",IFERROR(VLOOKUP($BO180,#REF!,4,FALSE),"")),"")</f>
        <v/>
      </c>
    </row>
    <row r="181" spans="23:70">
      <c r="W181" s="215"/>
      <c r="X181" s="215" t="s">
        <v>1526</v>
      </c>
      <c r="BR181" s="244" t="str">
        <f>IF($BO181&lt;&gt;"",IF(IFERROR(VLOOKUP($BO181,#REF!,4,FALSE),"")=0,"",IFERROR(VLOOKUP($BO181,#REF!,4,FALSE),"")),"")</f>
        <v/>
      </c>
    </row>
    <row r="182" spans="23:70">
      <c r="W182" s="215"/>
      <c r="X182" s="215" t="s">
        <v>1527</v>
      </c>
      <c r="BR182" s="244" t="str">
        <f>IF($BO182&lt;&gt;"",IF(IFERROR(VLOOKUP($BO182,#REF!,4,FALSE),"")=0,"",IFERROR(VLOOKUP($BO182,#REF!,4,FALSE),"")),"")</f>
        <v/>
      </c>
    </row>
    <row r="183" spans="23:70">
      <c r="W183" s="215"/>
      <c r="X183" s="215" t="s">
        <v>1528</v>
      </c>
      <c r="BR183" s="244" t="str">
        <f>IF($BO183&lt;&gt;"",IF(IFERROR(VLOOKUP($BO183,#REF!,4,FALSE),"")=0,"",IFERROR(VLOOKUP($BO183,#REF!,4,FALSE),"")),"")</f>
        <v/>
      </c>
    </row>
    <row r="184" spans="23:70">
      <c r="W184" s="215"/>
      <c r="X184" s="215" t="s">
        <v>1529</v>
      </c>
      <c r="BR184" s="244" t="str">
        <f>IF($BO184&lt;&gt;"",IF(IFERROR(VLOOKUP($BO184,#REF!,4,FALSE),"")=0,"",IFERROR(VLOOKUP($BO184,#REF!,4,FALSE),"")),"")</f>
        <v/>
      </c>
    </row>
    <row r="185" spans="23:70">
      <c r="W185" s="215"/>
      <c r="X185" s="215"/>
      <c r="BR185" s="244" t="str">
        <f>IF($BO185&lt;&gt;"",IF(IFERROR(VLOOKUP($BO185,#REF!,4,FALSE),"")=0,"",IFERROR(VLOOKUP($BO185,#REF!,4,FALSE),"")),"")</f>
        <v/>
      </c>
    </row>
    <row r="186" spans="23:70">
      <c r="BR186" s="244" t="str">
        <f>IF($BO186&lt;&gt;"",IF(IFERROR(VLOOKUP($BO186,#REF!,4,FALSE),"")=0,"",IFERROR(VLOOKUP($BO186,#REF!,4,FALSE),"")),"")</f>
        <v/>
      </c>
    </row>
    <row r="187" spans="23:70">
      <c r="BR187" s="244" t="str">
        <f>IF($BO187&lt;&gt;"",IF(IFERROR(VLOOKUP($BO187,#REF!,4,FALSE),"")=0,"",IFERROR(VLOOKUP($BO187,#REF!,4,FALSE),"")),"")</f>
        <v/>
      </c>
    </row>
    <row r="188" spans="23:70">
      <c r="BR188" s="244" t="str">
        <f>IF($BO188&lt;&gt;"",IF(IFERROR(VLOOKUP($BO188,#REF!,4,FALSE),"")=0,"",IFERROR(VLOOKUP($BO188,#REF!,4,FALSE),"")),"")</f>
        <v/>
      </c>
    </row>
    <row r="189" spans="23:70">
      <c r="BR189" s="244" t="str">
        <f>IF($BO189&lt;&gt;"",IF(IFERROR(VLOOKUP($BO189,#REF!,4,FALSE),"")=0,"",IFERROR(VLOOKUP($BO189,#REF!,4,FALSE),"")),"")</f>
        <v/>
      </c>
    </row>
    <row r="190" spans="23:70">
      <c r="BR190" s="244" t="str">
        <f>IF($BO190&lt;&gt;"",IF(IFERROR(VLOOKUP($BO190,#REF!,4,FALSE),"")=0,"",IFERROR(VLOOKUP($BO190,#REF!,4,FALSE),"")),"")</f>
        <v/>
      </c>
    </row>
    <row r="191" spans="23:70">
      <c r="BR191" s="244" t="str">
        <f>IF($BO191&lt;&gt;"",IF(IFERROR(VLOOKUP($BO191,#REF!,4,FALSE),"")=0,"",IFERROR(VLOOKUP($BO191,#REF!,4,FALSE),"")),"")</f>
        <v/>
      </c>
    </row>
    <row r="192" spans="23:70">
      <c r="BR192" s="244" t="str">
        <f>IF($BO192&lt;&gt;"",IF(IFERROR(VLOOKUP($BO192,#REF!,4,FALSE),"")=0,"",IFERROR(VLOOKUP($BO192,#REF!,4,FALSE),"")),"")</f>
        <v/>
      </c>
    </row>
    <row r="193" spans="70:70">
      <c r="BR193" s="244" t="str">
        <f>IF($BO193&lt;&gt;"",IF(IFERROR(VLOOKUP($BO193,#REF!,4,FALSE),"")=0,"",IFERROR(VLOOKUP($BO193,#REF!,4,FALSE),"")),"")</f>
        <v/>
      </c>
    </row>
    <row r="194" spans="70:70">
      <c r="BR194" s="244" t="str">
        <f>IF($BO194&lt;&gt;"",IF(IFERROR(VLOOKUP($BO194,#REF!,4,FALSE),"")=0,"",IFERROR(VLOOKUP($BO194,#REF!,4,FALSE),"")),"")</f>
        <v/>
      </c>
    </row>
    <row r="195" spans="70:70">
      <c r="BR195" s="244" t="str">
        <f>IF($BO195&lt;&gt;"",IF(IFERROR(VLOOKUP($BO195,#REF!,4,FALSE),"")=0,"",IFERROR(VLOOKUP($BO195,#REF!,4,FALSE),"")),"")</f>
        <v/>
      </c>
    </row>
    <row r="196" spans="70:70">
      <c r="BR196" s="244" t="str">
        <f>IF($BO196&lt;&gt;"",IF(IFERROR(VLOOKUP($BO196,#REF!,4,FALSE),"")=0,"",IFERROR(VLOOKUP($BO196,#REF!,4,FALSE),"")),"")</f>
        <v/>
      </c>
    </row>
    <row r="197" spans="70:70">
      <c r="BR197" s="244" t="str">
        <f>IF($BO197&lt;&gt;"",IF(IFERROR(VLOOKUP($BO197,#REF!,4,FALSE),"")=0,"",IFERROR(VLOOKUP($BO197,#REF!,4,FALSE),"")),"")</f>
        <v/>
      </c>
    </row>
    <row r="198" spans="70:70">
      <c r="BR198" s="244" t="str">
        <f>IF($BO198&lt;&gt;"",IF(IFERROR(VLOOKUP($BO198,#REF!,4,FALSE),"")=0,"",IFERROR(VLOOKUP($BO198,#REF!,4,FALSE),"")),"")</f>
        <v/>
      </c>
    </row>
    <row r="199" spans="70:70">
      <c r="BR199" s="244" t="str">
        <f>IF($BO199&lt;&gt;"",IF(IFERROR(VLOOKUP($BO199,#REF!,4,FALSE),"")=0,"",IFERROR(VLOOKUP($BO199,#REF!,4,FALSE),"")),"")</f>
        <v/>
      </c>
    </row>
    <row r="200" spans="70:70">
      <c r="BR200" s="244" t="str">
        <f>IF($BO200&lt;&gt;"",IF(IFERROR(VLOOKUP($BO200,#REF!,4,FALSE),"")=0,"",IFERROR(VLOOKUP($BO200,#REF!,4,FALSE),"")),"")</f>
        <v/>
      </c>
    </row>
    <row r="201" spans="70:70">
      <c r="BR201" s="244" t="str">
        <f>IF($BO201&lt;&gt;"",IF(IFERROR(VLOOKUP($BO201,#REF!,4,FALSE),"")=0,"",IFERROR(VLOOKUP($BO201,#REF!,4,FALSE),"")),"")</f>
        <v/>
      </c>
    </row>
    <row r="202" spans="70:70">
      <c r="BR202" s="244" t="str">
        <f>IF($BO202&lt;&gt;"",IF(IFERROR(VLOOKUP($BO202,#REF!,4,FALSE),"")=0,"",IFERROR(VLOOKUP($BO202,#REF!,4,FALSE),"")),"")</f>
        <v/>
      </c>
    </row>
    <row r="203" spans="70:70">
      <c r="BR203" s="244" t="str">
        <f>IF($BO203&lt;&gt;"",IF(IFERROR(VLOOKUP($BO203,#REF!,4,FALSE),"")=0,"",IFERROR(VLOOKUP($BO203,#REF!,4,FALSE),"")),"")</f>
        <v/>
      </c>
    </row>
    <row r="204" spans="70:70">
      <c r="BR204" s="244" t="str">
        <f>IF($BO204&lt;&gt;"",IF(IFERROR(VLOOKUP($BO204,#REF!,4,FALSE),"")=0,"",IFERROR(VLOOKUP($BO204,#REF!,4,FALSE),"")),"")</f>
        <v/>
      </c>
    </row>
    <row r="205" spans="70:70">
      <c r="BR205" s="244" t="str">
        <f>IF($BO205&lt;&gt;"",IF(IFERROR(VLOOKUP($BO205,#REF!,4,FALSE),"")=0,"",IFERROR(VLOOKUP($BO205,#REF!,4,FALSE),"")),"")</f>
        <v/>
      </c>
    </row>
    <row r="206" spans="70:70">
      <c r="BR206" s="244" t="str">
        <f>IF($BO206&lt;&gt;"",IF(IFERROR(VLOOKUP($BO206,#REF!,4,FALSE),"")=0,"",IFERROR(VLOOKUP($BO206,#REF!,4,FALSE),"")),"")</f>
        <v/>
      </c>
    </row>
    <row r="207" spans="70:70">
      <c r="BR207" s="244" t="str">
        <f>IF($BO207&lt;&gt;"",IF(IFERROR(VLOOKUP($BO207,#REF!,4,FALSE),"")=0,"",IFERROR(VLOOKUP($BO207,#REF!,4,FALSE),"")),"")</f>
        <v/>
      </c>
    </row>
    <row r="208" spans="70:70">
      <c r="BR208" s="244" t="str">
        <f>IF($BO208&lt;&gt;"",IF(IFERROR(VLOOKUP($BO208,#REF!,4,FALSE),"")=0,"",IFERROR(VLOOKUP($BO208,#REF!,4,FALSE),"")),"")</f>
        <v/>
      </c>
    </row>
    <row r="209" spans="70:70">
      <c r="BR209" s="244" t="str">
        <f>IF($BO209&lt;&gt;"",IF(IFERROR(VLOOKUP($BO209,#REF!,4,FALSE),"")=0,"",IFERROR(VLOOKUP($BO209,#REF!,4,FALSE),"")),"")</f>
        <v/>
      </c>
    </row>
    <row r="210" spans="70:70">
      <c r="BR210" s="244" t="str">
        <f>IF($BO210&lt;&gt;"",IF(IFERROR(VLOOKUP($BO210,#REF!,4,FALSE),"")=0,"",IFERROR(VLOOKUP($BO210,#REF!,4,FALSE),"")),"")</f>
        <v/>
      </c>
    </row>
    <row r="211" spans="70:70">
      <c r="BR211" s="244" t="str">
        <f>IF($BO211&lt;&gt;"",IF(IFERROR(VLOOKUP($BO211,#REF!,4,FALSE),"")=0,"",IFERROR(VLOOKUP($BO211,#REF!,4,FALSE),"")),"")</f>
        <v/>
      </c>
    </row>
    <row r="212" spans="70:70">
      <c r="BR212" s="244" t="str">
        <f>IF($BO212&lt;&gt;"",IF(IFERROR(VLOOKUP($BO212,#REF!,4,FALSE),"")=0,"",IFERROR(VLOOKUP($BO212,#REF!,4,FALSE),"")),"")</f>
        <v/>
      </c>
    </row>
    <row r="213" spans="70:70">
      <c r="BR213" s="244" t="str">
        <f>IF($BO213&lt;&gt;"",IF(IFERROR(VLOOKUP($BO213,#REF!,4,FALSE),"")=0,"",IFERROR(VLOOKUP($BO213,#REF!,4,FALSE),"")),"")</f>
        <v/>
      </c>
    </row>
    <row r="214" spans="70:70">
      <c r="BR214" s="244" t="str">
        <f>IF($BO214&lt;&gt;"",IF(IFERROR(VLOOKUP($BO214,#REF!,4,FALSE),"")=0,"",IFERROR(VLOOKUP($BO214,#REF!,4,FALSE),"")),"")</f>
        <v/>
      </c>
    </row>
    <row r="215" spans="70:70">
      <c r="BR215" s="244" t="str">
        <f>IF($BO215&lt;&gt;"",IF(IFERROR(VLOOKUP($BO215,#REF!,4,FALSE),"")=0,"",IFERROR(VLOOKUP($BO215,#REF!,4,FALSE),"")),"")</f>
        <v/>
      </c>
    </row>
    <row r="216" spans="70:70">
      <c r="BR216" s="244" t="str">
        <f>IF($BO216&lt;&gt;"",IF(IFERROR(VLOOKUP($BO216,#REF!,4,FALSE),"")=0,"",IFERROR(VLOOKUP($BO216,#REF!,4,FALSE),"")),"")</f>
        <v/>
      </c>
    </row>
    <row r="217" spans="70:70">
      <c r="BR217" s="244" t="str">
        <f>IF($BO217&lt;&gt;"",IF(IFERROR(VLOOKUP($BO217,#REF!,4,FALSE),"")=0,"",IFERROR(VLOOKUP($BO217,#REF!,4,FALSE),"")),"")</f>
        <v/>
      </c>
    </row>
    <row r="218" spans="70:70">
      <c r="BR218" s="244" t="str">
        <f>IF($BO218&lt;&gt;"",IF(IFERROR(VLOOKUP($BO218,#REF!,4,FALSE),"")=0,"",IFERROR(VLOOKUP($BO218,#REF!,4,FALSE),"")),"")</f>
        <v/>
      </c>
    </row>
    <row r="219" spans="70:70">
      <c r="BR219" s="244" t="str">
        <f>IF($BO219&lt;&gt;"",IF(IFERROR(VLOOKUP($BO219,#REF!,4,FALSE),"")=0,"",IFERROR(VLOOKUP($BO219,#REF!,4,FALSE),"")),"")</f>
        <v/>
      </c>
    </row>
    <row r="220" spans="70:70">
      <c r="BR220" s="244" t="str">
        <f>IF($BO220&lt;&gt;"",IF(IFERROR(VLOOKUP($BO220,#REF!,4,FALSE),"")=0,"",IFERROR(VLOOKUP($BO220,#REF!,4,FALSE),"")),"")</f>
        <v/>
      </c>
    </row>
    <row r="221" spans="70:70">
      <c r="BR221" s="244" t="str">
        <f>IF($BO221&lt;&gt;"",IF(IFERROR(VLOOKUP($BO221,#REF!,4,FALSE),"")=0,"",IFERROR(VLOOKUP($BO221,#REF!,4,FALSE),"")),"")</f>
        <v/>
      </c>
    </row>
    <row r="222" spans="70:70">
      <c r="BR222" s="244" t="str">
        <f>IF($BO222&lt;&gt;"",IF(IFERROR(VLOOKUP($BO222,#REF!,4,FALSE),"")=0,"",IFERROR(VLOOKUP($BO222,#REF!,4,FALSE),"")),"")</f>
        <v/>
      </c>
    </row>
    <row r="223" spans="70:70">
      <c r="BR223" s="244" t="str">
        <f>IF($BO223&lt;&gt;"",IF(IFERROR(VLOOKUP($BO223,#REF!,4,FALSE),"")=0,"",IFERROR(VLOOKUP($BO223,#REF!,4,FALSE),"")),"")</f>
        <v/>
      </c>
    </row>
    <row r="224" spans="70:70">
      <c r="BR224" s="244" t="str">
        <f>IF($BO224&lt;&gt;"",IF(IFERROR(VLOOKUP($BO224,#REF!,4,FALSE),"")=0,"",IFERROR(VLOOKUP($BO224,#REF!,4,FALSE),"")),"")</f>
        <v/>
      </c>
    </row>
    <row r="225" spans="70:70">
      <c r="BR225" s="244" t="str">
        <f>IF($BO225&lt;&gt;"",IF(IFERROR(VLOOKUP($BO225,#REF!,4,FALSE),"")=0,"",IFERROR(VLOOKUP($BO225,#REF!,4,FALSE),"")),"")</f>
        <v/>
      </c>
    </row>
    <row r="226" spans="70:70">
      <c r="BR226" s="244" t="str">
        <f>IF($BO226&lt;&gt;"",IF(IFERROR(VLOOKUP($BO226,#REF!,4,FALSE),"")=0,"",IFERROR(VLOOKUP($BO226,#REF!,4,FALSE),"")),"")</f>
        <v/>
      </c>
    </row>
    <row r="227" spans="70:70">
      <c r="BR227" s="244" t="str">
        <f>IF($BO227&lt;&gt;"",IF(IFERROR(VLOOKUP($BO227,#REF!,4,FALSE),"")=0,"",IFERROR(VLOOKUP($BO227,#REF!,4,FALSE),"")),"")</f>
        <v/>
      </c>
    </row>
    <row r="228" spans="70:70">
      <c r="BR228" s="244" t="str">
        <f>IF($BO228&lt;&gt;"",IF(IFERROR(VLOOKUP($BO228,#REF!,4,FALSE),"")=0,"",IFERROR(VLOOKUP($BO228,#REF!,4,FALSE),"")),"")</f>
        <v/>
      </c>
    </row>
    <row r="229" spans="70:70">
      <c r="BR229" s="244" t="str">
        <f>IF($BO229&lt;&gt;"",IF(IFERROR(VLOOKUP($BO229,#REF!,4,FALSE),"")=0,"",IFERROR(VLOOKUP($BO229,#REF!,4,FALSE),"")),"")</f>
        <v/>
      </c>
    </row>
    <row r="230" spans="70:70">
      <c r="BR230" s="244" t="str">
        <f>IF($BO230&lt;&gt;"",IF(IFERROR(VLOOKUP($BO230,#REF!,4,FALSE),"")=0,"",IFERROR(VLOOKUP($BO230,#REF!,4,FALSE),"")),"")</f>
        <v/>
      </c>
    </row>
    <row r="231" spans="70:70">
      <c r="BR231" s="244" t="str">
        <f>IF($BO231&lt;&gt;"",IF(IFERROR(VLOOKUP($BO231,#REF!,4,FALSE),"")=0,"",IFERROR(VLOOKUP($BO231,#REF!,4,FALSE),"")),"")</f>
        <v/>
      </c>
    </row>
    <row r="232" spans="70:70">
      <c r="BR232" s="244" t="str">
        <f>IF($BO232&lt;&gt;"",IF(IFERROR(VLOOKUP($BO232,#REF!,4,FALSE),"")=0,"",IFERROR(VLOOKUP($BO232,#REF!,4,FALSE),"")),"")</f>
        <v/>
      </c>
    </row>
    <row r="233" spans="70:70">
      <c r="BR233" s="244" t="str">
        <f>IF($BO233&lt;&gt;"",IF(IFERROR(VLOOKUP($BO233,#REF!,4,FALSE),"")=0,"",IFERROR(VLOOKUP($BO233,#REF!,4,FALSE),"")),"")</f>
        <v/>
      </c>
    </row>
    <row r="234" spans="70:70">
      <c r="BR234" s="244" t="str">
        <f>IF($BO234&lt;&gt;"",IF(IFERROR(VLOOKUP($BO234,#REF!,4,FALSE),"")=0,"",IFERROR(VLOOKUP($BO234,#REF!,4,FALSE),"")),"")</f>
        <v/>
      </c>
    </row>
    <row r="235" spans="70:70">
      <c r="BR235" s="244" t="str">
        <f>IF($BO235&lt;&gt;"",IF(IFERROR(VLOOKUP($BO235,#REF!,4,FALSE),"")=0,"",IFERROR(VLOOKUP($BO235,#REF!,4,FALSE),"")),"")</f>
        <v/>
      </c>
    </row>
    <row r="236" spans="70:70">
      <c r="BR236" s="244" t="str">
        <f>IF($BO236&lt;&gt;"",IF(IFERROR(VLOOKUP($BO236,#REF!,4,FALSE),"")=0,"",IFERROR(VLOOKUP($BO236,#REF!,4,FALSE),"")),"")</f>
        <v/>
      </c>
    </row>
    <row r="237" spans="70:70">
      <c r="BR237" s="244" t="str">
        <f>IF($BO237&lt;&gt;"",IF(IFERROR(VLOOKUP($BO237,#REF!,4,FALSE),"")=0,"",IFERROR(VLOOKUP($BO237,#REF!,4,FALSE),"")),"")</f>
        <v/>
      </c>
    </row>
    <row r="238" spans="70:70">
      <c r="BR238" s="244" t="str">
        <f>IF($BO238&lt;&gt;"",IF(IFERROR(VLOOKUP($BO238,#REF!,4,FALSE),"")=0,"",IFERROR(VLOOKUP($BO238,#REF!,4,FALSE),"")),"")</f>
        <v/>
      </c>
    </row>
    <row r="239" spans="70:70">
      <c r="BR239" s="244" t="str">
        <f>IF($BO239&lt;&gt;"",IF(IFERROR(VLOOKUP($BO239,#REF!,4,FALSE),"")=0,"",IFERROR(VLOOKUP($BO239,#REF!,4,FALSE),"")),"")</f>
        <v/>
      </c>
    </row>
    <row r="240" spans="70:70">
      <c r="BR240" s="244" t="str">
        <f>IF($BO240&lt;&gt;"",IF(IFERROR(VLOOKUP($BO240,#REF!,4,FALSE),"")=0,"",IFERROR(VLOOKUP($BO240,#REF!,4,FALSE),"")),"")</f>
        <v/>
      </c>
    </row>
    <row r="241" spans="70:70">
      <c r="BR241" s="244" t="str">
        <f>IF($BO241&lt;&gt;"",IF(IFERROR(VLOOKUP($BO241,#REF!,4,FALSE),"")=0,"",IFERROR(VLOOKUP($BO241,#REF!,4,FALSE),"")),"")</f>
        <v/>
      </c>
    </row>
    <row r="242" spans="70:70">
      <c r="BR242" s="244" t="str">
        <f>IF($BO242&lt;&gt;"",IF(IFERROR(VLOOKUP($BO242,#REF!,4,FALSE),"")=0,"",IFERROR(VLOOKUP($BO242,#REF!,4,FALSE),"")),"")</f>
        <v/>
      </c>
    </row>
    <row r="243" spans="70:70">
      <c r="BR243" s="244" t="str">
        <f>IF($BO243&lt;&gt;"",IF(IFERROR(VLOOKUP($BO243,#REF!,4,FALSE),"")=0,"",IFERROR(VLOOKUP($BO243,#REF!,4,FALSE),"")),"")</f>
        <v/>
      </c>
    </row>
    <row r="244" spans="70:70">
      <c r="BR244" s="31" t="str">
        <f>IF($BO244&lt;&gt;"",IF(IFERROR(VLOOKUP($BO244,#REF!,4,FALSE),"")=0,"",IFERROR(VLOOKUP($BO244,#REF!,4,FALSE),"")),"")</f>
        <v/>
      </c>
    </row>
    <row r="245" spans="70:70">
      <c r="BR245" s="31" t="str">
        <f>IF($BO245&lt;&gt;"",IF(IFERROR(VLOOKUP($BO245,#REF!,4,FALSE),"")=0,"",IFERROR(VLOOKUP($BO245,#REF!,4,FALSE),"")),"")</f>
        <v/>
      </c>
    </row>
    <row r="246" spans="70:70">
      <c r="BR246" s="31" t="str">
        <f>IF($BO246&lt;&gt;"",IF(IFERROR(VLOOKUP($BO246,#REF!,4,FALSE),"")=0,"",IFERROR(VLOOKUP($BO246,#REF!,4,FALSE),"")),"")</f>
        <v/>
      </c>
    </row>
    <row r="247" spans="70:70">
      <c r="BR247" s="31" t="str">
        <f>IF($BO247&lt;&gt;"",IF(IFERROR(VLOOKUP($BO247,#REF!,4,FALSE),"")=0,"",IFERROR(VLOOKUP($BO247,#REF!,4,FALSE),"")),"")</f>
        <v/>
      </c>
    </row>
    <row r="248" spans="70:70">
      <c r="BR248" s="31" t="str">
        <f>IF($BO248&lt;&gt;"",IF(IFERROR(VLOOKUP($BO248,#REF!,4,FALSE),"")=0,"",IFERROR(VLOOKUP($BO248,#REF!,4,FALSE),"")),"")</f>
        <v/>
      </c>
    </row>
    <row r="249" spans="70:70">
      <c r="BR249" s="31" t="str">
        <f>IF($BO249&lt;&gt;"",IF(IFERROR(VLOOKUP($BO249,#REF!,4,FALSE),"")=0,"",IFERROR(VLOOKUP($BO249,#REF!,4,FALSE),"")),"")</f>
        <v/>
      </c>
    </row>
    <row r="250" spans="70:70">
      <c r="BR250" s="31" t="str">
        <f>IF($BO250&lt;&gt;"",IF(IFERROR(VLOOKUP($BO250,#REF!,4,FALSE),"")=0,"",IFERROR(VLOOKUP($BO250,#REF!,4,FALSE),"")),"")</f>
        <v/>
      </c>
    </row>
    <row r="251" spans="70:70">
      <c r="BR251" s="31" t="str">
        <f>IF($BO251&lt;&gt;"",IF(IFERROR(VLOOKUP($BO251,#REF!,4,FALSE),"")=0,"",IFERROR(VLOOKUP($BO251,#REF!,4,FALSE),"")),"")</f>
        <v/>
      </c>
    </row>
    <row r="252" spans="70:70">
      <c r="BR252" s="31" t="str">
        <f>IF($BO252&lt;&gt;"",IF(IFERROR(VLOOKUP($BO252,#REF!,4,FALSE),"")=0,"",IFERROR(VLOOKUP($BO252,#REF!,4,FALSE),"")),"")</f>
        <v/>
      </c>
    </row>
    <row r="253" spans="70:70">
      <c r="BR253" s="31" t="str">
        <f>IF($BO253&lt;&gt;"",IF(IFERROR(VLOOKUP($BO253,#REF!,4,FALSE),"")=0,"",IFERROR(VLOOKUP($BO253,#REF!,4,FALSE),"")),"")</f>
        <v/>
      </c>
    </row>
    <row r="254" spans="70:70">
      <c r="BR254" s="31" t="str">
        <f>IF($BO254&lt;&gt;"",IF(IFERROR(VLOOKUP($BO254,#REF!,4,FALSE),"")=0,"",IFERROR(VLOOKUP($BO254,#REF!,4,FALSE),"")),"")</f>
        <v/>
      </c>
    </row>
    <row r="255" spans="70:70">
      <c r="BR255" s="31" t="str">
        <f>IF($BO255&lt;&gt;"",IF(IFERROR(VLOOKUP($BO255,#REF!,4,FALSE),"")=0,"",IFERROR(VLOOKUP($BO255,#REF!,4,FALSE),"")),"")</f>
        <v/>
      </c>
    </row>
    <row r="256" spans="70:70">
      <c r="BR256" s="31" t="str">
        <f>IF($BO256&lt;&gt;"",IF(IFERROR(VLOOKUP($BO256,#REF!,4,FALSE),"")=0,"",IFERROR(VLOOKUP($BO256,#REF!,4,FALSE),"")),"")</f>
        <v/>
      </c>
    </row>
    <row r="257" spans="70:70">
      <c r="BR257" s="31" t="str">
        <f>IF($BO257&lt;&gt;"",IF(IFERROR(VLOOKUP($BO257,#REF!,4,FALSE),"")=0,"",IFERROR(VLOOKUP($BO257,#REF!,4,FALSE),"")),"")</f>
        <v/>
      </c>
    </row>
    <row r="258" spans="70:70">
      <c r="BR258" s="31" t="str">
        <f>IF($BO258&lt;&gt;"",IF(IFERROR(VLOOKUP($BO258,#REF!,4,FALSE),"")=0,"",IFERROR(VLOOKUP($BO258,#REF!,4,FALSE),"")),"")</f>
        <v/>
      </c>
    </row>
    <row r="259" spans="70:70">
      <c r="BR259" s="31" t="str">
        <f>IF($BO259&lt;&gt;"",IF(IFERROR(VLOOKUP($BO259,#REF!,4,FALSE),"")=0,"",IFERROR(VLOOKUP($BO259,#REF!,4,FALSE),"")),"")</f>
        <v/>
      </c>
    </row>
    <row r="260" spans="70:70">
      <c r="BR260" s="31" t="str">
        <f>IF($BO260&lt;&gt;"",IF(IFERROR(VLOOKUP($BO260,#REF!,4,FALSE),"")=0,"",IFERROR(VLOOKUP($BO260,#REF!,4,FALSE),"")),"")</f>
        <v/>
      </c>
    </row>
    <row r="261" spans="70:70">
      <c r="BR261" s="31" t="str">
        <f>IF($BO261&lt;&gt;"",IF(IFERROR(VLOOKUP($BO261,#REF!,4,FALSE),"")=0,"",IFERROR(VLOOKUP($BO261,#REF!,4,FALSE),"")),"")</f>
        <v/>
      </c>
    </row>
    <row r="262" spans="70:70">
      <c r="BR262" s="31" t="str">
        <f>IF($BO262&lt;&gt;"",IF(IFERROR(VLOOKUP($BO262,#REF!,4,FALSE),"")=0,"",IFERROR(VLOOKUP($BO262,#REF!,4,FALSE),"")),"")</f>
        <v/>
      </c>
    </row>
    <row r="263" spans="70:70">
      <c r="BR263" s="31" t="str">
        <f>IF($BO263&lt;&gt;"",IF(IFERROR(VLOOKUP($BO263,#REF!,4,FALSE),"")=0,"",IFERROR(VLOOKUP($BO263,#REF!,4,FALSE),"")),"")</f>
        <v/>
      </c>
    </row>
    <row r="264" spans="70:70">
      <c r="BR264" s="31" t="str">
        <f>IF($BO264&lt;&gt;"",IF(IFERROR(VLOOKUP($BO264,#REF!,4,FALSE),"")=0,"",IFERROR(VLOOKUP($BO264,#REF!,4,FALSE),"")),"")</f>
        <v/>
      </c>
    </row>
    <row r="265" spans="70:70">
      <c r="BR265" s="31" t="str">
        <f>IF($BO265&lt;&gt;"",IF(IFERROR(VLOOKUP($BO265,#REF!,4,FALSE),"")=0,"",IFERROR(VLOOKUP($BO265,#REF!,4,FALSE),"")),"")</f>
        <v/>
      </c>
    </row>
    <row r="266" spans="70:70">
      <c r="BR266" s="31" t="str">
        <f>IF($BO266&lt;&gt;"",IF(IFERROR(VLOOKUP($BO266,#REF!,4,FALSE),"")=0,"",IFERROR(VLOOKUP($BO266,#REF!,4,FALSE),"")),"")</f>
        <v/>
      </c>
    </row>
    <row r="267" spans="70:70">
      <c r="BR267" s="31" t="str">
        <f>IF($BO267&lt;&gt;"",IF(IFERROR(VLOOKUP($BO267,#REF!,4,FALSE),"")=0,"",IFERROR(VLOOKUP($BO267,#REF!,4,FALSE),"")),"")</f>
        <v/>
      </c>
    </row>
    <row r="268" spans="70:70">
      <c r="BR268" s="31" t="str">
        <f>IF($BO268&lt;&gt;"",IF(IFERROR(VLOOKUP($BO268,#REF!,4,FALSE),"")=0,"",IFERROR(VLOOKUP($BO268,#REF!,4,FALSE),"")),"")</f>
        <v/>
      </c>
    </row>
    <row r="269" spans="70:70">
      <c r="BR269" s="31" t="str">
        <f>IF($BO269&lt;&gt;"",IF(IFERROR(VLOOKUP($BO269,#REF!,4,FALSE),"")=0,"",IFERROR(VLOOKUP($BO269,#REF!,4,FALSE),"")),"")</f>
        <v/>
      </c>
    </row>
    <row r="270" spans="70:70">
      <c r="BR270" s="31" t="str">
        <f>IF($BO270&lt;&gt;"",IF(IFERROR(VLOOKUP($BO270,#REF!,4,FALSE),"")=0,"",IFERROR(VLOOKUP($BO270,#REF!,4,FALSE),"")),"")</f>
        <v/>
      </c>
    </row>
    <row r="271" spans="70:70">
      <c r="BR271" s="31" t="str">
        <f>IF($BO271&lt;&gt;"",IF(IFERROR(VLOOKUP($BO271,#REF!,4,FALSE),"")=0,"",IFERROR(VLOOKUP($BO271,#REF!,4,FALSE),"")),"")</f>
        <v/>
      </c>
    </row>
    <row r="272" spans="70:70">
      <c r="BR272" s="31" t="str">
        <f>IF($BO272&lt;&gt;"",IF(IFERROR(VLOOKUP($BO272,#REF!,4,FALSE),"")=0,"",IFERROR(VLOOKUP($BO272,#REF!,4,FALSE),"")),"")</f>
        <v/>
      </c>
    </row>
    <row r="273" spans="70:70">
      <c r="BR273" s="31" t="str">
        <f>IF($BO273&lt;&gt;"",IF(IFERROR(VLOOKUP($BO273,#REF!,4,FALSE),"")=0,"",IFERROR(VLOOKUP($BO273,#REF!,4,FALSE),"")),"")</f>
        <v/>
      </c>
    </row>
    <row r="274" spans="70:70">
      <c r="BR274" s="31" t="str">
        <f>IF($BO274&lt;&gt;"",IF(IFERROR(VLOOKUP($BO274,#REF!,4,FALSE),"")=0,"",IFERROR(VLOOKUP($BO274,#REF!,4,FALSE),"")),"")</f>
        <v/>
      </c>
    </row>
    <row r="275" spans="70:70">
      <c r="BR275" s="31" t="str">
        <f>IF($BO275&lt;&gt;"",IF(IFERROR(VLOOKUP($BO275,#REF!,4,FALSE),"")=0,"",IFERROR(VLOOKUP($BO275,#REF!,4,FALSE),"")),"")</f>
        <v/>
      </c>
    </row>
    <row r="276" spans="70:70">
      <c r="BR276" s="31" t="str">
        <f>IF($BO276&lt;&gt;"",IF(IFERROR(VLOOKUP($BO276,#REF!,4,FALSE),"")=0,"",IFERROR(VLOOKUP($BO276,#REF!,4,FALSE),"")),"")</f>
        <v/>
      </c>
    </row>
    <row r="277" spans="70:70">
      <c r="BR277" s="31" t="str">
        <f>IF($BO277&lt;&gt;"",IF(IFERROR(VLOOKUP($BO277,#REF!,4,FALSE),"")=0,"",IFERROR(VLOOKUP($BO277,#REF!,4,FALSE),"")),"")</f>
        <v/>
      </c>
    </row>
    <row r="278" spans="70:70">
      <c r="BR278" s="31" t="str">
        <f>IF($BO278&lt;&gt;"",IF(IFERROR(VLOOKUP($BO278,#REF!,4,FALSE),"")=0,"",IFERROR(VLOOKUP($BO278,#REF!,4,FALSE),"")),"")</f>
        <v/>
      </c>
    </row>
    <row r="279" spans="70:70">
      <c r="BR279" s="31" t="str">
        <f>IF($BO279&lt;&gt;"",IF(IFERROR(VLOOKUP($BO279,#REF!,4,FALSE),"")=0,"",IFERROR(VLOOKUP($BO279,#REF!,4,FALSE),"")),"")</f>
        <v/>
      </c>
    </row>
    <row r="280" spans="70:70">
      <c r="BR280" s="31" t="str">
        <f>IF($BO280&lt;&gt;"",IF(IFERROR(VLOOKUP($BO280,#REF!,4,FALSE),"")=0,"",IFERROR(VLOOKUP($BO280,#REF!,4,FALSE),"")),"")</f>
        <v/>
      </c>
    </row>
    <row r="281" spans="70:70">
      <c r="BR281" s="31" t="str">
        <f>IF($BO281&lt;&gt;"",IF(IFERROR(VLOOKUP($BO281,#REF!,4,FALSE),"")=0,"",IFERROR(VLOOKUP($BO281,#REF!,4,FALSE),"")),"")</f>
        <v/>
      </c>
    </row>
    <row r="282" spans="70:70">
      <c r="BR282" s="31" t="str">
        <f>IF($BO282&lt;&gt;"",IF(IFERROR(VLOOKUP($BO282,#REF!,4,FALSE),"")=0,"",IFERROR(VLOOKUP($BO282,#REF!,4,FALSE),"")),"")</f>
        <v/>
      </c>
    </row>
    <row r="283" spans="70:70">
      <c r="BR283" s="31" t="str">
        <f>IF($BO283&lt;&gt;"",IF(IFERROR(VLOOKUP($BO283,#REF!,4,FALSE),"")=0,"",IFERROR(VLOOKUP($BO283,#REF!,4,FALSE),"")),"")</f>
        <v/>
      </c>
    </row>
    <row r="284" spans="70:70">
      <c r="BR284" s="31" t="str">
        <f>IF($BO284&lt;&gt;"",IF(IFERROR(VLOOKUP($BO284,#REF!,4,FALSE),"")=0,"",IFERROR(VLOOKUP($BO284,#REF!,4,FALSE),"")),"")</f>
        <v/>
      </c>
    </row>
    <row r="285" spans="70:70">
      <c r="BR285" s="31" t="str">
        <f>IF($BO285&lt;&gt;"",IF(IFERROR(VLOOKUP($BO285,#REF!,4,FALSE),"")=0,"",IFERROR(VLOOKUP($BO285,#REF!,4,FALSE),"")),"")</f>
        <v/>
      </c>
    </row>
    <row r="286" spans="70:70">
      <c r="BR286" s="31" t="str">
        <f>IF($BO286&lt;&gt;"",IF(IFERROR(VLOOKUP($BO286,#REF!,4,FALSE),"")=0,"",IFERROR(VLOOKUP($BO286,#REF!,4,FALSE),"")),"")</f>
        <v/>
      </c>
    </row>
    <row r="287" spans="70:70">
      <c r="BR287" s="31" t="str">
        <f>IF($BO287&lt;&gt;"",IF(IFERROR(VLOOKUP($BO287,#REF!,4,FALSE),"")=0,"",IFERROR(VLOOKUP($BO287,#REF!,4,FALSE),"")),"")</f>
        <v/>
      </c>
    </row>
    <row r="288" spans="70:70">
      <c r="BR288" s="31" t="str">
        <f>IF($BO288&lt;&gt;"",IF(IFERROR(VLOOKUP($BO288,#REF!,4,FALSE),"")=0,"",IFERROR(VLOOKUP($BO288,#REF!,4,FALSE),"")),"")</f>
        <v/>
      </c>
    </row>
    <row r="289" spans="70:70">
      <c r="BR289" s="31" t="str">
        <f>IF($BO289&lt;&gt;"",IF(IFERROR(VLOOKUP($BO289,#REF!,4,FALSE),"")=0,"",IFERROR(VLOOKUP($BO289,#REF!,4,FALSE),"")),"")</f>
        <v/>
      </c>
    </row>
    <row r="290" spans="70:70">
      <c r="BR290" s="31" t="str">
        <f>IF($BO290&lt;&gt;"",IF(IFERROR(VLOOKUP($BO290,#REF!,4,FALSE),"")=0,"",IFERROR(VLOOKUP($BO290,#REF!,4,FALSE),"")),"")</f>
        <v/>
      </c>
    </row>
    <row r="291" spans="70:70">
      <c r="BR291" s="31" t="str">
        <f>IF($BO291&lt;&gt;"",IF(IFERROR(VLOOKUP($BO291,#REF!,4,FALSE),"")=0,"",IFERROR(VLOOKUP($BO291,#REF!,4,FALSE),"")),"")</f>
        <v/>
      </c>
    </row>
    <row r="292" spans="70:70">
      <c r="BR292" s="31" t="str">
        <f>IF($BO292&lt;&gt;"",IF(IFERROR(VLOOKUP($BO292,#REF!,4,FALSE),"")=0,"",IFERROR(VLOOKUP($BO292,#REF!,4,FALSE),"")),"")</f>
        <v/>
      </c>
    </row>
    <row r="293" spans="70:70">
      <c r="BR293" s="31" t="str">
        <f>IF($BO293&lt;&gt;"",IF(IFERROR(VLOOKUP($BO293,#REF!,4,FALSE),"")=0,"",IFERROR(VLOOKUP($BO293,#REF!,4,FALSE),"")),"")</f>
        <v/>
      </c>
    </row>
    <row r="294" spans="70:70">
      <c r="BR294" s="31" t="str">
        <f>IF($BO294&lt;&gt;"",IF(IFERROR(VLOOKUP($BO294,#REF!,4,FALSE),"")=0,"",IFERROR(VLOOKUP($BO294,#REF!,4,FALSE),"")),"")</f>
        <v/>
      </c>
    </row>
    <row r="295" spans="70:70">
      <c r="BR295" s="31" t="str">
        <f>IF($BO295&lt;&gt;"",IF(IFERROR(VLOOKUP($BO295,#REF!,4,FALSE),"")=0,"",IFERROR(VLOOKUP($BO295,#REF!,4,FALSE),"")),"")</f>
        <v/>
      </c>
    </row>
    <row r="296" spans="70:70">
      <c r="BR296" s="31" t="str">
        <f>IF($BO296&lt;&gt;"",IF(IFERROR(VLOOKUP($BO296,#REF!,4,FALSE),"")=0,"",IFERROR(VLOOKUP($BO296,#REF!,4,FALSE),"")),"")</f>
        <v/>
      </c>
    </row>
    <row r="297" spans="70:70">
      <c r="BR297" s="31" t="str">
        <f>IF($BO297&lt;&gt;"",IF(IFERROR(VLOOKUP($BO297,#REF!,4,FALSE),"")=0,"",IFERROR(VLOOKUP($BO297,#REF!,4,FALSE),"")),"")</f>
        <v/>
      </c>
    </row>
    <row r="298" spans="70:70">
      <c r="BR298" s="31" t="str">
        <f>IF($BO298&lt;&gt;"",IF(IFERROR(VLOOKUP($BO298,#REF!,4,FALSE),"")=0,"",IFERROR(VLOOKUP($BO298,#REF!,4,FALSE),"")),"")</f>
        <v/>
      </c>
    </row>
    <row r="299" spans="70:70">
      <c r="BR299" s="31" t="str">
        <f>IF($BO299&lt;&gt;"",IF(IFERROR(VLOOKUP($BO299,#REF!,4,FALSE),"")=0,"",IFERROR(VLOOKUP($BO299,#REF!,4,FALSE),"")),"")</f>
        <v/>
      </c>
    </row>
    <row r="300" spans="70:70">
      <c r="BR300" s="31" t="str">
        <f>IF($BO300&lt;&gt;"",IF(IFERROR(VLOOKUP($BO300,#REF!,4,FALSE),"")=0,"",IFERROR(VLOOKUP($BO300,#REF!,4,FALSE),"")),"")</f>
        <v/>
      </c>
    </row>
    <row r="301" spans="70:70">
      <c r="BR301" s="31" t="str">
        <f>IF($BO301&lt;&gt;"",IF(IFERROR(VLOOKUP($BO301,#REF!,4,FALSE),"")=0,"",IFERROR(VLOOKUP($BO301,#REF!,4,FALSE),"")),"")</f>
        <v/>
      </c>
    </row>
    <row r="302" spans="70:70">
      <c r="BR302" s="31" t="str">
        <f>IF($BO302&lt;&gt;"",IF(IFERROR(VLOOKUP($BO302,#REF!,4,FALSE),"")=0,"",IFERROR(VLOOKUP($BO302,#REF!,4,FALSE),"")),"")</f>
        <v/>
      </c>
    </row>
    <row r="303" spans="70:70">
      <c r="BR303" s="31" t="str">
        <f>IF($BO303&lt;&gt;"",IF(IFERROR(VLOOKUP($BO303,#REF!,4,FALSE),"")=0,"",IFERROR(VLOOKUP($BO303,#REF!,4,FALSE),"")),"")</f>
        <v/>
      </c>
    </row>
    <row r="304" spans="70:70">
      <c r="BR304" s="31" t="str">
        <f>IF($BO304&lt;&gt;"",IF(IFERROR(VLOOKUP($BO304,#REF!,4,FALSE),"")=0,"",IFERROR(VLOOKUP($BO304,#REF!,4,FALSE),"")),"")</f>
        <v/>
      </c>
    </row>
    <row r="305" spans="70:70">
      <c r="BR305" s="31" t="str">
        <f>IF($BO305&lt;&gt;"",IF(IFERROR(VLOOKUP($BO305,#REF!,4,FALSE),"")=0,"",IFERROR(VLOOKUP($BO305,#REF!,4,FALSE),"")),"")</f>
        <v/>
      </c>
    </row>
    <row r="306" spans="70:70">
      <c r="BR306" s="31" t="str">
        <f>IF($BO306&lt;&gt;"",IF(IFERROR(VLOOKUP($BO306,#REF!,4,FALSE),"")=0,"",IFERROR(VLOOKUP($BO306,#REF!,4,FALSE),"")),"")</f>
        <v/>
      </c>
    </row>
    <row r="307" spans="70:70">
      <c r="BR307" s="31" t="str">
        <f>IF($BO307&lt;&gt;"",IF(IFERROR(VLOOKUP($BO307,#REF!,4,FALSE),"")=0,"",IFERROR(VLOOKUP($BO307,#REF!,4,FALSE),"")),"")</f>
        <v/>
      </c>
    </row>
    <row r="308" spans="70:70">
      <c r="BR308" s="31" t="str">
        <f>IF($BO308&lt;&gt;"",IF(IFERROR(VLOOKUP($BO308,#REF!,4,FALSE),"")=0,"",IFERROR(VLOOKUP($BO308,#REF!,4,FALSE),"")),"")</f>
        <v/>
      </c>
    </row>
    <row r="309" spans="70:70">
      <c r="BR309" s="31" t="str">
        <f>IF($BO309&lt;&gt;"",IF(IFERROR(VLOOKUP($BO309,#REF!,4,FALSE),"")=0,"",IFERROR(VLOOKUP($BO309,#REF!,4,FALSE),"")),"")</f>
        <v/>
      </c>
    </row>
    <row r="310" spans="70:70">
      <c r="BR310" s="31" t="str">
        <f>IF($BO310&lt;&gt;"",IF(IFERROR(VLOOKUP($BO310,#REF!,4,FALSE),"")=0,"",IFERROR(VLOOKUP($BO310,#REF!,4,FALSE),"")),"")</f>
        <v/>
      </c>
    </row>
    <row r="311" spans="70:70">
      <c r="BR311" s="31" t="str">
        <f>IF($BO311&lt;&gt;"",IF(IFERROR(VLOOKUP($BO311,#REF!,4,FALSE),"")=0,"",IFERROR(VLOOKUP($BO311,#REF!,4,FALSE),"")),"")</f>
        <v/>
      </c>
    </row>
    <row r="312" spans="70:70">
      <c r="BR312" s="31" t="str">
        <f>IF($BO312&lt;&gt;"",IF(IFERROR(VLOOKUP($BO312,#REF!,4,FALSE),"")=0,"",IFERROR(VLOOKUP($BO312,#REF!,4,FALSE),"")),"")</f>
        <v/>
      </c>
    </row>
    <row r="313" spans="70:70">
      <c r="BR313" s="31" t="str">
        <f>IF($BO313&lt;&gt;"",IF(IFERROR(VLOOKUP($BO313,#REF!,4,FALSE),"")=0,"",IFERROR(VLOOKUP($BO313,#REF!,4,FALSE),"")),"")</f>
        <v/>
      </c>
    </row>
    <row r="314" spans="70:70">
      <c r="BR314" s="31" t="str">
        <f>IF($BO314&lt;&gt;"",IF(IFERROR(VLOOKUP($BO314,#REF!,4,FALSE),"")=0,"",IFERROR(VLOOKUP($BO314,#REF!,4,FALSE),"")),"")</f>
        <v/>
      </c>
    </row>
    <row r="315" spans="70:70">
      <c r="BR315" s="31" t="str">
        <f>IF($BO315&lt;&gt;"",IF(IFERROR(VLOOKUP($BO315,#REF!,4,FALSE),"")=0,"",IFERROR(VLOOKUP($BO315,#REF!,4,FALSE),"")),"")</f>
        <v/>
      </c>
    </row>
    <row r="316" spans="70:70">
      <c r="BR316" s="31" t="str">
        <f>IF($BO316&lt;&gt;"",IF(IFERROR(VLOOKUP($BO316,#REF!,4,FALSE),"")=0,"",IFERROR(VLOOKUP($BO316,#REF!,4,FALSE),"")),"")</f>
        <v/>
      </c>
    </row>
    <row r="317" spans="70:70">
      <c r="BR317" s="31" t="str">
        <f>IF($BO317&lt;&gt;"",IF(IFERROR(VLOOKUP($BO317,#REF!,4,FALSE),"")=0,"",IFERROR(VLOOKUP($BO317,#REF!,4,FALSE),"")),"")</f>
        <v/>
      </c>
    </row>
    <row r="318" spans="70:70">
      <c r="BR318" s="31" t="str">
        <f>IF($BO318&lt;&gt;"",IF(IFERROR(VLOOKUP($BO318,#REF!,4,FALSE),"")=0,"",IFERROR(VLOOKUP($BO318,#REF!,4,FALSE),"")),"")</f>
        <v/>
      </c>
    </row>
    <row r="319" spans="70:70">
      <c r="BR319" s="31" t="str">
        <f>IF($BO319&lt;&gt;"",IF(IFERROR(VLOOKUP($BO319,#REF!,4,FALSE),"")=0,"",IFERROR(VLOOKUP($BO319,#REF!,4,FALSE),"")),"")</f>
        <v/>
      </c>
    </row>
    <row r="320" spans="70:70">
      <c r="BR320" s="31" t="str">
        <f>IF($BO320&lt;&gt;"",IF(IFERROR(VLOOKUP($BO320,#REF!,4,FALSE),"")=0,"",IFERROR(VLOOKUP($BO320,#REF!,4,FALSE),"")),"")</f>
        <v/>
      </c>
    </row>
    <row r="321" spans="70:70">
      <c r="BR321" s="31" t="str">
        <f>IF($BO321&lt;&gt;"",IF(IFERROR(VLOOKUP($BO321,#REF!,4,FALSE),"")=0,"",IFERROR(VLOOKUP($BO321,#REF!,4,FALSE),"")),"")</f>
        <v/>
      </c>
    </row>
    <row r="322" spans="70:70">
      <c r="BR322" s="31" t="str">
        <f>IF($BO322&lt;&gt;"",IF(IFERROR(VLOOKUP($BO322,#REF!,4,FALSE),"")=0,"",IFERROR(VLOOKUP($BO322,#REF!,4,FALSE),"")),"")</f>
        <v/>
      </c>
    </row>
    <row r="323" spans="70:70">
      <c r="BR323" s="31" t="str">
        <f>IF($BO323&lt;&gt;"",IF(IFERROR(VLOOKUP($BO323,#REF!,4,FALSE),"")=0,"",IFERROR(VLOOKUP($BO323,#REF!,4,FALSE),"")),"")</f>
        <v/>
      </c>
    </row>
    <row r="324" spans="70:70">
      <c r="BR324" s="31" t="str">
        <f>IF($BO324&lt;&gt;"",IF(IFERROR(VLOOKUP($BO324,#REF!,4,FALSE),"")=0,"",IFERROR(VLOOKUP($BO324,#REF!,4,FALSE),"")),"")</f>
        <v/>
      </c>
    </row>
    <row r="325" spans="70:70">
      <c r="BR325" s="31" t="str">
        <f>IF($BO325&lt;&gt;"",IF(IFERROR(VLOOKUP($BO325,#REF!,4,FALSE),"")=0,"",IFERROR(VLOOKUP($BO325,#REF!,4,FALSE),"")),"")</f>
        <v/>
      </c>
    </row>
    <row r="326" spans="70:70">
      <c r="BR326" s="31" t="str">
        <f>IF($BO326&lt;&gt;"",IF(IFERROR(VLOOKUP($BO326,#REF!,4,FALSE),"")=0,"",IFERROR(VLOOKUP($BO326,#REF!,4,FALSE),"")),"")</f>
        <v/>
      </c>
    </row>
    <row r="327" spans="70:70">
      <c r="BR327" s="31" t="str">
        <f>IF($BO327&lt;&gt;"",IF(IFERROR(VLOOKUP($BO327,#REF!,4,FALSE),"")=0,"",IFERROR(VLOOKUP($BO327,#REF!,4,FALSE),"")),"")</f>
        <v/>
      </c>
    </row>
    <row r="328" spans="70:70">
      <c r="BR328" s="31" t="str">
        <f>IF($BO328&lt;&gt;"",IF(IFERROR(VLOOKUP($BO328,#REF!,4,FALSE),"")=0,"",IFERROR(VLOOKUP($BO328,#REF!,4,FALSE),"")),"")</f>
        <v/>
      </c>
    </row>
    <row r="329" spans="70:70">
      <c r="BR329" s="31" t="str">
        <f>IF($BO329&lt;&gt;"",IF(IFERROR(VLOOKUP($BO329,#REF!,4,FALSE),"")=0,"",IFERROR(VLOOKUP($BO329,#REF!,4,FALSE),"")),"")</f>
        <v/>
      </c>
    </row>
    <row r="330" spans="70:70">
      <c r="BR330" s="31" t="str">
        <f>IF($BO330&lt;&gt;"",IF(IFERROR(VLOOKUP($BO330,#REF!,4,FALSE),"")=0,"",IFERROR(VLOOKUP($BO330,#REF!,4,FALSE),"")),"")</f>
        <v/>
      </c>
    </row>
    <row r="331" spans="70:70">
      <c r="BR331" s="31" t="str">
        <f>IF($BO331&lt;&gt;"",IF(IFERROR(VLOOKUP($BO331,#REF!,4,FALSE),"")=0,"",IFERROR(VLOOKUP($BO331,#REF!,4,FALSE),"")),"")</f>
        <v/>
      </c>
    </row>
    <row r="332" spans="70:70">
      <c r="BR332" s="31" t="str">
        <f>IF($BO332&lt;&gt;"",IF(IFERROR(VLOOKUP($BO332,#REF!,4,FALSE),"")=0,"",IFERROR(VLOOKUP($BO332,#REF!,4,FALSE),"")),"")</f>
        <v/>
      </c>
    </row>
    <row r="333" spans="70:70">
      <c r="BR333" s="31" t="str">
        <f>IF($BO333&lt;&gt;"",IF(IFERROR(VLOOKUP($BO333,#REF!,4,FALSE),"")=0,"",IFERROR(VLOOKUP($BO333,#REF!,4,FALSE),"")),"")</f>
        <v/>
      </c>
    </row>
    <row r="334" spans="70:70">
      <c r="BR334" s="31" t="str">
        <f>IF($BO334&lt;&gt;"",IF(IFERROR(VLOOKUP($BO334,#REF!,4,FALSE),"")=0,"",IFERROR(VLOOKUP($BO334,#REF!,4,FALSE),"")),"")</f>
        <v/>
      </c>
    </row>
    <row r="335" spans="70:70">
      <c r="BR335" s="31" t="str">
        <f>IF($BO335&lt;&gt;"",IF(IFERROR(VLOOKUP($BO335,#REF!,4,FALSE),"")=0,"",IFERROR(VLOOKUP($BO335,#REF!,4,FALSE),"")),"")</f>
        <v/>
      </c>
    </row>
    <row r="336" spans="70:70">
      <c r="BR336" s="31" t="str">
        <f>IF($BO336&lt;&gt;"",IF(IFERROR(VLOOKUP($BO336,#REF!,4,FALSE),"")=0,"",IFERROR(VLOOKUP($BO336,#REF!,4,FALSE),"")),"")</f>
        <v/>
      </c>
    </row>
    <row r="337" spans="70:70">
      <c r="BR337" s="31" t="str">
        <f>IF($BO337&lt;&gt;"",IF(IFERROR(VLOOKUP($BO337,#REF!,4,FALSE),"")=0,"",IFERROR(VLOOKUP($BO337,#REF!,4,FALSE),"")),"")</f>
        <v/>
      </c>
    </row>
    <row r="338" spans="70:70">
      <c r="BR338" s="31" t="str">
        <f>IF($BO338&lt;&gt;"",IF(IFERROR(VLOOKUP($BO338,#REF!,4,FALSE),"")=0,"",IFERROR(VLOOKUP($BO338,#REF!,4,FALSE),"")),"")</f>
        <v/>
      </c>
    </row>
    <row r="339" spans="70:70">
      <c r="BR339" s="31" t="str">
        <f>IF($BO339&lt;&gt;"",IF(IFERROR(VLOOKUP($BO339,#REF!,4,FALSE),"")=0,"",IFERROR(VLOOKUP($BO339,#REF!,4,FALSE),"")),"")</f>
        <v/>
      </c>
    </row>
    <row r="340" spans="70:70">
      <c r="BR340" s="31" t="str">
        <f>IF($BO340&lt;&gt;"",IF(IFERROR(VLOOKUP($BO340,#REF!,4,FALSE),"")=0,"",IFERROR(VLOOKUP($BO340,#REF!,4,FALSE),"")),"")</f>
        <v/>
      </c>
    </row>
    <row r="341" spans="70:70">
      <c r="BR341" s="31" t="str">
        <f>IF($BO341&lt;&gt;"",IF(IFERROR(VLOOKUP($BO341,#REF!,4,FALSE),"")=0,"",IFERROR(VLOOKUP($BO341,#REF!,4,FALSE),"")),"")</f>
        <v/>
      </c>
    </row>
    <row r="342" spans="70:70">
      <c r="BR342" s="31" t="str">
        <f>IF($BO342&lt;&gt;"",IF(IFERROR(VLOOKUP($BO342,#REF!,4,FALSE),"")=0,"",IFERROR(VLOOKUP($BO342,#REF!,4,FALSE),"")),"")</f>
        <v/>
      </c>
    </row>
    <row r="343" spans="70:70">
      <c r="BR343" s="31" t="str">
        <f>IF($BO343&lt;&gt;"",IF(IFERROR(VLOOKUP($BO343,#REF!,4,FALSE),"")=0,"",IFERROR(VLOOKUP($BO343,#REF!,4,FALSE),"")),"")</f>
        <v/>
      </c>
    </row>
    <row r="344" spans="70:70">
      <c r="BR344" s="31" t="str">
        <f>IF($BO344&lt;&gt;"",IF(IFERROR(VLOOKUP($BO344,#REF!,4,FALSE),"")=0,"",IFERROR(VLOOKUP($BO344,#REF!,4,FALSE),"")),"")</f>
        <v/>
      </c>
    </row>
    <row r="345" spans="70:70">
      <c r="BR345" s="31" t="str">
        <f>IF($BO345&lt;&gt;"",IF(IFERROR(VLOOKUP($BO345,#REF!,4,FALSE),"")=0,"",IFERROR(VLOOKUP($BO345,#REF!,4,FALSE),"")),"")</f>
        <v/>
      </c>
    </row>
    <row r="346" spans="70:70">
      <c r="BR346" s="31" t="str">
        <f>IF($BO346&lt;&gt;"",IF(IFERROR(VLOOKUP($BO346,#REF!,4,FALSE),"")=0,"",IFERROR(VLOOKUP($BO346,#REF!,4,FALSE),"")),"")</f>
        <v/>
      </c>
    </row>
    <row r="347" spans="70:70">
      <c r="BR347" s="31" t="str">
        <f>IF($BO347&lt;&gt;"",IF(IFERROR(VLOOKUP($BO347,#REF!,4,FALSE),"")=0,"",IFERROR(VLOOKUP($BO347,#REF!,4,FALSE),"")),"")</f>
        <v/>
      </c>
    </row>
    <row r="348" spans="70:70">
      <c r="BR348" s="31" t="str">
        <f>IF($BO348&lt;&gt;"",IF(IFERROR(VLOOKUP($BO348,#REF!,4,FALSE),"")=0,"",IFERROR(VLOOKUP($BO348,#REF!,4,FALSE),"")),"")</f>
        <v/>
      </c>
    </row>
    <row r="349" spans="70:70">
      <c r="BR349" s="31" t="str">
        <f>IF($BO349&lt;&gt;"",IF(IFERROR(VLOOKUP($BO349,#REF!,4,FALSE),"")=0,"",IFERROR(VLOOKUP($BO349,#REF!,4,FALSE),"")),"")</f>
        <v/>
      </c>
    </row>
    <row r="350" spans="70:70">
      <c r="BR350" s="31" t="str">
        <f>IF($BO350&lt;&gt;"",IF(IFERROR(VLOOKUP($BO350,#REF!,4,FALSE),"")=0,"",IFERROR(VLOOKUP($BO350,#REF!,4,FALSE),"")),"")</f>
        <v/>
      </c>
    </row>
    <row r="351" spans="70:70">
      <c r="BR351" s="31" t="str">
        <f>IF($BO351&lt;&gt;"",IF(IFERROR(VLOOKUP($BO351,#REF!,4,FALSE),"")=0,"",IFERROR(VLOOKUP($BO351,#REF!,4,FALSE),"")),"")</f>
        <v/>
      </c>
    </row>
    <row r="352" spans="70:70">
      <c r="BR352" s="31" t="str">
        <f>IF($BO352&lt;&gt;"",IF(IFERROR(VLOOKUP($BO352,#REF!,4,FALSE),"")=0,"",IFERROR(VLOOKUP($BO352,#REF!,4,FALSE),"")),"")</f>
        <v/>
      </c>
    </row>
    <row r="353" spans="70:70">
      <c r="BR353" s="31" t="str">
        <f>IF($BO353&lt;&gt;"",IF(IFERROR(VLOOKUP($BO353,#REF!,4,FALSE),"")=0,"",IFERROR(VLOOKUP($BO353,#REF!,4,FALSE),"")),"")</f>
        <v/>
      </c>
    </row>
    <row r="354" spans="70:70">
      <c r="BR354" s="31" t="str">
        <f>IF($BO354&lt;&gt;"",IF(IFERROR(VLOOKUP($BO354,#REF!,4,FALSE),"")=0,"",IFERROR(VLOOKUP($BO354,#REF!,4,FALSE),"")),"")</f>
        <v/>
      </c>
    </row>
    <row r="355" spans="70:70">
      <c r="BR355" s="31" t="str">
        <f>IF($BO355&lt;&gt;"",IF(IFERROR(VLOOKUP($BO355,#REF!,4,FALSE),"")=0,"",IFERROR(VLOOKUP($BO355,#REF!,4,FALSE),"")),"")</f>
        <v/>
      </c>
    </row>
    <row r="356" spans="70:70">
      <c r="BR356" s="31" t="str">
        <f>IF($BO356&lt;&gt;"",IF(IFERROR(VLOOKUP($BO356,#REF!,4,FALSE),"")=0,"",IFERROR(VLOOKUP($BO356,#REF!,4,FALSE),"")),"")</f>
        <v/>
      </c>
    </row>
    <row r="357" spans="70:70">
      <c r="BR357" s="31" t="str">
        <f>IF($BO357&lt;&gt;"",IF(IFERROR(VLOOKUP($BO357,#REF!,4,FALSE),"")=0,"",IFERROR(VLOOKUP($BO357,#REF!,4,FALSE),"")),"")</f>
        <v/>
      </c>
    </row>
    <row r="358" spans="70:70">
      <c r="BR358" s="31" t="str">
        <f>IF($BO358&lt;&gt;"",IF(IFERROR(VLOOKUP($BO358,#REF!,4,FALSE),"")=0,"",IFERROR(VLOOKUP($BO358,#REF!,4,FALSE),"")),"")</f>
        <v/>
      </c>
    </row>
    <row r="359" spans="70:70">
      <c r="BR359" s="31" t="str">
        <f>IF($BO359&lt;&gt;"",IF(IFERROR(VLOOKUP($BO359,#REF!,4,FALSE),"")=0,"",IFERROR(VLOOKUP($BO359,#REF!,4,FALSE),"")),"")</f>
        <v/>
      </c>
    </row>
    <row r="360" spans="70:70">
      <c r="BR360" s="31" t="str">
        <f>IF($BO360&lt;&gt;"",IF(IFERROR(VLOOKUP($BO360,#REF!,4,FALSE),"")=0,"",IFERROR(VLOOKUP($BO360,#REF!,4,FALSE),"")),"")</f>
        <v/>
      </c>
    </row>
    <row r="361" spans="70:70">
      <c r="BR361" s="31" t="str">
        <f>IF($BO361&lt;&gt;"",IF(IFERROR(VLOOKUP($BO361,#REF!,4,FALSE),"")=0,"",IFERROR(VLOOKUP($BO361,#REF!,4,FALSE),"")),"")</f>
        <v/>
      </c>
    </row>
    <row r="362" spans="70:70">
      <c r="BR362" s="31" t="str">
        <f>IF($BO362&lt;&gt;"",IF(IFERROR(VLOOKUP($BO362,#REF!,4,FALSE),"")=0,"",IFERROR(VLOOKUP($BO362,#REF!,4,FALSE),"")),"")</f>
        <v/>
      </c>
    </row>
    <row r="363" spans="70:70">
      <c r="BR363" s="31" t="str">
        <f>IF($BO363&lt;&gt;"",IF(IFERROR(VLOOKUP($BO363,#REF!,4,FALSE),"")=0,"",IFERROR(VLOOKUP($BO363,#REF!,4,FALSE),"")),"")</f>
        <v/>
      </c>
    </row>
    <row r="364" spans="70:70">
      <c r="BR364" s="31" t="str">
        <f>IF($BO364&lt;&gt;"",IF(IFERROR(VLOOKUP($BO364,#REF!,4,FALSE),"")=0,"",IFERROR(VLOOKUP($BO364,#REF!,4,FALSE),"")),"")</f>
        <v/>
      </c>
    </row>
    <row r="365" spans="70:70">
      <c r="BR365" s="31" t="str">
        <f>IF($BO365&lt;&gt;"",IF(IFERROR(VLOOKUP($BO365,#REF!,4,FALSE),"")=0,"",IFERROR(VLOOKUP($BO365,#REF!,4,FALSE),"")),"")</f>
        <v/>
      </c>
    </row>
    <row r="366" spans="70:70">
      <c r="BR366" s="31" t="str">
        <f>IF($BO366&lt;&gt;"",IF(IFERROR(VLOOKUP($BO366,#REF!,4,FALSE),"")=0,"",IFERROR(VLOOKUP($BO366,#REF!,4,FALSE),"")),"")</f>
        <v/>
      </c>
    </row>
    <row r="367" spans="70:70">
      <c r="BR367" s="31" t="str">
        <f>IF($BO367&lt;&gt;"",IF(IFERROR(VLOOKUP($BO367,#REF!,4,FALSE),"")=0,"",IFERROR(VLOOKUP($BO367,#REF!,4,FALSE),"")),"")</f>
        <v/>
      </c>
    </row>
    <row r="368" spans="70:70">
      <c r="BR368" s="31" t="str">
        <f>IF($BO368&lt;&gt;"",IF(IFERROR(VLOOKUP($BO368,#REF!,4,FALSE),"")=0,"",IFERROR(VLOOKUP($BO368,#REF!,4,FALSE),"")),"")</f>
        <v/>
      </c>
    </row>
    <row r="369" spans="70:70">
      <c r="BR369" s="31" t="str">
        <f>IF($BO369&lt;&gt;"",IF(IFERROR(VLOOKUP($BO369,#REF!,4,FALSE),"")=0,"",IFERROR(VLOOKUP($BO369,#REF!,4,FALSE),"")),"")</f>
        <v/>
      </c>
    </row>
    <row r="370" spans="70:70">
      <c r="BR370" s="31" t="str">
        <f>IF($BO370&lt;&gt;"",IF(IFERROR(VLOOKUP($BO370,#REF!,4,FALSE),"")=0,"",IFERROR(VLOOKUP($BO370,#REF!,4,FALSE),"")),"")</f>
        <v/>
      </c>
    </row>
    <row r="371" spans="70:70">
      <c r="BR371" s="31" t="str">
        <f>IF($BO371&lt;&gt;"",IF(IFERROR(VLOOKUP($BO371,#REF!,4,FALSE),"")=0,"",IFERROR(VLOOKUP($BO371,#REF!,4,FALSE),"")),"")</f>
        <v/>
      </c>
    </row>
    <row r="372" spans="70:70">
      <c r="BR372" s="31" t="str">
        <f>IF($BO372&lt;&gt;"",IF(IFERROR(VLOOKUP($BO372,#REF!,4,FALSE),"")=0,"",IFERROR(VLOOKUP($BO372,#REF!,4,FALSE),"")),"")</f>
        <v/>
      </c>
    </row>
    <row r="373" spans="70:70">
      <c r="BR373" s="31" t="str">
        <f>IF($BO373&lt;&gt;"",IF(IFERROR(VLOOKUP($BO373,#REF!,4,FALSE),"")=0,"",IFERROR(VLOOKUP($BO373,#REF!,4,FALSE),"")),"")</f>
        <v/>
      </c>
    </row>
    <row r="374" spans="70:70">
      <c r="BR374" s="31" t="str">
        <f>IF($BO374&lt;&gt;"",IF(IFERROR(VLOOKUP($BO374,#REF!,4,FALSE),"")=0,"",IFERROR(VLOOKUP($BO374,#REF!,4,FALSE),"")),"")</f>
        <v/>
      </c>
    </row>
    <row r="375" spans="70:70">
      <c r="BR375" s="31" t="str">
        <f>IF($BO375&lt;&gt;"",IF(IFERROR(VLOOKUP($BO375,#REF!,4,FALSE),"")=0,"",IFERROR(VLOOKUP($BO375,#REF!,4,FALSE),"")),"")</f>
        <v/>
      </c>
    </row>
    <row r="376" spans="70:70">
      <c r="BR376" s="31" t="str">
        <f>IF($BO376&lt;&gt;"",IF(IFERROR(VLOOKUP($BO376,#REF!,4,FALSE),"")=0,"",IFERROR(VLOOKUP($BO376,#REF!,4,FALSE),"")),"")</f>
        <v/>
      </c>
    </row>
    <row r="377" spans="70:70">
      <c r="BR377" s="31" t="str">
        <f>IF($BO377&lt;&gt;"",IF(IFERROR(VLOOKUP($BO377,#REF!,4,FALSE),"")=0,"",IFERROR(VLOOKUP($BO377,#REF!,4,FALSE),"")),"")</f>
        <v/>
      </c>
    </row>
    <row r="378" spans="70:70">
      <c r="BR378" s="31" t="str">
        <f>IF($BO378&lt;&gt;"",IF(IFERROR(VLOOKUP($BO378,#REF!,4,FALSE),"")=0,"",IFERROR(VLOOKUP($BO378,#REF!,4,FALSE),"")),"")</f>
        <v/>
      </c>
    </row>
    <row r="379" spans="70:70">
      <c r="BR379" s="31" t="str">
        <f>IF($BO379&lt;&gt;"",IF(IFERROR(VLOOKUP($BO379,#REF!,4,FALSE),"")=0,"",IFERROR(VLOOKUP($BO379,#REF!,4,FALSE),"")),"")</f>
        <v/>
      </c>
    </row>
    <row r="380" spans="70:70">
      <c r="BR380" s="31" t="str">
        <f>IF($BO380&lt;&gt;"",IF(IFERROR(VLOOKUP($BO380,#REF!,4,FALSE),"")=0,"",IFERROR(VLOOKUP($BO380,#REF!,4,FALSE),"")),"")</f>
        <v/>
      </c>
    </row>
    <row r="381" spans="70:70">
      <c r="BR381" s="31" t="str">
        <f>IF($BO381&lt;&gt;"",IF(IFERROR(VLOOKUP($BO381,#REF!,4,FALSE),"")=0,"",IFERROR(VLOOKUP($BO381,#REF!,4,FALSE),"")),"")</f>
        <v/>
      </c>
    </row>
    <row r="382" spans="70:70">
      <c r="BR382" s="31" t="str">
        <f>IF($BO382&lt;&gt;"",IF(IFERROR(VLOOKUP($BO382,#REF!,4,FALSE),"")=0,"",IFERROR(VLOOKUP($BO382,#REF!,4,FALSE),"")),"")</f>
        <v/>
      </c>
    </row>
    <row r="383" spans="70:70">
      <c r="BR383" s="31" t="str">
        <f>IF($BO383&lt;&gt;"",IF(IFERROR(VLOOKUP($BO383,#REF!,4,FALSE),"")=0,"",IFERROR(VLOOKUP($BO383,#REF!,4,FALSE),"")),"")</f>
        <v/>
      </c>
    </row>
    <row r="384" spans="70:70">
      <c r="BR384" s="31" t="str">
        <f>IF($BO384&lt;&gt;"",IF(IFERROR(VLOOKUP($BO384,#REF!,4,FALSE),"")=0,"",IFERROR(VLOOKUP($BO384,#REF!,4,FALSE),"")),"")</f>
        <v/>
      </c>
    </row>
    <row r="385" spans="70:70">
      <c r="BR385" s="31" t="str">
        <f>IF($BO385&lt;&gt;"",IF(IFERROR(VLOOKUP($BO385,#REF!,4,FALSE),"")=0,"",IFERROR(VLOOKUP($BO385,#REF!,4,FALSE),"")),"")</f>
        <v/>
      </c>
    </row>
    <row r="386" spans="70:70">
      <c r="BR386" s="31" t="str">
        <f>IF($BO386&lt;&gt;"",IF(IFERROR(VLOOKUP($BO386,#REF!,4,FALSE),"")=0,"",IFERROR(VLOOKUP($BO386,#REF!,4,FALSE),"")),"")</f>
        <v/>
      </c>
    </row>
    <row r="387" spans="70:70">
      <c r="BR387" s="31" t="str">
        <f>IF($BO387&lt;&gt;"",IF(IFERROR(VLOOKUP($BO387,#REF!,4,FALSE),"")=0,"",IFERROR(VLOOKUP($BO387,#REF!,4,FALSE),"")),"")</f>
        <v/>
      </c>
    </row>
    <row r="388" spans="70:70">
      <c r="BR388" s="31" t="str">
        <f>IF($BO388&lt;&gt;"",IF(IFERROR(VLOOKUP($BO388,#REF!,4,FALSE),"")=0,"",IFERROR(VLOOKUP($BO388,#REF!,4,FALSE),"")),"")</f>
        <v/>
      </c>
    </row>
    <row r="389" spans="70:70">
      <c r="BR389" s="31" t="str">
        <f>IF($BO389&lt;&gt;"",IF(IFERROR(VLOOKUP($BO389,#REF!,4,FALSE),"")=0,"",IFERROR(VLOOKUP($BO389,#REF!,4,FALSE),"")),"")</f>
        <v/>
      </c>
    </row>
    <row r="390" spans="70:70">
      <c r="BR390" s="31" t="str">
        <f>IF($BO390&lt;&gt;"",IF(IFERROR(VLOOKUP($BO390,#REF!,4,FALSE),"")=0,"",IFERROR(VLOOKUP($BO390,#REF!,4,FALSE),"")),"")</f>
        <v/>
      </c>
    </row>
    <row r="391" spans="70:70">
      <c r="BR391" s="31" t="str">
        <f>IF($BO391&lt;&gt;"",IF(IFERROR(VLOOKUP($BO391,#REF!,4,FALSE),"")=0,"",IFERROR(VLOOKUP($BO391,#REF!,4,FALSE),"")),"")</f>
        <v/>
      </c>
    </row>
    <row r="392" spans="70:70">
      <c r="BR392" s="31" t="str">
        <f>IF($BO392&lt;&gt;"",IF(IFERROR(VLOOKUP($BO392,#REF!,4,FALSE),"")=0,"",IFERROR(VLOOKUP($BO392,#REF!,4,FALSE),"")),"")</f>
        <v/>
      </c>
    </row>
    <row r="393" spans="70:70">
      <c r="BR393" s="31" t="str">
        <f>IF($BO393&lt;&gt;"",IF(IFERROR(VLOOKUP($BO393,#REF!,4,FALSE),"")=0,"",IFERROR(VLOOKUP($BO393,#REF!,4,FALSE),"")),"")</f>
        <v/>
      </c>
    </row>
    <row r="394" spans="70:70">
      <c r="BR394" s="31" t="str">
        <f>IF($BO394&lt;&gt;"",IF(IFERROR(VLOOKUP($BO394,#REF!,4,FALSE),"")=0,"",IFERROR(VLOOKUP($BO394,#REF!,4,FALSE),"")),"")</f>
        <v/>
      </c>
    </row>
    <row r="395" spans="70:70">
      <c r="BR395" s="31" t="str">
        <f>IF($BO395&lt;&gt;"",IF(IFERROR(VLOOKUP($BO395,#REF!,4,FALSE),"")=0,"",IFERROR(VLOOKUP($BO395,#REF!,4,FALSE),"")),"")</f>
        <v/>
      </c>
    </row>
    <row r="396" spans="70:70">
      <c r="BR396" s="31" t="str">
        <f>IF($BO396&lt;&gt;"",IF(IFERROR(VLOOKUP($BO396,#REF!,4,FALSE),"")=0,"",IFERROR(VLOOKUP($BO396,#REF!,4,FALSE),"")),"")</f>
        <v/>
      </c>
    </row>
    <row r="397" spans="70:70">
      <c r="BR397" s="31" t="str">
        <f>IF($BO397&lt;&gt;"",IF(IFERROR(VLOOKUP($BO397,#REF!,4,FALSE),"")=0,"",IFERROR(VLOOKUP($BO397,#REF!,4,FALSE),"")),"")</f>
        <v/>
      </c>
    </row>
    <row r="398" spans="70:70">
      <c r="BR398" s="31" t="str">
        <f>IF($BO398&lt;&gt;"",IF(IFERROR(VLOOKUP($BO398,#REF!,4,FALSE),"")=0,"",IFERROR(VLOOKUP($BO398,#REF!,4,FALSE),"")),"")</f>
        <v/>
      </c>
    </row>
    <row r="399" spans="70:70">
      <c r="BR399" s="31" t="str">
        <f>IF($BO399&lt;&gt;"",IF(IFERROR(VLOOKUP($BO399,#REF!,4,FALSE),"")=0,"",IFERROR(VLOOKUP($BO399,#REF!,4,FALSE),"")),"")</f>
        <v/>
      </c>
    </row>
    <row r="400" spans="70:70">
      <c r="BR400" s="31" t="str">
        <f>IF($BO400&lt;&gt;"",IF(IFERROR(VLOOKUP($BO400,#REF!,4,FALSE),"")=0,"",IFERROR(VLOOKUP($BO400,#REF!,4,FALSE),"")),"")</f>
        <v/>
      </c>
    </row>
    <row r="401" spans="70:70">
      <c r="BR401" s="31" t="str">
        <f>IF($BO401&lt;&gt;"",IF(IFERROR(VLOOKUP($BO401,#REF!,4,FALSE),"")=0,"",IFERROR(VLOOKUP($BO401,#REF!,4,FALSE),"")),"")</f>
        <v/>
      </c>
    </row>
    <row r="402" spans="70:70">
      <c r="BR402" s="31" t="str">
        <f>IF($BO402&lt;&gt;"",IF(IFERROR(VLOOKUP($BO402,#REF!,4,FALSE),"")=0,"",IFERROR(VLOOKUP($BO402,#REF!,4,FALSE),"")),"")</f>
        <v/>
      </c>
    </row>
    <row r="403" spans="70:70">
      <c r="BR403" s="31" t="str">
        <f>IF($BO403&lt;&gt;"",IF(IFERROR(VLOOKUP($BO403,#REF!,4,FALSE),"")=0,"",IFERROR(VLOOKUP($BO403,#REF!,4,FALSE),"")),"")</f>
        <v/>
      </c>
    </row>
    <row r="404" spans="70:70">
      <c r="BR404" s="31" t="str">
        <f>IF($BO404&lt;&gt;"",IF(IFERROR(VLOOKUP($BO404,#REF!,4,FALSE),"")=0,"",IFERROR(VLOOKUP($BO404,#REF!,4,FALSE),"")),"")</f>
        <v/>
      </c>
    </row>
    <row r="405" spans="70:70">
      <c r="BR405" s="31" t="str">
        <f>IF($BO405&lt;&gt;"",IF(IFERROR(VLOOKUP($BO405,#REF!,4,FALSE),"")=0,"",IFERROR(VLOOKUP($BO405,#REF!,4,FALSE),"")),"")</f>
        <v/>
      </c>
    </row>
    <row r="406" spans="70:70">
      <c r="BR406" s="31" t="str">
        <f>IF($BO406&lt;&gt;"",IF(IFERROR(VLOOKUP($BO406,#REF!,4,FALSE),"")=0,"",IFERROR(VLOOKUP($BO406,#REF!,4,FALSE),"")),"")</f>
        <v/>
      </c>
    </row>
    <row r="407" spans="70:70">
      <c r="BR407" s="31" t="str">
        <f>IF($BO407&lt;&gt;"",IF(IFERROR(VLOOKUP($BO407,#REF!,4,FALSE),"")=0,"",IFERROR(VLOOKUP($BO407,#REF!,4,FALSE),"")),"")</f>
        <v/>
      </c>
    </row>
    <row r="408" spans="70:70">
      <c r="BR408" s="31" t="str">
        <f>IF($BO408&lt;&gt;"",IF(IFERROR(VLOOKUP($BO408,#REF!,4,FALSE),"")=0,"",IFERROR(VLOOKUP($BO408,#REF!,4,FALSE),"")),"")</f>
        <v/>
      </c>
    </row>
    <row r="409" spans="70:70">
      <c r="BR409" s="31" t="str">
        <f>IF($BO409&lt;&gt;"",IF(IFERROR(VLOOKUP($BO409,#REF!,4,FALSE),"")=0,"",IFERROR(VLOOKUP($BO409,#REF!,4,FALSE),"")),"")</f>
        <v/>
      </c>
    </row>
    <row r="410" spans="70:70">
      <c r="BR410" s="31" t="str">
        <f>IF($BO410&lt;&gt;"",IF(IFERROR(VLOOKUP($BO410,#REF!,4,FALSE),"")=0,"",IFERROR(VLOOKUP($BO410,#REF!,4,FALSE),"")),"")</f>
        <v/>
      </c>
    </row>
    <row r="411" spans="70:70">
      <c r="BR411" s="31" t="str">
        <f>IF($BO411&lt;&gt;"",IF(IFERROR(VLOOKUP($BO411,#REF!,4,FALSE),"")=0,"",IFERROR(VLOOKUP($BO411,#REF!,4,FALSE),"")),"")</f>
        <v/>
      </c>
    </row>
    <row r="412" spans="70:70">
      <c r="BR412" s="31" t="str">
        <f>IF($BO412&lt;&gt;"",IF(IFERROR(VLOOKUP($BO412,#REF!,4,FALSE),"")=0,"",IFERROR(VLOOKUP($BO412,#REF!,4,FALSE),"")),"")</f>
        <v/>
      </c>
    </row>
    <row r="413" spans="70:70">
      <c r="BR413" s="31" t="str">
        <f>IF($BO413&lt;&gt;"",IF(IFERROR(VLOOKUP($BO413,#REF!,4,FALSE),"")=0,"",IFERROR(VLOOKUP($BO413,#REF!,4,FALSE),"")),"")</f>
        <v/>
      </c>
    </row>
    <row r="414" spans="70:70">
      <c r="BR414" s="31" t="str">
        <f>IF($BO414&lt;&gt;"",IF(IFERROR(VLOOKUP($BO414,#REF!,4,FALSE),"")=0,"",IFERROR(VLOOKUP($BO414,#REF!,4,FALSE),"")),"")</f>
        <v/>
      </c>
    </row>
    <row r="415" spans="70:70">
      <c r="BR415" s="31" t="str">
        <f>IF($BO415&lt;&gt;"",IF(IFERROR(VLOOKUP($BO415,#REF!,4,FALSE),"")=0,"",IFERROR(VLOOKUP($BO415,#REF!,4,FALSE),"")),"")</f>
        <v/>
      </c>
    </row>
    <row r="416" spans="70:70">
      <c r="BR416" s="31" t="str">
        <f>IF($BO416&lt;&gt;"",IF(IFERROR(VLOOKUP($BO416,#REF!,4,FALSE),"")=0,"",IFERROR(VLOOKUP($BO416,#REF!,4,FALSE),"")),"")</f>
        <v/>
      </c>
    </row>
    <row r="417" spans="70:70">
      <c r="BR417" s="31" t="str">
        <f>IF($BO417&lt;&gt;"",IF(IFERROR(VLOOKUP($BO417,#REF!,4,FALSE),"")=0,"",IFERROR(VLOOKUP($BO417,#REF!,4,FALSE),"")),"")</f>
        <v/>
      </c>
    </row>
    <row r="418" spans="70:70">
      <c r="BR418" s="31" t="str">
        <f>IF($BO418&lt;&gt;"",IF(IFERROR(VLOOKUP($BO418,#REF!,4,FALSE),"")=0,"",IFERROR(VLOOKUP($BO418,#REF!,4,FALSE),"")),"")</f>
        <v/>
      </c>
    </row>
    <row r="419" spans="70:70">
      <c r="BR419" s="31" t="str">
        <f>IF($BO419&lt;&gt;"",IF(IFERROR(VLOOKUP($BO419,#REF!,4,FALSE),"")=0,"",IFERROR(VLOOKUP($BO419,#REF!,4,FALSE),"")),"")</f>
        <v/>
      </c>
    </row>
    <row r="420" spans="70:70">
      <c r="BR420" s="31" t="str">
        <f>IF($BO420&lt;&gt;"",IF(IFERROR(VLOOKUP($BO420,#REF!,4,FALSE),"")=0,"",IFERROR(VLOOKUP($BO420,#REF!,4,FALSE),"")),"")</f>
        <v/>
      </c>
    </row>
    <row r="421" spans="70:70">
      <c r="BR421" s="31" t="str">
        <f>IF($BO421&lt;&gt;"",IF(IFERROR(VLOOKUP($BO421,#REF!,4,FALSE),"")=0,"",IFERROR(VLOOKUP($BO421,#REF!,4,FALSE),"")),"")</f>
        <v/>
      </c>
    </row>
    <row r="422" spans="70:70">
      <c r="BR422" s="31" t="str">
        <f>IF($BO422&lt;&gt;"",IF(IFERROR(VLOOKUP($BO422,#REF!,4,FALSE),"")=0,"",IFERROR(VLOOKUP($BO422,#REF!,4,FALSE),"")),"")</f>
        <v/>
      </c>
    </row>
    <row r="423" spans="70:70">
      <c r="BR423" s="31" t="str">
        <f>IF($BO423&lt;&gt;"",IF(IFERROR(VLOOKUP($BO423,#REF!,4,FALSE),"")=0,"",IFERROR(VLOOKUP($BO423,#REF!,4,FALSE),"")),"")</f>
        <v/>
      </c>
    </row>
    <row r="424" spans="70:70">
      <c r="BR424" s="31" t="str">
        <f>IF($BO424&lt;&gt;"",IF(IFERROR(VLOOKUP($BO424,#REF!,4,FALSE),"")=0,"",IFERROR(VLOOKUP($BO424,#REF!,4,FALSE),"")),"")</f>
        <v/>
      </c>
    </row>
    <row r="425" spans="70:70">
      <c r="BR425" s="31" t="str">
        <f>IF($BO425&lt;&gt;"",IF(IFERROR(VLOOKUP($BO425,#REF!,4,FALSE),"")=0,"",IFERROR(VLOOKUP($BO425,#REF!,4,FALSE),"")),"")</f>
        <v/>
      </c>
    </row>
    <row r="426" spans="70:70">
      <c r="BR426" s="31" t="str">
        <f>IF($BO426&lt;&gt;"",IF(IFERROR(VLOOKUP($BO426,#REF!,4,FALSE),"")=0,"",IFERROR(VLOOKUP($BO426,#REF!,4,FALSE),"")),"")</f>
        <v/>
      </c>
    </row>
    <row r="427" spans="70:70">
      <c r="BR427" s="31" t="str">
        <f>IF($BO427&lt;&gt;"",IF(IFERROR(VLOOKUP($BO427,#REF!,4,FALSE),"")=0,"",IFERROR(VLOOKUP($BO427,#REF!,4,FALSE),"")),"")</f>
        <v/>
      </c>
    </row>
    <row r="428" spans="70:70">
      <c r="BR428" s="31" t="str">
        <f>IF($BO428&lt;&gt;"",IF(IFERROR(VLOOKUP($BO428,#REF!,4,FALSE),"")=0,"",IFERROR(VLOOKUP($BO428,#REF!,4,FALSE),"")),"")</f>
        <v/>
      </c>
    </row>
    <row r="429" spans="70:70">
      <c r="BR429" s="31" t="str">
        <f>IF($BO429&lt;&gt;"",IF(IFERROR(VLOOKUP($BO429,#REF!,4,FALSE),"")=0,"",IFERROR(VLOOKUP($BO429,#REF!,4,FALSE),"")),"")</f>
        <v/>
      </c>
    </row>
    <row r="430" spans="70:70">
      <c r="BR430" s="31" t="str">
        <f>IF($BO430&lt;&gt;"",IF(IFERROR(VLOOKUP($BO430,#REF!,4,FALSE),"")=0,"",IFERROR(VLOOKUP($BO430,#REF!,4,FALSE),"")),"")</f>
        <v/>
      </c>
    </row>
    <row r="431" spans="70:70">
      <c r="BR431" s="31" t="str">
        <f>IF($BO431&lt;&gt;"",IF(IFERROR(VLOOKUP($BO431,#REF!,4,FALSE),"")=0,"",IFERROR(VLOOKUP($BO431,#REF!,4,FALSE),"")),"")</f>
        <v/>
      </c>
    </row>
    <row r="432" spans="70:70">
      <c r="BR432" s="31" t="str">
        <f>IF($BO432&lt;&gt;"",IF(IFERROR(VLOOKUP($BO432,#REF!,4,FALSE),"")=0,"",IFERROR(VLOOKUP($BO432,#REF!,4,FALSE),"")),"")</f>
        <v/>
      </c>
    </row>
    <row r="433" spans="70:70">
      <c r="BR433" s="31" t="str">
        <f>IF($BO433&lt;&gt;"",IF(IFERROR(VLOOKUP($BO433,#REF!,4,FALSE),"")=0,"",IFERROR(VLOOKUP($BO433,#REF!,4,FALSE),"")),"")</f>
        <v/>
      </c>
    </row>
    <row r="434" spans="70:70">
      <c r="BR434" s="31" t="str">
        <f>IF($BO434&lt;&gt;"",IF(IFERROR(VLOOKUP($BO434,#REF!,4,FALSE),"")=0,"",IFERROR(VLOOKUP($BO434,#REF!,4,FALSE),"")),"")</f>
        <v/>
      </c>
    </row>
    <row r="435" spans="70:70">
      <c r="BR435" s="31" t="str">
        <f>IF($BO435&lt;&gt;"",IF(IFERROR(VLOOKUP($BO435,#REF!,4,FALSE),"")=0,"",IFERROR(VLOOKUP($BO435,#REF!,4,FALSE),"")),"")</f>
        <v/>
      </c>
    </row>
    <row r="436" spans="70:70">
      <c r="BR436" s="31" t="str">
        <f>IF($BO436&lt;&gt;"",IF(IFERROR(VLOOKUP($BO436,#REF!,4,FALSE),"")=0,"",IFERROR(VLOOKUP($BO436,#REF!,4,FALSE),"")),"")</f>
        <v/>
      </c>
    </row>
    <row r="437" spans="70:70">
      <c r="BR437" s="31" t="str">
        <f>IF($BO437&lt;&gt;"",IF(IFERROR(VLOOKUP($BO437,#REF!,4,FALSE),"")=0,"",IFERROR(VLOOKUP($BO437,#REF!,4,FALSE),"")),"")</f>
        <v/>
      </c>
    </row>
    <row r="438" spans="70:70">
      <c r="BR438" s="31" t="str">
        <f>IF($BO438&lt;&gt;"",IF(IFERROR(VLOOKUP($BO438,#REF!,4,FALSE),"")=0,"",IFERROR(VLOOKUP($BO438,#REF!,4,FALSE),"")),"")</f>
        <v/>
      </c>
    </row>
    <row r="439" spans="70:70">
      <c r="BR439" s="31" t="str">
        <f>IF($BO439&lt;&gt;"",IF(IFERROR(VLOOKUP($BO439,#REF!,4,FALSE),"")=0,"",IFERROR(VLOOKUP($BO439,#REF!,4,FALSE),"")),"")</f>
        <v/>
      </c>
    </row>
    <row r="440" spans="70:70">
      <c r="BR440" s="31" t="str">
        <f>IF($BO440&lt;&gt;"",IF(IFERROR(VLOOKUP($BO440,#REF!,4,FALSE),"")=0,"",IFERROR(VLOOKUP($BO440,#REF!,4,FALSE),"")),"")</f>
        <v/>
      </c>
    </row>
    <row r="441" spans="70:70">
      <c r="BR441" s="31" t="str">
        <f>IF($BO441&lt;&gt;"",IF(IFERROR(VLOOKUP($BO441,#REF!,4,FALSE),"")=0,"",IFERROR(VLOOKUP($BO441,#REF!,4,FALSE),"")),"")</f>
        <v/>
      </c>
    </row>
    <row r="442" spans="70:70">
      <c r="BR442" s="31" t="str">
        <f>IF($BO442&lt;&gt;"",IF(IFERROR(VLOOKUP($BO442,#REF!,4,FALSE),"")=0,"",IFERROR(VLOOKUP($BO442,#REF!,4,FALSE),"")),"")</f>
        <v/>
      </c>
    </row>
    <row r="443" spans="70:70">
      <c r="BR443" s="31" t="str">
        <f>IF($BO443&lt;&gt;"",IF(IFERROR(VLOOKUP($BO443,#REF!,4,FALSE),"")=0,"",IFERROR(VLOOKUP($BO443,#REF!,4,FALSE),"")),"")</f>
        <v/>
      </c>
    </row>
    <row r="444" spans="70:70">
      <c r="BR444" s="31" t="str">
        <f>IF($BO444&lt;&gt;"",IF(IFERROR(VLOOKUP($BO444,#REF!,4,FALSE),"")=0,"",IFERROR(VLOOKUP($BO444,#REF!,4,FALSE),"")),"")</f>
        <v/>
      </c>
    </row>
    <row r="445" spans="70:70">
      <c r="BR445" s="31" t="str">
        <f>IF($BO445&lt;&gt;"",IF(IFERROR(VLOOKUP($BO445,#REF!,4,FALSE),"")=0,"",IFERROR(VLOOKUP($BO445,#REF!,4,FALSE),"")),"")</f>
        <v/>
      </c>
    </row>
    <row r="446" spans="70:70">
      <c r="BR446" s="31" t="str">
        <f>IF($BO446&lt;&gt;"",IF(IFERROR(VLOOKUP($BO446,#REF!,4,FALSE),"")=0,"",IFERROR(VLOOKUP($BO446,#REF!,4,FALSE),"")),"")</f>
        <v/>
      </c>
    </row>
    <row r="447" spans="70:70">
      <c r="BR447" s="31" t="str">
        <f>IF($BO447&lt;&gt;"",IF(IFERROR(VLOOKUP($BO447,#REF!,4,FALSE),"")=0,"",IFERROR(VLOOKUP($BO447,#REF!,4,FALSE),"")),"")</f>
        <v/>
      </c>
    </row>
    <row r="448" spans="70:70">
      <c r="BR448" s="31" t="str">
        <f>IF($BO448&lt;&gt;"",IF(IFERROR(VLOOKUP($BO448,#REF!,4,FALSE),"")=0,"",IFERROR(VLOOKUP($BO448,#REF!,4,FALSE),"")),"")</f>
        <v/>
      </c>
    </row>
    <row r="449" spans="70:70">
      <c r="BR449" s="31" t="str">
        <f>IF($BO449&lt;&gt;"",IF(IFERROR(VLOOKUP($BO449,#REF!,4,FALSE),"")=0,"",IFERROR(VLOOKUP($BO449,#REF!,4,FALSE),"")),"")</f>
        <v/>
      </c>
    </row>
    <row r="450" spans="70:70">
      <c r="BR450" s="31" t="str">
        <f>IF($BO450&lt;&gt;"",IF(IFERROR(VLOOKUP($BO450,#REF!,4,FALSE),"")=0,"",IFERROR(VLOOKUP($BO450,#REF!,4,FALSE),"")),"")</f>
        <v/>
      </c>
    </row>
    <row r="451" spans="70:70">
      <c r="BR451" s="31" t="str">
        <f>IF($BO451&lt;&gt;"",IF(IFERROR(VLOOKUP($BO451,#REF!,4,FALSE),"")=0,"",IFERROR(VLOOKUP($BO451,#REF!,4,FALSE),"")),"")</f>
        <v/>
      </c>
    </row>
    <row r="452" spans="70:70">
      <c r="BR452" s="31" t="str">
        <f>IF($BO452&lt;&gt;"",IF(IFERROR(VLOOKUP($BO452,#REF!,4,FALSE),"")=0,"",IFERROR(VLOOKUP($BO452,#REF!,4,FALSE),"")),"")</f>
        <v/>
      </c>
    </row>
    <row r="453" spans="70:70">
      <c r="BR453" s="31" t="str">
        <f>IF($BO453&lt;&gt;"",IF(IFERROR(VLOOKUP($BO453,#REF!,4,FALSE),"")=0,"",IFERROR(VLOOKUP($BO453,#REF!,4,FALSE),"")),"")</f>
        <v/>
      </c>
    </row>
    <row r="454" spans="70:70">
      <c r="BR454" s="31" t="str">
        <f>IF($BO454&lt;&gt;"",IF(IFERROR(VLOOKUP($BO454,#REF!,4,FALSE),"")=0,"",IFERROR(VLOOKUP($BO454,#REF!,4,FALSE),"")),"")</f>
        <v/>
      </c>
    </row>
    <row r="455" spans="70:70">
      <c r="BR455" s="31" t="str">
        <f>IF($BO455&lt;&gt;"",IF(IFERROR(VLOOKUP($BO455,#REF!,4,FALSE),"")=0,"",IFERROR(VLOOKUP($BO455,#REF!,4,FALSE),"")),"")</f>
        <v/>
      </c>
    </row>
    <row r="456" spans="70:70">
      <c r="BR456" s="31" t="str">
        <f>IF($BO456&lt;&gt;"",IF(IFERROR(VLOOKUP($BO456,#REF!,4,FALSE),"")=0,"",IFERROR(VLOOKUP($BO456,#REF!,4,FALSE),"")),"")</f>
        <v/>
      </c>
    </row>
    <row r="457" spans="70:70">
      <c r="BR457" s="31" t="str">
        <f>IF($BO457&lt;&gt;"",IF(IFERROR(VLOOKUP($BO457,#REF!,4,FALSE),"")=0,"",IFERROR(VLOOKUP($BO457,#REF!,4,FALSE),"")),"")</f>
        <v/>
      </c>
    </row>
    <row r="458" spans="70:70">
      <c r="BR458" s="31" t="str">
        <f>IF($BO458&lt;&gt;"",IF(IFERROR(VLOOKUP($BO458,#REF!,4,FALSE),"")=0,"",IFERROR(VLOOKUP($BO458,#REF!,4,FALSE),"")),"")</f>
        <v/>
      </c>
    </row>
    <row r="459" spans="70:70">
      <c r="BR459" s="31" t="str">
        <f>IF($BO459&lt;&gt;"",IF(IFERROR(VLOOKUP($BO459,#REF!,4,FALSE),"")=0,"",IFERROR(VLOOKUP($BO459,#REF!,4,FALSE),"")),"")</f>
        <v/>
      </c>
    </row>
    <row r="460" spans="70:70">
      <c r="BR460" s="31" t="str">
        <f>IF($BO460&lt;&gt;"",IF(IFERROR(VLOOKUP($BO460,#REF!,4,FALSE),"")=0,"",IFERROR(VLOOKUP($BO460,#REF!,4,FALSE),"")),"")</f>
        <v/>
      </c>
    </row>
    <row r="461" spans="70:70">
      <c r="BR461" s="31" t="str">
        <f>IF($BO461&lt;&gt;"",IF(IFERROR(VLOOKUP($BO461,#REF!,4,FALSE),"")=0,"",IFERROR(VLOOKUP($BO461,#REF!,4,FALSE),"")),"")</f>
        <v/>
      </c>
    </row>
    <row r="462" spans="70:70">
      <c r="BR462" s="31" t="str">
        <f>IF($BO462&lt;&gt;"",IF(IFERROR(VLOOKUP($BO462,#REF!,4,FALSE),"")=0,"",IFERROR(VLOOKUP($BO462,#REF!,4,FALSE),"")),"")</f>
        <v/>
      </c>
    </row>
    <row r="463" spans="70:70">
      <c r="BR463" s="31" t="str">
        <f>IF($BO463&lt;&gt;"",IF(IFERROR(VLOOKUP($BO463,#REF!,4,FALSE),"")=0,"",IFERROR(VLOOKUP($BO463,#REF!,4,FALSE),"")),"")</f>
        <v/>
      </c>
    </row>
    <row r="464" spans="70:70">
      <c r="BR464" s="31" t="str">
        <f>IF($BO464&lt;&gt;"",IF(IFERROR(VLOOKUP($BO464,#REF!,4,FALSE),"")=0,"",IFERROR(VLOOKUP($BO464,#REF!,4,FALSE),"")),"")</f>
        <v/>
      </c>
    </row>
    <row r="465" spans="70:70">
      <c r="BR465" s="31" t="str">
        <f>IF($BO465&lt;&gt;"",IF(IFERROR(VLOOKUP($BO465,#REF!,4,FALSE),"")=0,"",IFERROR(VLOOKUP($BO465,#REF!,4,FALSE),"")),"")</f>
        <v/>
      </c>
    </row>
    <row r="466" spans="70:70">
      <c r="BR466" s="31" t="str">
        <f>IF($BO466&lt;&gt;"",IF(IFERROR(VLOOKUP($BO466,#REF!,4,FALSE),"")=0,"",IFERROR(VLOOKUP($BO466,#REF!,4,FALSE),"")),"")</f>
        <v/>
      </c>
    </row>
    <row r="467" spans="70:70">
      <c r="BR467" s="31" t="str">
        <f>IF($BO467&lt;&gt;"",IF(IFERROR(VLOOKUP($BO467,#REF!,4,FALSE),"")=0,"",IFERROR(VLOOKUP($BO467,#REF!,4,FALSE),"")),"")</f>
        <v/>
      </c>
    </row>
    <row r="468" spans="70:70">
      <c r="BR468" s="31" t="str">
        <f>IF($BO468&lt;&gt;"",IF(IFERROR(VLOOKUP($BO468,#REF!,4,FALSE),"")=0,"",IFERROR(VLOOKUP($BO468,#REF!,4,FALSE),"")),"")</f>
        <v/>
      </c>
    </row>
    <row r="469" spans="70:70">
      <c r="BR469" s="31" t="str">
        <f>IF($BO469&lt;&gt;"",IF(IFERROR(VLOOKUP($BO469,#REF!,4,FALSE),"")=0,"",IFERROR(VLOOKUP($BO469,#REF!,4,FALSE),"")),"")</f>
        <v/>
      </c>
    </row>
    <row r="470" spans="70:70">
      <c r="BR470" s="31" t="str">
        <f>IF($BO470&lt;&gt;"",IF(IFERROR(VLOOKUP($BO470,#REF!,4,FALSE),"")=0,"",IFERROR(VLOOKUP($BO470,#REF!,4,FALSE),"")),"")</f>
        <v/>
      </c>
    </row>
    <row r="471" spans="70:70">
      <c r="BR471" s="31" t="str">
        <f>IF($BO471&lt;&gt;"",IF(IFERROR(VLOOKUP($BO471,#REF!,4,FALSE),"")=0,"",IFERROR(VLOOKUP($BO471,#REF!,4,FALSE),"")),"")</f>
        <v/>
      </c>
    </row>
    <row r="472" spans="70:70">
      <c r="BR472" s="31" t="str">
        <f>IF($BO472&lt;&gt;"",IF(IFERROR(VLOOKUP($BO472,#REF!,4,FALSE),"")=0,"",IFERROR(VLOOKUP($BO472,#REF!,4,FALSE),"")),"")</f>
        <v/>
      </c>
    </row>
    <row r="473" spans="70:70">
      <c r="BR473" s="31" t="str">
        <f>IF($BO473&lt;&gt;"",IF(IFERROR(VLOOKUP($BO473,#REF!,4,FALSE),"")=0,"",IFERROR(VLOOKUP($BO473,#REF!,4,FALSE),"")),"")</f>
        <v/>
      </c>
    </row>
    <row r="474" spans="70:70">
      <c r="BR474" s="31" t="str">
        <f>IF($BO474&lt;&gt;"",IF(IFERROR(VLOOKUP($BO474,#REF!,4,FALSE),"")=0,"",IFERROR(VLOOKUP($BO474,#REF!,4,FALSE),"")),"")</f>
        <v/>
      </c>
    </row>
    <row r="475" spans="70:70">
      <c r="BR475" s="31" t="str">
        <f>IF($BO475&lt;&gt;"",IF(IFERROR(VLOOKUP($BO475,#REF!,4,FALSE),"")=0,"",IFERROR(VLOOKUP($BO475,#REF!,4,FALSE),"")),"")</f>
        <v/>
      </c>
    </row>
    <row r="476" spans="70:70">
      <c r="BR476" s="31" t="str">
        <f>IF($BO476&lt;&gt;"",IF(IFERROR(VLOOKUP($BO476,#REF!,4,FALSE),"")=0,"",IFERROR(VLOOKUP($BO476,#REF!,4,FALSE),"")),"")</f>
        <v/>
      </c>
    </row>
    <row r="477" spans="70:70">
      <c r="BR477" s="31" t="str">
        <f>IF($BO477&lt;&gt;"",IF(IFERROR(VLOOKUP($BO477,#REF!,4,FALSE),"")=0,"",IFERROR(VLOOKUP($BO477,#REF!,4,FALSE),"")),"")</f>
        <v/>
      </c>
    </row>
    <row r="478" spans="70:70">
      <c r="BR478" s="31" t="str">
        <f>IF($BO478&lt;&gt;"",IF(IFERROR(VLOOKUP($BO478,#REF!,4,FALSE),"")=0,"",IFERROR(VLOOKUP($BO478,#REF!,4,FALSE),"")),"")</f>
        <v/>
      </c>
    </row>
    <row r="479" spans="70:70">
      <c r="BR479" s="31" t="str">
        <f>IF($BO479&lt;&gt;"",IF(IFERROR(VLOOKUP($BO479,#REF!,4,FALSE),"")=0,"",IFERROR(VLOOKUP($BO479,#REF!,4,FALSE),"")),"")</f>
        <v/>
      </c>
    </row>
    <row r="480" spans="70:70">
      <c r="BR480" s="31" t="str">
        <f>IF($BO480&lt;&gt;"",IF(IFERROR(VLOOKUP($BO480,#REF!,4,FALSE),"")=0,"",IFERROR(VLOOKUP($BO480,#REF!,4,FALSE),"")),"")</f>
        <v/>
      </c>
    </row>
    <row r="481" spans="70:70">
      <c r="BR481" s="31" t="str">
        <f>IF($BO481&lt;&gt;"",IF(IFERROR(VLOOKUP($BO481,#REF!,4,FALSE),"")=0,"",IFERROR(VLOOKUP($BO481,#REF!,4,FALSE),"")),"")</f>
        <v/>
      </c>
    </row>
    <row r="482" spans="70:70">
      <c r="BR482" s="31" t="str">
        <f>IF($BO482&lt;&gt;"",IF(IFERROR(VLOOKUP($BO482,#REF!,4,FALSE),"")=0,"",IFERROR(VLOOKUP($BO482,#REF!,4,FALSE),"")),"")</f>
        <v/>
      </c>
    </row>
    <row r="483" spans="70:70">
      <c r="BR483" s="31" t="str">
        <f>IF($BO483&lt;&gt;"",IF(IFERROR(VLOOKUP($BO483,#REF!,4,FALSE),"")=0,"",IFERROR(VLOOKUP($BO483,#REF!,4,FALSE),"")),"")</f>
        <v/>
      </c>
    </row>
    <row r="484" spans="70:70">
      <c r="BR484" s="31" t="str">
        <f>IF($BO484&lt;&gt;"",IF(IFERROR(VLOOKUP($BO484,#REF!,4,FALSE),"")=0,"",IFERROR(VLOOKUP($BO484,#REF!,4,FALSE),"")),"")</f>
        <v/>
      </c>
    </row>
    <row r="485" spans="70:70">
      <c r="BR485" s="31" t="str">
        <f>IF($BO485&lt;&gt;"",IF(IFERROR(VLOOKUP($BO485,#REF!,4,FALSE),"")=0,"",IFERROR(VLOOKUP($BO485,#REF!,4,FALSE),"")),"")</f>
        <v/>
      </c>
    </row>
    <row r="486" spans="70:70">
      <c r="BR486" s="31" t="str">
        <f>IF($BO486&lt;&gt;"",IF(IFERROR(VLOOKUP($BO486,#REF!,4,FALSE),"")=0,"",IFERROR(VLOOKUP($BO486,#REF!,4,FALSE),"")),"")</f>
        <v/>
      </c>
    </row>
    <row r="487" spans="70:70">
      <c r="BR487" s="31" t="str">
        <f>IF($BO487&lt;&gt;"",IF(IFERROR(VLOOKUP($BO487,#REF!,4,FALSE),"")=0,"",IFERROR(VLOOKUP($BO487,#REF!,4,FALSE),"")),"")</f>
        <v/>
      </c>
    </row>
    <row r="488" spans="70:70">
      <c r="BR488" s="31" t="str">
        <f>IF($BO488&lt;&gt;"",IF(IFERROR(VLOOKUP($BO488,#REF!,4,FALSE),"")=0,"",IFERROR(VLOOKUP($BO488,#REF!,4,FALSE),"")),"")</f>
        <v/>
      </c>
    </row>
    <row r="489" spans="70:70">
      <c r="BR489" s="31" t="str">
        <f>IF($BO489&lt;&gt;"",IF(IFERROR(VLOOKUP($BO489,#REF!,4,FALSE),"")=0,"",IFERROR(VLOOKUP($BO489,#REF!,4,FALSE),"")),"")</f>
        <v/>
      </c>
    </row>
    <row r="490" spans="70:70">
      <c r="BR490" s="31" t="str">
        <f>IF($BO490&lt;&gt;"",IF(IFERROR(VLOOKUP($BO490,#REF!,4,FALSE),"")=0,"",IFERROR(VLOOKUP($BO490,#REF!,4,FALSE),"")),"")</f>
        <v/>
      </c>
    </row>
    <row r="491" spans="70:70">
      <c r="BR491" s="31" t="str">
        <f>IF($BO491&lt;&gt;"",IF(IFERROR(VLOOKUP($BO491,#REF!,4,FALSE),"")=0,"",IFERROR(VLOOKUP($BO491,#REF!,4,FALSE),"")),"")</f>
        <v/>
      </c>
    </row>
    <row r="492" spans="70:70">
      <c r="BR492" s="31" t="str">
        <f>IF($BO492&lt;&gt;"",IF(IFERROR(VLOOKUP($BO492,#REF!,4,FALSE),"")=0,"",IFERROR(VLOOKUP($BO492,#REF!,4,FALSE),"")),"")</f>
        <v/>
      </c>
    </row>
    <row r="493" spans="70:70">
      <c r="BR493" s="31" t="str">
        <f>IF($BO493&lt;&gt;"",IF(IFERROR(VLOOKUP($BO493,#REF!,4,FALSE),"")=0,"",IFERROR(VLOOKUP($BO493,#REF!,4,FALSE),"")),"")</f>
        <v/>
      </c>
    </row>
    <row r="494" spans="70:70">
      <c r="BR494" s="31" t="str">
        <f>IF($BO494&lt;&gt;"",IF(IFERROR(VLOOKUP($BO494,#REF!,4,FALSE),"")=0,"",IFERROR(VLOOKUP($BO494,#REF!,4,FALSE),"")),"")</f>
        <v/>
      </c>
    </row>
    <row r="495" spans="70:70">
      <c r="BR495" s="31" t="str">
        <f>IF($BO495&lt;&gt;"",IF(IFERROR(VLOOKUP($BO495,#REF!,4,FALSE),"")=0,"",IFERROR(VLOOKUP($BO495,#REF!,4,FALSE),"")),"")</f>
        <v/>
      </c>
    </row>
    <row r="496" spans="70:70">
      <c r="BR496" s="31" t="str">
        <f>IF($BO496&lt;&gt;"",IF(IFERROR(VLOOKUP($BO496,#REF!,4,FALSE),"")=0,"",IFERROR(VLOOKUP($BO496,#REF!,4,FALSE),"")),"")</f>
        <v/>
      </c>
    </row>
    <row r="497" spans="70:70">
      <c r="BR497" s="31" t="str">
        <f>IF($BO497&lt;&gt;"",IF(IFERROR(VLOOKUP($BO497,#REF!,4,FALSE),"")=0,"",IFERROR(VLOOKUP($BO497,#REF!,4,FALSE),"")),"")</f>
        <v/>
      </c>
    </row>
    <row r="498" spans="70:70">
      <c r="BR498" s="31" t="str">
        <f>IF($BO498&lt;&gt;"",IF(IFERROR(VLOOKUP($BO498,#REF!,4,FALSE),"")=0,"",IFERROR(VLOOKUP($BO498,#REF!,4,FALSE),"")),"")</f>
        <v/>
      </c>
    </row>
    <row r="499" spans="70:70">
      <c r="BR499" s="31" t="str">
        <f>IF($BO499&lt;&gt;"",IF(IFERROR(VLOOKUP($BO499,#REF!,4,FALSE),"")=0,"",IFERROR(VLOOKUP($BO499,#REF!,4,FALSE),"")),"")</f>
        <v/>
      </c>
    </row>
    <row r="500" spans="70:70">
      <c r="BR500" s="31" t="str">
        <f>IF($BO500&lt;&gt;"",IF(IFERROR(VLOOKUP($BO500,#REF!,4,FALSE),"")=0,"",IFERROR(VLOOKUP($BO500,#REF!,4,FALSE),"")),"")</f>
        <v/>
      </c>
    </row>
    <row r="501" spans="70:70">
      <c r="BR501" s="31" t="str">
        <f>IF($BO501&lt;&gt;"",IF(IFERROR(VLOOKUP($BO501,#REF!,4,FALSE),"")=0,"",IFERROR(VLOOKUP($BO501,#REF!,4,FALSE),"")),"")</f>
        <v/>
      </c>
    </row>
    <row r="502" spans="70:70">
      <c r="BR502" s="31" t="str">
        <f>IF($BO502&lt;&gt;"",IF(IFERROR(VLOOKUP($BO502,#REF!,4,FALSE),"")=0,"",IFERROR(VLOOKUP($BO502,#REF!,4,FALSE),"")),"")</f>
        <v/>
      </c>
    </row>
    <row r="503" spans="70:70">
      <c r="BR503" s="31" t="str">
        <f>IF($BO503&lt;&gt;"",IF(IFERROR(VLOOKUP($BO503,#REF!,4,FALSE),"")=0,"",IFERROR(VLOOKUP($BO503,#REF!,4,FALSE),"")),"")</f>
        <v/>
      </c>
    </row>
    <row r="504" spans="70:70">
      <c r="BR504" s="31" t="str">
        <f>IF($BO504&lt;&gt;"",IF(IFERROR(VLOOKUP($BO504,#REF!,4,FALSE),"")=0,"",IFERROR(VLOOKUP($BO504,#REF!,4,FALSE),"")),"")</f>
        <v/>
      </c>
    </row>
    <row r="505" spans="70:70">
      <c r="BR505" s="31" t="str">
        <f>IF($BO505&lt;&gt;"",IF(IFERROR(VLOOKUP($BO505,#REF!,4,FALSE),"")=0,"",IFERROR(VLOOKUP($BO505,#REF!,4,FALSE),"")),"")</f>
        <v/>
      </c>
    </row>
    <row r="506" spans="70:70">
      <c r="BR506" s="31" t="str">
        <f>IF($BO506&lt;&gt;"",IF(IFERROR(VLOOKUP($BO506,#REF!,4,FALSE),"")=0,"",IFERROR(VLOOKUP($BO506,#REF!,4,FALSE),"")),"")</f>
        <v/>
      </c>
    </row>
    <row r="507" spans="70:70">
      <c r="BR507" s="31" t="str">
        <f>IF($BO507&lt;&gt;"",IF(IFERROR(VLOOKUP($BO507,#REF!,4,FALSE),"")=0,"",IFERROR(VLOOKUP($BO507,#REF!,4,FALSE),"")),"")</f>
        <v/>
      </c>
    </row>
    <row r="508" spans="70:70">
      <c r="BR508" s="31" t="str">
        <f>IF($BO508&lt;&gt;"",IF(IFERROR(VLOOKUP($BO508,#REF!,4,FALSE),"")=0,"",IFERROR(VLOOKUP($BO508,#REF!,4,FALSE),"")),"")</f>
        <v/>
      </c>
    </row>
    <row r="509" spans="70:70">
      <c r="BR509" s="31" t="str">
        <f>IF($BO509&lt;&gt;"",IF(IFERROR(VLOOKUP($BO509,#REF!,4,FALSE),"")=0,"",IFERROR(VLOOKUP($BO509,#REF!,4,FALSE),"")),"")</f>
        <v/>
      </c>
    </row>
    <row r="510" spans="70:70">
      <c r="BR510" s="31" t="str">
        <f>IF($BO510&lt;&gt;"",IF(IFERROR(VLOOKUP($BO510,#REF!,4,FALSE),"")=0,"",IFERROR(VLOOKUP($BO510,#REF!,4,FALSE),"")),"")</f>
        <v/>
      </c>
    </row>
    <row r="511" spans="70:70">
      <c r="BR511" s="31" t="str">
        <f>IF($BO511&lt;&gt;"",IF(IFERROR(VLOOKUP($BO511,#REF!,4,FALSE),"")=0,"",IFERROR(VLOOKUP($BO511,#REF!,4,FALSE),"")),"")</f>
        <v/>
      </c>
    </row>
    <row r="512" spans="70:70">
      <c r="BR512" s="31" t="str">
        <f>IF($BO512&lt;&gt;"",IF(IFERROR(VLOOKUP($BO512,#REF!,4,FALSE),"")=0,"",IFERROR(VLOOKUP($BO512,#REF!,4,FALSE),"")),"")</f>
        <v/>
      </c>
    </row>
    <row r="513" spans="70:70">
      <c r="BR513" s="31" t="str">
        <f>IF($BO513&lt;&gt;"",IF(IFERROR(VLOOKUP($BO513,#REF!,4,FALSE),"")=0,"",IFERROR(VLOOKUP($BO513,#REF!,4,FALSE),"")),"")</f>
        <v/>
      </c>
    </row>
    <row r="514" spans="70:70">
      <c r="BR514" s="31" t="str">
        <f>IF($BO514&lt;&gt;"",IF(IFERROR(VLOOKUP($BO514,#REF!,4,FALSE),"")=0,"",IFERROR(VLOOKUP($BO514,#REF!,4,FALSE),"")),"")</f>
        <v/>
      </c>
    </row>
    <row r="515" spans="70:70">
      <c r="BR515" s="31" t="str">
        <f>IF($BO515&lt;&gt;"",IF(IFERROR(VLOOKUP($BO515,#REF!,4,FALSE),"")=0,"",IFERROR(VLOOKUP($BO515,#REF!,4,FALSE),"")),"")</f>
        <v/>
      </c>
    </row>
    <row r="516" spans="70:70">
      <c r="BR516" s="31" t="str">
        <f>IF($BO516&lt;&gt;"",IF(IFERROR(VLOOKUP($BO516,#REF!,4,FALSE),"")=0,"",IFERROR(VLOOKUP($BO516,#REF!,4,FALSE),"")),"")</f>
        <v/>
      </c>
    </row>
    <row r="517" spans="70:70">
      <c r="BR517" s="31" t="str">
        <f>IF($BO517&lt;&gt;"",IF(IFERROR(VLOOKUP($BO517,#REF!,4,FALSE),"")=0,"",IFERROR(VLOOKUP($BO517,#REF!,4,FALSE),"")),"")</f>
        <v/>
      </c>
    </row>
    <row r="518" spans="70:70">
      <c r="BR518" s="31" t="str">
        <f>IF($BO518&lt;&gt;"",IF(IFERROR(VLOOKUP($BO518,#REF!,4,FALSE),"")=0,"",IFERROR(VLOOKUP($BO518,#REF!,4,FALSE),"")),"")</f>
        <v/>
      </c>
    </row>
    <row r="519" spans="70:70">
      <c r="BR519" s="31" t="str">
        <f>IF($BO519&lt;&gt;"",IF(IFERROR(VLOOKUP($BO519,#REF!,4,FALSE),"")=0,"",IFERROR(VLOOKUP($BO519,#REF!,4,FALSE),"")),"")</f>
        <v/>
      </c>
    </row>
    <row r="520" spans="70:70">
      <c r="BR520" s="31" t="str">
        <f>IF($BO520&lt;&gt;"",IF(IFERROR(VLOOKUP($BO520,#REF!,4,FALSE),"")=0,"",IFERROR(VLOOKUP($BO520,#REF!,4,FALSE),"")),"")</f>
        <v/>
      </c>
    </row>
    <row r="521" spans="70:70">
      <c r="BR521" s="31" t="str">
        <f>IF($BO521&lt;&gt;"",IF(IFERROR(VLOOKUP($BO521,#REF!,4,FALSE),"")=0,"",IFERROR(VLOOKUP($BO521,#REF!,4,FALSE),"")),"")</f>
        <v/>
      </c>
    </row>
    <row r="522" spans="70:70">
      <c r="BR522" s="31" t="str">
        <f>IF($BO522&lt;&gt;"",IF(IFERROR(VLOOKUP($BO522,#REF!,4,FALSE),"")=0,"",IFERROR(VLOOKUP($BO522,#REF!,4,FALSE),"")),"")</f>
        <v/>
      </c>
    </row>
    <row r="523" spans="70:70">
      <c r="BR523" s="31" t="str">
        <f>IF($BO523&lt;&gt;"",IF(IFERROR(VLOOKUP($BO523,#REF!,4,FALSE),"")=0,"",IFERROR(VLOOKUP($BO523,#REF!,4,FALSE),"")),"")</f>
        <v/>
      </c>
    </row>
    <row r="524" spans="70:70">
      <c r="BR524" s="31" t="str">
        <f>IF($BO524&lt;&gt;"",IF(IFERROR(VLOOKUP($BO524,#REF!,4,FALSE),"")=0,"",IFERROR(VLOOKUP($BO524,#REF!,4,FALSE),"")),"")</f>
        <v/>
      </c>
    </row>
    <row r="525" spans="70:70">
      <c r="BR525" s="31" t="str">
        <f>IF($BO525&lt;&gt;"",IF(IFERROR(VLOOKUP($BO525,#REF!,4,FALSE),"")=0,"",IFERROR(VLOOKUP($BO525,#REF!,4,FALSE),"")),"")</f>
        <v/>
      </c>
    </row>
    <row r="526" spans="70:70">
      <c r="BR526" s="31" t="str">
        <f>IF($BO526&lt;&gt;"",IF(IFERROR(VLOOKUP($BO526,#REF!,4,FALSE),"")=0,"",IFERROR(VLOOKUP($BO526,#REF!,4,FALSE),"")),"")</f>
        <v/>
      </c>
    </row>
    <row r="527" spans="70:70">
      <c r="BR527" s="31" t="str">
        <f>IF($BO527&lt;&gt;"",IF(IFERROR(VLOOKUP($BO527,#REF!,4,FALSE),"")=0,"",IFERROR(VLOOKUP($BO527,#REF!,4,FALSE),"")),"")</f>
        <v/>
      </c>
    </row>
    <row r="528" spans="70:70">
      <c r="BR528" s="31" t="str">
        <f>IF($BO528&lt;&gt;"",IF(IFERROR(VLOOKUP($BO528,#REF!,4,FALSE),"")=0,"",IFERROR(VLOOKUP($BO528,#REF!,4,FALSE),"")),"")</f>
        <v/>
      </c>
    </row>
    <row r="529" spans="70:70">
      <c r="BR529" s="31" t="str">
        <f>IF($BO529&lt;&gt;"",IF(IFERROR(VLOOKUP($BO529,#REF!,4,FALSE),"")=0,"",IFERROR(VLOOKUP($BO529,#REF!,4,FALSE),"")),"")</f>
        <v/>
      </c>
    </row>
    <row r="530" spans="70:70">
      <c r="BR530" s="31" t="str">
        <f>IF($BO530&lt;&gt;"",IF(IFERROR(VLOOKUP($BO530,#REF!,4,FALSE),"")=0,"",IFERROR(VLOOKUP($BO530,#REF!,4,FALSE),"")),"")</f>
        <v/>
      </c>
    </row>
    <row r="531" spans="70:70">
      <c r="BR531" s="31" t="str">
        <f>IF($BO531&lt;&gt;"",IF(IFERROR(VLOOKUP($BO531,#REF!,4,FALSE),"")=0,"",IFERROR(VLOOKUP($BO531,#REF!,4,FALSE),"")),"")</f>
        <v/>
      </c>
    </row>
    <row r="532" spans="70:70">
      <c r="BR532" s="31" t="str">
        <f>IF($BO532&lt;&gt;"",IF(IFERROR(VLOOKUP($BO532,#REF!,4,FALSE),"")=0,"",IFERROR(VLOOKUP($BO532,#REF!,4,FALSE),"")),"")</f>
        <v/>
      </c>
    </row>
    <row r="533" spans="70:70">
      <c r="BR533" s="31" t="str">
        <f>IF($BO533&lt;&gt;"",IF(IFERROR(VLOOKUP($BO533,#REF!,4,FALSE),"")=0,"",IFERROR(VLOOKUP($BO533,#REF!,4,FALSE),"")),"")</f>
        <v/>
      </c>
    </row>
    <row r="534" spans="70:70">
      <c r="BR534" s="31" t="str">
        <f>IF($BO534&lt;&gt;"",IF(IFERROR(VLOOKUP($BO534,#REF!,4,FALSE),"")=0,"",IFERROR(VLOOKUP($BO534,#REF!,4,FALSE),"")),"")</f>
        <v/>
      </c>
    </row>
    <row r="535" spans="70:70">
      <c r="BR535" s="31" t="str">
        <f>IF($BO535&lt;&gt;"",IF(IFERROR(VLOOKUP($BO535,#REF!,4,FALSE),"")=0,"",IFERROR(VLOOKUP($BO535,#REF!,4,FALSE),"")),"")</f>
        <v/>
      </c>
    </row>
    <row r="536" spans="70:70">
      <c r="BR536" s="31" t="str">
        <f>IF($BO536&lt;&gt;"",IF(IFERROR(VLOOKUP($BO536,#REF!,4,FALSE),"")=0,"",IFERROR(VLOOKUP($BO536,#REF!,4,FALSE),"")),"")</f>
        <v/>
      </c>
    </row>
    <row r="537" spans="70:70">
      <c r="BR537" s="31" t="str">
        <f>IF($BO537&lt;&gt;"",IF(IFERROR(VLOOKUP($BO537,#REF!,4,FALSE),"")=0,"",IFERROR(VLOOKUP($BO537,#REF!,4,FALSE),"")),"")</f>
        <v/>
      </c>
    </row>
    <row r="538" spans="70:70">
      <c r="BR538" s="31" t="str">
        <f>IF($BO538&lt;&gt;"",IF(IFERROR(VLOOKUP($BO538,#REF!,4,FALSE),"")=0,"",IFERROR(VLOOKUP($BO538,#REF!,4,FALSE),"")),"")</f>
        <v/>
      </c>
    </row>
    <row r="539" spans="70:70">
      <c r="BR539" s="31" t="str">
        <f>IF($BO539&lt;&gt;"",IF(IFERROR(VLOOKUP($BO539,#REF!,4,FALSE),"")=0,"",IFERROR(VLOOKUP($BO539,#REF!,4,FALSE),"")),"")</f>
        <v/>
      </c>
    </row>
    <row r="540" spans="70:70">
      <c r="BR540" s="31" t="str">
        <f>IF($BO540&lt;&gt;"",IF(IFERROR(VLOOKUP($BO540,#REF!,4,FALSE),"")=0,"",IFERROR(VLOOKUP($BO540,#REF!,4,FALSE),"")),"")</f>
        <v/>
      </c>
    </row>
    <row r="541" spans="70:70">
      <c r="BR541" s="31" t="str">
        <f>IF($BO541&lt;&gt;"",IF(IFERROR(VLOOKUP($BO541,#REF!,4,FALSE),"")=0,"",IFERROR(VLOOKUP($BO541,#REF!,4,FALSE),"")),"")</f>
        <v/>
      </c>
    </row>
    <row r="542" spans="70:70">
      <c r="BR542" s="31" t="str">
        <f>IF($BO542&lt;&gt;"",IF(IFERROR(VLOOKUP($BO542,#REF!,4,FALSE),"")=0,"",IFERROR(VLOOKUP($BO542,#REF!,4,FALSE),"")),"")</f>
        <v/>
      </c>
    </row>
  </sheetData>
  <sortState xmlns:xlrd2="http://schemas.microsoft.com/office/spreadsheetml/2017/richdata2" ref="BK2:BL81">
    <sortCondition ref="BL2"/>
  </sortState>
  <mergeCells count="2">
    <mergeCell ref="AG1:AL1"/>
    <mergeCell ref="AG9:AL9"/>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CB470-7258-4337-9950-517B00D87F7F}">
  <sheetPr codeName="Sheet9"/>
  <dimension ref="A1:T56"/>
  <sheetViews>
    <sheetView workbookViewId="0">
      <selection activeCell="A4" sqref="A4"/>
    </sheetView>
  </sheetViews>
  <sheetFormatPr defaultRowHeight="10"/>
  <cols>
    <col min="1" max="1" width="24.1796875" style="3" customWidth="1"/>
    <col min="2" max="2" width="17" style="3" customWidth="1"/>
    <col min="3" max="3" width="26.7265625" style="3" customWidth="1"/>
    <col min="4" max="4" width="12.54296875" style="3" bestFit="1" customWidth="1"/>
    <col min="5" max="5" width="9.26953125" style="3" bestFit="1" customWidth="1"/>
    <col min="6" max="6" width="10.54296875" style="3" customWidth="1"/>
    <col min="7" max="7" width="7.81640625" style="3" bestFit="1" customWidth="1"/>
    <col min="8" max="8" width="14.7265625" style="3" customWidth="1"/>
    <col min="9" max="9" width="21.54296875" style="3" customWidth="1"/>
    <col min="10" max="10" width="17" style="3" customWidth="1"/>
    <col min="11" max="11" width="20" style="3" customWidth="1"/>
    <col min="12" max="12" width="25.81640625" style="3" customWidth="1"/>
    <col min="13" max="13" width="26.1796875" style="3" customWidth="1"/>
    <col min="14" max="14" width="15.453125" style="3" bestFit="1" customWidth="1"/>
    <col min="15" max="15" width="10.453125" style="3" customWidth="1"/>
    <col min="16" max="16" width="14.7265625" style="3" customWidth="1"/>
    <col min="17" max="17" width="17.453125" style="3" customWidth="1"/>
    <col min="18" max="18" width="18.26953125" style="3" customWidth="1"/>
    <col min="19" max="19" width="20.7265625" style="3" customWidth="1"/>
    <col min="20" max="20" width="16" style="3" customWidth="1"/>
    <col min="21" max="21" width="15.26953125" style="3" customWidth="1"/>
    <col min="22" max="256" width="9.1796875" style="3"/>
    <col min="257" max="257" width="24.1796875" style="3" customWidth="1"/>
    <col min="258" max="258" width="17" style="3" customWidth="1"/>
    <col min="259" max="259" width="26.7265625" style="3" customWidth="1"/>
    <col min="260" max="260" width="12.54296875" style="3" bestFit="1" customWidth="1"/>
    <col min="261" max="261" width="9.26953125" style="3" bestFit="1" customWidth="1"/>
    <col min="262" max="262" width="10.54296875" style="3" customWidth="1"/>
    <col min="263" max="263" width="7.81640625" style="3" bestFit="1" customWidth="1"/>
    <col min="264" max="264" width="14.7265625" style="3" customWidth="1"/>
    <col min="265" max="265" width="21.54296875" style="3" customWidth="1"/>
    <col min="266" max="266" width="17" style="3" customWidth="1"/>
    <col min="267" max="267" width="20" style="3" customWidth="1"/>
    <col min="268" max="268" width="25.81640625" style="3" customWidth="1"/>
    <col min="269" max="269" width="26.1796875" style="3" customWidth="1"/>
    <col min="270" max="270" width="15.453125" style="3" bestFit="1" customWidth="1"/>
    <col min="271" max="271" width="10.453125" style="3" customWidth="1"/>
    <col min="272" max="272" width="14.7265625" style="3" customWidth="1"/>
    <col min="273" max="273" width="17.453125" style="3" customWidth="1"/>
    <col min="274" max="274" width="18.26953125" style="3" customWidth="1"/>
    <col min="275" max="275" width="20.7265625" style="3" customWidth="1"/>
    <col min="276" max="276" width="16" style="3" customWidth="1"/>
    <col min="277" max="277" width="15.26953125" style="3" customWidth="1"/>
    <col min="278" max="512" width="9.1796875" style="3"/>
    <col min="513" max="513" width="24.1796875" style="3" customWidth="1"/>
    <col min="514" max="514" width="17" style="3" customWidth="1"/>
    <col min="515" max="515" width="26.7265625" style="3" customWidth="1"/>
    <col min="516" max="516" width="12.54296875" style="3" bestFit="1" customWidth="1"/>
    <col min="517" max="517" width="9.26953125" style="3" bestFit="1" customWidth="1"/>
    <col min="518" max="518" width="10.54296875" style="3" customWidth="1"/>
    <col min="519" max="519" width="7.81640625" style="3" bestFit="1" customWidth="1"/>
    <col min="520" max="520" width="14.7265625" style="3" customWidth="1"/>
    <col min="521" max="521" width="21.54296875" style="3" customWidth="1"/>
    <col min="522" max="522" width="17" style="3" customWidth="1"/>
    <col min="523" max="523" width="20" style="3" customWidth="1"/>
    <col min="524" max="524" width="25.81640625" style="3" customWidth="1"/>
    <col min="525" max="525" width="26.1796875" style="3" customWidth="1"/>
    <col min="526" max="526" width="15.453125" style="3" bestFit="1" customWidth="1"/>
    <col min="527" max="527" width="10.453125" style="3" customWidth="1"/>
    <col min="528" max="528" width="14.7265625" style="3" customWidth="1"/>
    <col min="529" max="529" width="17.453125" style="3" customWidth="1"/>
    <col min="530" max="530" width="18.26953125" style="3" customWidth="1"/>
    <col min="531" max="531" width="20.7265625" style="3" customWidth="1"/>
    <col min="532" max="532" width="16" style="3" customWidth="1"/>
    <col min="533" max="533" width="15.26953125" style="3" customWidth="1"/>
    <col min="534" max="768" width="9.1796875" style="3"/>
    <col min="769" max="769" width="24.1796875" style="3" customWidth="1"/>
    <col min="770" max="770" width="17" style="3" customWidth="1"/>
    <col min="771" max="771" width="26.7265625" style="3" customWidth="1"/>
    <col min="772" max="772" width="12.54296875" style="3" bestFit="1" customWidth="1"/>
    <col min="773" max="773" width="9.26953125" style="3" bestFit="1" customWidth="1"/>
    <col min="774" max="774" width="10.54296875" style="3" customWidth="1"/>
    <col min="775" max="775" width="7.81640625" style="3" bestFit="1" customWidth="1"/>
    <col min="776" max="776" width="14.7265625" style="3" customWidth="1"/>
    <col min="777" max="777" width="21.54296875" style="3" customWidth="1"/>
    <col min="778" max="778" width="17" style="3" customWidth="1"/>
    <col min="779" max="779" width="20" style="3" customWidth="1"/>
    <col min="780" max="780" width="25.81640625" style="3" customWidth="1"/>
    <col min="781" max="781" width="26.1796875" style="3" customWidth="1"/>
    <col min="782" max="782" width="15.453125" style="3" bestFit="1" customWidth="1"/>
    <col min="783" max="783" width="10.453125" style="3" customWidth="1"/>
    <col min="784" max="784" width="14.7265625" style="3" customWidth="1"/>
    <col min="785" max="785" width="17.453125" style="3" customWidth="1"/>
    <col min="786" max="786" width="18.26953125" style="3" customWidth="1"/>
    <col min="787" max="787" width="20.7265625" style="3" customWidth="1"/>
    <col min="788" max="788" width="16" style="3" customWidth="1"/>
    <col min="789" max="789" width="15.26953125" style="3" customWidth="1"/>
    <col min="790" max="1024" width="9.1796875" style="3"/>
    <col min="1025" max="1025" width="24.1796875" style="3" customWidth="1"/>
    <col min="1026" max="1026" width="17" style="3" customWidth="1"/>
    <col min="1027" max="1027" width="26.7265625" style="3" customWidth="1"/>
    <col min="1028" max="1028" width="12.54296875" style="3" bestFit="1" customWidth="1"/>
    <col min="1029" max="1029" width="9.26953125" style="3" bestFit="1" customWidth="1"/>
    <col min="1030" max="1030" width="10.54296875" style="3" customWidth="1"/>
    <col min="1031" max="1031" width="7.81640625" style="3" bestFit="1" customWidth="1"/>
    <col min="1032" max="1032" width="14.7265625" style="3" customWidth="1"/>
    <col min="1033" max="1033" width="21.54296875" style="3" customWidth="1"/>
    <col min="1034" max="1034" width="17" style="3" customWidth="1"/>
    <col min="1035" max="1035" width="20" style="3" customWidth="1"/>
    <col min="1036" max="1036" width="25.81640625" style="3" customWidth="1"/>
    <col min="1037" max="1037" width="26.1796875" style="3" customWidth="1"/>
    <col min="1038" max="1038" width="15.453125" style="3" bestFit="1" customWidth="1"/>
    <col min="1039" max="1039" width="10.453125" style="3" customWidth="1"/>
    <col min="1040" max="1040" width="14.7265625" style="3" customWidth="1"/>
    <col min="1041" max="1041" width="17.453125" style="3" customWidth="1"/>
    <col min="1042" max="1042" width="18.26953125" style="3" customWidth="1"/>
    <col min="1043" max="1043" width="20.7265625" style="3" customWidth="1"/>
    <col min="1044" max="1044" width="16" style="3" customWidth="1"/>
    <col min="1045" max="1045" width="15.26953125" style="3" customWidth="1"/>
    <col min="1046" max="1280" width="9.1796875" style="3"/>
    <col min="1281" max="1281" width="24.1796875" style="3" customWidth="1"/>
    <col min="1282" max="1282" width="17" style="3" customWidth="1"/>
    <col min="1283" max="1283" width="26.7265625" style="3" customWidth="1"/>
    <col min="1284" max="1284" width="12.54296875" style="3" bestFit="1" customWidth="1"/>
    <col min="1285" max="1285" width="9.26953125" style="3" bestFit="1" customWidth="1"/>
    <col min="1286" max="1286" width="10.54296875" style="3" customWidth="1"/>
    <col min="1287" max="1287" width="7.81640625" style="3" bestFit="1" customWidth="1"/>
    <col min="1288" max="1288" width="14.7265625" style="3" customWidth="1"/>
    <col min="1289" max="1289" width="21.54296875" style="3" customWidth="1"/>
    <col min="1290" max="1290" width="17" style="3" customWidth="1"/>
    <col min="1291" max="1291" width="20" style="3" customWidth="1"/>
    <col min="1292" max="1292" width="25.81640625" style="3" customWidth="1"/>
    <col min="1293" max="1293" width="26.1796875" style="3" customWidth="1"/>
    <col min="1294" max="1294" width="15.453125" style="3" bestFit="1" customWidth="1"/>
    <col min="1295" max="1295" width="10.453125" style="3" customWidth="1"/>
    <col min="1296" max="1296" width="14.7265625" style="3" customWidth="1"/>
    <col min="1297" max="1297" width="17.453125" style="3" customWidth="1"/>
    <col min="1298" max="1298" width="18.26953125" style="3" customWidth="1"/>
    <col min="1299" max="1299" width="20.7265625" style="3" customWidth="1"/>
    <col min="1300" max="1300" width="16" style="3" customWidth="1"/>
    <col min="1301" max="1301" width="15.26953125" style="3" customWidth="1"/>
    <col min="1302" max="1536" width="9.1796875" style="3"/>
    <col min="1537" max="1537" width="24.1796875" style="3" customWidth="1"/>
    <col min="1538" max="1538" width="17" style="3" customWidth="1"/>
    <col min="1539" max="1539" width="26.7265625" style="3" customWidth="1"/>
    <col min="1540" max="1540" width="12.54296875" style="3" bestFit="1" customWidth="1"/>
    <col min="1541" max="1541" width="9.26953125" style="3" bestFit="1" customWidth="1"/>
    <col min="1542" max="1542" width="10.54296875" style="3" customWidth="1"/>
    <col min="1543" max="1543" width="7.81640625" style="3" bestFit="1" customWidth="1"/>
    <col min="1544" max="1544" width="14.7265625" style="3" customWidth="1"/>
    <col min="1545" max="1545" width="21.54296875" style="3" customWidth="1"/>
    <col min="1546" max="1546" width="17" style="3" customWidth="1"/>
    <col min="1547" max="1547" width="20" style="3" customWidth="1"/>
    <col min="1548" max="1548" width="25.81640625" style="3" customWidth="1"/>
    <col min="1549" max="1549" width="26.1796875" style="3" customWidth="1"/>
    <col min="1550" max="1550" width="15.453125" style="3" bestFit="1" customWidth="1"/>
    <col min="1551" max="1551" width="10.453125" style="3" customWidth="1"/>
    <col min="1552" max="1552" width="14.7265625" style="3" customWidth="1"/>
    <col min="1553" max="1553" width="17.453125" style="3" customWidth="1"/>
    <col min="1554" max="1554" width="18.26953125" style="3" customWidth="1"/>
    <col min="1555" max="1555" width="20.7265625" style="3" customWidth="1"/>
    <col min="1556" max="1556" width="16" style="3" customWidth="1"/>
    <col min="1557" max="1557" width="15.26953125" style="3" customWidth="1"/>
    <col min="1558" max="1792" width="9.1796875" style="3"/>
    <col min="1793" max="1793" width="24.1796875" style="3" customWidth="1"/>
    <col min="1794" max="1794" width="17" style="3" customWidth="1"/>
    <col min="1795" max="1795" width="26.7265625" style="3" customWidth="1"/>
    <col min="1796" max="1796" width="12.54296875" style="3" bestFit="1" customWidth="1"/>
    <col min="1797" max="1797" width="9.26953125" style="3" bestFit="1" customWidth="1"/>
    <col min="1798" max="1798" width="10.54296875" style="3" customWidth="1"/>
    <col min="1799" max="1799" width="7.81640625" style="3" bestFit="1" customWidth="1"/>
    <col min="1800" max="1800" width="14.7265625" style="3" customWidth="1"/>
    <col min="1801" max="1801" width="21.54296875" style="3" customWidth="1"/>
    <col min="1802" max="1802" width="17" style="3" customWidth="1"/>
    <col min="1803" max="1803" width="20" style="3" customWidth="1"/>
    <col min="1804" max="1804" width="25.81640625" style="3" customWidth="1"/>
    <col min="1805" max="1805" width="26.1796875" style="3" customWidth="1"/>
    <col min="1806" max="1806" width="15.453125" style="3" bestFit="1" customWidth="1"/>
    <col min="1807" max="1807" width="10.453125" style="3" customWidth="1"/>
    <col min="1808" max="1808" width="14.7265625" style="3" customWidth="1"/>
    <col min="1809" max="1809" width="17.453125" style="3" customWidth="1"/>
    <col min="1810" max="1810" width="18.26953125" style="3" customWidth="1"/>
    <col min="1811" max="1811" width="20.7265625" style="3" customWidth="1"/>
    <col min="1812" max="1812" width="16" style="3" customWidth="1"/>
    <col min="1813" max="1813" width="15.26953125" style="3" customWidth="1"/>
    <col min="1814" max="2048" width="9.1796875" style="3"/>
    <col min="2049" max="2049" width="24.1796875" style="3" customWidth="1"/>
    <col min="2050" max="2050" width="17" style="3" customWidth="1"/>
    <col min="2051" max="2051" width="26.7265625" style="3" customWidth="1"/>
    <col min="2052" max="2052" width="12.54296875" style="3" bestFit="1" customWidth="1"/>
    <col min="2053" max="2053" width="9.26953125" style="3" bestFit="1" customWidth="1"/>
    <col min="2054" max="2054" width="10.54296875" style="3" customWidth="1"/>
    <col min="2055" max="2055" width="7.81640625" style="3" bestFit="1" customWidth="1"/>
    <col min="2056" max="2056" width="14.7265625" style="3" customWidth="1"/>
    <col min="2057" max="2057" width="21.54296875" style="3" customWidth="1"/>
    <col min="2058" max="2058" width="17" style="3" customWidth="1"/>
    <col min="2059" max="2059" width="20" style="3" customWidth="1"/>
    <col min="2060" max="2060" width="25.81640625" style="3" customWidth="1"/>
    <col min="2061" max="2061" width="26.1796875" style="3" customWidth="1"/>
    <col min="2062" max="2062" width="15.453125" style="3" bestFit="1" customWidth="1"/>
    <col min="2063" max="2063" width="10.453125" style="3" customWidth="1"/>
    <col min="2064" max="2064" width="14.7265625" style="3" customWidth="1"/>
    <col min="2065" max="2065" width="17.453125" style="3" customWidth="1"/>
    <col min="2066" max="2066" width="18.26953125" style="3" customWidth="1"/>
    <col min="2067" max="2067" width="20.7265625" style="3" customWidth="1"/>
    <col min="2068" max="2068" width="16" style="3" customWidth="1"/>
    <col min="2069" max="2069" width="15.26953125" style="3" customWidth="1"/>
    <col min="2070" max="2304" width="9.1796875" style="3"/>
    <col min="2305" max="2305" width="24.1796875" style="3" customWidth="1"/>
    <col min="2306" max="2306" width="17" style="3" customWidth="1"/>
    <col min="2307" max="2307" width="26.7265625" style="3" customWidth="1"/>
    <col min="2308" max="2308" width="12.54296875" style="3" bestFit="1" customWidth="1"/>
    <col min="2309" max="2309" width="9.26953125" style="3" bestFit="1" customWidth="1"/>
    <col min="2310" max="2310" width="10.54296875" style="3" customWidth="1"/>
    <col min="2311" max="2311" width="7.81640625" style="3" bestFit="1" customWidth="1"/>
    <col min="2312" max="2312" width="14.7265625" style="3" customWidth="1"/>
    <col min="2313" max="2313" width="21.54296875" style="3" customWidth="1"/>
    <col min="2314" max="2314" width="17" style="3" customWidth="1"/>
    <col min="2315" max="2315" width="20" style="3" customWidth="1"/>
    <col min="2316" max="2316" width="25.81640625" style="3" customWidth="1"/>
    <col min="2317" max="2317" width="26.1796875" style="3" customWidth="1"/>
    <col min="2318" max="2318" width="15.453125" style="3" bestFit="1" customWidth="1"/>
    <col min="2319" max="2319" width="10.453125" style="3" customWidth="1"/>
    <col min="2320" max="2320" width="14.7265625" style="3" customWidth="1"/>
    <col min="2321" max="2321" width="17.453125" style="3" customWidth="1"/>
    <col min="2322" max="2322" width="18.26953125" style="3" customWidth="1"/>
    <col min="2323" max="2323" width="20.7265625" style="3" customWidth="1"/>
    <col min="2324" max="2324" width="16" style="3" customWidth="1"/>
    <col min="2325" max="2325" width="15.26953125" style="3" customWidth="1"/>
    <col min="2326" max="2560" width="9.1796875" style="3"/>
    <col min="2561" max="2561" width="24.1796875" style="3" customWidth="1"/>
    <col min="2562" max="2562" width="17" style="3" customWidth="1"/>
    <col min="2563" max="2563" width="26.7265625" style="3" customWidth="1"/>
    <col min="2564" max="2564" width="12.54296875" style="3" bestFit="1" customWidth="1"/>
    <col min="2565" max="2565" width="9.26953125" style="3" bestFit="1" customWidth="1"/>
    <col min="2566" max="2566" width="10.54296875" style="3" customWidth="1"/>
    <col min="2567" max="2567" width="7.81640625" style="3" bestFit="1" customWidth="1"/>
    <col min="2568" max="2568" width="14.7265625" style="3" customWidth="1"/>
    <col min="2569" max="2569" width="21.54296875" style="3" customWidth="1"/>
    <col min="2570" max="2570" width="17" style="3" customWidth="1"/>
    <col min="2571" max="2571" width="20" style="3" customWidth="1"/>
    <col min="2572" max="2572" width="25.81640625" style="3" customWidth="1"/>
    <col min="2573" max="2573" width="26.1796875" style="3" customWidth="1"/>
    <col min="2574" max="2574" width="15.453125" style="3" bestFit="1" customWidth="1"/>
    <col min="2575" max="2575" width="10.453125" style="3" customWidth="1"/>
    <col min="2576" max="2576" width="14.7265625" style="3" customWidth="1"/>
    <col min="2577" max="2577" width="17.453125" style="3" customWidth="1"/>
    <col min="2578" max="2578" width="18.26953125" style="3" customWidth="1"/>
    <col min="2579" max="2579" width="20.7265625" style="3" customWidth="1"/>
    <col min="2580" max="2580" width="16" style="3" customWidth="1"/>
    <col min="2581" max="2581" width="15.26953125" style="3" customWidth="1"/>
    <col min="2582" max="2816" width="9.1796875" style="3"/>
    <col min="2817" max="2817" width="24.1796875" style="3" customWidth="1"/>
    <col min="2818" max="2818" width="17" style="3" customWidth="1"/>
    <col min="2819" max="2819" width="26.7265625" style="3" customWidth="1"/>
    <col min="2820" max="2820" width="12.54296875" style="3" bestFit="1" customWidth="1"/>
    <col min="2821" max="2821" width="9.26953125" style="3" bestFit="1" customWidth="1"/>
    <col min="2822" max="2822" width="10.54296875" style="3" customWidth="1"/>
    <col min="2823" max="2823" width="7.81640625" style="3" bestFit="1" customWidth="1"/>
    <col min="2824" max="2824" width="14.7265625" style="3" customWidth="1"/>
    <col min="2825" max="2825" width="21.54296875" style="3" customWidth="1"/>
    <col min="2826" max="2826" width="17" style="3" customWidth="1"/>
    <col min="2827" max="2827" width="20" style="3" customWidth="1"/>
    <col min="2828" max="2828" width="25.81640625" style="3" customWidth="1"/>
    <col min="2829" max="2829" width="26.1796875" style="3" customWidth="1"/>
    <col min="2830" max="2830" width="15.453125" style="3" bestFit="1" customWidth="1"/>
    <col min="2831" max="2831" width="10.453125" style="3" customWidth="1"/>
    <col min="2832" max="2832" width="14.7265625" style="3" customWidth="1"/>
    <col min="2833" max="2833" width="17.453125" style="3" customWidth="1"/>
    <col min="2834" max="2834" width="18.26953125" style="3" customWidth="1"/>
    <col min="2835" max="2835" width="20.7265625" style="3" customWidth="1"/>
    <col min="2836" max="2836" width="16" style="3" customWidth="1"/>
    <col min="2837" max="2837" width="15.26953125" style="3" customWidth="1"/>
    <col min="2838" max="3072" width="9.1796875" style="3"/>
    <col min="3073" max="3073" width="24.1796875" style="3" customWidth="1"/>
    <col min="3074" max="3074" width="17" style="3" customWidth="1"/>
    <col min="3075" max="3075" width="26.7265625" style="3" customWidth="1"/>
    <col min="3076" max="3076" width="12.54296875" style="3" bestFit="1" customWidth="1"/>
    <col min="3077" max="3077" width="9.26953125" style="3" bestFit="1" customWidth="1"/>
    <col min="3078" max="3078" width="10.54296875" style="3" customWidth="1"/>
    <col min="3079" max="3079" width="7.81640625" style="3" bestFit="1" customWidth="1"/>
    <col min="3080" max="3080" width="14.7265625" style="3" customWidth="1"/>
    <col min="3081" max="3081" width="21.54296875" style="3" customWidth="1"/>
    <col min="3082" max="3082" width="17" style="3" customWidth="1"/>
    <col min="3083" max="3083" width="20" style="3" customWidth="1"/>
    <col min="3084" max="3084" width="25.81640625" style="3" customWidth="1"/>
    <col min="3085" max="3085" width="26.1796875" style="3" customWidth="1"/>
    <col min="3086" max="3086" width="15.453125" style="3" bestFit="1" customWidth="1"/>
    <col min="3087" max="3087" width="10.453125" style="3" customWidth="1"/>
    <col min="3088" max="3088" width="14.7265625" style="3" customWidth="1"/>
    <col min="3089" max="3089" width="17.453125" style="3" customWidth="1"/>
    <col min="3090" max="3090" width="18.26953125" style="3" customWidth="1"/>
    <col min="3091" max="3091" width="20.7265625" style="3" customWidth="1"/>
    <col min="3092" max="3092" width="16" style="3" customWidth="1"/>
    <col min="3093" max="3093" width="15.26953125" style="3" customWidth="1"/>
    <col min="3094" max="3328" width="9.1796875" style="3"/>
    <col min="3329" max="3329" width="24.1796875" style="3" customWidth="1"/>
    <col min="3330" max="3330" width="17" style="3" customWidth="1"/>
    <col min="3331" max="3331" width="26.7265625" style="3" customWidth="1"/>
    <col min="3332" max="3332" width="12.54296875" style="3" bestFit="1" customWidth="1"/>
    <col min="3333" max="3333" width="9.26953125" style="3" bestFit="1" customWidth="1"/>
    <col min="3334" max="3334" width="10.54296875" style="3" customWidth="1"/>
    <col min="3335" max="3335" width="7.81640625" style="3" bestFit="1" customWidth="1"/>
    <col min="3336" max="3336" width="14.7265625" style="3" customWidth="1"/>
    <col min="3337" max="3337" width="21.54296875" style="3" customWidth="1"/>
    <col min="3338" max="3338" width="17" style="3" customWidth="1"/>
    <col min="3339" max="3339" width="20" style="3" customWidth="1"/>
    <col min="3340" max="3340" width="25.81640625" style="3" customWidth="1"/>
    <col min="3341" max="3341" width="26.1796875" style="3" customWidth="1"/>
    <col min="3342" max="3342" width="15.453125" style="3" bestFit="1" customWidth="1"/>
    <col min="3343" max="3343" width="10.453125" style="3" customWidth="1"/>
    <col min="3344" max="3344" width="14.7265625" style="3" customWidth="1"/>
    <col min="3345" max="3345" width="17.453125" style="3" customWidth="1"/>
    <col min="3346" max="3346" width="18.26953125" style="3" customWidth="1"/>
    <col min="3347" max="3347" width="20.7265625" style="3" customWidth="1"/>
    <col min="3348" max="3348" width="16" style="3" customWidth="1"/>
    <col min="3349" max="3349" width="15.26953125" style="3" customWidth="1"/>
    <col min="3350" max="3584" width="9.1796875" style="3"/>
    <col min="3585" max="3585" width="24.1796875" style="3" customWidth="1"/>
    <col min="3586" max="3586" width="17" style="3" customWidth="1"/>
    <col min="3587" max="3587" width="26.7265625" style="3" customWidth="1"/>
    <col min="3588" max="3588" width="12.54296875" style="3" bestFit="1" customWidth="1"/>
    <col min="3589" max="3589" width="9.26953125" style="3" bestFit="1" customWidth="1"/>
    <col min="3590" max="3590" width="10.54296875" style="3" customWidth="1"/>
    <col min="3591" max="3591" width="7.81640625" style="3" bestFit="1" customWidth="1"/>
    <col min="3592" max="3592" width="14.7265625" style="3" customWidth="1"/>
    <col min="3593" max="3593" width="21.54296875" style="3" customWidth="1"/>
    <col min="3594" max="3594" width="17" style="3" customWidth="1"/>
    <col min="3595" max="3595" width="20" style="3" customWidth="1"/>
    <col min="3596" max="3596" width="25.81640625" style="3" customWidth="1"/>
    <col min="3597" max="3597" width="26.1796875" style="3" customWidth="1"/>
    <col min="3598" max="3598" width="15.453125" style="3" bestFit="1" customWidth="1"/>
    <col min="3599" max="3599" width="10.453125" style="3" customWidth="1"/>
    <col min="3600" max="3600" width="14.7265625" style="3" customWidth="1"/>
    <col min="3601" max="3601" width="17.453125" style="3" customWidth="1"/>
    <col min="3602" max="3602" width="18.26953125" style="3" customWidth="1"/>
    <col min="3603" max="3603" width="20.7265625" style="3" customWidth="1"/>
    <col min="3604" max="3604" width="16" style="3" customWidth="1"/>
    <col min="3605" max="3605" width="15.26953125" style="3" customWidth="1"/>
    <col min="3606" max="3840" width="9.1796875" style="3"/>
    <col min="3841" max="3841" width="24.1796875" style="3" customWidth="1"/>
    <col min="3842" max="3842" width="17" style="3" customWidth="1"/>
    <col min="3843" max="3843" width="26.7265625" style="3" customWidth="1"/>
    <col min="3844" max="3844" width="12.54296875" style="3" bestFit="1" customWidth="1"/>
    <col min="3845" max="3845" width="9.26953125" style="3" bestFit="1" customWidth="1"/>
    <col min="3846" max="3846" width="10.54296875" style="3" customWidth="1"/>
    <col min="3847" max="3847" width="7.81640625" style="3" bestFit="1" customWidth="1"/>
    <col min="3848" max="3848" width="14.7265625" style="3" customWidth="1"/>
    <col min="3849" max="3849" width="21.54296875" style="3" customWidth="1"/>
    <col min="3850" max="3850" width="17" style="3" customWidth="1"/>
    <col min="3851" max="3851" width="20" style="3" customWidth="1"/>
    <col min="3852" max="3852" width="25.81640625" style="3" customWidth="1"/>
    <col min="3853" max="3853" width="26.1796875" style="3" customWidth="1"/>
    <col min="3854" max="3854" width="15.453125" style="3" bestFit="1" customWidth="1"/>
    <col min="3855" max="3855" width="10.453125" style="3" customWidth="1"/>
    <col min="3856" max="3856" width="14.7265625" style="3" customWidth="1"/>
    <col min="3857" max="3857" width="17.453125" style="3" customWidth="1"/>
    <col min="3858" max="3858" width="18.26953125" style="3" customWidth="1"/>
    <col min="3859" max="3859" width="20.7265625" style="3" customWidth="1"/>
    <col min="3860" max="3860" width="16" style="3" customWidth="1"/>
    <col min="3861" max="3861" width="15.26953125" style="3" customWidth="1"/>
    <col min="3862" max="4096" width="9.1796875" style="3"/>
    <col min="4097" max="4097" width="24.1796875" style="3" customWidth="1"/>
    <col min="4098" max="4098" width="17" style="3" customWidth="1"/>
    <col min="4099" max="4099" width="26.7265625" style="3" customWidth="1"/>
    <col min="4100" max="4100" width="12.54296875" style="3" bestFit="1" customWidth="1"/>
    <col min="4101" max="4101" width="9.26953125" style="3" bestFit="1" customWidth="1"/>
    <col min="4102" max="4102" width="10.54296875" style="3" customWidth="1"/>
    <col min="4103" max="4103" width="7.81640625" style="3" bestFit="1" customWidth="1"/>
    <col min="4104" max="4104" width="14.7265625" style="3" customWidth="1"/>
    <col min="4105" max="4105" width="21.54296875" style="3" customWidth="1"/>
    <col min="4106" max="4106" width="17" style="3" customWidth="1"/>
    <col min="4107" max="4107" width="20" style="3" customWidth="1"/>
    <col min="4108" max="4108" width="25.81640625" style="3" customWidth="1"/>
    <col min="4109" max="4109" width="26.1796875" style="3" customWidth="1"/>
    <col min="4110" max="4110" width="15.453125" style="3" bestFit="1" customWidth="1"/>
    <col min="4111" max="4111" width="10.453125" style="3" customWidth="1"/>
    <col min="4112" max="4112" width="14.7265625" style="3" customWidth="1"/>
    <col min="4113" max="4113" width="17.453125" style="3" customWidth="1"/>
    <col min="4114" max="4114" width="18.26953125" style="3" customWidth="1"/>
    <col min="4115" max="4115" width="20.7265625" style="3" customWidth="1"/>
    <col min="4116" max="4116" width="16" style="3" customWidth="1"/>
    <col min="4117" max="4117" width="15.26953125" style="3" customWidth="1"/>
    <col min="4118" max="4352" width="9.1796875" style="3"/>
    <col min="4353" max="4353" width="24.1796875" style="3" customWidth="1"/>
    <col min="4354" max="4354" width="17" style="3" customWidth="1"/>
    <col min="4355" max="4355" width="26.7265625" style="3" customWidth="1"/>
    <col min="4356" max="4356" width="12.54296875" style="3" bestFit="1" customWidth="1"/>
    <col min="4357" max="4357" width="9.26953125" style="3" bestFit="1" customWidth="1"/>
    <col min="4358" max="4358" width="10.54296875" style="3" customWidth="1"/>
    <col min="4359" max="4359" width="7.81640625" style="3" bestFit="1" customWidth="1"/>
    <col min="4360" max="4360" width="14.7265625" style="3" customWidth="1"/>
    <col min="4361" max="4361" width="21.54296875" style="3" customWidth="1"/>
    <col min="4362" max="4362" width="17" style="3" customWidth="1"/>
    <col min="4363" max="4363" width="20" style="3" customWidth="1"/>
    <col min="4364" max="4364" width="25.81640625" style="3" customWidth="1"/>
    <col min="4365" max="4365" width="26.1796875" style="3" customWidth="1"/>
    <col min="4366" max="4366" width="15.453125" style="3" bestFit="1" customWidth="1"/>
    <col min="4367" max="4367" width="10.453125" style="3" customWidth="1"/>
    <col min="4368" max="4368" width="14.7265625" style="3" customWidth="1"/>
    <col min="4369" max="4369" width="17.453125" style="3" customWidth="1"/>
    <col min="4370" max="4370" width="18.26953125" style="3" customWidth="1"/>
    <col min="4371" max="4371" width="20.7265625" style="3" customWidth="1"/>
    <col min="4372" max="4372" width="16" style="3" customWidth="1"/>
    <col min="4373" max="4373" width="15.26953125" style="3" customWidth="1"/>
    <col min="4374" max="4608" width="9.1796875" style="3"/>
    <col min="4609" max="4609" width="24.1796875" style="3" customWidth="1"/>
    <col min="4610" max="4610" width="17" style="3" customWidth="1"/>
    <col min="4611" max="4611" width="26.7265625" style="3" customWidth="1"/>
    <col min="4612" max="4612" width="12.54296875" style="3" bestFit="1" customWidth="1"/>
    <col min="4613" max="4613" width="9.26953125" style="3" bestFit="1" customWidth="1"/>
    <col min="4614" max="4614" width="10.54296875" style="3" customWidth="1"/>
    <col min="4615" max="4615" width="7.81640625" style="3" bestFit="1" customWidth="1"/>
    <col min="4616" max="4616" width="14.7265625" style="3" customWidth="1"/>
    <col min="4617" max="4617" width="21.54296875" style="3" customWidth="1"/>
    <col min="4618" max="4618" width="17" style="3" customWidth="1"/>
    <col min="4619" max="4619" width="20" style="3" customWidth="1"/>
    <col min="4620" max="4620" width="25.81640625" style="3" customWidth="1"/>
    <col min="4621" max="4621" width="26.1796875" style="3" customWidth="1"/>
    <col min="4622" max="4622" width="15.453125" style="3" bestFit="1" customWidth="1"/>
    <col min="4623" max="4623" width="10.453125" style="3" customWidth="1"/>
    <col min="4624" max="4624" width="14.7265625" style="3" customWidth="1"/>
    <col min="4625" max="4625" width="17.453125" style="3" customWidth="1"/>
    <col min="4626" max="4626" width="18.26953125" style="3" customWidth="1"/>
    <col min="4627" max="4627" width="20.7265625" style="3" customWidth="1"/>
    <col min="4628" max="4628" width="16" style="3" customWidth="1"/>
    <col min="4629" max="4629" width="15.26953125" style="3" customWidth="1"/>
    <col min="4630" max="4864" width="9.1796875" style="3"/>
    <col min="4865" max="4865" width="24.1796875" style="3" customWidth="1"/>
    <col min="4866" max="4866" width="17" style="3" customWidth="1"/>
    <col min="4867" max="4867" width="26.7265625" style="3" customWidth="1"/>
    <col min="4868" max="4868" width="12.54296875" style="3" bestFit="1" customWidth="1"/>
    <col min="4869" max="4869" width="9.26953125" style="3" bestFit="1" customWidth="1"/>
    <col min="4870" max="4870" width="10.54296875" style="3" customWidth="1"/>
    <col min="4871" max="4871" width="7.81640625" style="3" bestFit="1" customWidth="1"/>
    <col min="4872" max="4872" width="14.7265625" style="3" customWidth="1"/>
    <col min="4873" max="4873" width="21.54296875" style="3" customWidth="1"/>
    <col min="4874" max="4874" width="17" style="3" customWidth="1"/>
    <col min="4875" max="4875" width="20" style="3" customWidth="1"/>
    <col min="4876" max="4876" width="25.81640625" style="3" customWidth="1"/>
    <col min="4877" max="4877" width="26.1796875" style="3" customWidth="1"/>
    <col min="4878" max="4878" width="15.453125" style="3" bestFit="1" customWidth="1"/>
    <col min="4879" max="4879" width="10.453125" style="3" customWidth="1"/>
    <col min="4880" max="4880" width="14.7265625" style="3" customWidth="1"/>
    <col min="4881" max="4881" width="17.453125" style="3" customWidth="1"/>
    <col min="4882" max="4882" width="18.26953125" style="3" customWidth="1"/>
    <col min="4883" max="4883" width="20.7265625" style="3" customWidth="1"/>
    <col min="4884" max="4884" width="16" style="3" customWidth="1"/>
    <col min="4885" max="4885" width="15.26953125" style="3" customWidth="1"/>
    <col min="4886" max="5120" width="9.1796875" style="3"/>
    <col min="5121" max="5121" width="24.1796875" style="3" customWidth="1"/>
    <col min="5122" max="5122" width="17" style="3" customWidth="1"/>
    <col min="5123" max="5123" width="26.7265625" style="3" customWidth="1"/>
    <col min="5124" max="5124" width="12.54296875" style="3" bestFit="1" customWidth="1"/>
    <col min="5125" max="5125" width="9.26953125" style="3" bestFit="1" customWidth="1"/>
    <col min="5126" max="5126" width="10.54296875" style="3" customWidth="1"/>
    <col min="5127" max="5127" width="7.81640625" style="3" bestFit="1" customWidth="1"/>
    <col min="5128" max="5128" width="14.7265625" style="3" customWidth="1"/>
    <col min="5129" max="5129" width="21.54296875" style="3" customWidth="1"/>
    <col min="5130" max="5130" width="17" style="3" customWidth="1"/>
    <col min="5131" max="5131" width="20" style="3" customWidth="1"/>
    <col min="5132" max="5132" width="25.81640625" style="3" customWidth="1"/>
    <col min="5133" max="5133" width="26.1796875" style="3" customWidth="1"/>
    <col min="5134" max="5134" width="15.453125" style="3" bestFit="1" customWidth="1"/>
    <col min="5135" max="5135" width="10.453125" style="3" customWidth="1"/>
    <col min="5136" max="5136" width="14.7265625" style="3" customWidth="1"/>
    <col min="5137" max="5137" width="17.453125" style="3" customWidth="1"/>
    <col min="5138" max="5138" width="18.26953125" style="3" customWidth="1"/>
    <col min="5139" max="5139" width="20.7265625" style="3" customWidth="1"/>
    <col min="5140" max="5140" width="16" style="3" customWidth="1"/>
    <col min="5141" max="5141" width="15.26953125" style="3" customWidth="1"/>
    <col min="5142" max="5376" width="9.1796875" style="3"/>
    <col min="5377" max="5377" width="24.1796875" style="3" customWidth="1"/>
    <col min="5378" max="5378" width="17" style="3" customWidth="1"/>
    <col min="5379" max="5379" width="26.7265625" style="3" customWidth="1"/>
    <col min="5380" max="5380" width="12.54296875" style="3" bestFit="1" customWidth="1"/>
    <col min="5381" max="5381" width="9.26953125" style="3" bestFit="1" customWidth="1"/>
    <col min="5382" max="5382" width="10.54296875" style="3" customWidth="1"/>
    <col min="5383" max="5383" width="7.81640625" style="3" bestFit="1" customWidth="1"/>
    <col min="5384" max="5384" width="14.7265625" style="3" customWidth="1"/>
    <col min="5385" max="5385" width="21.54296875" style="3" customWidth="1"/>
    <col min="5386" max="5386" width="17" style="3" customWidth="1"/>
    <col min="5387" max="5387" width="20" style="3" customWidth="1"/>
    <col min="5388" max="5388" width="25.81640625" style="3" customWidth="1"/>
    <col min="5389" max="5389" width="26.1796875" style="3" customWidth="1"/>
    <col min="5390" max="5390" width="15.453125" style="3" bestFit="1" customWidth="1"/>
    <col min="5391" max="5391" width="10.453125" style="3" customWidth="1"/>
    <col min="5392" max="5392" width="14.7265625" style="3" customWidth="1"/>
    <col min="5393" max="5393" width="17.453125" style="3" customWidth="1"/>
    <col min="5394" max="5394" width="18.26953125" style="3" customWidth="1"/>
    <col min="5395" max="5395" width="20.7265625" style="3" customWidth="1"/>
    <col min="5396" max="5396" width="16" style="3" customWidth="1"/>
    <col min="5397" max="5397" width="15.26953125" style="3" customWidth="1"/>
    <col min="5398" max="5632" width="9.1796875" style="3"/>
    <col min="5633" max="5633" width="24.1796875" style="3" customWidth="1"/>
    <col min="5634" max="5634" width="17" style="3" customWidth="1"/>
    <col min="5635" max="5635" width="26.7265625" style="3" customWidth="1"/>
    <col min="5636" max="5636" width="12.54296875" style="3" bestFit="1" customWidth="1"/>
    <col min="5637" max="5637" width="9.26953125" style="3" bestFit="1" customWidth="1"/>
    <col min="5638" max="5638" width="10.54296875" style="3" customWidth="1"/>
    <col min="5639" max="5639" width="7.81640625" style="3" bestFit="1" customWidth="1"/>
    <col min="5640" max="5640" width="14.7265625" style="3" customWidth="1"/>
    <col min="5641" max="5641" width="21.54296875" style="3" customWidth="1"/>
    <col min="5642" max="5642" width="17" style="3" customWidth="1"/>
    <col min="5643" max="5643" width="20" style="3" customWidth="1"/>
    <col min="5644" max="5644" width="25.81640625" style="3" customWidth="1"/>
    <col min="5645" max="5645" width="26.1796875" style="3" customWidth="1"/>
    <col min="5646" max="5646" width="15.453125" style="3" bestFit="1" customWidth="1"/>
    <col min="5647" max="5647" width="10.453125" style="3" customWidth="1"/>
    <col min="5648" max="5648" width="14.7265625" style="3" customWidth="1"/>
    <col min="5649" max="5649" width="17.453125" style="3" customWidth="1"/>
    <col min="5650" max="5650" width="18.26953125" style="3" customWidth="1"/>
    <col min="5651" max="5651" width="20.7265625" style="3" customWidth="1"/>
    <col min="5652" max="5652" width="16" style="3" customWidth="1"/>
    <col min="5653" max="5653" width="15.26953125" style="3" customWidth="1"/>
    <col min="5654" max="5888" width="9.1796875" style="3"/>
    <col min="5889" max="5889" width="24.1796875" style="3" customWidth="1"/>
    <col min="5890" max="5890" width="17" style="3" customWidth="1"/>
    <col min="5891" max="5891" width="26.7265625" style="3" customWidth="1"/>
    <col min="5892" max="5892" width="12.54296875" style="3" bestFit="1" customWidth="1"/>
    <col min="5893" max="5893" width="9.26953125" style="3" bestFit="1" customWidth="1"/>
    <col min="5894" max="5894" width="10.54296875" style="3" customWidth="1"/>
    <col min="5895" max="5895" width="7.81640625" style="3" bestFit="1" customWidth="1"/>
    <col min="5896" max="5896" width="14.7265625" style="3" customWidth="1"/>
    <col min="5897" max="5897" width="21.54296875" style="3" customWidth="1"/>
    <col min="5898" max="5898" width="17" style="3" customWidth="1"/>
    <col min="5899" max="5899" width="20" style="3" customWidth="1"/>
    <col min="5900" max="5900" width="25.81640625" style="3" customWidth="1"/>
    <col min="5901" max="5901" width="26.1796875" style="3" customWidth="1"/>
    <col min="5902" max="5902" width="15.453125" style="3" bestFit="1" customWidth="1"/>
    <col min="5903" max="5903" width="10.453125" style="3" customWidth="1"/>
    <col min="5904" max="5904" width="14.7265625" style="3" customWidth="1"/>
    <col min="5905" max="5905" width="17.453125" style="3" customWidth="1"/>
    <col min="5906" max="5906" width="18.26953125" style="3" customWidth="1"/>
    <col min="5907" max="5907" width="20.7265625" style="3" customWidth="1"/>
    <col min="5908" max="5908" width="16" style="3" customWidth="1"/>
    <col min="5909" max="5909" width="15.26953125" style="3" customWidth="1"/>
    <col min="5910" max="6144" width="9.1796875" style="3"/>
    <col min="6145" max="6145" width="24.1796875" style="3" customWidth="1"/>
    <col min="6146" max="6146" width="17" style="3" customWidth="1"/>
    <col min="6147" max="6147" width="26.7265625" style="3" customWidth="1"/>
    <col min="6148" max="6148" width="12.54296875" style="3" bestFit="1" customWidth="1"/>
    <col min="6149" max="6149" width="9.26953125" style="3" bestFit="1" customWidth="1"/>
    <col min="6150" max="6150" width="10.54296875" style="3" customWidth="1"/>
    <col min="6151" max="6151" width="7.81640625" style="3" bestFit="1" customWidth="1"/>
    <col min="6152" max="6152" width="14.7265625" style="3" customWidth="1"/>
    <col min="6153" max="6153" width="21.54296875" style="3" customWidth="1"/>
    <col min="6154" max="6154" width="17" style="3" customWidth="1"/>
    <col min="6155" max="6155" width="20" style="3" customWidth="1"/>
    <col min="6156" max="6156" width="25.81640625" style="3" customWidth="1"/>
    <col min="6157" max="6157" width="26.1796875" style="3" customWidth="1"/>
    <col min="6158" max="6158" width="15.453125" style="3" bestFit="1" customWidth="1"/>
    <col min="6159" max="6159" width="10.453125" style="3" customWidth="1"/>
    <col min="6160" max="6160" width="14.7265625" style="3" customWidth="1"/>
    <col min="6161" max="6161" width="17.453125" style="3" customWidth="1"/>
    <col min="6162" max="6162" width="18.26953125" style="3" customWidth="1"/>
    <col min="6163" max="6163" width="20.7265625" style="3" customWidth="1"/>
    <col min="6164" max="6164" width="16" style="3" customWidth="1"/>
    <col min="6165" max="6165" width="15.26953125" style="3" customWidth="1"/>
    <col min="6166" max="6400" width="9.1796875" style="3"/>
    <col min="6401" max="6401" width="24.1796875" style="3" customWidth="1"/>
    <col min="6402" max="6402" width="17" style="3" customWidth="1"/>
    <col min="6403" max="6403" width="26.7265625" style="3" customWidth="1"/>
    <col min="6404" max="6404" width="12.54296875" style="3" bestFit="1" customWidth="1"/>
    <col min="6405" max="6405" width="9.26953125" style="3" bestFit="1" customWidth="1"/>
    <col min="6406" max="6406" width="10.54296875" style="3" customWidth="1"/>
    <col min="6407" max="6407" width="7.81640625" style="3" bestFit="1" customWidth="1"/>
    <col min="6408" max="6408" width="14.7265625" style="3" customWidth="1"/>
    <col min="6409" max="6409" width="21.54296875" style="3" customWidth="1"/>
    <col min="6410" max="6410" width="17" style="3" customWidth="1"/>
    <col min="6411" max="6411" width="20" style="3" customWidth="1"/>
    <col min="6412" max="6412" width="25.81640625" style="3" customWidth="1"/>
    <col min="6413" max="6413" width="26.1796875" style="3" customWidth="1"/>
    <col min="6414" max="6414" width="15.453125" style="3" bestFit="1" customWidth="1"/>
    <col min="6415" max="6415" width="10.453125" style="3" customWidth="1"/>
    <col min="6416" max="6416" width="14.7265625" style="3" customWidth="1"/>
    <col min="6417" max="6417" width="17.453125" style="3" customWidth="1"/>
    <col min="6418" max="6418" width="18.26953125" style="3" customWidth="1"/>
    <col min="6419" max="6419" width="20.7265625" style="3" customWidth="1"/>
    <col min="6420" max="6420" width="16" style="3" customWidth="1"/>
    <col min="6421" max="6421" width="15.26953125" style="3" customWidth="1"/>
    <col min="6422" max="6656" width="9.1796875" style="3"/>
    <col min="6657" max="6657" width="24.1796875" style="3" customWidth="1"/>
    <col min="6658" max="6658" width="17" style="3" customWidth="1"/>
    <col min="6659" max="6659" width="26.7265625" style="3" customWidth="1"/>
    <col min="6660" max="6660" width="12.54296875" style="3" bestFit="1" customWidth="1"/>
    <col min="6661" max="6661" width="9.26953125" style="3" bestFit="1" customWidth="1"/>
    <col min="6662" max="6662" width="10.54296875" style="3" customWidth="1"/>
    <col min="6663" max="6663" width="7.81640625" style="3" bestFit="1" customWidth="1"/>
    <col min="6664" max="6664" width="14.7265625" style="3" customWidth="1"/>
    <col min="6665" max="6665" width="21.54296875" style="3" customWidth="1"/>
    <col min="6666" max="6666" width="17" style="3" customWidth="1"/>
    <col min="6667" max="6667" width="20" style="3" customWidth="1"/>
    <col min="6668" max="6668" width="25.81640625" style="3" customWidth="1"/>
    <col min="6669" max="6669" width="26.1796875" style="3" customWidth="1"/>
    <col min="6670" max="6670" width="15.453125" style="3" bestFit="1" customWidth="1"/>
    <col min="6671" max="6671" width="10.453125" style="3" customWidth="1"/>
    <col min="6672" max="6672" width="14.7265625" style="3" customWidth="1"/>
    <col min="6673" max="6673" width="17.453125" style="3" customWidth="1"/>
    <col min="6674" max="6674" width="18.26953125" style="3" customWidth="1"/>
    <col min="6675" max="6675" width="20.7265625" style="3" customWidth="1"/>
    <col min="6676" max="6676" width="16" style="3" customWidth="1"/>
    <col min="6677" max="6677" width="15.26953125" style="3" customWidth="1"/>
    <col min="6678" max="6912" width="9.1796875" style="3"/>
    <col min="6913" max="6913" width="24.1796875" style="3" customWidth="1"/>
    <col min="6914" max="6914" width="17" style="3" customWidth="1"/>
    <col min="6915" max="6915" width="26.7265625" style="3" customWidth="1"/>
    <col min="6916" max="6916" width="12.54296875" style="3" bestFit="1" customWidth="1"/>
    <col min="6917" max="6917" width="9.26953125" style="3" bestFit="1" customWidth="1"/>
    <col min="6918" max="6918" width="10.54296875" style="3" customWidth="1"/>
    <col min="6919" max="6919" width="7.81640625" style="3" bestFit="1" customWidth="1"/>
    <col min="6920" max="6920" width="14.7265625" style="3" customWidth="1"/>
    <col min="6921" max="6921" width="21.54296875" style="3" customWidth="1"/>
    <col min="6922" max="6922" width="17" style="3" customWidth="1"/>
    <col min="6923" max="6923" width="20" style="3" customWidth="1"/>
    <col min="6924" max="6924" width="25.81640625" style="3" customWidth="1"/>
    <col min="6925" max="6925" width="26.1796875" style="3" customWidth="1"/>
    <col min="6926" max="6926" width="15.453125" style="3" bestFit="1" customWidth="1"/>
    <col min="6927" max="6927" width="10.453125" style="3" customWidth="1"/>
    <col min="6928" max="6928" width="14.7265625" style="3" customWidth="1"/>
    <col min="6929" max="6929" width="17.453125" style="3" customWidth="1"/>
    <col min="6930" max="6930" width="18.26953125" style="3" customWidth="1"/>
    <col min="6931" max="6931" width="20.7265625" style="3" customWidth="1"/>
    <col min="6932" max="6932" width="16" style="3" customWidth="1"/>
    <col min="6933" max="6933" width="15.26953125" style="3" customWidth="1"/>
    <col min="6934" max="7168" width="9.1796875" style="3"/>
    <col min="7169" max="7169" width="24.1796875" style="3" customWidth="1"/>
    <col min="7170" max="7170" width="17" style="3" customWidth="1"/>
    <col min="7171" max="7171" width="26.7265625" style="3" customWidth="1"/>
    <col min="7172" max="7172" width="12.54296875" style="3" bestFit="1" customWidth="1"/>
    <col min="7173" max="7173" width="9.26953125" style="3" bestFit="1" customWidth="1"/>
    <col min="7174" max="7174" width="10.54296875" style="3" customWidth="1"/>
    <col min="7175" max="7175" width="7.81640625" style="3" bestFit="1" customWidth="1"/>
    <col min="7176" max="7176" width="14.7265625" style="3" customWidth="1"/>
    <col min="7177" max="7177" width="21.54296875" style="3" customWidth="1"/>
    <col min="7178" max="7178" width="17" style="3" customWidth="1"/>
    <col min="7179" max="7179" width="20" style="3" customWidth="1"/>
    <col min="7180" max="7180" width="25.81640625" style="3" customWidth="1"/>
    <col min="7181" max="7181" width="26.1796875" style="3" customWidth="1"/>
    <col min="7182" max="7182" width="15.453125" style="3" bestFit="1" customWidth="1"/>
    <col min="7183" max="7183" width="10.453125" style="3" customWidth="1"/>
    <col min="7184" max="7184" width="14.7265625" style="3" customWidth="1"/>
    <col min="7185" max="7185" width="17.453125" style="3" customWidth="1"/>
    <col min="7186" max="7186" width="18.26953125" style="3" customWidth="1"/>
    <col min="7187" max="7187" width="20.7265625" style="3" customWidth="1"/>
    <col min="7188" max="7188" width="16" style="3" customWidth="1"/>
    <col min="7189" max="7189" width="15.26953125" style="3" customWidth="1"/>
    <col min="7190" max="7424" width="9.1796875" style="3"/>
    <col min="7425" max="7425" width="24.1796875" style="3" customWidth="1"/>
    <col min="7426" max="7426" width="17" style="3" customWidth="1"/>
    <col min="7427" max="7427" width="26.7265625" style="3" customWidth="1"/>
    <col min="7428" max="7428" width="12.54296875" style="3" bestFit="1" customWidth="1"/>
    <col min="7429" max="7429" width="9.26953125" style="3" bestFit="1" customWidth="1"/>
    <col min="7430" max="7430" width="10.54296875" style="3" customWidth="1"/>
    <col min="7431" max="7431" width="7.81640625" style="3" bestFit="1" customWidth="1"/>
    <col min="7432" max="7432" width="14.7265625" style="3" customWidth="1"/>
    <col min="7433" max="7433" width="21.54296875" style="3" customWidth="1"/>
    <col min="7434" max="7434" width="17" style="3" customWidth="1"/>
    <col min="7435" max="7435" width="20" style="3" customWidth="1"/>
    <col min="7436" max="7436" width="25.81640625" style="3" customWidth="1"/>
    <col min="7437" max="7437" width="26.1796875" style="3" customWidth="1"/>
    <col min="7438" max="7438" width="15.453125" style="3" bestFit="1" customWidth="1"/>
    <col min="7439" max="7439" width="10.453125" style="3" customWidth="1"/>
    <col min="7440" max="7440" width="14.7265625" style="3" customWidth="1"/>
    <col min="7441" max="7441" width="17.453125" style="3" customWidth="1"/>
    <col min="7442" max="7442" width="18.26953125" style="3" customWidth="1"/>
    <col min="7443" max="7443" width="20.7265625" style="3" customWidth="1"/>
    <col min="7444" max="7444" width="16" style="3" customWidth="1"/>
    <col min="7445" max="7445" width="15.26953125" style="3" customWidth="1"/>
    <col min="7446" max="7680" width="9.1796875" style="3"/>
    <col min="7681" max="7681" width="24.1796875" style="3" customWidth="1"/>
    <col min="7682" max="7682" width="17" style="3" customWidth="1"/>
    <col min="7683" max="7683" width="26.7265625" style="3" customWidth="1"/>
    <col min="7684" max="7684" width="12.54296875" style="3" bestFit="1" customWidth="1"/>
    <col min="7685" max="7685" width="9.26953125" style="3" bestFit="1" customWidth="1"/>
    <col min="7686" max="7686" width="10.54296875" style="3" customWidth="1"/>
    <col min="7687" max="7687" width="7.81640625" style="3" bestFit="1" customWidth="1"/>
    <col min="7688" max="7688" width="14.7265625" style="3" customWidth="1"/>
    <col min="7689" max="7689" width="21.54296875" style="3" customWidth="1"/>
    <col min="7690" max="7690" width="17" style="3" customWidth="1"/>
    <col min="7691" max="7691" width="20" style="3" customWidth="1"/>
    <col min="7692" max="7692" width="25.81640625" style="3" customWidth="1"/>
    <col min="7693" max="7693" width="26.1796875" style="3" customWidth="1"/>
    <col min="7694" max="7694" width="15.453125" style="3" bestFit="1" customWidth="1"/>
    <col min="7695" max="7695" width="10.453125" style="3" customWidth="1"/>
    <col min="7696" max="7696" width="14.7265625" style="3" customWidth="1"/>
    <col min="7697" max="7697" width="17.453125" style="3" customWidth="1"/>
    <col min="7698" max="7698" width="18.26953125" style="3" customWidth="1"/>
    <col min="7699" max="7699" width="20.7265625" style="3" customWidth="1"/>
    <col min="7700" max="7700" width="16" style="3" customWidth="1"/>
    <col min="7701" max="7701" width="15.26953125" style="3" customWidth="1"/>
    <col min="7702" max="7936" width="9.1796875" style="3"/>
    <col min="7937" max="7937" width="24.1796875" style="3" customWidth="1"/>
    <col min="7938" max="7938" width="17" style="3" customWidth="1"/>
    <col min="7939" max="7939" width="26.7265625" style="3" customWidth="1"/>
    <col min="7940" max="7940" width="12.54296875" style="3" bestFit="1" customWidth="1"/>
    <col min="7941" max="7941" width="9.26953125" style="3" bestFit="1" customWidth="1"/>
    <col min="7942" max="7942" width="10.54296875" style="3" customWidth="1"/>
    <col min="7943" max="7943" width="7.81640625" style="3" bestFit="1" customWidth="1"/>
    <col min="7944" max="7944" width="14.7265625" style="3" customWidth="1"/>
    <col min="7945" max="7945" width="21.54296875" style="3" customWidth="1"/>
    <col min="7946" max="7946" width="17" style="3" customWidth="1"/>
    <col min="7947" max="7947" width="20" style="3" customWidth="1"/>
    <col min="7948" max="7948" width="25.81640625" style="3" customWidth="1"/>
    <col min="7949" max="7949" width="26.1796875" style="3" customWidth="1"/>
    <col min="7950" max="7950" width="15.453125" style="3" bestFit="1" customWidth="1"/>
    <col min="7951" max="7951" width="10.453125" style="3" customWidth="1"/>
    <col min="7952" max="7952" width="14.7265625" style="3" customWidth="1"/>
    <col min="7953" max="7953" width="17.453125" style="3" customWidth="1"/>
    <col min="7954" max="7954" width="18.26953125" style="3" customWidth="1"/>
    <col min="7955" max="7955" width="20.7265625" style="3" customWidth="1"/>
    <col min="7956" max="7956" width="16" style="3" customWidth="1"/>
    <col min="7957" max="7957" width="15.26953125" style="3" customWidth="1"/>
    <col min="7958" max="8192" width="9.1796875" style="3"/>
    <col min="8193" max="8193" width="24.1796875" style="3" customWidth="1"/>
    <col min="8194" max="8194" width="17" style="3" customWidth="1"/>
    <col min="8195" max="8195" width="26.7265625" style="3" customWidth="1"/>
    <col min="8196" max="8196" width="12.54296875" style="3" bestFit="1" customWidth="1"/>
    <col min="8197" max="8197" width="9.26953125" style="3" bestFit="1" customWidth="1"/>
    <col min="8198" max="8198" width="10.54296875" style="3" customWidth="1"/>
    <col min="8199" max="8199" width="7.81640625" style="3" bestFit="1" customWidth="1"/>
    <col min="8200" max="8200" width="14.7265625" style="3" customWidth="1"/>
    <col min="8201" max="8201" width="21.54296875" style="3" customWidth="1"/>
    <col min="8202" max="8202" width="17" style="3" customWidth="1"/>
    <col min="8203" max="8203" width="20" style="3" customWidth="1"/>
    <col min="8204" max="8204" width="25.81640625" style="3" customWidth="1"/>
    <col min="8205" max="8205" width="26.1796875" style="3" customWidth="1"/>
    <col min="8206" max="8206" width="15.453125" style="3" bestFit="1" customWidth="1"/>
    <col min="8207" max="8207" width="10.453125" style="3" customWidth="1"/>
    <col min="8208" max="8208" width="14.7265625" style="3" customWidth="1"/>
    <col min="8209" max="8209" width="17.453125" style="3" customWidth="1"/>
    <col min="8210" max="8210" width="18.26953125" style="3" customWidth="1"/>
    <col min="8211" max="8211" width="20.7265625" style="3" customWidth="1"/>
    <col min="8212" max="8212" width="16" style="3" customWidth="1"/>
    <col min="8213" max="8213" width="15.26953125" style="3" customWidth="1"/>
    <col min="8214" max="8448" width="9.1796875" style="3"/>
    <col min="8449" max="8449" width="24.1796875" style="3" customWidth="1"/>
    <col min="8450" max="8450" width="17" style="3" customWidth="1"/>
    <col min="8451" max="8451" width="26.7265625" style="3" customWidth="1"/>
    <col min="8452" max="8452" width="12.54296875" style="3" bestFit="1" customWidth="1"/>
    <col min="8453" max="8453" width="9.26953125" style="3" bestFit="1" customWidth="1"/>
    <col min="8454" max="8454" width="10.54296875" style="3" customWidth="1"/>
    <col min="8455" max="8455" width="7.81640625" style="3" bestFit="1" customWidth="1"/>
    <col min="8456" max="8456" width="14.7265625" style="3" customWidth="1"/>
    <col min="8457" max="8457" width="21.54296875" style="3" customWidth="1"/>
    <col min="8458" max="8458" width="17" style="3" customWidth="1"/>
    <col min="8459" max="8459" width="20" style="3" customWidth="1"/>
    <col min="8460" max="8460" width="25.81640625" style="3" customWidth="1"/>
    <col min="8461" max="8461" width="26.1796875" style="3" customWidth="1"/>
    <col min="8462" max="8462" width="15.453125" style="3" bestFit="1" customWidth="1"/>
    <col min="8463" max="8463" width="10.453125" style="3" customWidth="1"/>
    <col min="8464" max="8464" width="14.7265625" style="3" customWidth="1"/>
    <col min="8465" max="8465" width="17.453125" style="3" customWidth="1"/>
    <col min="8466" max="8466" width="18.26953125" style="3" customWidth="1"/>
    <col min="8467" max="8467" width="20.7265625" style="3" customWidth="1"/>
    <col min="8468" max="8468" width="16" style="3" customWidth="1"/>
    <col min="8469" max="8469" width="15.26953125" style="3" customWidth="1"/>
    <col min="8470" max="8704" width="9.1796875" style="3"/>
    <col min="8705" max="8705" width="24.1796875" style="3" customWidth="1"/>
    <col min="8706" max="8706" width="17" style="3" customWidth="1"/>
    <col min="8707" max="8707" width="26.7265625" style="3" customWidth="1"/>
    <col min="8708" max="8708" width="12.54296875" style="3" bestFit="1" customWidth="1"/>
    <col min="8709" max="8709" width="9.26953125" style="3" bestFit="1" customWidth="1"/>
    <col min="8710" max="8710" width="10.54296875" style="3" customWidth="1"/>
    <col min="8711" max="8711" width="7.81640625" style="3" bestFit="1" customWidth="1"/>
    <col min="8712" max="8712" width="14.7265625" style="3" customWidth="1"/>
    <col min="8713" max="8713" width="21.54296875" style="3" customWidth="1"/>
    <col min="8714" max="8714" width="17" style="3" customWidth="1"/>
    <col min="8715" max="8715" width="20" style="3" customWidth="1"/>
    <col min="8716" max="8716" width="25.81640625" style="3" customWidth="1"/>
    <col min="8717" max="8717" width="26.1796875" style="3" customWidth="1"/>
    <col min="8718" max="8718" width="15.453125" style="3" bestFit="1" customWidth="1"/>
    <col min="8719" max="8719" width="10.453125" style="3" customWidth="1"/>
    <col min="8720" max="8720" width="14.7265625" style="3" customWidth="1"/>
    <col min="8721" max="8721" width="17.453125" style="3" customWidth="1"/>
    <col min="8722" max="8722" width="18.26953125" style="3" customWidth="1"/>
    <col min="8723" max="8723" width="20.7265625" style="3" customWidth="1"/>
    <col min="8724" max="8724" width="16" style="3" customWidth="1"/>
    <col min="8725" max="8725" width="15.26953125" style="3" customWidth="1"/>
    <col min="8726" max="8960" width="9.1796875" style="3"/>
    <col min="8961" max="8961" width="24.1796875" style="3" customWidth="1"/>
    <col min="8962" max="8962" width="17" style="3" customWidth="1"/>
    <col min="8963" max="8963" width="26.7265625" style="3" customWidth="1"/>
    <col min="8964" max="8964" width="12.54296875" style="3" bestFit="1" customWidth="1"/>
    <col min="8965" max="8965" width="9.26953125" style="3" bestFit="1" customWidth="1"/>
    <col min="8966" max="8966" width="10.54296875" style="3" customWidth="1"/>
    <col min="8967" max="8967" width="7.81640625" style="3" bestFit="1" customWidth="1"/>
    <col min="8968" max="8968" width="14.7265625" style="3" customWidth="1"/>
    <col min="8969" max="8969" width="21.54296875" style="3" customWidth="1"/>
    <col min="8970" max="8970" width="17" style="3" customWidth="1"/>
    <col min="8971" max="8971" width="20" style="3" customWidth="1"/>
    <col min="8972" max="8972" width="25.81640625" style="3" customWidth="1"/>
    <col min="8973" max="8973" width="26.1796875" style="3" customWidth="1"/>
    <col min="8974" max="8974" width="15.453125" style="3" bestFit="1" customWidth="1"/>
    <col min="8975" max="8975" width="10.453125" style="3" customWidth="1"/>
    <col min="8976" max="8976" width="14.7265625" style="3" customWidth="1"/>
    <col min="8977" max="8977" width="17.453125" style="3" customWidth="1"/>
    <col min="8978" max="8978" width="18.26953125" style="3" customWidth="1"/>
    <col min="8979" max="8979" width="20.7265625" style="3" customWidth="1"/>
    <col min="8980" max="8980" width="16" style="3" customWidth="1"/>
    <col min="8981" max="8981" width="15.26953125" style="3" customWidth="1"/>
    <col min="8982" max="9216" width="9.1796875" style="3"/>
    <col min="9217" max="9217" width="24.1796875" style="3" customWidth="1"/>
    <col min="9218" max="9218" width="17" style="3" customWidth="1"/>
    <col min="9219" max="9219" width="26.7265625" style="3" customWidth="1"/>
    <col min="9220" max="9220" width="12.54296875" style="3" bestFit="1" customWidth="1"/>
    <col min="9221" max="9221" width="9.26953125" style="3" bestFit="1" customWidth="1"/>
    <col min="9222" max="9222" width="10.54296875" style="3" customWidth="1"/>
    <col min="9223" max="9223" width="7.81640625" style="3" bestFit="1" customWidth="1"/>
    <col min="9224" max="9224" width="14.7265625" style="3" customWidth="1"/>
    <col min="9225" max="9225" width="21.54296875" style="3" customWidth="1"/>
    <col min="9226" max="9226" width="17" style="3" customWidth="1"/>
    <col min="9227" max="9227" width="20" style="3" customWidth="1"/>
    <col min="9228" max="9228" width="25.81640625" style="3" customWidth="1"/>
    <col min="9229" max="9229" width="26.1796875" style="3" customWidth="1"/>
    <col min="9230" max="9230" width="15.453125" style="3" bestFit="1" customWidth="1"/>
    <col min="9231" max="9231" width="10.453125" style="3" customWidth="1"/>
    <col min="9232" max="9232" width="14.7265625" style="3" customWidth="1"/>
    <col min="9233" max="9233" width="17.453125" style="3" customWidth="1"/>
    <col min="9234" max="9234" width="18.26953125" style="3" customWidth="1"/>
    <col min="9235" max="9235" width="20.7265625" style="3" customWidth="1"/>
    <col min="9236" max="9236" width="16" style="3" customWidth="1"/>
    <col min="9237" max="9237" width="15.26953125" style="3" customWidth="1"/>
    <col min="9238" max="9472" width="9.1796875" style="3"/>
    <col min="9473" max="9473" width="24.1796875" style="3" customWidth="1"/>
    <col min="9474" max="9474" width="17" style="3" customWidth="1"/>
    <col min="9475" max="9475" width="26.7265625" style="3" customWidth="1"/>
    <col min="9476" max="9476" width="12.54296875" style="3" bestFit="1" customWidth="1"/>
    <col min="9477" max="9477" width="9.26953125" style="3" bestFit="1" customWidth="1"/>
    <col min="9478" max="9478" width="10.54296875" style="3" customWidth="1"/>
    <col min="9479" max="9479" width="7.81640625" style="3" bestFit="1" customWidth="1"/>
    <col min="9480" max="9480" width="14.7265625" style="3" customWidth="1"/>
    <col min="9481" max="9481" width="21.54296875" style="3" customWidth="1"/>
    <col min="9482" max="9482" width="17" style="3" customWidth="1"/>
    <col min="9483" max="9483" width="20" style="3" customWidth="1"/>
    <col min="9484" max="9484" width="25.81640625" style="3" customWidth="1"/>
    <col min="9485" max="9485" width="26.1796875" style="3" customWidth="1"/>
    <col min="9486" max="9486" width="15.453125" style="3" bestFit="1" customWidth="1"/>
    <col min="9487" max="9487" width="10.453125" style="3" customWidth="1"/>
    <col min="9488" max="9488" width="14.7265625" style="3" customWidth="1"/>
    <col min="9489" max="9489" width="17.453125" style="3" customWidth="1"/>
    <col min="9490" max="9490" width="18.26953125" style="3" customWidth="1"/>
    <col min="9491" max="9491" width="20.7265625" style="3" customWidth="1"/>
    <col min="9492" max="9492" width="16" style="3" customWidth="1"/>
    <col min="9493" max="9493" width="15.26953125" style="3" customWidth="1"/>
    <col min="9494" max="9728" width="9.1796875" style="3"/>
    <col min="9729" max="9729" width="24.1796875" style="3" customWidth="1"/>
    <col min="9730" max="9730" width="17" style="3" customWidth="1"/>
    <col min="9731" max="9731" width="26.7265625" style="3" customWidth="1"/>
    <col min="9732" max="9732" width="12.54296875" style="3" bestFit="1" customWidth="1"/>
    <col min="9733" max="9733" width="9.26953125" style="3" bestFit="1" customWidth="1"/>
    <col min="9734" max="9734" width="10.54296875" style="3" customWidth="1"/>
    <col min="9735" max="9735" width="7.81640625" style="3" bestFit="1" customWidth="1"/>
    <col min="9736" max="9736" width="14.7265625" style="3" customWidth="1"/>
    <col min="9737" max="9737" width="21.54296875" style="3" customWidth="1"/>
    <col min="9738" max="9738" width="17" style="3" customWidth="1"/>
    <col min="9739" max="9739" width="20" style="3" customWidth="1"/>
    <col min="9740" max="9740" width="25.81640625" style="3" customWidth="1"/>
    <col min="9741" max="9741" width="26.1796875" style="3" customWidth="1"/>
    <col min="9742" max="9742" width="15.453125" style="3" bestFit="1" customWidth="1"/>
    <col min="9743" max="9743" width="10.453125" style="3" customWidth="1"/>
    <col min="9744" max="9744" width="14.7265625" style="3" customWidth="1"/>
    <col min="9745" max="9745" width="17.453125" style="3" customWidth="1"/>
    <col min="9746" max="9746" width="18.26953125" style="3" customWidth="1"/>
    <col min="9747" max="9747" width="20.7265625" style="3" customWidth="1"/>
    <col min="9748" max="9748" width="16" style="3" customWidth="1"/>
    <col min="9749" max="9749" width="15.26953125" style="3" customWidth="1"/>
    <col min="9750" max="9984" width="9.1796875" style="3"/>
    <col min="9985" max="9985" width="24.1796875" style="3" customWidth="1"/>
    <col min="9986" max="9986" width="17" style="3" customWidth="1"/>
    <col min="9987" max="9987" width="26.7265625" style="3" customWidth="1"/>
    <col min="9988" max="9988" width="12.54296875" style="3" bestFit="1" customWidth="1"/>
    <col min="9989" max="9989" width="9.26953125" style="3" bestFit="1" customWidth="1"/>
    <col min="9990" max="9990" width="10.54296875" style="3" customWidth="1"/>
    <col min="9991" max="9991" width="7.81640625" style="3" bestFit="1" customWidth="1"/>
    <col min="9992" max="9992" width="14.7265625" style="3" customWidth="1"/>
    <col min="9993" max="9993" width="21.54296875" style="3" customWidth="1"/>
    <col min="9994" max="9994" width="17" style="3" customWidth="1"/>
    <col min="9995" max="9995" width="20" style="3" customWidth="1"/>
    <col min="9996" max="9996" width="25.81640625" style="3" customWidth="1"/>
    <col min="9997" max="9997" width="26.1796875" style="3" customWidth="1"/>
    <col min="9998" max="9998" width="15.453125" style="3" bestFit="1" customWidth="1"/>
    <col min="9999" max="9999" width="10.453125" style="3" customWidth="1"/>
    <col min="10000" max="10000" width="14.7265625" style="3" customWidth="1"/>
    <col min="10001" max="10001" width="17.453125" style="3" customWidth="1"/>
    <col min="10002" max="10002" width="18.26953125" style="3" customWidth="1"/>
    <col min="10003" max="10003" width="20.7265625" style="3" customWidth="1"/>
    <col min="10004" max="10004" width="16" style="3" customWidth="1"/>
    <col min="10005" max="10005" width="15.26953125" style="3" customWidth="1"/>
    <col min="10006" max="10240" width="9.1796875" style="3"/>
    <col min="10241" max="10241" width="24.1796875" style="3" customWidth="1"/>
    <col min="10242" max="10242" width="17" style="3" customWidth="1"/>
    <col min="10243" max="10243" width="26.7265625" style="3" customWidth="1"/>
    <col min="10244" max="10244" width="12.54296875" style="3" bestFit="1" customWidth="1"/>
    <col min="10245" max="10245" width="9.26953125" style="3" bestFit="1" customWidth="1"/>
    <col min="10246" max="10246" width="10.54296875" style="3" customWidth="1"/>
    <col min="10247" max="10247" width="7.81640625" style="3" bestFit="1" customWidth="1"/>
    <col min="10248" max="10248" width="14.7265625" style="3" customWidth="1"/>
    <col min="10249" max="10249" width="21.54296875" style="3" customWidth="1"/>
    <col min="10250" max="10250" width="17" style="3" customWidth="1"/>
    <col min="10251" max="10251" width="20" style="3" customWidth="1"/>
    <col min="10252" max="10252" width="25.81640625" style="3" customWidth="1"/>
    <col min="10253" max="10253" width="26.1796875" style="3" customWidth="1"/>
    <col min="10254" max="10254" width="15.453125" style="3" bestFit="1" customWidth="1"/>
    <col min="10255" max="10255" width="10.453125" style="3" customWidth="1"/>
    <col min="10256" max="10256" width="14.7265625" style="3" customWidth="1"/>
    <col min="10257" max="10257" width="17.453125" style="3" customWidth="1"/>
    <col min="10258" max="10258" width="18.26953125" style="3" customWidth="1"/>
    <col min="10259" max="10259" width="20.7265625" style="3" customWidth="1"/>
    <col min="10260" max="10260" width="16" style="3" customWidth="1"/>
    <col min="10261" max="10261" width="15.26953125" style="3" customWidth="1"/>
    <col min="10262" max="10496" width="9.1796875" style="3"/>
    <col min="10497" max="10497" width="24.1796875" style="3" customWidth="1"/>
    <col min="10498" max="10498" width="17" style="3" customWidth="1"/>
    <col min="10499" max="10499" width="26.7265625" style="3" customWidth="1"/>
    <col min="10500" max="10500" width="12.54296875" style="3" bestFit="1" customWidth="1"/>
    <col min="10501" max="10501" width="9.26953125" style="3" bestFit="1" customWidth="1"/>
    <col min="10502" max="10502" width="10.54296875" style="3" customWidth="1"/>
    <col min="10503" max="10503" width="7.81640625" style="3" bestFit="1" customWidth="1"/>
    <col min="10504" max="10504" width="14.7265625" style="3" customWidth="1"/>
    <col min="10505" max="10505" width="21.54296875" style="3" customWidth="1"/>
    <col min="10506" max="10506" width="17" style="3" customWidth="1"/>
    <col min="10507" max="10507" width="20" style="3" customWidth="1"/>
    <col min="10508" max="10508" width="25.81640625" style="3" customWidth="1"/>
    <col min="10509" max="10509" width="26.1796875" style="3" customWidth="1"/>
    <col min="10510" max="10510" width="15.453125" style="3" bestFit="1" customWidth="1"/>
    <col min="10511" max="10511" width="10.453125" style="3" customWidth="1"/>
    <col min="10512" max="10512" width="14.7265625" style="3" customWidth="1"/>
    <col min="10513" max="10513" width="17.453125" style="3" customWidth="1"/>
    <col min="10514" max="10514" width="18.26953125" style="3" customWidth="1"/>
    <col min="10515" max="10515" width="20.7265625" style="3" customWidth="1"/>
    <col min="10516" max="10516" width="16" style="3" customWidth="1"/>
    <col min="10517" max="10517" width="15.26953125" style="3" customWidth="1"/>
    <col min="10518" max="10752" width="9.1796875" style="3"/>
    <col min="10753" max="10753" width="24.1796875" style="3" customWidth="1"/>
    <col min="10754" max="10754" width="17" style="3" customWidth="1"/>
    <col min="10755" max="10755" width="26.7265625" style="3" customWidth="1"/>
    <col min="10756" max="10756" width="12.54296875" style="3" bestFit="1" customWidth="1"/>
    <col min="10757" max="10757" width="9.26953125" style="3" bestFit="1" customWidth="1"/>
    <col min="10758" max="10758" width="10.54296875" style="3" customWidth="1"/>
    <col min="10759" max="10759" width="7.81640625" style="3" bestFit="1" customWidth="1"/>
    <col min="10760" max="10760" width="14.7265625" style="3" customWidth="1"/>
    <col min="10761" max="10761" width="21.54296875" style="3" customWidth="1"/>
    <col min="10762" max="10762" width="17" style="3" customWidth="1"/>
    <col min="10763" max="10763" width="20" style="3" customWidth="1"/>
    <col min="10764" max="10764" width="25.81640625" style="3" customWidth="1"/>
    <col min="10765" max="10765" width="26.1796875" style="3" customWidth="1"/>
    <col min="10766" max="10766" width="15.453125" style="3" bestFit="1" customWidth="1"/>
    <col min="10767" max="10767" width="10.453125" style="3" customWidth="1"/>
    <col min="10768" max="10768" width="14.7265625" style="3" customWidth="1"/>
    <col min="10769" max="10769" width="17.453125" style="3" customWidth="1"/>
    <col min="10770" max="10770" width="18.26953125" style="3" customWidth="1"/>
    <col min="10771" max="10771" width="20.7265625" style="3" customWidth="1"/>
    <col min="10772" max="10772" width="16" style="3" customWidth="1"/>
    <col min="10773" max="10773" width="15.26953125" style="3" customWidth="1"/>
    <col min="10774" max="11008" width="9.1796875" style="3"/>
    <col min="11009" max="11009" width="24.1796875" style="3" customWidth="1"/>
    <col min="11010" max="11010" width="17" style="3" customWidth="1"/>
    <col min="11011" max="11011" width="26.7265625" style="3" customWidth="1"/>
    <col min="11012" max="11012" width="12.54296875" style="3" bestFit="1" customWidth="1"/>
    <col min="11013" max="11013" width="9.26953125" style="3" bestFit="1" customWidth="1"/>
    <col min="11014" max="11014" width="10.54296875" style="3" customWidth="1"/>
    <col min="11015" max="11015" width="7.81640625" style="3" bestFit="1" customWidth="1"/>
    <col min="11016" max="11016" width="14.7265625" style="3" customWidth="1"/>
    <col min="11017" max="11017" width="21.54296875" style="3" customWidth="1"/>
    <col min="11018" max="11018" width="17" style="3" customWidth="1"/>
    <col min="11019" max="11019" width="20" style="3" customWidth="1"/>
    <col min="11020" max="11020" width="25.81640625" style="3" customWidth="1"/>
    <col min="11021" max="11021" width="26.1796875" style="3" customWidth="1"/>
    <col min="11022" max="11022" width="15.453125" style="3" bestFit="1" customWidth="1"/>
    <col min="11023" max="11023" width="10.453125" style="3" customWidth="1"/>
    <col min="11024" max="11024" width="14.7265625" style="3" customWidth="1"/>
    <col min="11025" max="11025" width="17.453125" style="3" customWidth="1"/>
    <col min="11026" max="11026" width="18.26953125" style="3" customWidth="1"/>
    <col min="11027" max="11027" width="20.7265625" style="3" customWidth="1"/>
    <col min="11028" max="11028" width="16" style="3" customWidth="1"/>
    <col min="11029" max="11029" width="15.26953125" style="3" customWidth="1"/>
    <col min="11030" max="11264" width="9.1796875" style="3"/>
    <col min="11265" max="11265" width="24.1796875" style="3" customWidth="1"/>
    <col min="11266" max="11266" width="17" style="3" customWidth="1"/>
    <col min="11267" max="11267" width="26.7265625" style="3" customWidth="1"/>
    <col min="11268" max="11268" width="12.54296875" style="3" bestFit="1" customWidth="1"/>
    <col min="11269" max="11269" width="9.26953125" style="3" bestFit="1" customWidth="1"/>
    <col min="11270" max="11270" width="10.54296875" style="3" customWidth="1"/>
    <col min="11271" max="11271" width="7.81640625" style="3" bestFit="1" customWidth="1"/>
    <col min="11272" max="11272" width="14.7265625" style="3" customWidth="1"/>
    <col min="11273" max="11273" width="21.54296875" style="3" customWidth="1"/>
    <col min="11274" max="11274" width="17" style="3" customWidth="1"/>
    <col min="11275" max="11275" width="20" style="3" customWidth="1"/>
    <col min="11276" max="11276" width="25.81640625" style="3" customWidth="1"/>
    <col min="11277" max="11277" width="26.1796875" style="3" customWidth="1"/>
    <col min="11278" max="11278" width="15.453125" style="3" bestFit="1" customWidth="1"/>
    <col min="11279" max="11279" width="10.453125" style="3" customWidth="1"/>
    <col min="11280" max="11280" width="14.7265625" style="3" customWidth="1"/>
    <col min="11281" max="11281" width="17.453125" style="3" customWidth="1"/>
    <col min="11282" max="11282" width="18.26953125" style="3" customWidth="1"/>
    <col min="11283" max="11283" width="20.7265625" style="3" customWidth="1"/>
    <col min="11284" max="11284" width="16" style="3" customWidth="1"/>
    <col min="11285" max="11285" width="15.26953125" style="3" customWidth="1"/>
    <col min="11286" max="11520" width="9.1796875" style="3"/>
    <col min="11521" max="11521" width="24.1796875" style="3" customWidth="1"/>
    <col min="11522" max="11522" width="17" style="3" customWidth="1"/>
    <col min="11523" max="11523" width="26.7265625" style="3" customWidth="1"/>
    <col min="11524" max="11524" width="12.54296875" style="3" bestFit="1" customWidth="1"/>
    <col min="11525" max="11525" width="9.26953125" style="3" bestFit="1" customWidth="1"/>
    <col min="11526" max="11526" width="10.54296875" style="3" customWidth="1"/>
    <col min="11527" max="11527" width="7.81640625" style="3" bestFit="1" customWidth="1"/>
    <col min="11528" max="11528" width="14.7265625" style="3" customWidth="1"/>
    <col min="11529" max="11529" width="21.54296875" style="3" customWidth="1"/>
    <col min="11530" max="11530" width="17" style="3" customWidth="1"/>
    <col min="11531" max="11531" width="20" style="3" customWidth="1"/>
    <col min="11532" max="11532" width="25.81640625" style="3" customWidth="1"/>
    <col min="11533" max="11533" width="26.1796875" style="3" customWidth="1"/>
    <col min="11534" max="11534" width="15.453125" style="3" bestFit="1" customWidth="1"/>
    <col min="11535" max="11535" width="10.453125" style="3" customWidth="1"/>
    <col min="11536" max="11536" width="14.7265625" style="3" customWidth="1"/>
    <col min="11537" max="11537" width="17.453125" style="3" customWidth="1"/>
    <col min="11538" max="11538" width="18.26953125" style="3" customWidth="1"/>
    <col min="11539" max="11539" width="20.7265625" style="3" customWidth="1"/>
    <col min="11540" max="11540" width="16" style="3" customWidth="1"/>
    <col min="11541" max="11541" width="15.26953125" style="3" customWidth="1"/>
    <col min="11542" max="11776" width="9.1796875" style="3"/>
    <col min="11777" max="11777" width="24.1796875" style="3" customWidth="1"/>
    <col min="11778" max="11778" width="17" style="3" customWidth="1"/>
    <col min="11779" max="11779" width="26.7265625" style="3" customWidth="1"/>
    <col min="11780" max="11780" width="12.54296875" style="3" bestFit="1" customWidth="1"/>
    <col min="11781" max="11781" width="9.26953125" style="3" bestFit="1" customWidth="1"/>
    <col min="11782" max="11782" width="10.54296875" style="3" customWidth="1"/>
    <col min="11783" max="11783" width="7.81640625" style="3" bestFit="1" customWidth="1"/>
    <col min="11784" max="11784" width="14.7265625" style="3" customWidth="1"/>
    <col min="11785" max="11785" width="21.54296875" style="3" customWidth="1"/>
    <col min="11786" max="11786" width="17" style="3" customWidth="1"/>
    <col min="11787" max="11787" width="20" style="3" customWidth="1"/>
    <col min="11788" max="11788" width="25.81640625" style="3" customWidth="1"/>
    <col min="11789" max="11789" width="26.1796875" style="3" customWidth="1"/>
    <col min="11790" max="11790" width="15.453125" style="3" bestFit="1" customWidth="1"/>
    <col min="11791" max="11791" width="10.453125" style="3" customWidth="1"/>
    <col min="11792" max="11792" width="14.7265625" style="3" customWidth="1"/>
    <col min="11793" max="11793" width="17.453125" style="3" customWidth="1"/>
    <col min="11794" max="11794" width="18.26953125" style="3" customWidth="1"/>
    <col min="11795" max="11795" width="20.7265625" style="3" customWidth="1"/>
    <col min="11796" max="11796" width="16" style="3" customWidth="1"/>
    <col min="11797" max="11797" width="15.26953125" style="3" customWidth="1"/>
    <col min="11798" max="12032" width="9.1796875" style="3"/>
    <col min="12033" max="12033" width="24.1796875" style="3" customWidth="1"/>
    <col min="12034" max="12034" width="17" style="3" customWidth="1"/>
    <col min="12035" max="12035" width="26.7265625" style="3" customWidth="1"/>
    <col min="12036" max="12036" width="12.54296875" style="3" bestFit="1" customWidth="1"/>
    <col min="12037" max="12037" width="9.26953125" style="3" bestFit="1" customWidth="1"/>
    <col min="12038" max="12038" width="10.54296875" style="3" customWidth="1"/>
    <col min="12039" max="12039" width="7.81640625" style="3" bestFit="1" customWidth="1"/>
    <col min="12040" max="12040" width="14.7265625" style="3" customWidth="1"/>
    <col min="12041" max="12041" width="21.54296875" style="3" customWidth="1"/>
    <col min="12042" max="12042" width="17" style="3" customWidth="1"/>
    <col min="12043" max="12043" width="20" style="3" customWidth="1"/>
    <col min="12044" max="12044" width="25.81640625" style="3" customWidth="1"/>
    <col min="12045" max="12045" width="26.1796875" style="3" customWidth="1"/>
    <col min="12046" max="12046" width="15.453125" style="3" bestFit="1" customWidth="1"/>
    <col min="12047" max="12047" width="10.453125" style="3" customWidth="1"/>
    <col min="12048" max="12048" width="14.7265625" style="3" customWidth="1"/>
    <col min="12049" max="12049" width="17.453125" style="3" customWidth="1"/>
    <col min="12050" max="12050" width="18.26953125" style="3" customWidth="1"/>
    <col min="12051" max="12051" width="20.7265625" style="3" customWidth="1"/>
    <col min="12052" max="12052" width="16" style="3" customWidth="1"/>
    <col min="12053" max="12053" width="15.26953125" style="3" customWidth="1"/>
    <col min="12054" max="12288" width="9.1796875" style="3"/>
    <col min="12289" max="12289" width="24.1796875" style="3" customWidth="1"/>
    <col min="12290" max="12290" width="17" style="3" customWidth="1"/>
    <col min="12291" max="12291" width="26.7265625" style="3" customWidth="1"/>
    <col min="12292" max="12292" width="12.54296875" style="3" bestFit="1" customWidth="1"/>
    <col min="12293" max="12293" width="9.26953125" style="3" bestFit="1" customWidth="1"/>
    <col min="12294" max="12294" width="10.54296875" style="3" customWidth="1"/>
    <col min="12295" max="12295" width="7.81640625" style="3" bestFit="1" customWidth="1"/>
    <col min="12296" max="12296" width="14.7265625" style="3" customWidth="1"/>
    <col min="12297" max="12297" width="21.54296875" style="3" customWidth="1"/>
    <col min="12298" max="12298" width="17" style="3" customWidth="1"/>
    <col min="12299" max="12299" width="20" style="3" customWidth="1"/>
    <col min="12300" max="12300" width="25.81640625" style="3" customWidth="1"/>
    <col min="12301" max="12301" width="26.1796875" style="3" customWidth="1"/>
    <col min="12302" max="12302" width="15.453125" style="3" bestFit="1" customWidth="1"/>
    <col min="12303" max="12303" width="10.453125" style="3" customWidth="1"/>
    <col min="12304" max="12304" width="14.7265625" style="3" customWidth="1"/>
    <col min="12305" max="12305" width="17.453125" style="3" customWidth="1"/>
    <col min="12306" max="12306" width="18.26953125" style="3" customWidth="1"/>
    <col min="12307" max="12307" width="20.7265625" style="3" customWidth="1"/>
    <col min="12308" max="12308" width="16" style="3" customWidth="1"/>
    <col min="12309" max="12309" width="15.26953125" style="3" customWidth="1"/>
    <col min="12310" max="12544" width="9.1796875" style="3"/>
    <col min="12545" max="12545" width="24.1796875" style="3" customWidth="1"/>
    <col min="12546" max="12546" width="17" style="3" customWidth="1"/>
    <col min="12547" max="12547" width="26.7265625" style="3" customWidth="1"/>
    <col min="12548" max="12548" width="12.54296875" style="3" bestFit="1" customWidth="1"/>
    <col min="12549" max="12549" width="9.26953125" style="3" bestFit="1" customWidth="1"/>
    <col min="12550" max="12550" width="10.54296875" style="3" customWidth="1"/>
    <col min="12551" max="12551" width="7.81640625" style="3" bestFit="1" customWidth="1"/>
    <col min="12552" max="12552" width="14.7265625" style="3" customWidth="1"/>
    <col min="12553" max="12553" width="21.54296875" style="3" customWidth="1"/>
    <col min="12554" max="12554" width="17" style="3" customWidth="1"/>
    <col min="12555" max="12555" width="20" style="3" customWidth="1"/>
    <col min="12556" max="12556" width="25.81640625" style="3" customWidth="1"/>
    <col min="12557" max="12557" width="26.1796875" style="3" customWidth="1"/>
    <col min="12558" max="12558" width="15.453125" style="3" bestFit="1" customWidth="1"/>
    <col min="12559" max="12559" width="10.453125" style="3" customWidth="1"/>
    <col min="12560" max="12560" width="14.7265625" style="3" customWidth="1"/>
    <col min="12561" max="12561" width="17.453125" style="3" customWidth="1"/>
    <col min="12562" max="12562" width="18.26953125" style="3" customWidth="1"/>
    <col min="12563" max="12563" width="20.7265625" style="3" customWidth="1"/>
    <col min="12564" max="12564" width="16" style="3" customWidth="1"/>
    <col min="12565" max="12565" width="15.26953125" style="3" customWidth="1"/>
    <col min="12566" max="12800" width="9.1796875" style="3"/>
    <col min="12801" max="12801" width="24.1796875" style="3" customWidth="1"/>
    <col min="12802" max="12802" width="17" style="3" customWidth="1"/>
    <col min="12803" max="12803" width="26.7265625" style="3" customWidth="1"/>
    <col min="12804" max="12804" width="12.54296875" style="3" bestFit="1" customWidth="1"/>
    <col min="12805" max="12805" width="9.26953125" style="3" bestFit="1" customWidth="1"/>
    <col min="12806" max="12806" width="10.54296875" style="3" customWidth="1"/>
    <col min="12807" max="12807" width="7.81640625" style="3" bestFit="1" customWidth="1"/>
    <col min="12808" max="12808" width="14.7265625" style="3" customWidth="1"/>
    <col min="12809" max="12809" width="21.54296875" style="3" customWidth="1"/>
    <col min="12810" max="12810" width="17" style="3" customWidth="1"/>
    <col min="12811" max="12811" width="20" style="3" customWidth="1"/>
    <col min="12812" max="12812" width="25.81640625" style="3" customWidth="1"/>
    <col min="12813" max="12813" width="26.1796875" style="3" customWidth="1"/>
    <col min="12814" max="12814" width="15.453125" style="3" bestFit="1" customWidth="1"/>
    <col min="12815" max="12815" width="10.453125" style="3" customWidth="1"/>
    <col min="12816" max="12816" width="14.7265625" style="3" customWidth="1"/>
    <col min="12817" max="12817" width="17.453125" style="3" customWidth="1"/>
    <col min="12818" max="12818" width="18.26953125" style="3" customWidth="1"/>
    <col min="12819" max="12819" width="20.7265625" style="3" customWidth="1"/>
    <col min="12820" max="12820" width="16" style="3" customWidth="1"/>
    <col min="12821" max="12821" width="15.26953125" style="3" customWidth="1"/>
    <col min="12822" max="13056" width="9.1796875" style="3"/>
    <col min="13057" max="13057" width="24.1796875" style="3" customWidth="1"/>
    <col min="13058" max="13058" width="17" style="3" customWidth="1"/>
    <col min="13059" max="13059" width="26.7265625" style="3" customWidth="1"/>
    <col min="13060" max="13060" width="12.54296875" style="3" bestFit="1" customWidth="1"/>
    <col min="13061" max="13061" width="9.26953125" style="3" bestFit="1" customWidth="1"/>
    <col min="13062" max="13062" width="10.54296875" style="3" customWidth="1"/>
    <col min="13063" max="13063" width="7.81640625" style="3" bestFit="1" customWidth="1"/>
    <col min="13064" max="13064" width="14.7265625" style="3" customWidth="1"/>
    <col min="13065" max="13065" width="21.54296875" style="3" customWidth="1"/>
    <col min="13066" max="13066" width="17" style="3" customWidth="1"/>
    <col min="13067" max="13067" width="20" style="3" customWidth="1"/>
    <col min="13068" max="13068" width="25.81640625" style="3" customWidth="1"/>
    <col min="13069" max="13069" width="26.1796875" style="3" customWidth="1"/>
    <col min="13070" max="13070" width="15.453125" style="3" bestFit="1" customWidth="1"/>
    <col min="13071" max="13071" width="10.453125" style="3" customWidth="1"/>
    <col min="13072" max="13072" width="14.7265625" style="3" customWidth="1"/>
    <col min="13073" max="13073" width="17.453125" style="3" customWidth="1"/>
    <col min="13074" max="13074" width="18.26953125" style="3" customWidth="1"/>
    <col min="13075" max="13075" width="20.7265625" style="3" customWidth="1"/>
    <col min="13076" max="13076" width="16" style="3" customWidth="1"/>
    <col min="13077" max="13077" width="15.26953125" style="3" customWidth="1"/>
    <col min="13078" max="13312" width="9.1796875" style="3"/>
    <col min="13313" max="13313" width="24.1796875" style="3" customWidth="1"/>
    <col min="13314" max="13314" width="17" style="3" customWidth="1"/>
    <col min="13315" max="13315" width="26.7265625" style="3" customWidth="1"/>
    <col min="13316" max="13316" width="12.54296875" style="3" bestFit="1" customWidth="1"/>
    <col min="13317" max="13317" width="9.26953125" style="3" bestFit="1" customWidth="1"/>
    <col min="13318" max="13318" width="10.54296875" style="3" customWidth="1"/>
    <col min="13319" max="13319" width="7.81640625" style="3" bestFit="1" customWidth="1"/>
    <col min="13320" max="13320" width="14.7265625" style="3" customWidth="1"/>
    <col min="13321" max="13321" width="21.54296875" style="3" customWidth="1"/>
    <col min="13322" max="13322" width="17" style="3" customWidth="1"/>
    <col min="13323" max="13323" width="20" style="3" customWidth="1"/>
    <col min="13324" max="13324" width="25.81640625" style="3" customWidth="1"/>
    <col min="13325" max="13325" width="26.1796875" style="3" customWidth="1"/>
    <col min="13326" max="13326" width="15.453125" style="3" bestFit="1" customWidth="1"/>
    <col min="13327" max="13327" width="10.453125" style="3" customWidth="1"/>
    <col min="13328" max="13328" width="14.7265625" style="3" customWidth="1"/>
    <col min="13329" max="13329" width="17.453125" style="3" customWidth="1"/>
    <col min="13330" max="13330" width="18.26953125" style="3" customWidth="1"/>
    <col min="13331" max="13331" width="20.7265625" style="3" customWidth="1"/>
    <col min="13332" max="13332" width="16" style="3" customWidth="1"/>
    <col min="13333" max="13333" width="15.26953125" style="3" customWidth="1"/>
    <col min="13334" max="13568" width="9.1796875" style="3"/>
    <col min="13569" max="13569" width="24.1796875" style="3" customWidth="1"/>
    <col min="13570" max="13570" width="17" style="3" customWidth="1"/>
    <col min="13571" max="13571" width="26.7265625" style="3" customWidth="1"/>
    <col min="13572" max="13572" width="12.54296875" style="3" bestFit="1" customWidth="1"/>
    <col min="13573" max="13573" width="9.26953125" style="3" bestFit="1" customWidth="1"/>
    <col min="13574" max="13574" width="10.54296875" style="3" customWidth="1"/>
    <col min="13575" max="13575" width="7.81640625" style="3" bestFit="1" customWidth="1"/>
    <col min="13576" max="13576" width="14.7265625" style="3" customWidth="1"/>
    <col min="13577" max="13577" width="21.54296875" style="3" customWidth="1"/>
    <col min="13578" max="13578" width="17" style="3" customWidth="1"/>
    <col min="13579" max="13579" width="20" style="3" customWidth="1"/>
    <col min="13580" max="13580" width="25.81640625" style="3" customWidth="1"/>
    <col min="13581" max="13581" width="26.1796875" style="3" customWidth="1"/>
    <col min="13582" max="13582" width="15.453125" style="3" bestFit="1" customWidth="1"/>
    <col min="13583" max="13583" width="10.453125" style="3" customWidth="1"/>
    <col min="13584" max="13584" width="14.7265625" style="3" customWidth="1"/>
    <col min="13585" max="13585" width="17.453125" style="3" customWidth="1"/>
    <col min="13586" max="13586" width="18.26953125" style="3" customWidth="1"/>
    <col min="13587" max="13587" width="20.7265625" style="3" customWidth="1"/>
    <col min="13588" max="13588" width="16" style="3" customWidth="1"/>
    <col min="13589" max="13589" width="15.26953125" style="3" customWidth="1"/>
    <col min="13590" max="13824" width="9.1796875" style="3"/>
    <col min="13825" max="13825" width="24.1796875" style="3" customWidth="1"/>
    <col min="13826" max="13826" width="17" style="3" customWidth="1"/>
    <col min="13827" max="13827" width="26.7265625" style="3" customWidth="1"/>
    <col min="13828" max="13828" width="12.54296875" style="3" bestFit="1" customWidth="1"/>
    <col min="13829" max="13829" width="9.26953125" style="3" bestFit="1" customWidth="1"/>
    <col min="13830" max="13830" width="10.54296875" style="3" customWidth="1"/>
    <col min="13831" max="13831" width="7.81640625" style="3" bestFit="1" customWidth="1"/>
    <col min="13832" max="13832" width="14.7265625" style="3" customWidth="1"/>
    <col min="13833" max="13833" width="21.54296875" style="3" customWidth="1"/>
    <col min="13834" max="13834" width="17" style="3" customWidth="1"/>
    <col min="13835" max="13835" width="20" style="3" customWidth="1"/>
    <col min="13836" max="13836" width="25.81640625" style="3" customWidth="1"/>
    <col min="13837" max="13837" width="26.1796875" style="3" customWidth="1"/>
    <col min="13838" max="13838" width="15.453125" style="3" bestFit="1" customWidth="1"/>
    <col min="13839" max="13839" width="10.453125" style="3" customWidth="1"/>
    <col min="13840" max="13840" width="14.7265625" style="3" customWidth="1"/>
    <col min="13841" max="13841" width="17.453125" style="3" customWidth="1"/>
    <col min="13842" max="13842" width="18.26953125" style="3" customWidth="1"/>
    <col min="13843" max="13843" width="20.7265625" style="3" customWidth="1"/>
    <col min="13844" max="13844" width="16" style="3" customWidth="1"/>
    <col min="13845" max="13845" width="15.26953125" style="3" customWidth="1"/>
    <col min="13846" max="14080" width="9.1796875" style="3"/>
    <col min="14081" max="14081" width="24.1796875" style="3" customWidth="1"/>
    <col min="14082" max="14082" width="17" style="3" customWidth="1"/>
    <col min="14083" max="14083" width="26.7265625" style="3" customWidth="1"/>
    <col min="14084" max="14084" width="12.54296875" style="3" bestFit="1" customWidth="1"/>
    <col min="14085" max="14085" width="9.26953125" style="3" bestFit="1" customWidth="1"/>
    <col min="14086" max="14086" width="10.54296875" style="3" customWidth="1"/>
    <col min="14087" max="14087" width="7.81640625" style="3" bestFit="1" customWidth="1"/>
    <col min="14088" max="14088" width="14.7265625" style="3" customWidth="1"/>
    <col min="14089" max="14089" width="21.54296875" style="3" customWidth="1"/>
    <col min="14090" max="14090" width="17" style="3" customWidth="1"/>
    <col min="14091" max="14091" width="20" style="3" customWidth="1"/>
    <col min="14092" max="14092" width="25.81640625" style="3" customWidth="1"/>
    <col min="14093" max="14093" width="26.1796875" style="3" customWidth="1"/>
    <col min="14094" max="14094" width="15.453125" style="3" bestFit="1" customWidth="1"/>
    <col min="14095" max="14095" width="10.453125" style="3" customWidth="1"/>
    <col min="14096" max="14096" width="14.7265625" style="3" customWidth="1"/>
    <col min="14097" max="14097" width="17.453125" style="3" customWidth="1"/>
    <col min="14098" max="14098" width="18.26953125" style="3" customWidth="1"/>
    <col min="14099" max="14099" width="20.7265625" style="3" customWidth="1"/>
    <col min="14100" max="14100" width="16" style="3" customWidth="1"/>
    <col min="14101" max="14101" width="15.26953125" style="3" customWidth="1"/>
    <col min="14102" max="14336" width="9.1796875" style="3"/>
    <col min="14337" max="14337" width="24.1796875" style="3" customWidth="1"/>
    <col min="14338" max="14338" width="17" style="3" customWidth="1"/>
    <col min="14339" max="14339" width="26.7265625" style="3" customWidth="1"/>
    <col min="14340" max="14340" width="12.54296875" style="3" bestFit="1" customWidth="1"/>
    <col min="14341" max="14341" width="9.26953125" style="3" bestFit="1" customWidth="1"/>
    <col min="14342" max="14342" width="10.54296875" style="3" customWidth="1"/>
    <col min="14343" max="14343" width="7.81640625" style="3" bestFit="1" customWidth="1"/>
    <col min="14344" max="14344" width="14.7265625" style="3" customWidth="1"/>
    <col min="14345" max="14345" width="21.54296875" style="3" customWidth="1"/>
    <col min="14346" max="14346" width="17" style="3" customWidth="1"/>
    <col min="14347" max="14347" width="20" style="3" customWidth="1"/>
    <col min="14348" max="14348" width="25.81640625" style="3" customWidth="1"/>
    <col min="14349" max="14349" width="26.1796875" style="3" customWidth="1"/>
    <col min="14350" max="14350" width="15.453125" style="3" bestFit="1" customWidth="1"/>
    <col min="14351" max="14351" width="10.453125" style="3" customWidth="1"/>
    <col min="14352" max="14352" width="14.7265625" style="3" customWidth="1"/>
    <col min="14353" max="14353" width="17.453125" style="3" customWidth="1"/>
    <col min="14354" max="14354" width="18.26953125" style="3" customWidth="1"/>
    <col min="14355" max="14355" width="20.7265625" style="3" customWidth="1"/>
    <col min="14356" max="14356" width="16" style="3" customWidth="1"/>
    <col min="14357" max="14357" width="15.26953125" style="3" customWidth="1"/>
    <col min="14358" max="14592" width="9.1796875" style="3"/>
    <col min="14593" max="14593" width="24.1796875" style="3" customWidth="1"/>
    <col min="14594" max="14594" width="17" style="3" customWidth="1"/>
    <col min="14595" max="14595" width="26.7265625" style="3" customWidth="1"/>
    <col min="14596" max="14596" width="12.54296875" style="3" bestFit="1" customWidth="1"/>
    <col min="14597" max="14597" width="9.26953125" style="3" bestFit="1" customWidth="1"/>
    <col min="14598" max="14598" width="10.54296875" style="3" customWidth="1"/>
    <col min="14599" max="14599" width="7.81640625" style="3" bestFit="1" customWidth="1"/>
    <col min="14600" max="14600" width="14.7265625" style="3" customWidth="1"/>
    <col min="14601" max="14601" width="21.54296875" style="3" customWidth="1"/>
    <col min="14602" max="14602" width="17" style="3" customWidth="1"/>
    <col min="14603" max="14603" width="20" style="3" customWidth="1"/>
    <col min="14604" max="14604" width="25.81640625" style="3" customWidth="1"/>
    <col min="14605" max="14605" width="26.1796875" style="3" customWidth="1"/>
    <col min="14606" max="14606" width="15.453125" style="3" bestFit="1" customWidth="1"/>
    <col min="14607" max="14607" width="10.453125" style="3" customWidth="1"/>
    <col min="14608" max="14608" width="14.7265625" style="3" customWidth="1"/>
    <col min="14609" max="14609" width="17.453125" style="3" customWidth="1"/>
    <col min="14610" max="14610" width="18.26953125" style="3" customWidth="1"/>
    <col min="14611" max="14611" width="20.7265625" style="3" customWidth="1"/>
    <col min="14612" max="14612" width="16" style="3" customWidth="1"/>
    <col min="14613" max="14613" width="15.26953125" style="3" customWidth="1"/>
    <col min="14614" max="14848" width="9.1796875" style="3"/>
    <col min="14849" max="14849" width="24.1796875" style="3" customWidth="1"/>
    <col min="14850" max="14850" width="17" style="3" customWidth="1"/>
    <col min="14851" max="14851" width="26.7265625" style="3" customWidth="1"/>
    <col min="14852" max="14852" width="12.54296875" style="3" bestFit="1" customWidth="1"/>
    <col min="14853" max="14853" width="9.26953125" style="3" bestFit="1" customWidth="1"/>
    <col min="14854" max="14854" width="10.54296875" style="3" customWidth="1"/>
    <col min="14855" max="14855" width="7.81640625" style="3" bestFit="1" customWidth="1"/>
    <col min="14856" max="14856" width="14.7265625" style="3" customWidth="1"/>
    <col min="14857" max="14857" width="21.54296875" style="3" customWidth="1"/>
    <col min="14858" max="14858" width="17" style="3" customWidth="1"/>
    <col min="14859" max="14859" width="20" style="3" customWidth="1"/>
    <col min="14860" max="14860" width="25.81640625" style="3" customWidth="1"/>
    <col min="14861" max="14861" width="26.1796875" style="3" customWidth="1"/>
    <col min="14862" max="14862" width="15.453125" style="3" bestFit="1" customWidth="1"/>
    <col min="14863" max="14863" width="10.453125" style="3" customWidth="1"/>
    <col min="14864" max="14864" width="14.7265625" style="3" customWidth="1"/>
    <col min="14865" max="14865" width="17.453125" style="3" customWidth="1"/>
    <col min="14866" max="14866" width="18.26953125" style="3" customWidth="1"/>
    <col min="14867" max="14867" width="20.7265625" style="3" customWidth="1"/>
    <col min="14868" max="14868" width="16" style="3" customWidth="1"/>
    <col min="14869" max="14869" width="15.26953125" style="3" customWidth="1"/>
    <col min="14870" max="15104" width="9.1796875" style="3"/>
    <col min="15105" max="15105" width="24.1796875" style="3" customWidth="1"/>
    <col min="15106" max="15106" width="17" style="3" customWidth="1"/>
    <col min="15107" max="15107" width="26.7265625" style="3" customWidth="1"/>
    <col min="15108" max="15108" width="12.54296875" style="3" bestFit="1" customWidth="1"/>
    <col min="15109" max="15109" width="9.26953125" style="3" bestFit="1" customWidth="1"/>
    <col min="15110" max="15110" width="10.54296875" style="3" customWidth="1"/>
    <col min="15111" max="15111" width="7.81640625" style="3" bestFit="1" customWidth="1"/>
    <col min="15112" max="15112" width="14.7265625" style="3" customWidth="1"/>
    <col min="15113" max="15113" width="21.54296875" style="3" customWidth="1"/>
    <col min="15114" max="15114" width="17" style="3" customWidth="1"/>
    <col min="15115" max="15115" width="20" style="3" customWidth="1"/>
    <col min="15116" max="15116" width="25.81640625" style="3" customWidth="1"/>
    <col min="15117" max="15117" width="26.1796875" style="3" customWidth="1"/>
    <col min="15118" max="15118" width="15.453125" style="3" bestFit="1" customWidth="1"/>
    <col min="15119" max="15119" width="10.453125" style="3" customWidth="1"/>
    <col min="15120" max="15120" width="14.7265625" style="3" customWidth="1"/>
    <col min="15121" max="15121" width="17.453125" style="3" customWidth="1"/>
    <col min="15122" max="15122" width="18.26953125" style="3" customWidth="1"/>
    <col min="15123" max="15123" width="20.7265625" style="3" customWidth="1"/>
    <col min="15124" max="15124" width="16" style="3" customWidth="1"/>
    <col min="15125" max="15125" width="15.26953125" style="3" customWidth="1"/>
    <col min="15126" max="15360" width="9.1796875" style="3"/>
    <col min="15361" max="15361" width="24.1796875" style="3" customWidth="1"/>
    <col min="15362" max="15362" width="17" style="3" customWidth="1"/>
    <col min="15363" max="15363" width="26.7265625" style="3" customWidth="1"/>
    <col min="15364" max="15364" width="12.54296875" style="3" bestFit="1" customWidth="1"/>
    <col min="15365" max="15365" width="9.26953125" style="3" bestFit="1" customWidth="1"/>
    <col min="15366" max="15366" width="10.54296875" style="3" customWidth="1"/>
    <col min="15367" max="15367" width="7.81640625" style="3" bestFit="1" customWidth="1"/>
    <col min="15368" max="15368" width="14.7265625" style="3" customWidth="1"/>
    <col min="15369" max="15369" width="21.54296875" style="3" customWidth="1"/>
    <col min="15370" max="15370" width="17" style="3" customWidth="1"/>
    <col min="15371" max="15371" width="20" style="3" customWidth="1"/>
    <col min="15372" max="15372" width="25.81640625" style="3" customWidth="1"/>
    <col min="15373" max="15373" width="26.1796875" style="3" customWidth="1"/>
    <col min="15374" max="15374" width="15.453125" style="3" bestFit="1" customWidth="1"/>
    <col min="15375" max="15375" width="10.453125" style="3" customWidth="1"/>
    <col min="15376" max="15376" width="14.7265625" style="3" customWidth="1"/>
    <col min="15377" max="15377" width="17.453125" style="3" customWidth="1"/>
    <col min="15378" max="15378" width="18.26953125" style="3" customWidth="1"/>
    <col min="15379" max="15379" width="20.7265625" style="3" customWidth="1"/>
    <col min="15380" max="15380" width="16" style="3" customWidth="1"/>
    <col min="15381" max="15381" width="15.26953125" style="3" customWidth="1"/>
    <col min="15382" max="15616" width="9.1796875" style="3"/>
    <col min="15617" max="15617" width="24.1796875" style="3" customWidth="1"/>
    <col min="15618" max="15618" width="17" style="3" customWidth="1"/>
    <col min="15619" max="15619" width="26.7265625" style="3" customWidth="1"/>
    <col min="15620" max="15620" width="12.54296875" style="3" bestFit="1" customWidth="1"/>
    <col min="15621" max="15621" width="9.26953125" style="3" bestFit="1" customWidth="1"/>
    <col min="15622" max="15622" width="10.54296875" style="3" customWidth="1"/>
    <col min="15623" max="15623" width="7.81640625" style="3" bestFit="1" customWidth="1"/>
    <col min="15624" max="15624" width="14.7265625" style="3" customWidth="1"/>
    <col min="15625" max="15625" width="21.54296875" style="3" customWidth="1"/>
    <col min="15626" max="15626" width="17" style="3" customWidth="1"/>
    <col min="15627" max="15627" width="20" style="3" customWidth="1"/>
    <col min="15628" max="15628" width="25.81640625" style="3" customWidth="1"/>
    <col min="15629" max="15629" width="26.1796875" style="3" customWidth="1"/>
    <col min="15630" max="15630" width="15.453125" style="3" bestFit="1" customWidth="1"/>
    <col min="15631" max="15631" width="10.453125" style="3" customWidth="1"/>
    <col min="15632" max="15632" width="14.7265625" style="3" customWidth="1"/>
    <col min="15633" max="15633" width="17.453125" style="3" customWidth="1"/>
    <col min="15634" max="15634" width="18.26953125" style="3" customWidth="1"/>
    <col min="15635" max="15635" width="20.7265625" style="3" customWidth="1"/>
    <col min="15636" max="15636" width="16" style="3" customWidth="1"/>
    <col min="15637" max="15637" width="15.26953125" style="3" customWidth="1"/>
    <col min="15638" max="15872" width="9.1796875" style="3"/>
    <col min="15873" max="15873" width="24.1796875" style="3" customWidth="1"/>
    <col min="15874" max="15874" width="17" style="3" customWidth="1"/>
    <col min="15875" max="15875" width="26.7265625" style="3" customWidth="1"/>
    <col min="15876" max="15876" width="12.54296875" style="3" bestFit="1" customWidth="1"/>
    <col min="15877" max="15877" width="9.26953125" style="3" bestFit="1" customWidth="1"/>
    <col min="15878" max="15878" width="10.54296875" style="3" customWidth="1"/>
    <col min="15879" max="15879" width="7.81640625" style="3" bestFit="1" customWidth="1"/>
    <col min="15880" max="15880" width="14.7265625" style="3" customWidth="1"/>
    <col min="15881" max="15881" width="21.54296875" style="3" customWidth="1"/>
    <col min="15882" max="15882" width="17" style="3" customWidth="1"/>
    <col min="15883" max="15883" width="20" style="3" customWidth="1"/>
    <col min="15884" max="15884" width="25.81640625" style="3" customWidth="1"/>
    <col min="15885" max="15885" width="26.1796875" style="3" customWidth="1"/>
    <col min="15886" max="15886" width="15.453125" style="3" bestFit="1" customWidth="1"/>
    <col min="15887" max="15887" width="10.453125" style="3" customWidth="1"/>
    <col min="15888" max="15888" width="14.7265625" style="3" customWidth="1"/>
    <col min="15889" max="15889" width="17.453125" style="3" customWidth="1"/>
    <col min="15890" max="15890" width="18.26953125" style="3" customWidth="1"/>
    <col min="15891" max="15891" width="20.7265625" style="3" customWidth="1"/>
    <col min="15892" max="15892" width="16" style="3" customWidth="1"/>
    <col min="15893" max="15893" width="15.26953125" style="3" customWidth="1"/>
    <col min="15894" max="16128" width="9.1796875" style="3"/>
    <col min="16129" max="16129" width="24.1796875" style="3" customWidth="1"/>
    <col min="16130" max="16130" width="17" style="3" customWidth="1"/>
    <col min="16131" max="16131" width="26.7265625" style="3" customWidth="1"/>
    <col min="16132" max="16132" width="12.54296875" style="3" bestFit="1" customWidth="1"/>
    <col min="16133" max="16133" width="9.26953125" style="3" bestFit="1" customWidth="1"/>
    <col min="16134" max="16134" width="10.54296875" style="3" customWidth="1"/>
    <col min="16135" max="16135" width="7.81640625" style="3" bestFit="1" customWidth="1"/>
    <col min="16136" max="16136" width="14.7265625" style="3" customWidth="1"/>
    <col min="16137" max="16137" width="21.54296875" style="3" customWidth="1"/>
    <col min="16138" max="16138" width="17" style="3" customWidth="1"/>
    <col min="16139" max="16139" width="20" style="3" customWidth="1"/>
    <col min="16140" max="16140" width="25.81640625" style="3" customWidth="1"/>
    <col min="16141" max="16141" width="26.1796875" style="3" customWidth="1"/>
    <col min="16142" max="16142" width="15.453125" style="3" bestFit="1" customWidth="1"/>
    <col min="16143" max="16143" width="10.453125" style="3" customWidth="1"/>
    <col min="16144" max="16144" width="14.7265625" style="3" customWidth="1"/>
    <col min="16145" max="16145" width="17.453125" style="3" customWidth="1"/>
    <col min="16146" max="16146" width="18.26953125" style="3" customWidth="1"/>
    <col min="16147" max="16147" width="20.7265625" style="3" customWidth="1"/>
    <col min="16148" max="16148" width="16" style="3" customWidth="1"/>
    <col min="16149" max="16149" width="15.26953125" style="3" customWidth="1"/>
    <col min="16150" max="16384" width="9.1796875" style="3"/>
  </cols>
  <sheetData>
    <row r="1" spans="1:20" ht="13.5" thickBot="1">
      <c r="A1" s="503" t="s">
        <v>1530</v>
      </c>
      <c r="B1" s="504"/>
      <c r="C1" s="504"/>
      <c r="D1" s="504"/>
      <c r="E1" s="504"/>
      <c r="F1" s="504"/>
      <c r="G1" s="504"/>
      <c r="H1" s="504"/>
      <c r="I1" s="504"/>
      <c r="J1" s="504"/>
      <c r="K1" s="504"/>
      <c r="L1" s="504"/>
      <c r="M1" s="504"/>
      <c r="N1" s="504"/>
      <c r="O1" s="504"/>
      <c r="P1" s="504"/>
      <c r="Q1" s="504"/>
      <c r="R1" s="504"/>
      <c r="S1" s="505"/>
    </row>
    <row r="2" spans="1:20" ht="10.5" thickBot="1">
      <c r="A2" s="506" t="s">
        <v>1531</v>
      </c>
      <c r="B2" s="507"/>
      <c r="C2" s="507"/>
      <c r="D2" s="507"/>
      <c r="E2" s="507"/>
      <c r="F2" s="507"/>
      <c r="G2" s="507"/>
      <c r="H2" s="507"/>
      <c r="I2" s="507"/>
      <c r="J2" s="507"/>
      <c r="K2" s="508"/>
      <c r="L2" s="509" t="s">
        <v>1532</v>
      </c>
      <c r="M2" s="510"/>
      <c r="N2" s="510"/>
      <c r="O2" s="510"/>
      <c r="P2" s="511"/>
      <c r="Q2" s="512" t="s">
        <v>1533</v>
      </c>
      <c r="R2" s="513"/>
      <c r="S2" s="514"/>
    </row>
    <row r="3" spans="1:20" ht="40.5" thickBot="1">
      <c r="A3" s="33" t="s">
        <v>1534</v>
      </c>
      <c r="B3" s="34" t="s">
        <v>560</v>
      </c>
      <c r="C3" s="34" t="s">
        <v>561</v>
      </c>
      <c r="D3" s="34" t="s">
        <v>562</v>
      </c>
      <c r="E3" s="34" t="s">
        <v>566</v>
      </c>
      <c r="F3" s="34" t="s">
        <v>563</v>
      </c>
      <c r="G3" s="34" t="s">
        <v>1535</v>
      </c>
      <c r="H3" s="34" t="s">
        <v>1536</v>
      </c>
      <c r="I3" s="72" t="s">
        <v>564</v>
      </c>
      <c r="J3" s="35" t="s">
        <v>567</v>
      </c>
      <c r="K3" s="34" t="s">
        <v>574</v>
      </c>
      <c r="L3" s="36" t="s">
        <v>575</v>
      </c>
      <c r="M3" s="33" t="s">
        <v>569</v>
      </c>
      <c r="N3" s="34" t="s">
        <v>570</v>
      </c>
      <c r="O3" s="34" t="s">
        <v>565</v>
      </c>
      <c r="P3" s="37" t="s">
        <v>576</v>
      </c>
      <c r="Q3" s="38" t="s">
        <v>577</v>
      </c>
      <c r="R3" s="35" t="s">
        <v>578</v>
      </c>
      <c r="S3" s="39" t="s">
        <v>579</v>
      </c>
      <c r="T3" s="40" t="s">
        <v>580</v>
      </c>
    </row>
    <row r="4" spans="1:20" ht="42">
      <c r="A4" s="73" t="s">
        <v>1537</v>
      </c>
      <c r="B4" s="73" t="s">
        <v>31</v>
      </c>
      <c r="C4" s="74" t="s">
        <v>32</v>
      </c>
      <c r="D4" s="75" t="s">
        <v>33</v>
      </c>
      <c r="E4" s="75" t="s">
        <v>1538</v>
      </c>
      <c r="F4" s="76">
        <v>47.5</v>
      </c>
      <c r="G4" s="76">
        <v>40</v>
      </c>
      <c r="H4" s="76"/>
      <c r="I4" s="76" t="s">
        <v>35</v>
      </c>
      <c r="J4" s="77" t="s">
        <v>1539</v>
      </c>
      <c r="K4" s="4" t="s">
        <v>34</v>
      </c>
      <c r="L4" s="78"/>
      <c r="M4" s="79" t="s">
        <v>1540</v>
      </c>
      <c r="N4" s="79" t="s">
        <v>1541</v>
      </c>
      <c r="O4" s="77" t="s">
        <v>41</v>
      </c>
      <c r="P4" s="73" t="s">
        <v>1221</v>
      </c>
      <c r="Q4" s="73" t="s">
        <v>1542</v>
      </c>
      <c r="R4" s="80" t="s">
        <v>1543</v>
      </c>
      <c r="S4" s="4"/>
      <c r="T4" s="6"/>
    </row>
    <row r="5" spans="1:20" ht="70">
      <c r="A5" s="80" t="s">
        <v>1544</v>
      </c>
      <c r="B5" s="4" t="s">
        <v>1545</v>
      </c>
      <c r="C5" s="5" t="s">
        <v>1546</v>
      </c>
      <c r="D5" s="5" t="s">
        <v>33</v>
      </c>
      <c r="E5" s="5" t="s">
        <v>1547</v>
      </c>
      <c r="F5" s="81">
        <v>2</v>
      </c>
      <c r="G5" s="81">
        <v>-5</v>
      </c>
      <c r="H5" s="81">
        <v>10</v>
      </c>
      <c r="I5" s="76" t="s">
        <v>61</v>
      </c>
      <c r="J5" s="82" t="s">
        <v>1548</v>
      </c>
      <c r="K5" s="4" t="s">
        <v>34</v>
      </c>
      <c r="L5" s="78"/>
      <c r="M5" s="83" t="s">
        <v>1549</v>
      </c>
      <c r="N5" s="84" t="s">
        <v>1550</v>
      </c>
      <c r="O5" s="4" t="s">
        <v>1213</v>
      </c>
      <c r="P5" s="4" t="s">
        <v>1221</v>
      </c>
      <c r="Q5" s="85" t="s">
        <v>137</v>
      </c>
      <c r="R5" s="80" t="s">
        <v>1543</v>
      </c>
      <c r="S5" s="4"/>
      <c r="T5" s="6"/>
    </row>
    <row r="6" spans="1:20" ht="73.5" customHeight="1">
      <c r="A6" s="80" t="s">
        <v>1551</v>
      </c>
      <c r="B6" s="4" t="s">
        <v>141</v>
      </c>
      <c r="C6" s="75" t="s">
        <v>1552</v>
      </c>
      <c r="D6" s="75" t="s">
        <v>33</v>
      </c>
      <c r="E6" s="5" t="s">
        <v>1547</v>
      </c>
      <c r="F6" s="86">
        <v>0</v>
      </c>
      <c r="G6" s="86">
        <v>-5</v>
      </c>
      <c r="H6" s="86">
        <v>5</v>
      </c>
      <c r="I6" s="76" t="s">
        <v>61</v>
      </c>
      <c r="J6" s="82" t="s">
        <v>1553</v>
      </c>
      <c r="K6" s="4" t="s">
        <v>34</v>
      </c>
      <c r="L6" s="78"/>
      <c r="M6" s="83" t="s">
        <v>1554</v>
      </c>
      <c r="N6" s="84" t="s">
        <v>1550</v>
      </c>
      <c r="O6" s="4" t="s">
        <v>1213</v>
      </c>
      <c r="P6" s="4" t="s">
        <v>1221</v>
      </c>
      <c r="Q6" s="85" t="s">
        <v>1555</v>
      </c>
      <c r="R6" s="87" t="s">
        <v>1543</v>
      </c>
      <c r="S6" s="73"/>
      <c r="T6" s="88"/>
    </row>
    <row r="7" spans="1:20" ht="48.75" customHeight="1">
      <c r="A7" s="80" t="s">
        <v>1556</v>
      </c>
      <c r="B7" s="4" t="s">
        <v>1557</v>
      </c>
      <c r="C7" s="75" t="s">
        <v>1558</v>
      </c>
      <c r="D7" s="75" t="s">
        <v>1559</v>
      </c>
      <c r="E7" s="5" t="s">
        <v>1538</v>
      </c>
      <c r="F7" s="86">
        <v>1</v>
      </c>
      <c r="G7" s="86">
        <v>0.7</v>
      </c>
      <c r="H7" s="86" t="s">
        <v>1560</v>
      </c>
      <c r="I7" s="76" t="s">
        <v>35</v>
      </c>
      <c r="J7" s="82" t="s">
        <v>1561</v>
      </c>
      <c r="K7" s="4" t="s">
        <v>34</v>
      </c>
      <c r="L7" s="78"/>
      <c r="M7" s="83" t="s">
        <v>1562</v>
      </c>
      <c r="N7" s="84" t="s">
        <v>1563</v>
      </c>
      <c r="O7" s="4" t="s">
        <v>1564</v>
      </c>
      <c r="P7" s="4" t="s">
        <v>85</v>
      </c>
      <c r="Q7" s="85" t="s">
        <v>1565</v>
      </c>
      <c r="R7" s="87" t="s">
        <v>1566</v>
      </c>
      <c r="S7" s="73"/>
      <c r="T7" s="88"/>
    </row>
    <row r="8" spans="1:20" ht="60">
      <c r="A8" s="80" t="s">
        <v>1567</v>
      </c>
      <c r="B8" s="4" t="s">
        <v>1568</v>
      </c>
      <c r="C8" s="75" t="s">
        <v>1569</v>
      </c>
      <c r="D8" s="75" t="s">
        <v>1570</v>
      </c>
      <c r="E8" s="5" t="s">
        <v>1571</v>
      </c>
      <c r="F8" s="86">
        <v>4</v>
      </c>
      <c r="G8" s="86">
        <v>3</v>
      </c>
      <c r="H8" s="86">
        <v>5</v>
      </c>
      <c r="I8" s="76" t="s">
        <v>35</v>
      </c>
      <c r="J8" s="82" t="s">
        <v>1572</v>
      </c>
      <c r="K8" s="4" t="s">
        <v>34</v>
      </c>
      <c r="L8" s="78"/>
      <c r="M8" s="83" t="s">
        <v>1573</v>
      </c>
      <c r="N8" s="84" t="s">
        <v>1574</v>
      </c>
      <c r="O8" s="4" t="s">
        <v>1575</v>
      </c>
      <c r="P8" s="4" t="s">
        <v>1221</v>
      </c>
      <c r="Q8" s="85" t="s">
        <v>1576</v>
      </c>
      <c r="R8" s="87" t="s">
        <v>1543</v>
      </c>
      <c r="S8" s="73"/>
      <c r="T8" s="88"/>
    </row>
    <row r="9" spans="1:20" ht="90">
      <c r="A9" s="80" t="s">
        <v>1577</v>
      </c>
      <c r="B9" s="4" t="s">
        <v>1578</v>
      </c>
      <c r="C9" s="89" t="s">
        <v>1579</v>
      </c>
      <c r="D9" s="89" t="s">
        <v>1580</v>
      </c>
      <c r="E9" s="5" t="s">
        <v>1538</v>
      </c>
      <c r="F9" s="86">
        <v>0.15</v>
      </c>
      <c r="G9" s="86">
        <v>0</v>
      </c>
      <c r="H9" s="86">
        <v>0.25</v>
      </c>
      <c r="I9" s="76" t="s">
        <v>61</v>
      </c>
      <c r="J9" s="82" t="s">
        <v>1581</v>
      </c>
      <c r="K9" s="4" t="s">
        <v>34</v>
      </c>
      <c r="L9" s="78"/>
      <c r="M9" s="83" t="s">
        <v>1582</v>
      </c>
      <c r="N9" s="84" t="s">
        <v>1583</v>
      </c>
      <c r="O9" s="4" t="s">
        <v>1584</v>
      </c>
      <c r="P9" s="4" t="s">
        <v>85</v>
      </c>
      <c r="Q9" s="85" t="s">
        <v>1565</v>
      </c>
      <c r="R9" s="87" t="s">
        <v>1585</v>
      </c>
      <c r="S9" s="73"/>
      <c r="T9" s="88"/>
    </row>
    <row r="10" spans="1:20" ht="80">
      <c r="A10" s="80" t="s">
        <v>1577</v>
      </c>
      <c r="B10" s="4" t="s">
        <v>1586</v>
      </c>
      <c r="C10" s="89" t="s">
        <v>1587</v>
      </c>
      <c r="D10" s="89" t="s">
        <v>1363</v>
      </c>
      <c r="E10" s="5" t="s">
        <v>1538</v>
      </c>
      <c r="F10" s="86">
        <v>4</v>
      </c>
      <c r="G10" s="86" t="s">
        <v>1560</v>
      </c>
      <c r="H10" s="86">
        <v>8</v>
      </c>
      <c r="I10" s="76" t="s">
        <v>61</v>
      </c>
      <c r="J10" s="82" t="s">
        <v>1588</v>
      </c>
      <c r="K10" s="4" t="s">
        <v>1589</v>
      </c>
      <c r="L10" s="78"/>
      <c r="M10" s="83" t="s">
        <v>1590</v>
      </c>
      <c r="N10" s="84" t="s">
        <v>1591</v>
      </c>
      <c r="O10" s="4" t="s">
        <v>1592</v>
      </c>
      <c r="P10" s="4" t="s">
        <v>1221</v>
      </c>
      <c r="Q10" s="85" t="s">
        <v>1576</v>
      </c>
      <c r="R10" s="87" t="s">
        <v>1543</v>
      </c>
      <c r="S10" s="73"/>
      <c r="T10" s="88"/>
    </row>
    <row r="11" spans="1:20" ht="70">
      <c r="A11" s="87" t="s">
        <v>1577</v>
      </c>
      <c r="B11" s="73" t="s">
        <v>1593</v>
      </c>
      <c r="C11" s="89" t="s">
        <v>1594</v>
      </c>
      <c r="D11" s="75" t="s">
        <v>1580</v>
      </c>
      <c r="E11" s="75" t="s">
        <v>1571</v>
      </c>
      <c r="F11" s="90">
        <v>1</v>
      </c>
      <c r="G11" s="90" t="s">
        <v>1560</v>
      </c>
      <c r="H11" s="90">
        <v>1.5</v>
      </c>
      <c r="I11" s="76" t="s">
        <v>61</v>
      </c>
      <c r="J11" s="77" t="s">
        <v>1595</v>
      </c>
      <c r="K11" s="4" t="s">
        <v>34</v>
      </c>
      <c r="L11" s="91"/>
      <c r="M11" s="83" t="s">
        <v>1596</v>
      </c>
      <c r="N11" s="92" t="s">
        <v>1583</v>
      </c>
      <c r="O11" s="92" t="s">
        <v>1592</v>
      </c>
      <c r="P11" s="73" t="s">
        <v>1221</v>
      </c>
      <c r="Q11" s="93" t="s">
        <v>1576</v>
      </c>
      <c r="R11" s="87" t="s">
        <v>1543</v>
      </c>
      <c r="S11" s="73"/>
      <c r="T11" s="88"/>
    </row>
    <row r="12" spans="1:20" ht="30">
      <c r="A12" s="80" t="s">
        <v>1556</v>
      </c>
      <c r="B12" s="73" t="s">
        <v>375</v>
      </c>
      <c r="C12" s="94" t="s">
        <v>1597</v>
      </c>
      <c r="D12" s="5" t="s">
        <v>1598</v>
      </c>
      <c r="E12" s="5" t="s">
        <v>1538</v>
      </c>
      <c r="F12" s="95">
        <v>4</v>
      </c>
      <c r="G12" s="95">
        <v>2</v>
      </c>
      <c r="H12" s="95">
        <v>7.6</v>
      </c>
      <c r="I12" s="76" t="s">
        <v>313</v>
      </c>
      <c r="J12" s="77" t="s">
        <v>1599</v>
      </c>
      <c r="K12" s="4" t="s">
        <v>1589</v>
      </c>
      <c r="L12" s="91" t="s">
        <v>1600</v>
      </c>
      <c r="M12" s="83" t="s">
        <v>1601</v>
      </c>
      <c r="N12" s="92" t="s">
        <v>1563</v>
      </c>
      <c r="O12" s="92" t="s">
        <v>1602</v>
      </c>
      <c r="P12" s="73" t="s">
        <v>85</v>
      </c>
      <c r="Q12" s="93" t="s">
        <v>1603</v>
      </c>
      <c r="R12" s="87"/>
      <c r="S12" s="73"/>
      <c r="T12" s="88"/>
    </row>
    <row r="13" spans="1:20" ht="30">
      <c r="A13" s="80" t="s">
        <v>1577</v>
      </c>
      <c r="B13" s="73" t="s">
        <v>378</v>
      </c>
      <c r="C13" s="94" t="s">
        <v>1604</v>
      </c>
      <c r="D13" s="5" t="s">
        <v>1598</v>
      </c>
      <c r="E13" s="5" t="s">
        <v>1547</v>
      </c>
      <c r="F13" s="95">
        <v>0.6</v>
      </c>
      <c r="G13" s="95">
        <v>0.3</v>
      </c>
      <c r="H13" s="95">
        <v>2</v>
      </c>
      <c r="I13" s="76" t="s">
        <v>313</v>
      </c>
      <c r="J13" s="77" t="s">
        <v>1605</v>
      </c>
      <c r="K13" s="4" t="s">
        <v>1589</v>
      </c>
      <c r="L13" s="91" t="s">
        <v>1606</v>
      </c>
      <c r="M13" s="83" t="s">
        <v>1607</v>
      </c>
      <c r="N13" s="92" t="s">
        <v>1563</v>
      </c>
      <c r="O13" s="4" t="s">
        <v>1602</v>
      </c>
      <c r="P13" s="73" t="s">
        <v>1221</v>
      </c>
      <c r="Q13" s="93" t="s">
        <v>137</v>
      </c>
      <c r="R13" s="87"/>
      <c r="S13" s="73"/>
      <c r="T13" s="88"/>
    </row>
    <row r="14" spans="1:20" ht="30">
      <c r="A14" s="80" t="s">
        <v>1577</v>
      </c>
      <c r="B14" s="73" t="s">
        <v>1608</v>
      </c>
      <c r="C14" s="94" t="s">
        <v>1609</v>
      </c>
      <c r="D14" s="5" t="s">
        <v>1598</v>
      </c>
      <c r="E14" s="5" t="s">
        <v>1571</v>
      </c>
      <c r="F14" s="95">
        <v>1.2</v>
      </c>
      <c r="G14" s="95">
        <v>0.5</v>
      </c>
      <c r="H14" s="95">
        <v>4.8</v>
      </c>
      <c r="I14" s="76" t="s">
        <v>313</v>
      </c>
      <c r="J14" s="77" t="s">
        <v>1610</v>
      </c>
      <c r="K14" s="4" t="s">
        <v>1589</v>
      </c>
      <c r="L14" s="91" t="s">
        <v>1611</v>
      </c>
      <c r="M14" s="83" t="s">
        <v>1612</v>
      </c>
      <c r="N14" s="92" t="s">
        <v>1563</v>
      </c>
      <c r="O14" s="4" t="s">
        <v>1613</v>
      </c>
      <c r="P14" s="73" t="s">
        <v>1221</v>
      </c>
      <c r="Q14" s="93" t="s">
        <v>1614</v>
      </c>
      <c r="R14" s="87"/>
      <c r="S14" s="73"/>
      <c r="T14" s="88"/>
    </row>
    <row r="15" spans="1:20" ht="30">
      <c r="A15" s="80" t="s">
        <v>1556</v>
      </c>
      <c r="B15" s="73" t="s">
        <v>387</v>
      </c>
      <c r="C15" s="73" t="s">
        <v>1615</v>
      </c>
      <c r="D15" s="4" t="s">
        <v>1598</v>
      </c>
      <c r="E15" s="5" t="s">
        <v>1547</v>
      </c>
      <c r="F15" s="96">
        <v>2.4</v>
      </c>
      <c r="G15" s="96">
        <v>1</v>
      </c>
      <c r="H15" s="96">
        <v>4.2</v>
      </c>
      <c r="I15" s="76" t="s">
        <v>313</v>
      </c>
      <c r="J15" s="77" t="s">
        <v>1599</v>
      </c>
      <c r="K15" s="4" t="s">
        <v>1589</v>
      </c>
      <c r="L15" s="97" t="s">
        <v>1616</v>
      </c>
      <c r="M15" s="83" t="s">
        <v>1617</v>
      </c>
      <c r="N15" s="92" t="s">
        <v>1563</v>
      </c>
      <c r="O15" s="4" t="s">
        <v>1602</v>
      </c>
      <c r="P15" s="73" t="s">
        <v>85</v>
      </c>
      <c r="Q15" s="93" t="s">
        <v>1603</v>
      </c>
      <c r="R15" s="98"/>
      <c r="S15" s="73"/>
      <c r="T15" s="88"/>
    </row>
    <row r="16" spans="1:20" ht="100">
      <c r="A16" s="80" t="s">
        <v>174</v>
      </c>
      <c r="B16" s="73" t="s">
        <v>176</v>
      </c>
      <c r="C16" s="73" t="s">
        <v>177</v>
      </c>
      <c r="D16" s="73" t="s">
        <v>33</v>
      </c>
      <c r="E16" s="75" t="s">
        <v>1538</v>
      </c>
      <c r="F16" s="76"/>
      <c r="G16" s="76"/>
      <c r="H16" s="76"/>
      <c r="I16" s="76" t="s">
        <v>35</v>
      </c>
      <c r="J16" s="77" t="s">
        <v>1588</v>
      </c>
      <c r="K16" s="4" t="s">
        <v>34</v>
      </c>
      <c r="L16" s="91"/>
      <c r="M16" s="99" t="s">
        <v>178</v>
      </c>
      <c r="N16" s="76" t="s">
        <v>179</v>
      </c>
      <c r="O16" s="4" t="s">
        <v>180</v>
      </c>
      <c r="P16" s="73" t="s">
        <v>1221</v>
      </c>
      <c r="Q16" s="93" t="s">
        <v>137</v>
      </c>
      <c r="R16" s="98" t="s">
        <v>1543</v>
      </c>
      <c r="S16" s="73" t="s">
        <v>1618</v>
      </c>
      <c r="T16" s="88"/>
    </row>
    <row r="17" spans="1:20" ht="80">
      <c r="A17" s="80" t="s">
        <v>174</v>
      </c>
      <c r="B17" s="73" t="s">
        <v>182</v>
      </c>
      <c r="C17" s="73" t="s">
        <v>183</v>
      </c>
      <c r="D17" s="73" t="s">
        <v>184</v>
      </c>
      <c r="E17" s="75" t="s">
        <v>1571</v>
      </c>
      <c r="F17" s="76"/>
      <c r="G17" s="76"/>
      <c r="H17" s="76"/>
      <c r="I17" s="76" t="s">
        <v>35</v>
      </c>
      <c r="J17" s="77" t="s">
        <v>1619</v>
      </c>
      <c r="K17" s="4" t="s">
        <v>34</v>
      </c>
      <c r="L17" s="91"/>
      <c r="M17" s="99" t="s">
        <v>1620</v>
      </c>
      <c r="N17" s="76" t="s">
        <v>179</v>
      </c>
      <c r="O17" s="4" t="s">
        <v>180</v>
      </c>
      <c r="P17" s="73" t="s">
        <v>1221</v>
      </c>
      <c r="Q17" s="93" t="s">
        <v>137</v>
      </c>
      <c r="R17" s="98" t="s">
        <v>1543</v>
      </c>
      <c r="S17" s="73" t="s">
        <v>1621</v>
      </c>
      <c r="T17" s="88"/>
    </row>
    <row r="18" spans="1:20" ht="70">
      <c r="A18" s="80" t="s">
        <v>1622</v>
      </c>
      <c r="B18" s="73" t="s">
        <v>189</v>
      </c>
      <c r="C18" s="73" t="s">
        <v>190</v>
      </c>
      <c r="D18" s="73" t="s">
        <v>33</v>
      </c>
      <c r="E18" s="75" t="s">
        <v>1571</v>
      </c>
      <c r="F18" s="76"/>
      <c r="G18" s="76"/>
      <c r="H18" s="76"/>
      <c r="I18" s="76" t="s">
        <v>35</v>
      </c>
      <c r="J18" s="77" t="s">
        <v>1623</v>
      </c>
      <c r="K18" s="4" t="s">
        <v>34</v>
      </c>
      <c r="L18" s="91"/>
      <c r="M18" s="99" t="s">
        <v>191</v>
      </c>
      <c r="N18" s="76" t="s">
        <v>192</v>
      </c>
      <c r="O18" s="4" t="s">
        <v>193</v>
      </c>
      <c r="P18" s="73" t="s">
        <v>1221</v>
      </c>
      <c r="Q18" s="93" t="s">
        <v>137</v>
      </c>
      <c r="R18" s="98" t="s">
        <v>1543</v>
      </c>
      <c r="S18" s="73" t="s">
        <v>1624</v>
      </c>
      <c r="T18" s="88"/>
    </row>
    <row r="19" spans="1:20" ht="80">
      <c r="A19" s="80" t="s">
        <v>1625</v>
      </c>
      <c r="B19" s="73" t="s">
        <v>194</v>
      </c>
      <c r="C19" s="73" t="s">
        <v>195</v>
      </c>
      <c r="D19" s="73" t="s">
        <v>33</v>
      </c>
      <c r="E19" s="75" t="s">
        <v>1571</v>
      </c>
      <c r="F19" s="76"/>
      <c r="G19" s="76"/>
      <c r="H19" s="76"/>
      <c r="I19" s="76" t="s">
        <v>35</v>
      </c>
      <c r="J19" s="77" t="s">
        <v>1626</v>
      </c>
      <c r="K19" s="4" t="s">
        <v>34</v>
      </c>
      <c r="L19" s="91"/>
      <c r="M19" s="99" t="s">
        <v>196</v>
      </c>
      <c r="N19" s="76" t="s">
        <v>197</v>
      </c>
      <c r="O19" s="4" t="s">
        <v>41</v>
      </c>
      <c r="P19" s="73" t="s">
        <v>1221</v>
      </c>
      <c r="Q19" s="93" t="s">
        <v>137</v>
      </c>
      <c r="R19" s="98" t="s">
        <v>1543</v>
      </c>
      <c r="S19" s="73"/>
      <c r="T19" s="88"/>
    </row>
    <row r="20" spans="1:20" ht="90">
      <c r="A20" s="80" t="s">
        <v>198</v>
      </c>
      <c r="B20" s="73" t="s">
        <v>200</v>
      </c>
      <c r="C20" s="73" t="s">
        <v>201</v>
      </c>
      <c r="D20" s="73" t="s">
        <v>33</v>
      </c>
      <c r="E20" s="75" t="s">
        <v>1571</v>
      </c>
      <c r="F20" s="76"/>
      <c r="G20" s="76"/>
      <c r="H20" s="76"/>
      <c r="I20" s="76" t="s">
        <v>35</v>
      </c>
      <c r="J20" s="77" t="s">
        <v>1627</v>
      </c>
      <c r="K20" s="4" t="s">
        <v>34</v>
      </c>
      <c r="L20" s="91"/>
      <c r="M20" s="99" t="s">
        <v>202</v>
      </c>
      <c r="N20" s="76" t="s">
        <v>203</v>
      </c>
      <c r="O20" s="4" t="s">
        <v>204</v>
      </c>
      <c r="P20" s="73" t="s">
        <v>1221</v>
      </c>
      <c r="Q20" s="93" t="s">
        <v>137</v>
      </c>
      <c r="R20" s="98" t="s">
        <v>1543</v>
      </c>
      <c r="S20" s="73" t="s">
        <v>1628</v>
      </c>
      <c r="T20" s="88"/>
    </row>
    <row r="21" spans="1:20" ht="70">
      <c r="A21" s="80" t="s">
        <v>1629</v>
      </c>
      <c r="B21" s="73" t="s">
        <v>207</v>
      </c>
      <c r="C21" s="73" t="s">
        <v>208</v>
      </c>
      <c r="D21" s="73" t="s">
        <v>209</v>
      </c>
      <c r="E21" s="75" t="s">
        <v>1571</v>
      </c>
      <c r="F21" s="76"/>
      <c r="G21" s="76"/>
      <c r="H21" s="76"/>
      <c r="I21" s="76" t="s">
        <v>61</v>
      </c>
      <c r="J21" s="77" t="s">
        <v>1630</v>
      </c>
      <c r="K21" s="4" t="s">
        <v>34</v>
      </c>
      <c r="L21" s="91"/>
      <c r="M21" s="99" t="s">
        <v>210</v>
      </c>
      <c r="N21" s="76" t="s">
        <v>211</v>
      </c>
      <c r="O21" s="4" t="s">
        <v>212</v>
      </c>
      <c r="P21" s="73" t="s">
        <v>1221</v>
      </c>
      <c r="Q21" s="93" t="s">
        <v>137</v>
      </c>
      <c r="R21" s="98" t="s">
        <v>1543</v>
      </c>
      <c r="S21" s="73" t="s">
        <v>1631</v>
      </c>
      <c r="T21" s="88"/>
    </row>
    <row r="22" spans="1:20" ht="70">
      <c r="A22" s="80" t="s">
        <v>1629</v>
      </c>
      <c r="B22" s="73" t="s">
        <v>213</v>
      </c>
      <c r="C22" s="73" t="s">
        <v>214</v>
      </c>
      <c r="D22" s="73" t="s">
        <v>90</v>
      </c>
      <c r="E22" s="75" t="s">
        <v>1571</v>
      </c>
      <c r="F22" s="76"/>
      <c r="G22" s="76"/>
      <c r="H22" s="76"/>
      <c r="I22" s="76" t="s">
        <v>61</v>
      </c>
      <c r="J22" s="77" t="s">
        <v>1632</v>
      </c>
      <c r="K22" s="4" t="s">
        <v>51</v>
      </c>
      <c r="L22" s="91"/>
      <c r="M22" s="99" t="s">
        <v>215</v>
      </c>
      <c r="N22" s="76" t="s">
        <v>211</v>
      </c>
      <c r="O22" s="4" t="s">
        <v>212</v>
      </c>
      <c r="P22" s="73" t="s">
        <v>1221</v>
      </c>
      <c r="Q22" s="93" t="s">
        <v>137</v>
      </c>
      <c r="R22" s="98" t="s">
        <v>1543</v>
      </c>
      <c r="S22" s="73" t="s">
        <v>1633</v>
      </c>
      <c r="T22" s="88"/>
    </row>
    <row r="23" spans="1:20" ht="70">
      <c r="A23" s="80" t="s">
        <v>1629</v>
      </c>
      <c r="B23" s="73" t="s">
        <v>216</v>
      </c>
      <c r="C23" s="73" t="s">
        <v>217</v>
      </c>
      <c r="D23" s="73" t="s">
        <v>90</v>
      </c>
      <c r="E23" s="75" t="s">
        <v>1571</v>
      </c>
      <c r="F23" s="76"/>
      <c r="G23" s="76"/>
      <c r="H23" s="76"/>
      <c r="I23" s="76" t="s">
        <v>61</v>
      </c>
      <c r="J23" s="77" t="s">
        <v>1634</v>
      </c>
      <c r="K23" s="4" t="s">
        <v>51</v>
      </c>
      <c r="L23" s="91"/>
      <c r="M23" s="99" t="s">
        <v>218</v>
      </c>
      <c r="N23" s="76" t="s">
        <v>219</v>
      </c>
      <c r="O23" s="4" t="s">
        <v>212</v>
      </c>
      <c r="P23" s="73" t="s">
        <v>1221</v>
      </c>
      <c r="Q23" s="93" t="s">
        <v>137</v>
      </c>
      <c r="R23" s="98" t="s">
        <v>1543</v>
      </c>
      <c r="S23" s="73" t="s">
        <v>1633</v>
      </c>
      <c r="T23" s="88"/>
    </row>
    <row r="24" spans="1:20" ht="70">
      <c r="A24" s="80" t="s">
        <v>1629</v>
      </c>
      <c r="B24" s="73" t="s">
        <v>220</v>
      </c>
      <c r="C24" s="73" t="s">
        <v>221</v>
      </c>
      <c r="D24" s="73" t="s">
        <v>90</v>
      </c>
      <c r="E24" s="75" t="s">
        <v>1571</v>
      </c>
      <c r="F24" s="76"/>
      <c r="G24" s="76"/>
      <c r="H24" s="76"/>
      <c r="I24" s="76" t="s">
        <v>35</v>
      </c>
      <c r="J24" s="77" t="s">
        <v>1635</v>
      </c>
      <c r="K24" s="4" t="s">
        <v>34</v>
      </c>
      <c r="L24" s="91"/>
      <c r="M24" s="99" t="s">
        <v>222</v>
      </c>
      <c r="N24" s="76" t="s">
        <v>211</v>
      </c>
      <c r="O24" s="4" t="s">
        <v>212</v>
      </c>
      <c r="P24" s="73" t="s">
        <v>1221</v>
      </c>
      <c r="Q24" s="93" t="s">
        <v>137</v>
      </c>
      <c r="R24" s="98" t="s">
        <v>1543</v>
      </c>
      <c r="S24" s="73" t="s">
        <v>1633</v>
      </c>
      <c r="T24" s="88"/>
    </row>
    <row r="25" spans="1:20" ht="80">
      <c r="A25" s="80" t="s">
        <v>1629</v>
      </c>
      <c r="B25" s="73" t="s">
        <v>223</v>
      </c>
      <c r="C25" s="73" t="s">
        <v>224</v>
      </c>
      <c r="D25" s="73" t="s">
        <v>33</v>
      </c>
      <c r="E25" s="75" t="s">
        <v>1571</v>
      </c>
      <c r="F25" s="76"/>
      <c r="G25" s="76"/>
      <c r="H25" s="76"/>
      <c r="I25" s="76" t="s">
        <v>35</v>
      </c>
      <c r="J25" s="77" t="s">
        <v>1636</v>
      </c>
      <c r="K25" s="4" t="s">
        <v>51</v>
      </c>
      <c r="L25" s="91"/>
      <c r="M25" s="99" t="s">
        <v>225</v>
      </c>
      <c r="N25" s="76" t="s">
        <v>211</v>
      </c>
      <c r="O25" s="4" t="s">
        <v>212</v>
      </c>
      <c r="P25" s="73" t="s">
        <v>1221</v>
      </c>
      <c r="Q25" s="93" t="s">
        <v>137</v>
      </c>
      <c r="R25" s="98" t="s">
        <v>1543</v>
      </c>
      <c r="S25" s="73" t="s">
        <v>1637</v>
      </c>
      <c r="T25" s="88"/>
    </row>
    <row r="26" spans="1:20" ht="10.5" thickBot="1">
      <c r="A26" s="100"/>
      <c r="B26" s="101"/>
      <c r="C26" s="101"/>
      <c r="D26" s="101"/>
      <c r="E26" s="102"/>
      <c r="F26" s="103"/>
      <c r="G26" s="103"/>
      <c r="H26" s="103"/>
      <c r="I26" s="104"/>
      <c r="J26" s="105"/>
      <c r="K26" s="106"/>
      <c r="L26" s="107"/>
      <c r="M26" s="103"/>
      <c r="N26" s="104"/>
      <c r="O26" s="105"/>
      <c r="P26" s="108"/>
      <c r="Q26" s="19"/>
      <c r="R26" s="109"/>
      <c r="S26" s="101"/>
      <c r="T26" s="110"/>
    </row>
    <row r="27" spans="1:20">
      <c r="A27" s="111"/>
      <c r="B27" s="111"/>
      <c r="C27" s="111"/>
      <c r="D27" s="111"/>
      <c r="E27" s="112"/>
      <c r="F27" s="113"/>
      <c r="G27" s="113"/>
      <c r="H27" s="113"/>
      <c r="I27" s="114"/>
      <c r="J27" s="115"/>
      <c r="K27" s="111"/>
      <c r="L27" s="113"/>
      <c r="M27" s="113"/>
      <c r="N27" s="114"/>
      <c r="O27" s="115"/>
      <c r="P27" s="111"/>
      <c r="Q27" s="115"/>
      <c r="R27" s="111"/>
      <c r="S27" s="115"/>
    </row>
    <row r="28" spans="1:20" ht="10.5" thickBot="1"/>
    <row r="29" spans="1:20" ht="13.5" thickBot="1">
      <c r="A29" s="439" t="s">
        <v>583</v>
      </c>
      <c r="B29" s="498"/>
      <c r="C29" s="498"/>
      <c r="D29" s="498"/>
      <c r="E29" s="498"/>
      <c r="F29" s="498"/>
      <c r="G29" s="498"/>
      <c r="H29" s="498"/>
      <c r="I29" s="498"/>
      <c r="J29" s="499"/>
    </row>
    <row r="30" spans="1:20" ht="13.5" thickBot="1">
      <c r="A30" s="116" t="s">
        <v>1638</v>
      </c>
      <c r="B30" s="117" t="s">
        <v>1639</v>
      </c>
      <c r="C30" s="500" t="s">
        <v>587</v>
      </c>
      <c r="D30" s="501"/>
      <c r="E30" s="501"/>
      <c r="F30" s="501"/>
      <c r="G30" s="501"/>
      <c r="H30" s="501"/>
      <c r="I30" s="501"/>
      <c r="J30" s="502"/>
    </row>
    <row r="31" spans="1:20" ht="42.5" thickBot="1">
      <c r="A31" s="13" t="s">
        <v>592</v>
      </c>
      <c r="B31" s="9" t="s">
        <v>593</v>
      </c>
      <c r="C31" s="12" t="s">
        <v>1640</v>
      </c>
      <c r="D31" s="9" t="s">
        <v>595</v>
      </c>
      <c r="E31" s="8" t="s">
        <v>596</v>
      </c>
      <c r="F31" s="10" t="s">
        <v>597</v>
      </c>
      <c r="G31" s="9" t="s">
        <v>600</v>
      </c>
      <c r="H31" s="9" t="s">
        <v>601</v>
      </c>
      <c r="I31" s="9" t="s">
        <v>1641</v>
      </c>
      <c r="J31" s="118" t="s">
        <v>603</v>
      </c>
    </row>
    <row r="32" spans="1:20" ht="37.5">
      <c r="A32" s="119" t="s">
        <v>1642</v>
      </c>
      <c r="B32" s="120" t="s">
        <v>1643</v>
      </c>
      <c r="C32" s="121" t="s">
        <v>1267</v>
      </c>
      <c r="D32" s="121" t="s">
        <v>1221</v>
      </c>
      <c r="E32" s="122" t="s">
        <v>1543</v>
      </c>
      <c r="F32" s="123" t="s">
        <v>1269</v>
      </c>
      <c r="G32" s="124">
        <v>0.50000000000000011</v>
      </c>
      <c r="H32" s="125" t="s">
        <v>1644</v>
      </c>
      <c r="I32" s="125"/>
      <c r="J32" s="126"/>
    </row>
    <row r="33" spans="1:10" ht="37.5">
      <c r="A33" s="127" t="s">
        <v>1645</v>
      </c>
      <c r="B33" s="128" t="s">
        <v>1646</v>
      </c>
      <c r="C33" s="129" t="s">
        <v>1267</v>
      </c>
      <c r="D33" s="130" t="s">
        <v>85</v>
      </c>
      <c r="E33" s="122" t="s">
        <v>1647</v>
      </c>
      <c r="F33" s="131" t="s">
        <v>1269</v>
      </c>
      <c r="G33" s="132">
        <v>0.68181818181818188</v>
      </c>
      <c r="H33" s="133" t="s">
        <v>1644</v>
      </c>
      <c r="I33" s="134" t="s">
        <v>1648</v>
      </c>
      <c r="J33" s="135"/>
    </row>
    <row r="34" spans="1:10" ht="37.5">
      <c r="A34" s="127" t="s">
        <v>1649</v>
      </c>
      <c r="B34" s="128" t="s">
        <v>1650</v>
      </c>
      <c r="C34" s="129" t="s">
        <v>1268</v>
      </c>
      <c r="D34" s="130" t="s">
        <v>85</v>
      </c>
      <c r="E34" s="122" t="s">
        <v>1647</v>
      </c>
      <c r="F34" s="131" t="s">
        <v>1269</v>
      </c>
      <c r="G34" s="132">
        <v>0.56818181818181823</v>
      </c>
      <c r="H34" s="133" t="s">
        <v>1644</v>
      </c>
      <c r="I34" s="134"/>
      <c r="J34" s="135"/>
    </row>
    <row r="35" spans="1:10" ht="25">
      <c r="A35" s="127" t="s">
        <v>1651</v>
      </c>
      <c r="B35" s="128" t="s">
        <v>1652</v>
      </c>
      <c r="C35" s="129" t="s">
        <v>1268</v>
      </c>
      <c r="D35" s="130" t="s">
        <v>85</v>
      </c>
      <c r="E35" s="122" t="s">
        <v>1647</v>
      </c>
      <c r="F35" s="131" t="s">
        <v>1269</v>
      </c>
      <c r="G35" s="132">
        <v>0.56818181818181823</v>
      </c>
      <c r="H35" s="133" t="s">
        <v>1644</v>
      </c>
      <c r="I35" s="134"/>
      <c r="J35" s="135"/>
    </row>
    <row r="36" spans="1:10" ht="25">
      <c r="A36" s="127" t="s">
        <v>1653</v>
      </c>
      <c r="B36" s="128" t="s">
        <v>1654</v>
      </c>
      <c r="C36" s="129" t="s">
        <v>1269</v>
      </c>
      <c r="D36" s="130" t="s">
        <v>85</v>
      </c>
      <c r="E36" s="122" t="s">
        <v>1647</v>
      </c>
      <c r="F36" s="131" t="s">
        <v>1268</v>
      </c>
      <c r="G36" s="132">
        <v>0.61363636363636376</v>
      </c>
      <c r="H36" s="133" t="s">
        <v>1644</v>
      </c>
      <c r="I36" s="134"/>
      <c r="J36" s="135"/>
    </row>
    <row r="37" spans="1:10" ht="50">
      <c r="A37" s="127" t="s">
        <v>1655</v>
      </c>
      <c r="B37" s="128" t="s">
        <v>375</v>
      </c>
      <c r="C37" s="129" t="s">
        <v>1267</v>
      </c>
      <c r="D37" s="130" t="s">
        <v>85</v>
      </c>
      <c r="E37" s="122" t="s">
        <v>1647</v>
      </c>
      <c r="F37" s="131" t="s">
        <v>1267</v>
      </c>
      <c r="G37" s="132">
        <v>1</v>
      </c>
      <c r="H37" s="133" t="s">
        <v>589</v>
      </c>
      <c r="I37" s="134" t="s">
        <v>1656</v>
      </c>
      <c r="J37" s="135"/>
    </row>
    <row r="38" spans="1:10" ht="25">
      <c r="A38" s="127" t="s">
        <v>1657</v>
      </c>
      <c r="B38" s="128" t="s">
        <v>1658</v>
      </c>
      <c r="C38" s="129" t="s">
        <v>1269</v>
      </c>
      <c r="D38" s="130" t="s">
        <v>85</v>
      </c>
      <c r="E38" s="122" t="s">
        <v>1647</v>
      </c>
      <c r="F38" s="131" t="s">
        <v>1268</v>
      </c>
      <c r="G38" s="132">
        <v>0.61363636363636376</v>
      </c>
      <c r="H38" s="133" t="s">
        <v>1644</v>
      </c>
      <c r="I38" s="134"/>
      <c r="J38" s="135"/>
    </row>
    <row r="39" spans="1:10" ht="25">
      <c r="A39" s="127" t="s">
        <v>1606</v>
      </c>
      <c r="B39" s="128" t="s">
        <v>961</v>
      </c>
      <c r="C39" s="129" t="s">
        <v>1268</v>
      </c>
      <c r="D39" s="130" t="s">
        <v>85</v>
      </c>
      <c r="E39" s="122" t="s">
        <v>1647</v>
      </c>
      <c r="F39" s="131" t="s">
        <v>1268</v>
      </c>
      <c r="G39" s="132">
        <v>0.7272727272727274</v>
      </c>
      <c r="H39" s="133" t="s">
        <v>1644</v>
      </c>
      <c r="I39" s="134"/>
      <c r="J39" s="135"/>
    </row>
    <row r="40" spans="1:10" ht="25">
      <c r="A40" s="127" t="s">
        <v>1659</v>
      </c>
      <c r="B40" s="128" t="s">
        <v>1660</v>
      </c>
      <c r="C40" s="129" t="s">
        <v>1268</v>
      </c>
      <c r="D40" s="130" t="s">
        <v>85</v>
      </c>
      <c r="E40" s="122" t="s">
        <v>1647</v>
      </c>
      <c r="F40" s="131" t="s">
        <v>1268</v>
      </c>
      <c r="G40" s="132">
        <v>0.7272727272727274</v>
      </c>
      <c r="H40" s="133" t="s">
        <v>1644</v>
      </c>
      <c r="I40" s="134"/>
      <c r="J40" s="135"/>
    </row>
    <row r="41" spans="1:10" ht="25">
      <c r="A41" s="127" t="s">
        <v>1661</v>
      </c>
      <c r="B41" s="128" t="s">
        <v>387</v>
      </c>
      <c r="C41" s="129" t="s">
        <v>1267</v>
      </c>
      <c r="D41" s="130" t="s">
        <v>85</v>
      </c>
      <c r="E41" s="122" t="s">
        <v>1647</v>
      </c>
      <c r="F41" s="131" t="s">
        <v>1268</v>
      </c>
      <c r="G41" s="132">
        <v>0.84090909090909094</v>
      </c>
      <c r="H41" s="133" t="s">
        <v>589</v>
      </c>
      <c r="I41" s="134"/>
      <c r="J41" s="135"/>
    </row>
    <row r="42" spans="1:10" ht="12.5">
      <c r="A42" s="127" t="s">
        <v>1662</v>
      </c>
      <c r="B42" s="127" t="s">
        <v>1663</v>
      </c>
      <c r="C42" s="129" t="s">
        <v>1268</v>
      </c>
      <c r="D42" s="130" t="s">
        <v>85</v>
      </c>
      <c r="E42" s="122" t="s">
        <v>1647</v>
      </c>
      <c r="F42" s="131" t="s">
        <v>1269</v>
      </c>
      <c r="G42" s="132">
        <v>0.56818181818181823</v>
      </c>
      <c r="H42" s="133" t="s">
        <v>1644</v>
      </c>
      <c r="I42" s="134"/>
      <c r="J42" s="135"/>
    </row>
    <row r="43" spans="1:10" ht="12.5">
      <c r="C43" s="129"/>
      <c r="D43" s="130"/>
      <c r="E43" s="130"/>
      <c r="F43" s="131"/>
      <c r="G43" s="132" t="s">
        <v>1644</v>
      </c>
      <c r="H43" s="133" t="s">
        <v>1644</v>
      </c>
      <c r="I43" s="134"/>
      <c r="J43" s="135"/>
    </row>
    <row r="44" spans="1:10" ht="12.5">
      <c r="C44" s="129"/>
      <c r="D44" s="130"/>
      <c r="E44" s="130"/>
      <c r="F44" s="131"/>
      <c r="G44" s="132" t="s">
        <v>1644</v>
      </c>
      <c r="H44" s="133" t="s">
        <v>1644</v>
      </c>
      <c r="I44" s="134"/>
      <c r="J44" s="135"/>
    </row>
    <row r="45" spans="1:10" ht="12.5">
      <c r="C45" s="129"/>
      <c r="D45" s="130"/>
      <c r="E45" s="130"/>
      <c r="F45" s="131"/>
      <c r="G45" s="132" t="s">
        <v>1644</v>
      </c>
      <c r="H45" s="133" t="s">
        <v>1644</v>
      </c>
      <c r="I45" s="134"/>
      <c r="J45" s="135"/>
    </row>
    <row r="46" spans="1:10" ht="12.5">
      <c r="A46" s="127"/>
      <c r="B46" s="128"/>
      <c r="C46" s="129"/>
      <c r="D46" s="130"/>
      <c r="E46" s="130"/>
      <c r="F46" s="131"/>
      <c r="G46" s="132" t="s">
        <v>1644</v>
      </c>
      <c r="H46" s="133" t="s">
        <v>1644</v>
      </c>
      <c r="I46" s="134"/>
      <c r="J46" s="135"/>
    </row>
    <row r="47" spans="1:10" ht="12.5">
      <c r="A47" s="127"/>
      <c r="B47" s="128"/>
      <c r="C47" s="129"/>
      <c r="D47" s="130"/>
      <c r="E47" s="130"/>
      <c r="F47" s="131"/>
      <c r="G47" s="132" t="s">
        <v>1644</v>
      </c>
      <c r="H47" s="133" t="s">
        <v>1644</v>
      </c>
      <c r="I47" s="134"/>
      <c r="J47" s="135"/>
    </row>
    <row r="48" spans="1:10" ht="13" thickBot="1">
      <c r="A48" s="136"/>
      <c r="B48" s="137"/>
      <c r="C48" s="138"/>
      <c r="D48" s="139"/>
      <c r="E48" s="139"/>
      <c r="F48" s="140"/>
      <c r="G48" s="141" t="s">
        <v>1644</v>
      </c>
      <c r="H48" s="142" t="s">
        <v>1644</v>
      </c>
      <c r="I48" s="143"/>
      <c r="J48" s="144"/>
    </row>
    <row r="50" spans="1:10" ht="13.5" thickBot="1">
      <c r="A50" s="439" t="s">
        <v>583</v>
      </c>
      <c r="B50" s="498"/>
      <c r="C50" s="498"/>
      <c r="D50" s="498"/>
      <c r="E50" s="498"/>
      <c r="F50" s="498"/>
      <c r="G50" s="498"/>
      <c r="H50" s="498"/>
      <c r="I50" s="498"/>
      <c r="J50" s="499"/>
    </row>
    <row r="51" spans="1:10" ht="25.5" customHeight="1" thickBot="1">
      <c r="A51" s="116" t="s">
        <v>1638</v>
      </c>
      <c r="B51" s="117" t="s">
        <v>220</v>
      </c>
      <c r="C51" s="500" t="s">
        <v>587</v>
      </c>
      <c r="D51" s="501"/>
      <c r="E51" s="501"/>
      <c r="F51" s="501"/>
      <c r="G51" s="501"/>
      <c r="H51" s="501"/>
      <c r="I51" s="501"/>
      <c r="J51" s="502"/>
    </row>
    <row r="52" spans="1:10" ht="42.5" thickBot="1">
      <c r="A52" s="13" t="s">
        <v>592</v>
      </c>
      <c r="B52" s="9" t="s">
        <v>593</v>
      </c>
      <c r="C52" s="12" t="s">
        <v>1640</v>
      </c>
      <c r="D52" s="9" t="s">
        <v>595</v>
      </c>
      <c r="E52" s="8" t="s">
        <v>596</v>
      </c>
      <c r="F52" s="10" t="s">
        <v>597</v>
      </c>
      <c r="G52" s="9" t="s">
        <v>600</v>
      </c>
      <c r="H52" s="9" t="s">
        <v>601</v>
      </c>
      <c r="I52" s="9" t="s">
        <v>1641</v>
      </c>
      <c r="J52" s="118" t="s">
        <v>603</v>
      </c>
    </row>
    <row r="53" spans="1:10" ht="25">
      <c r="A53" s="127" t="s">
        <v>1655</v>
      </c>
      <c r="B53" s="128" t="s">
        <v>213</v>
      </c>
      <c r="C53" s="121" t="s">
        <v>1268</v>
      </c>
      <c r="D53" s="121" t="s">
        <v>1221</v>
      </c>
      <c r="E53" s="122" t="s">
        <v>1543</v>
      </c>
      <c r="F53" s="123" t="s">
        <v>1269</v>
      </c>
      <c r="G53" s="124">
        <v>0.38636363636363641</v>
      </c>
      <c r="H53" s="125" t="s">
        <v>1644</v>
      </c>
      <c r="I53" s="125"/>
      <c r="J53" s="126"/>
    </row>
    <row r="54" spans="1:10" ht="12.5">
      <c r="A54" s="127" t="s">
        <v>1655</v>
      </c>
      <c r="B54" s="128" t="s">
        <v>216</v>
      </c>
      <c r="C54" s="129" t="s">
        <v>1268</v>
      </c>
      <c r="D54" s="130" t="s">
        <v>1221</v>
      </c>
      <c r="E54" s="122" t="s">
        <v>1543</v>
      </c>
      <c r="F54" s="131" t="s">
        <v>1269</v>
      </c>
      <c r="G54" s="132">
        <v>0.38636363636363641</v>
      </c>
      <c r="H54" s="133" t="s">
        <v>1644</v>
      </c>
      <c r="I54" s="134"/>
      <c r="J54" s="135"/>
    </row>
    <row r="55" spans="1:10" ht="12.5">
      <c r="A55" s="127" t="s">
        <v>1655</v>
      </c>
      <c r="B55" s="128" t="s">
        <v>223</v>
      </c>
      <c r="C55" s="129" t="s">
        <v>1267</v>
      </c>
      <c r="D55" s="130" t="s">
        <v>85</v>
      </c>
      <c r="E55" s="122" t="s">
        <v>1543</v>
      </c>
      <c r="F55" s="131" t="s">
        <v>1269</v>
      </c>
      <c r="G55" s="132">
        <v>0.56818181818181823</v>
      </c>
      <c r="H55" s="133" t="s">
        <v>1644</v>
      </c>
      <c r="I55" s="134"/>
      <c r="J55" s="135"/>
    </row>
    <row r="56" spans="1:10" ht="13" thickBot="1">
      <c r="A56" s="136"/>
      <c r="B56" s="137"/>
      <c r="C56" s="138"/>
      <c r="D56" s="139"/>
      <c r="E56" s="139"/>
      <c r="F56" s="140"/>
      <c r="G56" s="141" t="s">
        <v>1644</v>
      </c>
      <c r="H56" s="142" t="s">
        <v>1644</v>
      </c>
      <c r="I56" s="143"/>
      <c r="J56" s="144"/>
    </row>
  </sheetData>
  <mergeCells count="8">
    <mergeCell ref="A50:J50"/>
    <mergeCell ref="C51:J51"/>
    <mergeCell ref="A1:S1"/>
    <mergeCell ref="A2:K2"/>
    <mergeCell ref="L2:P2"/>
    <mergeCell ref="Q2:S2"/>
    <mergeCell ref="A29:J29"/>
    <mergeCell ref="C30:J30"/>
  </mergeCells>
  <dataValidations count="6">
    <dataValidation type="list" allowBlank="1" showInputMessage="1" showErrorMessage="1" sqref="E4:E27 JA4:JA27 SW4:SW27 ACS4:ACS27 AMO4:AMO27 AWK4:AWK27 BGG4:BGG27 BQC4:BQC27 BZY4:BZY27 CJU4:CJU27 CTQ4:CTQ27 DDM4:DDM27 DNI4:DNI27 DXE4:DXE27 EHA4:EHA27 EQW4:EQW27 FAS4:FAS27 FKO4:FKO27 FUK4:FUK27 GEG4:GEG27 GOC4:GOC27 GXY4:GXY27 HHU4:HHU27 HRQ4:HRQ27 IBM4:IBM27 ILI4:ILI27 IVE4:IVE27 JFA4:JFA27 JOW4:JOW27 JYS4:JYS27 KIO4:KIO27 KSK4:KSK27 LCG4:LCG27 LMC4:LMC27 LVY4:LVY27 MFU4:MFU27 MPQ4:MPQ27 MZM4:MZM27 NJI4:NJI27 NTE4:NTE27 ODA4:ODA27 OMW4:OMW27 OWS4:OWS27 PGO4:PGO27 PQK4:PQK27 QAG4:QAG27 QKC4:QKC27 QTY4:QTY27 RDU4:RDU27 RNQ4:RNQ27 RXM4:RXM27 SHI4:SHI27 SRE4:SRE27 TBA4:TBA27 TKW4:TKW27 TUS4:TUS27 UEO4:UEO27 UOK4:UOK27 UYG4:UYG27 VIC4:VIC27 VRY4:VRY27 WBU4:WBU27 WLQ4:WLQ27 WVM4:WVM27 E65540:E65563 JA65540:JA65563 SW65540:SW65563 ACS65540:ACS65563 AMO65540:AMO65563 AWK65540:AWK65563 BGG65540:BGG65563 BQC65540:BQC65563 BZY65540:BZY65563 CJU65540:CJU65563 CTQ65540:CTQ65563 DDM65540:DDM65563 DNI65540:DNI65563 DXE65540:DXE65563 EHA65540:EHA65563 EQW65540:EQW65563 FAS65540:FAS65563 FKO65540:FKO65563 FUK65540:FUK65563 GEG65540:GEG65563 GOC65540:GOC65563 GXY65540:GXY65563 HHU65540:HHU65563 HRQ65540:HRQ65563 IBM65540:IBM65563 ILI65540:ILI65563 IVE65540:IVE65563 JFA65540:JFA65563 JOW65540:JOW65563 JYS65540:JYS65563 KIO65540:KIO65563 KSK65540:KSK65563 LCG65540:LCG65563 LMC65540:LMC65563 LVY65540:LVY65563 MFU65540:MFU65563 MPQ65540:MPQ65563 MZM65540:MZM65563 NJI65540:NJI65563 NTE65540:NTE65563 ODA65540:ODA65563 OMW65540:OMW65563 OWS65540:OWS65563 PGO65540:PGO65563 PQK65540:PQK65563 QAG65540:QAG65563 QKC65540:QKC65563 QTY65540:QTY65563 RDU65540:RDU65563 RNQ65540:RNQ65563 RXM65540:RXM65563 SHI65540:SHI65563 SRE65540:SRE65563 TBA65540:TBA65563 TKW65540:TKW65563 TUS65540:TUS65563 UEO65540:UEO65563 UOK65540:UOK65563 UYG65540:UYG65563 VIC65540:VIC65563 VRY65540:VRY65563 WBU65540:WBU65563 WLQ65540:WLQ65563 WVM65540:WVM65563 E131076:E131099 JA131076:JA131099 SW131076:SW131099 ACS131076:ACS131099 AMO131076:AMO131099 AWK131076:AWK131099 BGG131076:BGG131099 BQC131076:BQC131099 BZY131076:BZY131099 CJU131076:CJU131099 CTQ131076:CTQ131099 DDM131076:DDM131099 DNI131076:DNI131099 DXE131076:DXE131099 EHA131076:EHA131099 EQW131076:EQW131099 FAS131076:FAS131099 FKO131076:FKO131099 FUK131076:FUK131099 GEG131076:GEG131099 GOC131076:GOC131099 GXY131076:GXY131099 HHU131076:HHU131099 HRQ131076:HRQ131099 IBM131076:IBM131099 ILI131076:ILI131099 IVE131076:IVE131099 JFA131076:JFA131099 JOW131076:JOW131099 JYS131076:JYS131099 KIO131076:KIO131099 KSK131076:KSK131099 LCG131076:LCG131099 LMC131076:LMC131099 LVY131076:LVY131099 MFU131076:MFU131099 MPQ131076:MPQ131099 MZM131076:MZM131099 NJI131076:NJI131099 NTE131076:NTE131099 ODA131076:ODA131099 OMW131076:OMW131099 OWS131076:OWS131099 PGO131076:PGO131099 PQK131076:PQK131099 QAG131076:QAG131099 QKC131076:QKC131099 QTY131076:QTY131099 RDU131076:RDU131099 RNQ131076:RNQ131099 RXM131076:RXM131099 SHI131076:SHI131099 SRE131076:SRE131099 TBA131076:TBA131099 TKW131076:TKW131099 TUS131076:TUS131099 UEO131076:UEO131099 UOK131076:UOK131099 UYG131076:UYG131099 VIC131076:VIC131099 VRY131076:VRY131099 WBU131076:WBU131099 WLQ131076:WLQ131099 WVM131076:WVM131099 E196612:E196635 JA196612:JA196635 SW196612:SW196635 ACS196612:ACS196635 AMO196612:AMO196635 AWK196612:AWK196635 BGG196612:BGG196635 BQC196612:BQC196635 BZY196612:BZY196635 CJU196612:CJU196635 CTQ196612:CTQ196635 DDM196612:DDM196635 DNI196612:DNI196635 DXE196612:DXE196635 EHA196612:EHA196635 EQW196612:EQW196635 FAS196612:FAS196635 FKO196612:FKO196635 FUK196612:FUK196635 GEG196612:GEG196635 GOC196612:GOC196635 GXY196612:GXY196635 HHU196612:HHU196635 HRQ196612:HRQ196635 IBM196612:IBM196635 ILI196612:ILI196635 IVE196612:IVE196635 JFA196612:JFA196635 JOW196612:JOW196635 JYS196612:JYS196635 KIO196612:KIO196635 KSK196612:KSK196635 LCG196612:LCG196635 LMC196612:LMC196635 LVY196612:LVY196635 MFU196612:MFU196635 MPQ196612:MPQ196635 MZM196612:MZM196635 NJI196612:NJI196635 NTE196612:NTE196635 ODA196612:ODA196635 OMW196612:OMW196635 OWS196612:OWS196635 PGO196612:PGO196635 PQK196612:PQK196635 QAG196612:QAG196635 QKC196612:QKC196635 QTY196612:QTY196635 RDU196612:RDU196635 RNQ196612:RNQ196635 RXM196612:RXM196635 SHI196612:SHI196635 SRE196612:SRE196635 TBA196612:TBA196635 TKW196612:TKW196635 TUS196612:TUS196635 UEO196612:UEO196635 UOK196612:UOK196635 UYG196612:UYG196635 VIC196612:VIC196635 VRY196612:VRY196635 WBU196612:WBU196635 WLQ196612:WLQ196635 WVM196612:WVM196635 E262148:E262171 JA262148:JA262171 SW262148:SW262171 ACS262148:ACS262171 AMO262148:AMO262171 AWK262148:AWK262171 BGG262148:BGG262171 BQC262148:BQC262171 BZY262148:BZY262171 CJU262148:CJU262171 CTQ262148:CTQ262171 DDM262148:DDM262171 DNI262148:DNI262171 DXE262148:DXE262171 EHA262148:EHA262171 EQW262148:EQW262171 FAS262148:FAS262171 FKO262148:FKO262171 FUK262148:FUK262171 GEG262148:GEG262171 GOC262148:GOC262171 GXY262148:GXY262171 HHU262148:HHU262171 HRQ262148:HRQ262171 IBM262148:IBM262171 ILI262148:ILI262171 IVE262148:IVE262171 JFA262148:JFA262171 JOW262148:JOW262171 JYS262148:JYS262171 KIO262148:KIO262171 KSK262148:KSK262171 LCG262148:LCG262171 LMC262148:LMC262171 LVY262148:LVY262171 MFU262148:MFU262171 MPQ262148:MPQ262171 MZM262148:MZM262171 NJI262148:NJI262171 NTE262148:NTE262171 ODA262148:ODA262171 OMW262148:OMW262171 OWS262148:OWS262171 PGO262148:PGO262171 PQK262148:PQK262171 QAG262148:QAG262171 QKC262148:QKC262171 QTY262148:QTY262171 RDU262148:RDU262171 RNQ262148:RNQ262171 RXM262148:RXM262171 SHI262148:SHI262171 SRE262148:SRE262171 TBA262148:TBA262171 TKW262148:TKW262171 TUS262148:TUS262171 UEO262148:UEO262171 UOK262148:UOK262171 UYG262148:UYG262171 VIC262148:VIC262171 VRY262148:VRY262171 WBU262148:WBU262171 WLQ262148:WLQ262171 WVM262148:WVM262171 E327684:E327707 JA327684:JA327707 SW327684:SW327707 ACS327684:ACS327707 AMO327684:AMO327707 AWK327684:AWK327707 BGG327684:BGG327707 BQC327684:BQC327707 BZY327684:BZY327707 CJU327684:CJU327707 CTQ327684:CTQ327707 DDM327684:DDM327707 DNI327684:DNI327707 DXE327684:DXE327707 EHA327684:EHA327707 EQW327684:EQW327707 FAS327684:FAS327707 FKO327684:FKO327707 FUK327684:FUK327707 GEG327684:GEG327707 GOC327684:GOC327707 GXY327684:GXY327707 HHU327684:HHU327707 HRQ327684:HRQ327707 IBM327684:IBM327707 ILI327684:ILI327707 IVE327684:IVE327707 JFA327684:JFA327707 JOW327684:JOW327707 JYS327684:JYS327707 KIO327684:KIO327707 KSK327684:KSK327707 LCG327684:LCG327707 LMC327684:LMC327707 LVY327684:LVY327707 MFU327684:MFU327707 MPQ327684:MPQ327707 MZM327684:MZM327707 NJI327684:NJI327707 NTE327684:NTE327707 ODA327684:ODA327707 OMW327684:OMW327707 OWS327684:OWS327707 PGO327684:PGO327707 PQK327684:PQK327707 QAG327684:QAG327707 QKC327684:QKC327707 QTY327684:QTY327707 RDU327684:RDU327707 RNQ327684:RNQ327707 RXM327684:RXM327707 SHI327684:SHI327707 SRE327684:SRE327707 TBA327684:TBA327707 TKW327684:TKW327707 TUS327684:TUS327707 UEO327684:UEO327707 UOK327684:UOK327707 UYG327684:UYG327707 VIC327684:VIC327707 VRY327684:VRY327707 WBU327684:WBU327707 WLQ327684:WLQ327707 WVM327684:WVM327707 E393220:E393243 JA393220:JA393243 SW393220:SW393243 ACS393220:ACS393243 AMO393220:AMO393243 AWK393220:AWK393243 BGG393220:BGG393243 BQC393220:BQC393243 BZY393220:BZY393243 CJU393220:CJU393243 CTQ393220:CTQ393243 DDM393220:DDM393243 DNI393220:DNI393243 DXE393220:DXE393243 EHA393220:EHA393243 EQW393220:EQW393243 FAS393220:FAS393243 FKO393220:FKO393243 FUK393220:FUK393243 GEG393220:GEG393243 GOC393220:GOC393243 GXY393220:GXY393243 HHU393220:HHU393243 HRQ393220:HRQ393243 IBM393220:IBM393243 ILI393220:ILI393243 IVE393220:IVE393243 JFA393220:JFA393243 JOW393220:JOW393243 JYS393220:JYS393243 KIO393220:KIO393243 KSK393220:KSK393243 LCG393220:LCG393243 LMC393220:LMC393243 LVY393220:LVY393243 MFU393220:MFU393243 MPQ393220:MPQ393243 MZM393220:MZM393243 NJI393220:NJI393243 NTE393220:NTE393243 ODA393220:ODA393243 OMW393220:OMW393243 OWS393220:OWS393243 PGO393220:PGO393243 PQK393220:PQK393243 QAG393220:QAG393243 QKC393220:QKC393243 QTY393220:QTY393243 RDU393220:RDU393243 RNQ393220:RNQ393243 RXM393220:RXM393243 SHI393220:SHI393243 SRE393220:SRE393243 TBA393220:TBA393243 TKW393220:TKW393243 TUS393220:TUS393243 UEO393220:UEO393243 UOK393220:UOK393243 UYG393220:UYG393243 VIC393220:VIC393243 VRY393220:VRY393243 WBU393220:WBU393243 WLQ393220:WLQ393243 WVM393220:WVM393243 E458756:E458779 JA458756:JA458779 SW458756:SW458779 ACS458756:ACS458779 AMO458756:AMO458779 AWK458756:AWK458779 BGG458756:BGG458779 BQC458756:BQC458779 BZY458756:BZY458779 CJU458756:CJU458779 CTQ458756:CTQ458779 DDM458756:DDM458779 DNI458756:DNI458779 DXE458756:DXE458779 EHA458756:EHA458779 EQW458756:EQW458779 FAS458756:FAS458779 FKO458756:FKO458779 FUK458756:FUK458779 GEG458756:GEG458779 GOC458756:GOC458779 GXY458756:GXY458779 HHU458756:HHU458779 HRQ458756:HRQ458779 IBM458756:IBM458779 ILI458756:ILI458779 IVE458756:IVE458779 JFA458756:JFA458779 JOW458756:JOW458779 JYS458756:JYS458779 KIO458756:KIO458779 KSK458756:KSK458779 LCG458756:LCG458779 LMC458756:LMC458779 LVY458756:LVY458779 MFU458756:MFU458779 MPQ458756:MPQ458779 MZM458756:MZM458779 NJI458756:NJI458779 NTE458756:NTE458779 ODA458756:ODA458779 OMW458756:OMW458779 OWS458756:OWS458779 PGO458756:PGO458779 PQK458756:PQK458779 QAG458756:QAG458779 QKC458756:QKC458779 QTY458756:QTY458779 RDU458756:RDU458779 RNQ458756:RNQ458779 RXM458756:RXM458779 SHI458756:SHI458779 SRE458756:SRE458779 TBA458756:TBA458779 TKW458756:TKW458779 TUS458756:TUS458779 UEO458756:UEO458779 UOK458756:UOK458779 UYG458756:UYG458779 VIC458756:VIC458779 VRY458756:VRY458779 WBU458756:WBU458779 WLQ458756:WLQ458779 WVM458756:WVM458779 E524292:E524315 JA524292:JA524315 SW524292:SW524315 ACS524292:ACS524315 AMO524292:AMO524315 AWK524292:AWK524315 BGG524292:BGG524315 BQC524292:BQC524315 BZY524292:BZY524315 CJU524292:CJU524315 CTQ524292:CTQ524315 DDM524292:DDM524315 DNI524292:DNI524315 DXE524292:DXE524315 EHA524292:EHA524315 EQW524292:EQW524315 FAS524292:FAS524315 FKO524292:FKO524315 FUK524292:FUK524315 GEG524292:GEG524315 GOC524292:GOC524315 GXY524292:GXY524315 HHU524292:HHU524315 HRQ524292:HRQ524315 IBM524292:IBM524315 ILI524292:ILI524315 IVE524292:IVE524315 JFA524292:JFA524315 JOW524292:JOW524315 JYS524292:JYS524315 KIO524292:KIO524315 KSK524292:KSK524315 LCG524292:LCG524315 LMC524292:LMC524315 LVY524292:LVY524315 MFU524292:MFU524315 MPQ524292:MPQ524315 MZM524292:MZM524315 NJI524292:NJI524315 NTE524292:NTE524315 ODA524292:ODA524315 OMW524292:OMW524315 OWS524292:OWS524315 PGO524292:PGO524315 PQK524292:PQK524315 QAG524292:QAG524315 QKC524292:QKC524315 QTY524292:QTY524315 RDU524292:RDU524315 RNQ524292:RNQ524315 RXM524292:RXM524315 SHI524292:SHI524315 SRE524292:SRE524315 TBA524292:TBA524315 TKW524292:TKW524315 TUS524292:TUS524315 UEO524292:UEO524315 UOK524292:UOK524315 UYG524292:UYG524315 VIC524292:VIC524315 VRY524292:VRY524315 WBU524292:WBU524315 WLQ524292:WLQ524315 WVM524292:WVM524315 E589828:E589851 JA589828:JA589851 SW589828:SW589851 ACS589828:ACS589851 AMO589828:AMO589851 AWK589828:AWK589851 BGG589828:BGG589851 BQC589828:BQC589851 BZY589828:BZY589851 CJU589828:CJU589851 CTQ589828:CTQ589851 DDM589828:DDM589851 DNI589828:DNI589851 DXE589828:DXE589851 EHA589828:EHA589851 EQW589828:EQW589851 FAS589828:FAS589851 FKO589828:FKO589851 FUK589828:FUK589851 GEG589828:GEG589851 GOC589828:GOC589851 GXY589828:GXY589851 HHU589828:HHU589851 HRQ589828:HRQ589851 IBM589828:IBM589851 ILI589828:ILI589851 IVE589828:IVE589851 JFA589828:JFA589851 JOW589828:JOW589851 JYS589828:JYS589851 KIO589828:KIO589851 KSK589828:KSK589851 LCG589828:LCG589851 LMC589828:LMC589851 LVY589828:LVY589851 MFU589828:MFU589851 MPQ589828:MPQ589851 MZM589828:MZM589851 NJI589828:NJI589851 NTE589828:NTE589851 ODA589828:ODA589851 OMW589828:OMW589851 OWS589828:OWS589851 PGO589828:PGO589851 PQK589828:PQK589851 QAG589828:QAG589851 QKC589828:QKC589851 QTY589828:QTY589851 RDU589828:RDU589851 RNQ589828:RNQ589851 RXM589828:RXM589851 SHI589828:SHI589851 SRE589828:SRE589851 TBA589828:TBA589851 TKW589828:TKW589851 TUS589828:TUS589851 UEO589828:UEO589851 UOK589828:UOK589851 UYG589828:UYG589851 VIC589828:VIC589851 VRY589828:VRY589851 WBU589828:WBU589851 WLQ589828:WLQ589851 WVM589828:WVM589851 E655364:E655387 JA655364:JA655387 SW655364:SW655387 ACS655364:ACS655387 AMO655364:AMO655387 AWK655364:AWK655387 BGG655364:BGG655387 BQC655364:BQC655387 BZY655364:BZY655387 CJU655364:CJU655387 CTQ655364:CTQ655387 DDM655364:DDM655387 DNI655364:DNI655387 DXE655364:DXE655387 EHA655364:EHA655387 EQW655364:EQW655387 FAS655364:FAS655387 FKO655364:FKO655387 FUK655364:FUK655387 GEG655364:GEG655387 GOC655364:GOC655387 GXY655364:GXY655387 HHU655364:HHU655387 HRQ655364:HRQ655387 IBM655364:IBM655387 ILI655364:ILI655387 IVE655364:IVE655387 JFA655364:JFA655387 JOW655364:JOW655387 JYS655364:JYS655387 KIO655364:KIO655387 KSK655364:KSK655387 LCG655364:LCG655387 LMC655364:LMC655387 LVY655364:LVY655387 MFU655364:MFU655387 MPQ655364:MPQ655387 MZM655364:MZM655387 NJI655364:NJI655387 NTE655364:NTE655387 ODA655364:ODA655387 OMW655364:OMW655387 OWS655364:OWS655387 PGO655364:PGO655387 PQK655364:PQK655387 QAG655364:QAG655387 QKC655364:QKC655387 QTY655364:QTY655387 RDU655364:RDU655387 RNQ655364:RNQ655387 RXM655364:RXM655387 SHI655364:SHI655387 SRE655364:SRE655387 TBA655364:TBA655387 TKW655364:TKW655387 TUS655364:TUS655387 UEO655364:UEO655387 UOK655364:UOK655387 UYG655364:UYG655387 VIC655364:VIC655387 VRY655364:VRY655387 WBU655364:WBU655387 WLQ655364:WLQ655387 WVM655364:WVM655387 E720900:E720923 JA720900:JA720923 SW720900:SW720923 ACS720900:ACS720923 AMO720900:AMO720923 AWK720900:AWK720923 BGG720900:BGG720923 BQC720900:BQC720923 BZY720900:BZY720923 CJU720900:CJU720923 CTQ720900:CTQ720923 DDM720900:DDM720923 DNI720900:DNI720923 DXE720900:DXE720923 EHA720900:EHA720923 EQW720900:EQW720923 FAS720900:FAS720923 FKO720900:FKO720923 FUK720900:FUK720923 GEG720900:GEG720923 GOC720900:GOC720923 GXY720900:GXY720923 HHU720900:HHU720923 HRQ720900:HRQ720923 IBM720900:IBM720923 ILI720900:ILI720923 IVE720900:IVE720923 JFA720900:JFA720923 JOW720900:JOW720923 JYS720900:JYS720923 KIO720900:KIO720923 KSK720900:KSK720923 LCG720900:LCG720923 LMC720900:LMC720923 LVY720900:LVY720923 MFU720900:MFU720923 MPQ720900:MPQ720923 MZM720900:MZM720923 NJI720900:NJI720923 NTE720900:NTE720923 ODA720900:ODA720923 OMW720900:OMW720923 OWS720900:OWS720923 PGO720900:PGO720923 PQK720900:PQK720923 QAG720900:QAG720923 QKC720900:QKC720923 QTY720900:QTY720923 RDU720900:RDU720923 RNQ720900:RNQ720923 RXM720900:RXM720923 SHI720900:SHI720923 SRE720900:SRE720923 TBA720900:TBA720923 TKW720900:TKW720923 TUS720900:TUS720923 UEO720900:UEO720923 UOK720900:UOK720923 UYG720900:UYG720923 VIC720900:VIC720923 VRY720900:VRY720923 WBU720900:WBU720923 WLQ720900:WLQ720923 WVM720900:WVM720923 E786436:E786459 JA786436:JA786459 SW786436:SW786459 ACS786436:ACS786459 AMO786436:AMO786459 AWK786436:AWK786459 BGG786436:BGG786459 BQC786436:BQC786459 BZY786436:BZY786459 CJU786436:CJU786459 CTQ786436:CTQ786459 DDM786436:DDM786459 DNI786436:DNI786459 DXE786436:DXE786459 EHA786436:EHA786459 EQW786436:EQW786459 FAS786436:FAS786459 FKO786436:FKO786459 FUK786436:FUK786459 GEG786436:GEG786459 GOC786436:GOC786459 GXY786436:GXY786459 HHU786436:HHU786459 HRQ786436:HRQ786459 IBM786436:IBM786459 ILI786436:ILI786459 IVE786436:IVE786459 JFA786436:JFA786459 JOW786436:JOW786459 JYS786436:JYS786459 KIO786436:KIO786459 KSK786436:KSK786459 LCG786436:LCG786459 LMC786436:LMC786459 LVY786436:LVY786459 MFU786436:MFU786459 MPQ786436:MPQ786459 MZM786436:MZM786459 NJI786436:NJI786459 NTE786436:NTE786459 ODA786436:ODA786459 OMW786436:OMW786459 OWS786436:OWS786459 PGO786436:PGO786459 PQK786436:PQK786459 QAG786436:QAG786459 QKC786436:QKC786459 QTY786436:QTY786459 RDU786436:RDU786459 RNQ786436:RNQ786459 RXM786436:RXM786459 SHI786436:SHI786459 SRE786436:SRE786459 TBA786436:TBA786459 TKW786436:TKW786459 TUS786436:TUS786459 UEO786436:UEO786459 UOK786436:UOK786459 UYG786436:UYG786459 VIC786436:VIC786459 VRY786436:VRY786459 WBU786436:WBU786459 WLQ786436:WLQ786459 WVM786436:WVM786459 E851972:E851995 JA851972:JA851995 SW851972:SW851995 ACS851972:ACS851995 AMO851972:AMO851995 AWK851972:AWK851995 BGG851972:BGG851995 BQC851972:BQC851995 BZY851972:BZY851995 CJU851972:CJU851995 CTQ851972:CTQ851995 DDM851972:DDM851995 DNI851972:DNI851995 DXE851972:DXE851995 EHA851972:EHA851995 EQW851972:EQW851995 FAS851972:FAS851995 FKO851972:FKO851995 FUK851972:FUK851995 GEG851972:GEG851995 GOC851972:GOC851995 GXY851972:GXY851995 HHU851972:HHU851995 HRQ851972:HRQ851995 IBM851972:IBM851995 ILI851972:ILI851995 IVE851972:IVE851995 JFA851972:JFA851995 JOW851972:JOW851995 JYS851972:JYS851995 KIO851972:KIO851995 KSK851972:KSK851995 LCG851972:LCG851995 LMC851972:LMC851995 LVY851972:LVY851995 MFU851972:MFU851995 MPQ851972:MPQ851995 MZM851972:MZM851995 NJI851972:NJI851995 NTE851972:NTE851995 ODA851972:ODA851995 OMW851972:OMW851995 OWS851972:OWS851995 PGO851972:PGO851995 PQK851972:PQK851995 QAG851972:QAG851995 QKC851972:QKC851995 QTY851972:QTY851995 RDU851972:RDU851995 RNQ851972:RNQ851995 RXM851972:RXM851995 SHI851972:SHI851995 SRE851972:SRE851995 TBA851972:TBA851995 TKW851972:TKW851995 TUS851972:TUS851995 UEO851972:UEO851995 UOK851972:UOK851995 UYG851972:UYG851995 VIC851972:VIC851995 VRY851972:VRY851995 WBU851972:WBU851995 WLQ851972:WLQ851995 WVM851972:WVM851995 E917508:E917531 JA917508:JA917531 SW917508:SW917531 ACS917508:ACS917531 AMO917508:AMO917531 AWK917508:AWK917531 BGG917508:BGG917531 BQC917508:BQC917531 BZY917508:BZY917531 CJU917508:CJU917531 CTQ917508:CTQ917531 DDM917508:DDM917531 DNI917508:DNI917531 DXE917508:DXE917531 EHA917508:EHA917531 EQW917508:EQW917531 FAS917508:FAS917531 FKO917508:FKO917531 FUK917508:FUK917531 GEG917508:GEG917531 GOC917508:GOC917531 GXY917508:GXY917531 HHU917508:HHU917531 HRQ917508:HRQ917531 IBM917508:IBM917531 ILI917508:ILI917531 IVE917508:IVE917531 JFA917508:JFA917531 JOW917508:JOW917531 JYS917508:JYS917531 KIO917508:KIO917531 KSK917508:KSK917531 LCG917508:LCG917531 LMC917508:LMC917531 LVY917508:LVY917531 MFU917508:MFU917531 MPQ917508:MPQ917531 MZM917508:MZM917531 NJI917508:NJI917531 NTE917508:NTE917531 ODA917508:ODA917531 OMW917508:OMW917531 OWS917508:OWS917531 PGO917508:PGO917531 PQK917508:PQK917531 QAG917508:QAG917531 QKC917508:QKC917531 QTY917508:QTY917531 RDU917508:RDU917531 RNQ917508:RNQ917531 RXM917508:RXM917531 SHI917508:SHI917531 SRE917508:SRE917531 TBA917508:TBA917531 TKW917508:TKW917531 TUS917508:TUS917531 UEO917508:UEO917531 UOK917508:UOK917531 UYG917508:UYG917531 VIC917508:VIC917531 VRY917508:VRY917531 WBU917508:WBU917531 WLQ917508:WLQ917531 WVM917508:WVM917531 E983044:E983067 JA983044:JA983067 SW983044:SW983067 ACS983044:ACS983067 AMO983044:AMO983067 AWK983044:AWK983067 BGG983044:BGG983067 BQC983044:BQC983067 BZY983044:BZY983067 CJU983044:CJU983067 CTQ983044:CTQ983067 DDM983044:DDM983067 DNI983044:DNI983067 DXE983044:DXE983067 EHA983044:EHA983067 EQW983044:EQW983067 FAS983044:FAS983067 FKO983044:FKO983067 FUK983044:FUK983067 GEG983044:GEG983067 GOC983044:GOC983067 GXY983044:GXY983067 HHU983044:HHU983067 HRQ983044:HRQ983067 IBM983044:IBM983067 ILI983044:ILI983067 IVE983044:IVE983067 JFA983044:JFA983067 JOW983044:JOW983067 JYS983044:JYS983067 KIO983044:KIO983067 KSK983044:KSK983067 LCG983044:LCG983067 LMC983044:LMC983067 LVY983044:LVY983067 MFU983044:MFU983067 MPQ983044:MPQ983067 MZM983044:MZM983067 NJI983044:NJI983067 NTE983044:NTE983067 ODA983044:ODA983067 OMW983044:OMW983067 OWS983044:OWS983067 PGO983044:PGO983067 PQK983044:PQK983067 QAG983044:QAG983067 QKC983044:QKC983067 QTY983044:QTY983067 RDU983044:RDU983067 RNQ983044:RNQ983067 RXM983044:RXM983067 SHI983044:SHI983067 SRE983044:SRE983067 TBA983044:TBA983067 TKW983044:TKW983067 TUS983044:TUS983067 UEO983044:UEO983067 UOK983044:UOK983067 UYG983044:UYG983067 VIC983044:VIC983067 VRY983044:VRY983067 WBU983044:WBU983067 WLQ983044:WLQ983067 WVM983044:WVM983067" xr:uid="{CCCFF9D5-2532-4CED-BDFA-67E65D7DA71A}">
      <formula1>"Ultra High-1,Very High-2,High-3,Medium-4,Low-5"</formula1>
    </dataValidation>
    <dataValidation type="list" allowBlank="1" showInputMessage="1" showErrorMessage="1" sqref="K4:K15 JG4:JG15 TC4:TC15 ACY4:ACY15 AMU4:AMU15 AWQ4:AWQ15 BGM4:BGM15 BQI4:BQI15 CAE4:CAE15 CKA4:CKA15 CTW4:CTW15 DDS4:DDS15 DNO4:DNO15 DXK4:DXK15 EHG4:EHG15 ERC4:ERC15 FAY4:FAY15 FKU4:FKU15 FUQ4:FUQ15 GEM4:GEM15 GOI4:GOI15 GYE4:GYE15 HIA4:HIA15 HRW4:HRW15 IBS4:IBS15 ILO4:ILO15 IVK4:IVK15 JFG4:JFG15 JPC4:JPC15 JYY4:JYY15 KIU4:KIU15 KSQ4:KSQ15 LCM4:LCM15 LMI4:LMI15 LWE4:LWE15 MGA4:MGA15 MPW4:MPW15 MZS4:MZS15 NJO4:NJO15 NTK4:NTK15 ODG4:ODG15 ONC4:ONC15 OWY4:OWY15 PGU4:PGU15 PQQ4:PQQ15 QAM4:QAM15 QKI4:QKI15 QUE4:QUE15 REA4:REA15 RNW4:RNW15 RXS4:RXS15 SHO4:SHO15 SRK4:SRK15 TBG4:TBG15 TLC4:TLC15 TUY4:TUY15 UEU4:UEU15 UOQ4:UOQ15 UYM4:UYM15 VII4:VII15 VSE4:VSE15 WCA4:WCA15 WLW4:WLW15 WVS4:WVS15 K65540:K65551 JG65540:JG65551 TC65540:TC65551 ACY65540:ACY65551 AMU65540:AMU65551 AWQ65540:AWQ65551 BGM65540:BGM65551 BQI65540:BQI65551 CAE65540:CAE65551 CKA65540:CKA65551 CTW65540:CTW65551 DDS65540:DDS65551 DNO65540:DNO65551 DXK65540:DXK65551 EHG65540:EHG65551 ERC65540:ERC65551 FAY65540:FAY65551 FKU65540:FKU65551 FUQ65540:FUQ65551 GEM65540:GEM65551 GOI65540:GOI65551 GYE65540:GYE65551 HIA65540:HIA65551 HRW65540:HRW65551 IBS65540:IBS65551 ILO65540:ILO65551 IVK65540:IVK65551 JFG65540:JFG65551 JPC65540:JPC65551 JYY65540:JYY65551 KIU65540:KIU65551 KSQ65540:KSQ65551 LCM65540:LCM65551 LMI65540:LMI65551 LWE65540:LWE65551 MGA65540:MGA65551 MPW65540:MPW65551 MZS65540:MZS65551 NJO65540:NJO65551 NTK65540:NTK65551 ODG65540:ODG65551 ONC65540:ONC65551 OWY65540:OWY65551 PGU65540:PGU65551 PQQ65540:PQQ65551 QAM65540:QAM65551 QKI65540:QKI65551 QUE65540:QUE65551 REA65540:REA65551 RNW65540:RNW65551 RXS65540:RXS65551 SHO65540:SHO65551 SRK65540:SRK65551 TBG65540:TBG65551 TLC65540:TLC65551 TUY65540:TUY65551 UEU65540:UEU65551 UOQ65540:UOQ65551 UYM65540:UYM65551 VII65540:VII65551 VSE65540:VSE65551 WCA65540:WCA65551 WLW65540:WLW65551 WVS65540:WVS65551 K131076:K131087 JG131076:JG131087 TC131076:TC131087 ACY131076:ACY131087 AMU131076:AMU131087 AWQ131076:AWQ131087 BGM131076:BGM131087 BQI131076:BQI131087 CAE131076:CAE131087 CKA131076:CKA131087 CTW131076:CTW131087 DDS131076:DDS131087 DNO131076:DNO131087 DXK131076:DXK131087 EHG131076:EHG131087 ERC131076:ERC131087 FAY131076:FAY131087 FKU131076:FKU131087 FUQ131076:FUQ131087 GEM131076:GEM131087 GOI131076:GOI131087 GYE131076:GYE131087 HIA131076:HIA131087 HRW131076:HRW131087 IBS131076:IBS131087 ILO131076:ILO131087 IVK131076:IVK131087 JFG131076:JFG131087 JPC131076:JPC131087 JYY131076:JYY131087 KIU131076:KIU131087 KSQ131076:KSQ131087 LCM131076:LCM131087 LMI131076:LMI131087 LWE131076:LWE131087 MGA131076:MGA131087 MPW131076:MPW131087 MZS131076:MZS131087 NJO131076:NJO131087 NTK131076:NTK131087 ODG131076:ODG131087 ONC131076:ONC131087 OWY131076:OWY131087 PGU131076:PGU131087 PQQ131076:PQQ131087 QAM131076:QAM131087 QKI131076:QKI131087 QUE131076:QUE131087 REA131076:REA131087 RNW131076:RNW131087 RXS131076:RXS131087 SHO131076:SHO131087 SRK131076:SRK131087 TBG131076:TBG131087 TLC131076:TLC131087 TUY131076:TUY131087 UEU131076:UEU131087 UOQ131076:UOQ131087 UYM131076:UYM131087 VII131076:VII131087 VSE131076:VSE131087 WCA131076:WCA131087 WLW131076:WLW131087 WVS131076:WVS131087 K196612:K196623 JG196612:JG196623 TC196612:TC196623 ACY196612:ACY196623 AMU196612:AMU196623 AWQ196612:AWQ196623 BGM196612:BGM196623 BQI196612:BQI196623 CAE196612:CAE196623 CKA196612:CKA196623 CTW196612:CTW196623 DDS196612:DDS196623 DNO196612:DNO196623 DXK196612:DXK196623 EHG196612:EHG196623 ERC196612:ERC196623 FAY196612:FAY196623 FKU196612:FKU196623 FUQ196612:FUQ196623 GEM196612:GEM196623 GOI196612:GOI196623 GYE196612:GYE196623 HIA196612:HIA196623 HRW196612:HRW196623 IBS196612:IBS196623 ILO196612:ILO196623 IVK196612:IVK196623 JFG196612:JFG196623 JPC196612:JPC196623 JYY196612:JYY196623 KIU196612:KIU196623 KSQ196612:KSQ196623 LCM196612:LCM196623 LMI196612:LMI196623 LWE196612:LWE196623 MGA196612:MGA196623 MPW196612:MPW196623 MZS196612:MZS196623 NJO196612:NJO196623 NTK196612:NTK196623 ODG196612:ODG196623 ONC196612:ONC196623 OWY196612:OWY196623 PGU196612:PGU196623 PQQ196612:PQQ196623 QAM196612:QAM196623 QKI196612:QKI196623 QUE196612:QUE196623 REA196612:REA196623 RNW196612:RNW196623 RXS196612:RXS196623 SHO196612:SHO196623 SRK196612:SRK196623 TBG196612:TBG196623 TLC196612:TLC196623 TUY196612:TUY196623 UEU196612:UEU196623 UOQ196612:UOQ196623 UYM196612:UYM196623 VII196612:VII196623 VSE196612:VSE196623 WCA196612:WCA196623 WLW196612:WLW196623 WVS196612:WVS196623 K262148:K262159 JG262148:JG262159 TC262148:TC262159 ACY262148:ACY262159 AMU262148:AMU262159 AWQ262148:AWQ262159 BGM262148:BGM262159 BQI262148:BQI262159 CAE262148:CAE262159 CKA262148:CKA262159 CTW262148:CTW262159 DDS262148:DDS262159 DNO262148:DNO262159 DXK262148:DXK262159 EHG262148:EHG262159 ERC262148:ERC262159 FAY262148:FAY262159 FKU262148:FKU262159 FUQ262148:FUQ262159 GEM262148:GEM262159 GOI262148:GOI262159 GYE262148:GYE262159 HIA262148:HIA262159 HRW262148:HRW262159 IBS262148:IBS262159 ILO262148:ILO262159 IVK262148:IVK262159 JFG262148:JFG262159 JPC262148:JPC262159 JYY262148:JYY262159 KIU262148:KIU262159 KSQ262148:KSQ262159 LCM262148:LCM262159 LMI262148:LMI262159 LWE262148:LWE262159 MGA262148:MGA262159 MPW262148:MPW262159 MZS262148:MZS262159 NJO262148:NJO262159 NTK262148:NTK262159 ODG262148:ODG262159 ONC262148:ONC262159 OWY262148:OWY262159 PGU262148:PGU262159 PQQ262148:PQQ262159 QAM262148:QAM262159 QKI262148:QKI262159 QUE262148:QUE262159 REA262148:REA262159 RNW262148:RNW262159 RXS262148:RXS262159 SHO262148:SHO262159 SRK262148:SRK262159 TBG262148:TBG262159 TLC262148:TLC262159 TUY262148:TUY262159 UEU262148:UEU262159 UOQ262148:UOQ262159 UYM262148:UYM262159 VII262148:VII262159 VSE262148:VSE262159 WCA262148:WCA262159 WLW262148:WLW262159 WVS262148:WVS262159 K327684:K327695 JG327684:JG327695 TC327684:TC327695 ACY327684:ACY327695 AMU327684:AMU327695 AWQ327684:AWQ327695 BGM327684:BGM327695 BQI327684:BQI327695 CAE327684:CAE327695 CKA327684:CKA327695 CTW327684:CTW327695 DDS327684:DDS327695 DNO327684:DNO327695 DXK327684:DXK327695 EHG327684:EHG327695 ERC327684:ERC327695 FAY327684:FAY327695 FKU327684:FKU327695 FUQ327684:FUQ327695 GEM327684:GEM327695 GOI327684:GOI327695 GYE327684:GYE327695 HIA327684:HIA327695 HRW327684:HRW327695 IBS327684:IBS327695 ILO327684:ILO327695 IVK327684:IVK327695 JFG327684:JFG327695 JPC327684:JPC327695 JYY327684:JYY327695 KIU327684:KIU327695 KSQ327684:KSQ327695 LCM327684:LCM327695 LMI327684:LMI327695 LWE327684:LWE327695 MGA327684:MGA327695 MPW327684:MPW327695 MZS327684:MZS327695 NJO327684:NJO327695 NTK327684:NTK327695 ODG327684:ODG327695 ONC327684:ONC327695 OWY327684:OWY327695 PGU327684:PGU327695 PQQ327684:PQQ327695 QAM327684:QAM327695 QKI327684:QKI327695 QUE327684:QUE327695 REA327684:REA327695 RNW327684:RNW327695 RXS327684:RXS327695 SHO327684:SHO327695 SRK327684:SRK327695 TBG327684:TBG327695 TLC327684:TLC327695 TUY327684:TUY327695 UEU327684:UEU327695 UOQ327684:UOQ327695 UYM327684:UYM327695 VII327684:VII327695 VSE327684:VSE327695 WCA327684:WCA327695 WLW327684:WLW327695 WVS327684:WVS327695 K393220:K393231 JG393220:JG393231 TC393220:TC393231 ACY393220:ACY393231 AMU393220:AMU393231 AWQ393220:AWQ393231 BGM393220:BGM393231 BQI393220:BQI393231 CAE393220:CAE393231 CKA393220:CKA393231 CTW393220:CTW393231 DDS393220:DDS393231 DNO393220:DNO393231 DXK393220:DXK393231 EHG393220:EHG393231 ERC393220:ERC393231 FAY393220:FAY393231 FKU393220:FKU393231 FUQ393220:FUQ393231 GEM393220:GEM393231 GOI393220:GOI393231 GYE393220:GYE393231 HIA393220:HIA393231 HRW393220:HRW393231 IBS393220:IBS393231 ILO393220:ILO393231 IVK393220:IVK393231 JFG393220:JFG393231 JPC393220:JPC393231 JYY393220:JYY393231 KIU393220:KIU393231 KSQ393220:KSQ393231 LCM393220:LCM393231 LMI393220:LMI393231 LWE393220:LWE393231 MGA393220:MGA393231 MPW393220:MPW393231 MZS393220:MZS393231 NJO393220:NJO393231 NTK393220:NTK393231 ODG393220:ODG393231 ONC393220:ONC393231 OWY393220:OWY393231 PGU393220:PGU393231 PQQ393220:PQQ393231 QAM393220:QAM393231 QKI393220:QKI393231 QUE393220:QUE393231 REA393220:REA393231 RNW393220:RNW393231 RXS393220:RXS393231 SHO393220:SHO393231 SRK393220:SRK393231 TBG393220:TBG393231 TLC393220:TLC393231 TUY393220:TUY393231 UEU393220:UEU393231 UOQ393220:UOQ393231 UYM393220:UYM393231 VII393220:VII393231 VSE393220:VSE393231 WCA393220:WCA393231 WLW393220:WLW393231 WVS393220:WVS393231 K458756:K458767 JG458756:JG458767 TC458756:TC458767 ACY458756:ACY458767 AMU458756:AMU458767 AWQ458756:AWQ458767 BGM458756:BGM458767 BQI458756:BQI458767 CAE458756:CAE458767 CKA458756:CKA458767 CTW458756:CTW458767 DDS458756:DDS458767 DNO458756:DNO458767 DXK458756:DXK458767 EHG458756:EHG458767 ERC458756:ERC458767 FAY458756:FAY458767 FKU458756:FKU458767 FUQ458756:FUQ458767 GEM458756:GEM458767 GOI458756:GOI458767 GYE458756:GYE458767 HIA458756:HIA458767 HRW458756:HRW458767 IBS458756:IBS458767 ILO458756:ILO458767 IVK458756:IVK458767 JFG458756:JFG458767 JPC458756:JPC458767 JYY458756:JYY458767 KIU458756:KIU458767 KSQ458756:KSQ458767 LCM458756:LCM458767 LMI458756:LMI458767 LWE458756:LWE458767 MGA458756:MGA458767 MPW458756:MPW458767 MZS458756:MZS458767 NJO458756:NJO458767 NTK458756:NTK458767 ODG458756:ODG458767 ONC458756:ONC458767 OWY458756:OWY458767 PGU458756:PGU458767 PQQ458756:PQQ458767 QAM458756:QAM458767 QKI458756:QKI458767 QUE458756:QUE458767 REA458756:REA458767 RNW458756:RNW458767 RXS458756:RXS458767 SHO458756:SHO458767 SRK458756:SRK458767 TBG458756:TBG458767 TLC458756:TLC458767 TUY458756:TUY458767 UEU458756:UEU458767 UOQ458756:UOQ458767 UYM458756:UYM458767 VII458756:VII458767 VSE458756:VSE458767 WCA458756:WCA458767 WLW458756:WLW458767 WVS458756:WVS458767 K524292:K524303 JG524292:JG524303 TC524292:TC524303 ACY524292:ACY524303 AMU524292:AMU524303 AWQ524292:AWQ524303 BGM524292:BGM524303 BQI524292:BQI524303 CAE524292:CAE524303 CKA524292:CKA524303 CTW524292:CTW524303 DDS524292:DDS524303 DNO524292:DNO524303 DXK524292:DXK524303 EHG524292:EHG524303 ERC524292:ERC524303 FAY524292:FAY524303 FKU524292:FKU524303 FUQ524292:FUQ524303 GEM524292:GEM524303 GOI524292:GOI524303 GYE524292:GYE524303 HIA524292:HIA524303 HRW524292:HRW524303 IBS524292:IBS524303 ILO524292:ILO524303 IVK524292:IVK524303 JFG524292:JFG524303 JPC524292:JPC524303 JYY524292:JYY524303 KIU524292:KIU524303 KSQ524292:KSQ524303 LCM524292:LCM524303 LMI524292:LMI524303 LWE524292:LWE524303 MGA524292:MGA524303 MPW524292:MPW524303 MZS524292:MZS524303 NJO524292:NJO524303 NTK524292:NTK524303 ODG524292:ODG524303 ONC524292:ONC524303 OWY524292:OWY524303 PGU524292:PGU524303 PQQ524292:PQQ524303 QAM524292:QAM524303 QKI524292:QKI524303 QUE524292:QUE524303 REA524292:REA524303 RNW524292:RNW524303 RXS524292:RXS524303 SHO524292:SHO524303 SRK524292:SRK524303 TBG524292:TBG524303 TLC524292:TLC524303 TUY524292:TUY524303 UEU524292:UEU524303 UOQ524292:UOQ524303 UYM524292:UYM524303 VII524292:VII524303 VSE524292:VSE524303 WCA524292:WCA524303 WLW524292:WLW524303 WVS524292:WVS524303 K589828:K589839 JG589828:JG589839 TC589828:TC589839 ACY589828:ACY589839 AMU589828:AMU589839 AWQ589828:AWQ589839 BGM589828:BGM589839 BQI589828:BQI589839 CAE589828:CAE589839 CKA589828:CKA589839 CTW589828:CTW589839 DDS589828:DDS589839 DNO589828:DNO589839 DXK589828:DXK589839 EHG589828:EHG589839 ERC589828:ERC589839 FAY589828:FAY589839 FKU589828:FKU589839 FUQ589828:FUQ589839 GEM589828:GEM589839 GOI589828:GOI589839 GYE589828:GYE589839 HIA589828:HIA589839 HRW589828:HRW589839 IBS589828:IBS589839 ILO589828:ILO589839 IVK589828:IVK589839 JFG589828:JFG589839 JPC589828:JPC589839 JYY589828:JYY589839 KIU589828:KIU589839 KSQ589828:KSQ589839 LCM589828:LCM589839 LMI589828:LMI589839 LWE589828:LWE589839 MGA589828:MGA589839 MPW589828:MPW589839 MZS589828:MZS589839 NJO589828:NJO589839 NTK589828:NTK589839 ODG589828:ODG589839 ONC589828:ONC589839 OWY589828:OWY589839 PGU589828:PGU589839 PQQ589828:PQQ589839 QAM589828:QAM589839 QKI589828:QKI589839 QUE589828:QUE589839 REA589828:REA589839 RNW589828:RNW589839 RXS589828:RXS589839 SHO589828:SHO589839 SRK589828:SRK589839 TBG589828:TBG589839 TLC589828:TLC589839 TUY589828:TUY589839 UEU589828:UEU589839 UOQ589828:UOQ589839 UYM589828:UYM589839 VII589828:VII589839 VSE589828:VSE589839 WCA589828:WCA589839 WLW589828:WLW589839 WVS589828:WVS589839 K655364:K655375 JG655364:JG655375 TC655364:TC655375 ACY655364:ACY655375 AMU655364:AMU655375 AWQ655364:AWQ655375 BGM655364:BGM655375 BQI655364:BQI655375 CAE655364:CAE655375 CKA655364:CKA655375 CTW655364:CTW655375 DDS655364:DDS655375 DNO655364:DNO655375 DXK655364:DXK655375 EHG655364:EHG655375 ERC655364:ERC655375 FAY655364:FAY655375 FKU655364:FKU655375 FUQ655364:FUQ655375 GEM655364:GEM655375 GOI655364:GOI655375 GYE655364:GYE655375 HIA655364:HIA655375 HRW655364:HRW655375 IBS655364:IBS655375 ILO655364:ILO655375 IVK655364:IVK655375 JFG655364:JFG655375 JPC655364:JPC655375 JYY655364:JYY655375 KIU655364:KIU655375 KSQ655364:KSQ655375 LCM655364:LCM655375 LMI655364:LMI655375 LWE655364:LWE655375 MGA655364:MGA655375 MPW655364:MPW655375 MZS655364:MZS655375 NJO655364:NJO655375 NTK655364:NTK655375 ODG655364:ODG655375 ONC655364:ONC655375 OWY655364:OWY655375 PGU655364:PGU655375 PQQ655364:PQQ655375 QAM655364:QAM655375 QKI655364:QKI655375 QUE655364:QUE655375 REA655364:REA655375 RNW655364:RNW655375 RXS655364:RXS655375 SHO655364:SHO655375 SRK655364:SRK655375 TBG655364:TBG655375 TLC655364:TLC655375 TUY655364:TUY655375 UEU655364:UEU655375 UOQ655364:UOQ655375 UYM655364:UYM655375 VII655364:VII655375 VSE655364:VSE655375 WCA655364:WCA655375 WLW655364:WLW655375 WVS655364:WVS655375 K720900:K720911 JG720900:JG720911 TC720900:TC720911 ACY720900:ACY720911 AMU720900:AMU720911 AWQ720900:AWQ720911 BGM720900:BGM720911 BQI720900:BQI720911 CAE720900:CAE720911 CKA720900:CKA720911 CTW720900:CTW720911 DDS720900:DDS720911 DNO720900:DNO720911 DXK720900:DXK720911 EHG720900:EHG720911 ERC720900:ERC720911 FAY720900:FAY720911 FKU720900:FKU720911 FUQ720900:FUQ720911 GEM720900:GEM720911 GOI720900:GOI720911 GYE720900:GYE720911 HIA720900:HIA720911 HRW720900:HRW720911 IBS720900:IBS720911 ILO720900:ILO720911 IVK720900:IVK720911 JFG720900:JFG720911 JPC720900:JPC720911 JYY720900:JYY720911 KIU720900:KIU720911 KSQ720900:KSQ720911 LCM720900:LCM720911 LMI720900:LMI720911 LWE720900:LWE720911 MGA720900:MGA720911 MPW720900:MPW720911 MZS720900:MZS720911 NJO720900:NJO720911 NTK720900:NTK720911 ODG720900:ODG720911 ONC720900:ONC720911 OWY720900:OWY720911 PGU720900:PGU720911 PQQ720900:PQQ720911 QAM720900:QAM720911 QKI720900:QKI720911 QUE720900:QUE720911 REA720900:REA720911 RNW720900:RNW720911 RXS720900:RXS720911 SHO720900:SHO720911 SRK720900:SRK720911 TBG720900:TBG720911 TLC720900:TLC720911 TUY720900:TUY720911 UEU720900:UEU720911 UOQ720900:UOQ720911 UYM720900:UYM720911 VII720900:VII720911 VSE720900:VSE720911 WCA720900:WCA720911 WLW720900:WLW720911 WVS720900:WVS720911 K786436:K786447 JG786436:JG786447 TC786436:TC786447 ACY786436:ACY786447 AMU786436:AMU786447 AWQ786436:AWQ786447 BGM786436:BGM786447 BQI786436:BQI786447 CAE786436:CAE786447 CKA786436:CKA786447 CTW786436:CTW786447 DDS786436:DDS786447 DNO786436:DNO786447 DXK786436:DXK786447 EHG786436:EHG786447 ERC786436:ERC786447 FAY786436:FAY786447 FKU786436:FKU786447 FUQ786436:FUQ786447 GEM786436:GEM786447 GOI786436:GOI786447 GYE786436:GYE786447 HIA786436:HIA786447 HRW786436:HRW786447 IBS786436:IBS786447 ILO786436:ILO786447 IVK786436:IVK786447 JFG786436:JFG786447 JPC786436:JPC786447 JYY786436:JYY786447 KIU786436:KIU786447 KSQ786436:KSQ786447 LCM786436:LCM786447 LMI786436:LMI786447 LWE786436:LWE786447 MGA786436:MGA786447 MPW786436:MPW786447 MZS786436:MZS786447 NJO786436:NJO786447 NTK786436:NTK786447 ODG786436:ODG786447 ONC786436:ONC786447 OWY786436:OWY786447 PGU786436:PGU786447 PQQ786436:PQQ786447 QAM786436:QAM786447 QKI786436:QKI786447 QUE786436:QUE786447 REA786436:REA786447 RNW786436:RNW786447 RXS786436:RXS786447 SHO786436:SHO786447 SRK786436:SRK786447 TBG786436:TBG786447 TLC786436:TLC786447 TUY786436:TUY786447 UEU786436:UEU786447 UOQ786436:UOQ786447 UYM786436:UYM786447 VII786436:VII786447 VSE786436:VSE786447 WCA786436:WCA786447 WLW786436:WLW786447 WVS786436:WVS786447 K851972:K851983 JG851972:JG851983 TC851972:TC851983 ACY851972:ACY851983 AMU851972:AMU851983 AWQ851972:AWQ851983 BGM851972:BGM851983 BQI851972:BQI851983 CAE851972:CAE851983 CKA851972:CKA851983 CTW851972:CTW851983 DDS851972:DDS851983 DNO851972:DNO851983 DXK851972:DXK851983 EHG851972:EHG851983 ERC851972:ERC851983 FAY851972:FAY851983 FKU851972:FKU851983 FUQ851972:FUQ851983 GEM851972:GEM851983 GOI851972:GOI851983 GYE851972:GYE851983 HIA851972:HIA851983 HRW851972:HRW851983 IBS851972:IBS851983 ILO851972:ILO851983 IVK851972:IVK851983 JFG851972:JFG851983 JPC851972:JPC851983 JYY851972:JYY851983 KIU851972:KIU851983 KSQ851972:KSQ851983 LCM851972:LCM851983 LMI851972:LMI851983 LWE851972:LWE851983 MGA851972:MGA851983 MPW851972:MPW851983 MZS851972:MZS851983 NJO851972:NJO851983 NTK851972:NTK851983 ODG851972:ODG851983 ONC851972:ONC851983 OWY851972:OWY851983 PGU851972:PGU851983 PQQ851972:PQQ851983 QAM851972:QAM851983 QKI851972:QKI851983 QUE851972:QUE851983 REA851972:REA851983 RNW851972:RNW851983 RXS851972:RXS851983 SHO851972:SHO851983 SRK851972:SRK851983 TBG851972:TBG851983 TLC851972:TLC851983 TUY851972:TUY851983 UEU851972:UEU851983 UOQ851972:UOQ851983 UYM851972:UYM851983 VII851972:VII851983 VSE851972:VSE851983 WCA851972:WCA851983 WLW851972:WLW851983 WVS851972:WVS851983 K917508:K917519 JG917508:JG917519 TC917508:TC917519 ACY917508:ACY917519 AMU917508:AMU917519 AWQ917508:AWQ917519 BGM917508:BGM917519 BQI917508:BQI917519 CAE917508:CAE917519 CKA917508:CKA917519 CTW917508:CTW917519 DDS917508:DDS917519 DNO917508:DNO917519 DXK917508:DXK917519 EHG917508:EHG917519 ERC917508:ERC917519 FAY917508:FAY917519 FKU917508:FKU917519 FUQ917508:FUQ917519 GEM917508:GEM917519 GOI917508:GOI917519 GYE917508:GYE917519 HIA917508:HIA917519 HRW917508:HRW917519 IBS917508:IBS917519 ILO917508:ILO917519 IVK917508:IVK917519 JFG917508:JFG917519 JPC917508:JPC917519 JYY917508:JYY917519 KIU917508:KIU917519 KSQ917508:KSQ917519 LCM917508:LCM917519 LMI917508:LMI917519 LWE917508:LWE917519 MGA917508:MGA917519 MPW917508:MPW917519 MZS917508:MZS917519 NJO917508:NJO917519 NTK917508:NTK917519 ODG917508:ODG917519 ONC917508:ONC917519 OWY917508:OWY917519 PGU917508:PGU917519 PQQ917508:PQQ917519 QAM917508:QAM917519 QKI917508:QKI917519 QUE917508:QUE917519 REA917508:REA917519 RNW917508:RNW917519 RXS917508:RXS917519 SHO917508:SHO917519 SRK917508:SRK917519 TBG917508:TBG917519 TLC917508:TLC917519 TUY917508:TUY917519 UEU917508:UEU917519 UOQ917508:UOQ917519 UYM917508:UYM917519 VII917508:VII917519 VSE917508:VSE917519 WCA917508:WCA917519 WLW917508:WLW917519 WVS917508:WVS917519 K983044:K983055 JG983044:JG983055 TC983044:TC983055 ACY983044:ACY983055 AMU983044:AMU983055 AWQ983044:AWQ983055 BGM983044:BGM983055 BQI983044:BQI983055 CAE983044:CAE983055 CKA983044:CKA983055 CTW983044:CTW983055 DDS983044:DDS983055 DNO983044:DNO983055 DXK983044:DXK983055 EHG983044:EHG983055 ERC983044:ERC983055 FAY983044:FAY983055 FKU983044:FKU983055 FUQ983044:FUQ983055 GEM983044:GEM983055 GOI983044:GOI983055 GYE983044:GYE983055 HIA983044:HIA983055 HRW983044:HRW983055 IBS983044:IBS983055 ILO983044:ILO983055 IVK983044:IVK983055 JFG983044:JFG983055 JPC983044:JPC983055 JYY983044:JYY983055 KIU983044:KIU983055 KSQ983044:KSQ983055 LCM983044:LCM983055 LMI983044:LMI983055 LWE983044:LWE983055 MGA983044:MGA983055 MPW983044:MPW983055 MZS983044:MZS983055 NJO983044:NJO983055 NTK983044:NTK983055 ODG983044:ODG983055 ONC983044:ONC983055 OWY983044:OWY983055 PGU983044:PGU983055 PQQ983044:PQQ983055 QAM983044:QAM983055 QKI983044:QKI983055 QUE983044:QUE983055 REA983044:REA983055 RNW983044:RNW983055 RXS983044:RXS983055 SHO983044:SHO983055 SRK983044:SRK983055 TBG983044:TBG983055 TLC983044:TLC983055 TUY983044:TUY983055 UEU983044:UEU983055 UOQ983044:UOQ983055 UYM983044:UYM983055 VII983044:VII983055 VSE983044:VSE983055 WCA983044:WCA983055 WLW983044:WLW983055 WVS983044:WVS983055" xr:uid="{E99A4FDA-682A-4581-9DB3-578CC61D9AAF}">
      <formula1>"Result,Enaber,Insight"</formula1>
    </dataValidation>
    <dataValidation type="list" allowBlank="1" showInputMessage="1" showErrorMessage="1" sqref="I4:I15 JE4:JE15 TA4:TA15 ACW4:ACW15 AMS4:AMS15 AWO4:AWO15 BGK4:BGK15 BQG4:BQG15 CAC4:CAC15 CJY4:CJY15 CTU4:CTU15 DDQ4:DDQ15 DNM4:DNM15 DXI4:DXI15 EHE4:EHE15 ERA4:ERA15 FAW4:FAW15 FKS4:FKS15 FUO4:FUO15 GEK4:GEK15 GOG4:GOG15 GYC4:GYC15 HHY4:HHY15 HRU4:HRU15 IBQ4:IBQ15 ILM4:ILM15 IVI4:IVI15 JFE4:JFE15 JPA4:JPA15 JYW4:JYW15 KIS4:KIS15 KSO4:KSO15 LCK4:LCK15 LMG4:LMG15 LWC4:LWC15 MFY4:MFY15 MPU4:MPU15 MZQ4:MZQ15 NJM4:NJM15 NTI4:NTI15 ODE4:ODE15 ONA4:ONA15 OWW4:OWW15 PGS4:PGS15 PQO4:PQO15 QAK4:QAK15 QKG4:QKG15 QUC4:QUC15 RDY4:RDY15 RNU4:RNU15 RXQ4:RXQ15 SHM4:SHM15 SRI4:SRI15 TBE4:TBE15 TLA4:TLA15 TUW4:TUW15 UES4:UES15 UOO4:UOO15 UYK4:UYK15 VIG4:VIG15 VSC4:VSC15 WBY4:WBY15 WLU4:WLU15 WVQ4:WVQ15 I65540:I65551 JE65540:JE65551 TA65540:TA65551 ACW65540:ACW65551 AMS65540:AMS65551 AWO65540:AWO65551 BGK65540:BGK65551 BQG65540:BQG65551 CAC65540:CAC65551 CJY65540:CJY65551 CTU65540:CTU65551 DDQ65540:DDQ65551 DNM65540:DNM65551 DXI65540:DXI65551 EHE65540:EHE65551 ERA65540:ERA65551 FAW65540:FAW65551 FKS65540:FKS65551 FUO65540:FUO65551 GEK65540:GEK65551 GOG65540:GOG65551 GYC65540:GYC65551 HHY65540:HHY65551 HRU65540:HRU65551 IBQ65540:IBQ65551 ILM65540:ILM65551 IVI65540:IVI65551 JFE65540:JFE65551 JPA65540:JPA65551 JYW65540:JYW65551 KIS65540:KIS65551 KSO65540:KSO65551 LCK65540:LCK65551 LMG65540:LMG65551 LWC65540:LWC65551 MFY65540:MFY65551 MPU65540:MPU65551 MZQ65540:MZQ65551 NJM65540:NJM65551 NTI65540:NTI65551 ODE65540:ODE65551 ONA65540:ONA65551 OWW65540:OWW65551 PGS65540:PGS65551 PQO65540:PQO65551 QAK65540:QAK65551 QKG65540:QKG65551 QUC65540:QUC65551 RDY65540:RDY65551 RNU65540:RNU65551 RXQ65540:RXQ65551 SHM65540:SHM65551 SRI65540:SRI65551 TBE65540:TBE65551 TLA65540:TLA65551 TUW65540:TUW65551 UES65540:UES65551 UOO65540:UOO65551 UYK65540:UYK65551 VIG65540:VIG65551 VSC65540:VSC65551 WBY65540:WBY65551 WLU65540:WLU65551 WVQ65540:WVQ65551 I131076:I131087 JE131076:JE131087 TA131076:TA131087 ACW131076:ACW131087 AMS131076:AMS131087 AWO131076:AWO131087 BGK131076:BGK131087 BQG131076:BQG131087 CAC131076:CAC131087 CJY131076:CJY131087 CTU131076:CTU131087 DDQ131076:DDQ131087 DNM131076:DNM131087 DXI131076:DXI131087 EHE131076:EHE131087 ERA131076:ERA131087 FAW131076:FAW131087 FKS131076:FKS131087 FUO131076:FUO131087 GEK131076:GEK131087 GOG131076:GOG131087 GYC131076:GYC131087 HHY131076:HHY131087 HRU131076:HRU131087 IBQ131076:IBQ131087 ILM131076:ILM131087 IVI131076:IVI131087 JFE131076:JFE131087 JPA131076:JPA131087 JYW131076:JYW131087 KIS131076:KIS131087 KSO131076:KSO131087 LCK131076:LCK131087 LMG131076:LMG131087 LWC131076:LWC131087 MFY131076:MFY131087 MPU131076:MPU131087 MZQ131076:MZQ131087 NJM131076:NJM131087 NTI131076:NTI131087 ODE131076:ODE131087 ONA131076:ONA131087 OWW131076:OWW131087 PGS131076:PGS131087 PQO131076:PQO131087 QAK131076:QAK131087 QKG131076:QKG131087 QUC131076:QUC131087 RDY131076:RDY131087 RNU131076:RNU131087 RXQ131076:RXQ131087 SHM131076:SHM131087 SRI131076:SRI131087 TBE131076:TBE131087 TLA131076:TLA131087 TUW131076:TUW131087 UES131076:UES131087 UOO131076:UOO131087 UYK131076:UYK131087 VIG131076:VIG131087 VSC131076:VSC131087 WBY131076:WBY131087 WLU131076:WLU131087 WVQ131076:WVQ131087 I196612:I196623 JE196612:JE196623 TA196612:TA196623 ACW196612:ACW196623 AMS196612:AMS196623 AWO196612:AWO196623 BGK196612:BGK196623 BQG196612:BQG196623 CAC196612:CAC196623 CJY196612:CJY196623 CTU196612:CTU196623 DDQ196612:DDQ196623 DNM196612:DNM196623 DXI196612:DXI196623 EHE196612:EHE196623 ERA196612:ERA196623 FAW196612:FAW196623 FKS196612:FKS196623 FUO196612:FUO196623 GEK196612:GEK196623 GOG196612:GOG196623 GYC196612:GYC196623 HHY196612:HHY196623 HRU196612:HRU196623 IBQ196612:IBQ196623 ILM196612:ILM196623 IVI196612:IVI196623 JFE196612:JFE196623 JPA196612:JPA196623 JYW196612:JYW196623 KIS196612:KIS196623 KSO196612:KSO196623 LCK196612:LCK196623 LMG196612:LMG196623 LWC196612:LWC196623 MFY196612:MFY196623 MPU196612:MPU196623 MZQ196612:MZQ196623 NJM196612:NJM196623 NTI196612:NTI196623 ODE196612:ODE196623 ONA196612:ONA196623 OWW196612:OWW196623 PGS196612:PGS196623 PQO196612:PQO196623 QAK196612:QAK196623 QKG196612:QKG196623 QUC196612:QUC196623 RDY196612:RDY196623 RNU196612:RNU196623 RXQ196612:RXQ196623 SHM196612:SHM196623 SRI196612:SRI196623 TBE196612:TBE196623 TLA196612:TLA196623 TUW196612:TUW196623 UES196612:UES196623 UOO196612:UOO196623 UYK196612:UYK196623 VIG196612:VIG196623 VSC196612:VSC196623 WBY196612:WBY196623 WLU196612:WLU196623 WVQ196612:WVQ196623 I262148:I262159 JE262148:JE262159 TA262148:TA262159 ACW262148:ACW262159 AMS262148:AMS262159 AWO262148:AWO262159 BGK262148:BGK262159 BQG262148:BQG262159 CAC262148:CAC262159 CJY262148:CJY262159 CTU262148:CTU262159 DDQ262148:DDQ262159 DNM262148:DNM262159 DXI262148:DXI262159 EHE262148:EHE262159 ERA262148:ERA262159 FAW262148:FAW262159 FKS262148:FKS262159 FUO262148:FUO262159 GEK262148:GEK262159 GOG262148:GOG262159 GYC262148:GYC262159 HHY262148:HHY262159 HRU262148:HRU262159 IBQ262148:IBQ262159 ILM262148:ILM262159 IVI262148:IVI262159 JFE262148:JFE262159 JPA262148:JPA262159 JYW262148:JYW262159 KIS262148:KIS262159 KSO262148:KSO262159 LCK262148:LCK262159 LMG262148:LMG262159 LWC262148:LWC262159 MFY262148:MFY262159 MPU262148:MPU262159 MZQ262148:MZQ262159 NJM262148:NJM262159 NTI262148:NTI262159 ODE262148:ODE262159 ONA262148:ONA262159 OWW262148:OWW262159 PGS262148:PGS262159 PQO262148:PQO262159 QAK262148:QAK262159 QKG262148:QKG262159 QUC262148:QUC262159 RDY262148:RDY262159 RNU262148:RNU262159 RXQ262148:RXQ262159 SHM262148:SHM262159 SRI262148:SRI262159 TBE262148:TBE262159 TLA262148:TLA262159 TUW262148:TUW262159 UES262148:UES262159 UOO262148:UOO262159 UYK262148:UYK262159 VIG262148:VIG262159 VSC262148:VSC262159 WBY262148:WBY262159 WLU262148:WLU262159 WVQ262148:WVQ262159 I327684:I327695 JE327684:JE327695 TA327684:TA327695 ACW327684:ACW327695 AMS327684:AMS327695 AWO327684:AWO327695 BGK327684:BGK327695 BQG327684:BQG327695 CAC327684:CAC327695 CJY327684:CJY327695 CTU327684:CTU327695 DDQ327684:DDQ327695 DNM327684:DNM327695 DXI327684:DXI327695 EHE327684:EHE327695 ERA327684:ERA327695 FAW327684:FAW327695 FKS327684:FKS327695 FUO327684:FUO327695 GEK327684:GEK327695 GOG327684:GOG327695 GYC327684:GYC327695 HHY327684:HHY327695 HRU327684:HRU327695 IBQ327684:IBQ327695 ILM327684:ILM327695 IVI327684:IVI327695 JFE327684:JFE327695 JPA327684:JPA327695 JYW327684:JYW327695 KIS327684:KIS327695 KSO327684:KSO327695 LCK327684:LCK327695 LMG327684:LMG327695 LWC327684:LWC327695 MFY327684:MFY327695 MPU327684:MPU327695 MZQ327684:MZQ327695 NJM327684:NJM327695 NTI327684:NTI327695 ODE327684:ODE327695 ONA327684:ONA327695 OWW327684:OWW327695 PGS327684:PGS327695 PQO327684:PQO327695 QAK327684:QAK327695 QKG327684:QKG327695 QUC327684:QUC327695 RDY327684:RDY327695 RNU327684:RNU327695 RXQ327684:RXQ327695 SHM327684:SHM327695 SRI327684:SRI327695 TBE327684:TBE327695 TLA327684:TLA327695 TUW327684:TUW327695 UES327684:UES327695 UOO327684:UOO327695 UYK327684:UYK327695 VIG327684:VIG327695 VSC327684:VSC327695 WBY327684:WBY327695 WLU327684:WLU327695 WVQ327684:WVQ327695 I393220:I393231 JE393220:JE393231 TA393220:TA393231 ACW393220:ACW393231 AMS393220:AMS393231 AWO393220:AWO393231 BGK393220:BGK393231 BQG393220:BQG393231 CAC393220:CAC393231 CJY393220:CJY393231 CTU393220:CTU393231 DDQ393220:DDQ393231 DNM393220:DNM393231 DXI393220:DXI393231 EHE393220:EHE393231 ERA393220:ERA393231 FAW393220:FAW393231 FKS393220:FKS393231 FUO393220:FUO393231 GEK393220:GEK393231 GOG393220:GOG393231 GYC393220:GYC393231 HHY393220:HHY393231 HRU393220:HRU393231 IBQ393220:IBQ393231 ILM393220:ILM393231 IVI393220:IVI393231 JFE393220:JFE393231 JPA393220:JPA393231 JYW393220:JYW393231 KIS393220:KIS393231 KSO393220:KSO393231 LCK393220:LCK393231 LMG393220:LMG393231 LWC393220:LWC393231 MFY393220:MFY393231 MPU393220:MPU393231 MZQ393220:MZQ393231 NJM393220:NJM393231 NTI393220:NTI393231 ODE393220:ODE393231 ONA393220:ONA393231 OWW393220:OWW393231 PGS393220:PGS393231 PQO393220:PQO393231 QAK393220:QAK393231 QKG393220:QKG393231 QUC393220:QUC393231 RDY393220:RDY393231 RNU393220:RNU393231 RXQ393220:RXQ393231 SHM393220:SHM393231 SRI393220:SRI393231 TBE393220:TBE393231 TLA393220:TLA393231 TUW393220:TUW393231 UES393220:UES393231 UOO393220:UOO393231 UYK393220:UYK393231 VIG393220:VIG393231 VSC393220:VSC393231 WBY393220:WBY393231 WLU393220:WLU393231 WVQ393220:WVQ393231 I458756:I458767 JE458756:JE458767 TA458756:TA458767 ACW458756:ACW458767 AMS458756:AMS458767 AWO458756:AWO458767 BGK458756:BGK458767 BQG458756:BQG458767 CAC458756:CAC458767 CJY458756:CJY458767 CTU458756:CTU458767 DDQ458756:DDQ458767 DNM458756:DNM458767 DXI458756:DXI458767 EHE458756:EHE458767 ERA458756:ERA458767 FAW458756:FAW458767 FKS458756:FKS458767 FUO458756:FUO458767 GEK458756:GEK458767 GOG458756:GOG458767 GYC458756:GYC458767 HHY458756:HHY458767 HRU458756:HRU458767 IBQ458756:IBQ458767 ILM458756:ILM458767 IVI458756:IVI458767 JFE458756:JFE458767 JPA458756:JPA458767 JYW458756:JYW458767 KIS458756:KIS458767 KSO458756:KSO458767 LCK458756:LCK458767 LMG458756:LMG458767 LWC458756:LWC458767 MFY458756:MFY458767 MPU458756:MPU458767 MZQ458756:MZQ458767 NJM458756:NJM458767 NTI458756:NTI458767 ODE458756:ODE458767 ONA458756:ONA458767 OWW458756:OWW458767 PGS458756:PGS458767 PQO458756:PQO458767 QAK458756:QAK458767 QKG458756:QKG458767 QUC458756:QUC458767 RDY458756:RDY458767 RNU458756:RNU458767 RXQ458756:RXQ458767 SHM458756:SHM458767 SRI458756:SRI458767 TBE458756:TBE458767 TLA458756:TLA458767 TUW458756:TUW458767 UES458756:UES458767 UOO458756:UOO458767 UYK458756:UYK458767 VIG458756:VIG458767 VSC458756:VSC458767 WBY458756:WBY458767 WLU458756:WLU458767 WVQ458756:WVQ458767 I524292:I524303 JE524292:JE524303 TA524292:TA524303 ACW524292:ACW524303 AMS524292:AMS524303 AWO524292:AWO524303 BGK524292:BGK524303 BQG524292:BQG524303 CAC524292:CAC524303 CJY524292:CJY524303 CTU524292:CTU524303 DDQ524292:DDQ524303 DNM524292:DNM524303 DXI524292:DXI524303 EHE524292:EHE524303 ERA524292:ERA524303 FAW524292:FAW524303 FKS524292:FKS524303 FUO524292:FUO524303 GEK524292:GEK524303 GOG524292:GOG524303 GYC524292:GYC524303 HHY524292:HHY524303 HRU524292:HRU524303 IBQ524292:IBQ524303 ILM524292:ILM524303 IVI524292:IVI524303 JFE524292:JFE524303 JPA524292:JPA524303 JYW524292:JYW524303 KIS524292:KIS524303 KSO524292:KSO524303 LCK524292:LCK524303 LMG524292:LMG524303 LWC524292:LWC524303 MFY524292:MFY524303 MPU524292:MPU524303 MZQ524292:MZQ524303 NJM524292:NJM524303 NTI524292:NTI524303 ODE524292:ODE524303 ONA524292:ONA524303 OWW524292:OWW524303 PGS524292:PGS524303 PQO524292:PQO524303 QAK524292:QAK524303 QKG524292:QKG524303 QUC524292:QUC524303 RDY524292:RDY524303 RNU524292:RNU524303 RXQ524292:RXQ524303 SHM524292:SHM524303 SRI524292:SRI524303 TBE524292:TBE524303 TLA524292:TLA524303 TUW524292:TUW524303 UES524292:UES524303 UOO524292:UOO524303 UYK524292:UYK524303 VIG524292:VIG524303 VSC524292:VSC524303 WBY524292:WBY524303 WLU524292:WLU524303 WVQ524292:WVQ524303 I589828:I589839 JE589828:JE589839 TA589828:TA589839 ACW589828:ACW589839 AMS589828:AMS589839 AWO589828:AWO589839 BGK589828:BGK589839 BQG589828:BQG589839 CAC589828:CAC589839 CJY589828:CJY589839 CTU589828:CTU589839 DDQ589828:DDQ589839 DNM589828:DNM589839 DXI589828:DXI589839 EHE589828:EHE589839 ERA589828:ERA589839 FAW589828:FAW589839 FKS589828:FKS589839 FUO589828:FUO589839 GEK589828:GEK589839 GOG589828:GOG589839 GYC589828:GYC589839 HHY589828:HHY589839 HRU589828:HRU589839 IBQ589828:IBQ589839 ILM589828:ILM589839 IVI589828:IVI589839 JFE589828:JFE589839 JPA589828:JPA589839 JYW589828:JYW589839 KIS589828:KIS589839 KSO589828:KSO589839 LCK589828:LCK589839 LMG589828:LMG589839 LWC589828:LWC589839 MFY589828:MFY589839 MPU589828:MPU589839 MZQ589828:MZQ589839 NJM589828:NJM589839 NTI589828:NTI589839 ODE589828:ODE589839 ONA589828:ONA589839 OWW589828:OWW589839 PGS589828:PGS589839 PQO589828:PQO589839 QAK589828:QAK589839 QKG589828:QKG589839 QUC589828:QUC589839 RDY589828:RDY589839 RNU589828:RNU589839 RXQ589828:RXQ589839 SHM589828:SHM589839 SRI589828:SRI589839 TBE589828:TBE589839 TLA589828:TLA589839 TUW589828:TUW589839 UES589828:UES589839 UOO589828:UOO589839 UYK589828:UYK589839 VIG589828:VIG589839 VSC589828:VSC589839 WBY589828:WBY589839 WLU589828:WLU589839 WVQ589828:WVQ589839 I655364:I655375 JE655364:JE655375 TA655364:TA655375 ACW655364:ACW655375 AMS655364:AMS655375 AWO655364:AWO655375 BGK655364:BGK655375 BQG655364:BQG655375 CAC655364:CAC655375 CJY655364:CJY655375 CTU655364:CTU655375 DDQ655364:DDQ655375 DNM655364:DNM655375 DXI655364:DXI655375 EHE655364:EHE655375 ERA655364:ERA655375 FAW655364:FAW655375 FKS655364:FKS655375 FUO655364:FUO655375 GEK655364:GEK655375 GOG655364:GOG655375 GYC655364:GYC655375 HHY655364:HHY655375 HRU655364:HRU655375 IBQ655364:IBQ655375 ILM655364:ILM655375 IVI655364:IVI655375 JFE655364:JFE655375 JPA655364:JPA655375 JYW655364:JYW655375 KIS655364:KIS655375 KSO655364:KSO655375 LCK655364:LCK655375 LMG655364:LMG655375 LWC655364:LWC655375 MFY655364:MFY655375 MPU655364:MPU655375 MZQ655364:MZQ655375 NJM655364:NJM655375 NTI655364:NTI655375 ODE655364:ODE655375 ONA655364:ONA655375 OWW655364:OWW655375 PGS655364:PGS655375 PQO655364:PQO655375 QAK655364:QAK655375 QKG655364:QKG655375 QUC655364:QUC655375 RDY655364:RDY655375 RNU655364:RNU655375 RXQ655364:RXQ655375 SHM655364:SHM655375 SRI655364:SRI655375 TBE655364:TBE655375 TLA655364:TLA655375 TUW655364:TUW655375 UES655364:UES655375 UOO655364:UOO655375 UYK655364:UYK655375 VIG655364:VIG655375 VSC655364:VSC655375 WBY655364:WBY655375 WLU655364:WLU655375 WVQ655364:WVQ655375 I720900:I720911 JE720900:JE720911 TA720900:TA720911 ACW720900:ACW720911 AMS720900:AMS720911 AWO720900:AWO720911 BGK720900:BGK720911 BQG720900:BQG720911 CAC720900:CAC720911 CJY720900:CJY720911 CTU720900:CTU720911 DDQ720900:DDQ720911 DNM720900:DNM720911 DXI720900:DXI720911 EHE720900:EHE720911 ERA720900:ERA720911 FAW720900:FAW720911 FKS720900:FKS720911 FUO720900:FUO720911 GEK720900:GEK720911 GOG720900:GOG720911 GYC720900:GYC720911 HHY720900:HHY720911 HRU720900:HRU720911 IBQ720900:IBQ720911 ILM720900:ILM720911 IVI720900:IVI720911 JFE720900:JFE720911 JPA720900:JPA720911 JYW720900:JYW720911 KIS720900:KIS720911 KSO720900:KSO720911 LCK720900:LCK720911 LMG720900:LMG720911 LWC720900:LWC720911 MFY720900:MFY720911 MPU720900:MPU720911 MZQ720900:MZQ720911 NJM720900:NJM720911 NTI720900:NTI720911 ODE720900:ODE720911 ONA720900:ONA720911 OWW720900:OWW720911 PGS720900:PGS720911 PQO720900:PQO720911 QAK720900:QAK720911 QKG720900:QKG720911 QUC720900:QUC720911 RDY720900:RDY720911 RNU720900:RNU720911 RXQ720900:RXQ720911 SHM720900:SHM720911 SRI720900:SRI720911 TBE720900:TBE720911 TLA720900:TLA720911 TUW720900:TUW720911 UES720900:UES720911 UOO720900:UOO720911 UYK720900:UYK720911 VIG720900:VIG720911 VSC720900:VSC720911 WBY720900:WBY720911 WLU720900:WLU720911 WVQ720900:WVQ720911 I786436:I786447 JE786436:JE786447 TA786436:TA786447 ACW786436:ACW786447 AMS786436:AMS786447 AWO786436:AWO786447 BGK786436:BGK786447 BQG786436:BQG786447 CAC786436:CAC786447 CJY786436:CJY786447 CTU786436:CTU786447 DDQ786436:DDQ786447 DNM786436:DNM786447 DXI786436:DXI786447 EHE786436:EHE786447 ERA786436:ERA786447 FAW786436:FAW786447 FKS786436:FKS786447 FUO786436:FUO786447 GEK786436:GEK786447 GOG786436:GOG786447 GYC786436:GYC786447 HHY786436:HHY786447 HRU786436:HRU786447 IBQ786436:IBQ786447 ILM786436:ILM786447 IVI786436:IVI786447 JFE786436:JFE786447 JPA786436:JPA786447 JYW786436:JYW786447 KIS786436:KIS786447 KSO786436:KSO786447 LCK786436:LCK786447 LMG786436:LMG786447 LWC786436:LWC786447 MFY786436:MFY786447 MPU786436:MPU786447 MZQ786436:MZQ786447 NJM786436:NJM786447 NTI786436:NTI786447 ODE786436:ODE786447 ONA786436:ONA786447 OWW786436:OWW786447 PGS786436:PGS786447 PQO786436:PQO786447 QAK786436:QAK786447 QKG786436:QKG786447 QUC786436:QUC786447 RDY786436:RDY786447 RNU786436:RNU786447 RXQ786436:RXQ786447 SHM786436:SHM786447 SRI786436:SRI786447 TBE786436:TBE786447 TLA786436:TLA786447 TUW786436:TUW786447 UES786436:UES786447 UOO786436:UOO786447 UYK786436:UYK786447 VIG786436:VIG786447 VSC786436:VSC786447 WBY786436:WBY786447 WLU786436:WLU786447 WVQ786436:WVQ786447 I851972:I851983 JE851972:JE851983 TA851972:TA851983 ACW851972:ACW851983 AMS851972:AMS851983 AWO851972:AWO851983 BGK851972:BGK851983 BQG851972:BQG851983 CAC851972:CAC851983 CJY851972:CJY851983 CTU851972:CTU851983 DDQ851972:DDQ851983 DNM851972:DNM851983 DXI851972:DXI851983 EHE851972:EHE851983 ERA851972:ERA851983 FAW851972:FAW851983 FKS851972:FKS851983 FUO851972:FUO851983 GEK851972:GEK851983 GOG851972:GOG851983 GYC851972:GYC851983 HHY851972:HHY851983 HRU851972:HRU851983 IBQ851972:IBQ851983 ILM851972:ILM851983 IVI851972:IVI851983 JFE851972:JFE851983 JPA851972:JPA851983 JYW851972:JYW851983 KIS851972:KIS851983 KSO851972:KSO851983 LCK851972:LCK851983 LMG851972:LMG851983 LWC851972:LWC851983 MFY851972:MFY851983 MPU851972:MPU851983 MZQ851972:MZQ851983 NJM851972:NJM851983 NTI851972:NTI851983 ODE851972:ODE851983 ONA851972:ONA851983 OWW851972:OWW851983 PGS851972:PGS851983 PQO851972:PQO851983 QAK851972:QAK851983 QKG851972:QKG851983 QUC851972:QUC851983 RDY851972:RDY851983 RNU851972:RNU851983 RXQ851972:RXQ851983 SHM851972:SHM851983 SRI851972:SRI851983 TBE851972:TBE851983 TLA851972:TLA851983 TUW851972:TUW851983 UES851972:UES851983 UOO851972:UOO851983 UYK851972:UYK851983 VIG851972:VIG851983 VSC851972:VSC851983 WBY851972:WBY851983 WLU851972:WLU851983 WVQ851972:WVQ851983 I917508:I917519 JE917508:JE917519 TA917508:TA917519 ACW917508:ACW917519 AMS917508:AMS917519 AWO917508:AWO917519 BGK917508:BGK917519 BQG917508:BQG917519 CAC917508:CAC917519 CJY917508:CJY917519 CTU917508:CTU917519 DDQ917508:DDQ917519 DNM917508:DNM917519 DXI917508:DXI917519 EHE917508:EHE917519 ERA917508:ERA917519 FAW917508:FAW917519 FKS917508:FKS917519 FUO917508:FUO917519 GEK917508:GEK917519 GOG917508:GOG917519 GYC917508:GYC917519 HHY917508:HHY917519 HRU917508:HRU917519 IBQ917508:IBQ917519 ILM917508:ILM917519 IVI917508:IVI917519 JFE917508:JFE917519 JPA917508:JPA917519 JYW917508:JYW917519 KIS917508:KIS917519 KSO917508:KSO917519 LCK917508:LCK917519 LMG917508:LMG917519 LWC917508:LWC917519 MFY917508:MFY917519 MPU917508:MPU917519 MZQ917508:MZQ917519 NJM917508:NJM917519 NTI917508:NTI917519 ODE917508:ODE917519 ONA917508:ONA917519 OWW917508:OWW917519 PGS917508:PGS917519 PQO917508:PQO917519 QAK917508:QAK917519 QKG917508:QKG917519 QUC917508:QUC917519 RDY917508:RDY917519 RNU917508:RNU917519 RXQ917508:RXQ917519 SHM917508:SHM917519 SRI917508:SRI917519 TBE917508:TBE917519 TLA917508:TLA917519 TUW917508:TUW917519 UES917508:UES917519 UOO917508:UOO917519 UYK917508:UYK917519 VIG917508:VIG917519 VSC917508:VSC917519 WBY917508:WBY917519 WLU917508:WLU917519 WVQ917508:WVQ917519 I983044:I983055 JE983044:JE983055 TA983044:TA983055 ACW983044:ACW983055 AMS983044:AMS983055 AWO983044:AWO983055 BGK983044:BGK983055 BQG983044:BQG983055 CAC983044:CAC983055 CJY983044:CJY983055 CTU983044:CTU983055 DDQ983044:DDQ983055 DNM983044:DNM983055 DXI983044:DXI983055 EHE983044:EHE983055 ERA983044:ERA983055 FAW983044:FAW983055 FKS983044:FKS983055 FUO983044:FUO983055 GEK983044:GEK983055 GOG983044:GOG983055 GYC983044:GYC983055 HHY983044:HHY983055 HRU983044:HRU983055 IBQ983044:IBQ983055 ILM983044:ILM983055 IVI983044:IVI983055 JFE983044:JFE983055 JPA983044:JPA983055 JYW983044:JYW983055 KIS983044:KIS983055 KSO983044:KSO983055 LCK983044:LCK983055 LMG983044:LMG983055 LWC983044:LWC983055 MFY983044:MFY983055 MPU983044:MPU983055 MZQ983044:MZQ983055 NJM983044:NJM983055 NTI983044:NTI983055 ODE983044:ODE983055 ONA983044:ONA983055 OWW983044:OWW983055 PGS983044:PGS983055 PQO983044:PQO983055 QAK983044:QAK983055 QKG983044:QKG983055 QUC983044:QUC983055 RDY983044:RDY983055 RNU983044:RNU983055 RXQ983044:RXQ983055 SHM983044:SHM983055 SRI983044:SRI983055 TBE983044:TBE983055 TLA983044:TLA983055 TUW983044:TUW983055 UES983044:UES983055 UOO983044:UOO983055 UYK983044:UYK983055 VIG983044:VIG983055 VSC983044:VSC983055 WBY983044:WBY983055 WLU983044:WLU983055 WVQ983044:WVQ983055" xr:uid="{1564BA97-0CEA-412C-9713-B76DC99921B1}">
      <formula1>"Higher the better,Lower the better,Within Limits"</formula1>
    </dataValidation>
    <dataValidation type="list" allowBlank="1" showInputMessage="1" showErrorMessage="1" sqref="E32:E42 JA32:JA42 SW32:SW42 ACS32:ACS42 AMO32:AMO42 AWK32:AWK42 BGG32:BGG42 BQC32:BQC42 BZY32:BZY42 CJU32:CJU42 CTQ32:CTQ42 DDM32:DDM42 DNI32:DNI42 DXE32:DXE42 EHA32:EHA42 EQW32:EQW42 FAS32:FAS42 FKO32:FKO42 FUK32:FUK42 GEG32:GEG42 GOC32:GOC42 GXY32:GXY42 HHU32:HHU42 HRQ32:HRQ42 IBM32:IBM42 ILI32:ILI42 IVE32:IVE42 JFA32:JFA42 JOW32:JOW42 JYS32:JYS42 KIO32:KIO42 KSK32:KSK42 LCG32:LCG42 LMC32:LMC42 LVY32:LVY42 MFU32:MFU42 MPQ32:MPQ42 MZM32:MZM42 NJI32:NJI42 NTE32:NTE42 ODA32:ODA42 OMW32:OMW42 OWS32:OWS42 PGO32:PGO42 PQK32:PQK42 QAG32:QAG42 QKC32:QKC42 QTY32:QTY42 RDU32:RDU42 RNQ32:RNQ42 RXM32:RXM42 SHI32:SHI42 SRE32:SRE42 TBA32:TBA42 TKW32:TKW42 TUS32:TUS42 UEO32:UEO42 UOK32:UOK42 UYG32:UYG42 VIC32:VIC42 VRY32:VRY42 WBU32:WBU42 WLQ32:WLQ42 WVM32:WVM42 E65568:E65578 JA65568:JA65578 SW65568:SW65578 ACS65568:ACS65578 AMO65568:AMO65578 AWK65568:AWK65578 BGG65568:BGG65578 BQC65568:BQC65578 BZY65568:BZY65578 CJU65568:CJU65578 CTQ65568:CTQ65578 DDM65568:DDM65578 DNI65568:DNI65578 DXE65568:DXE65578 EHA65568:EHA65578 EQW65568:EQW65578 FAS65568:FAS65578 FKO65568:FKO65578 FUK65568:FUK65578 GEG65568:GEG65578 GOC65568:GOC65578 GXY65568:GXY65578 HHU65568:HHU65578 HRQ65568:HRQ65578 IBM65568:IBM65578 ILI65568:ILI65578 IVE65568:IVE65578 JFA65568:JFA65578 JOW65568:JOW65578 JYS65568:JYS65578 KIO65568:KIO65578 KSK65568:KSK65578 LCG65568:LCG65578 LMC65568:LMC65578 LVY65568:LVY65578 MFU65568:MFU65578 MPQ65568:MPQ65578 MZM65568:MZM65578 NJI65568:NJI65578 NTE65568:NTE65578 ODA65568:ODA65578 OMW65568:OMW65578 OWS65568:OWS65578 PGO65568:PGO65578 PQK65568:PQK65578 QAG65568:QAG65578 QKC65568:QKC65578 QTY65568:QTY65578 RDU65568:RDU65578 RNQ65568:RNQ65578 RXM65568:RXM65578 SHI65568:SHI65578 SRE65568:SRE65578 TBA65568:TBA65578 TKW65568:TKW65578 TUS65568:TUS65578 UEO65568:UEO65578 UOK65568:UOK65578 UYG65568:UYG65578 VIC65568:VIC65578 VRY65568:VRY65578 WBU65568:WBU65578 WLQ65568:WLQ65578 WVM65568:WVM65578 E131104:E131114 JA131104:JA131114 SW131104:SW131114 ACS131104:ACS131114 AMO131104:AMO131114 AWK131104:AWK131114 BGG131104:BGG131114 BQC131104:BQC131114 BZY131104:BZY131114 CJU131104:CJU131114 CTQ131104:CTQ131114 DDM131104:DDM131114 DNI131104:DNI131114 DXE131104:DXE131114 EHA131104:EHA131114 EQW131104:EQW131114 FAS131104:FAS131114 FKO131104:FKO131114 FUK131104:FUK131114 GEG131104:GEG131114 GOC131104:GOC131114 GXY131104:GXY131114 HHU131104:HHU131114 HRQ131104:HRQ131114 IBM131104:IBM131114 ILI131104:ILI131114 IVE131104:IVE131114 JFA131104:JFA131114 JOW131104:JOW131114 JYS131104:JYS131114 KIO131104:KIO131114 KSK131104:KSK131114 LCG131104:LCG131114 LMC131104:LMC131114 LVY131104:LVY131114 MFU131104:MFU131114 MPQ131104:MPQ131114 MZM131104:MZM131114 NJI131104:NJI131114 NTE131104:NTE131114 ODA131104:ODA131114 OMW131104:OMW131114 OWS131104:OWS131114 PGO131104:PGO131114 PQK131104:PQK131114 QAG131104:QAG131114 QKC131104:QKC131114 QTY131104:QTY131114 RDU131104:RDU131114 RNQ131104:RNQ131114 RXM131104:RXM131114 SHI131104:SHI131114 SRE131104:SRE131114 TBA131104:TBA131114 TKW131104:TKW131114 TUS131104:TUS131114 UEO131104:UEO131114 UOK131104:UOK131114 UYG131104:UYG131114 VIC131104:VIC131114 VRY131104:VRY131114 WBU131104:WBU131114 WLQ131104:WLQ131114 WVM131104:WVM131114 E196640:E196650 JA196640:JA196650 SW196640:SW196650 ACS196640:ACS196650 AMO196640:AMO196650 AWK196640:AWK196650 BGG196640:BGG196650 BQC196640:BQC196650 BZY196640:BZY196650 CJU196640:CJU196650 CTQ196640:CTQ196650 DDM196640:DDM196650 DNI196640:DNI196650 DXE196640:DXE196650 EHA196640:EHA196650 EQW196640:EQW196650 FAS196640:FAS196650 FKO196640:FKO196650 FUK196640:FUK196650 GEG196640:GEG196650 GOC196640:GOC196650 GXY196640:GXY196650 HHU196640:HHU196650 HRQ196640:HRQ196650 IBM196640:IBM196650 ILI196640:ILI196650 IVE196640:IVE196650 JFA196640:JFA196650 JOW196640:JOW196650 JYS196640:JYS196650 KIO196640:KIO196650 KSK196640:KSK196650 LCG196640:LCG196650 LMC196640:LMC196650 LVY196640:LVY196650 MFU196640:MFU196650 MPQ196640:MPQ196650 MZM196640:MZM196650 NJI196640:NJI196650 NTE196640:NTE196650 ODA196640:ODA196650 OMW196640:OMW196650 OWS196640:OWS196650 PGO196640:PGO196650 PQK196640:PQK196650 QAG196640:QAG196650 QKC196640:QKC196650 QTY196640:QTY196650 RDU196640:RDU196650 RNQ196640:RNQ196650 RXM196640:RXM196650 SHI196640:SHI196650 SRE196640:SRE196650 TBA196640:TBA196650 TKW196640:TKW196650 TUS196640:TUS196650 UEO196640:UEO196650 UOK196640:UOK196650 UYG196640:UYG196650 VIC196640:VIC196650 VRY196640:VRY196650 WBU196640:WBU196650 WLQ196640:WLQ196650 WVM196640:WVM196650 E262176:E262186 JA262176:JA262186 SW262176:SW262186 ACS262176:ACS262186 AMO262176:AMO262186 AWK262176:AWK262186 BGG262176:BGG262186 BQC262176:BQC262186 BZY262176:BZY262186 CJU262176:CJU262186 CTQ262176:CTQ262186 DDM262176:DDM262186 DNI262176:DNI262186 DXE262176:DXE262186 EHA262176:EHA262186 EQW262176:EQW262186 FAS262176:FAS262186 FKO262176:FKO262186 FUK262176:FUK262186 GEG262176:GEG262186 GOC262176:GOC262186 GXY262176:GXY262186 HHU262176:HHU262186 HRQ262176:HRQ262186 IBM262176:IBM262186 ILI262176:ILI262186 IVE262176:IVE262186 JFA262176:JFA262186 JOW262176:JOW262186 JYS262176:JYS262186 KIO262176:KIO262186 KSK262176:KSK262186 LCG262176:LCG262186 LMC262176:LMC262186 LVY262176:LVY262186 MFU262176:MFU262186 MPQ262176:MPQ262186 MZM262176:MZM262186 NJI262176:NJI262186 NTE262176:NTE262186 ODA262176:ODA262186 OMW262176:OMW262186 OWS262176:OWS262186 PGO262176:PGO262186 PQK262176:PQK262186 QAG262176:QAG262186 QKC262176:QKC262186 QTY262176:QTY262186 RDU262176:RDU262186 RNQ262176:RNQ262186 RXM262176:RXM262186 SHI262176:SHI262186 SRE262176:SRE262186 TBA262176:TBA262186 TKW262176:TKW262186 TUS262176:TUS262186 UEO262176:UEO262186 UOK262176:UOK262186 UYG262176:UYG262186 VIC262176:VIC262186 VRY262176:VRY262186 WBU262176:WBU262186 WLQ262176:WLQ262186 WVM262176:WVM262186 E327712:E327722 JA327712:JA327722 SW327712:SW327722 ACS327712:ACS327722 AMO327712:AMO327722 AWK327712:AWK327722 BGG327712:BGG327722 BQC327712:BQC327722 BZY327712:BZY327722 CJU327712:CJU327722 CTQ327712:CTQ327722 DDM327712:DDM327722 DNI327712:DNI327722 DXE327712:DXE327722 EHA327712:EHA327722 EQW327712:EQW327722 FAS327712:FAS327722 FKO327712:FKO327722 FUK327712:FUK327722 GEG327712:GEG327722 GOC327712:GOC327722 GXY327712:GXY327722 HHU327712:HHU327722 HRQ327712:HRQ327722 IBM327712:IBM327722 ILI327712:ILI327722 IVE327712:IVE327722 JFA327712:JFA327722 JOW327712:JOW327722 JYS327712:JYS327722 KIO327712:KIO327722 KSK327712:KSK327722 LCG327712:LCG327722 LMC327712:LMC327722 LVY327712:LVY327722 MFU327712:MFU327722 MPQ327712:MPQ327722 MZM327712:MZM327722 NJI327712:NJI327722 NTE327712:NTE327722 ODA327712:ODA327722 OMW327712:OMW327722 OWS327712:OWS327722 PGO327712:PGO327722 PQK327712:PQK327722 QAG327712:QAG327722 QKC327712:QKC327722 QTY327712:QTY327722 RDU327712:RDU327722 RNQ327712:RNQ327722 RXM327712:RXM327722 SHI327712:SHI327722 SRE327712:SRE327722 TBA327712:TBA327722 TKW327712:TKW327722 TUS327712:TUS327722 UEO327712:UEO327722 UOK327712:UOK327722 UYG327712:UYG327722 VIC327712:VIC327722 VRY327712:VRY327722 WBU327712:WBU327722 WLQ327712:WLQ327722 WVM327712:WVM327722 E393248:E393258 JA393248:JA393258 SW393248:SW393258 ACS393248:ACS393258 AMO393248:AMO393258 AWK393248:AWK393258 BGG393248:BGG393258 BQC393248:BQC393258 BZY393248:BZY393258 CJU393248:CJU393258 CTQ393248:CTQ393258 DDM393248:DDM393258 DNI393248:DNI393258 DXE393248:DXE393258 EHA393248:EHA393258 EQW393248:EQW393258 FAS393248:FAS393258 FKO393248:FKO393258 FUK393248:FUK393258 GEG393248:GEG393258 GOC393248:GOC393258 GXY393248:GXY393258 HHU393248:HHU393258 HRQ393248:HRQ393258 IBM393248:IBM393258 ILI393248:ILI393258 IVE393248:IVE393258 JFA393248:JFA393258 JOW393248:JOW393258 JYS393248:JYS393258 KIO393248:KIO393258 KSK393248:KSK393258 LCG393248:LCG393258 LMC393248:LMC393258 LVY393248:LVY393258 MFU393248:MFU393258 MPQ393248:MPQ393258 MZM393248:MZM393258 NJI393248:NJI393258 NTE393248:NTE393258 ODA393248:ODA393258 OMW393248:OMW393258 OWS393248:OWS393258 PGO393248:PGO393258 PQK393248:PQK393258 QAG393248:QAG393258 QKC393248:QKC393258 QTY393248:QTY393258 RDU393248:RDU393258 RNQ393248:RNQ393258 RXM393248:RXM393258 SHI393248:SHI393258 SRE393248:SRE393258 TBA393248:TBA393258 TKW393248:TKW393258 TUS393248:TUS393258 UEO393248:UEO393258 UOK393248:UOK393258 UYG393248:UYG393258 VIC393248:VIC393258 VRY393248:VRY393258 WBU393248:WBU393258 WLQ393248:WLQ393258 WVM393248:WVM393258 E458784:E458794 JA458784:JA458794 SW458784:SW458794 ACS458784:ACS458794 AMO458784:AMO458794 AWK458784:AWK458794 BGG458784:BGG458794 BQC458784:BQC458794 BZY458784:BZY458794 CJU458784:CJU458794 CTQ458784:CTQ458794 DDM458784:DDM458794 DNI458784:DNI458794 DXE458784:DXE458794 EHA458784:EHA458794 EQW458784:EQW458794 FAS458784:FAS458794 FKO458784:FKO458794 FUK458784:FUK458794 GEG458784:GEG458794 GOC458784:GOC458794 GXY458784:GXY458794 HHU458784:HHU458794 HRQ458784:HRQ458794 IBM458784:IBM458794 ILI458784:ILI458794 IVE458784:IVE458794 JFA458784:JFA458794 JOW458784:JOW458794 JYS458784:JYS458794 KIO458784:KIO458794 KSK458784:KSK458794 LCG458784:LCG458794 LMC458784:LMC458794 LVY458784:LVY458794 MFU458784:MFU458794 MPQ458784:MPQ458794 MZM458784:MZM458794 NJI458784:NJI458794 NTE458784:NTE458794 ODA458784:ODA458794 OMW458784:OMW458794 OWS458784:OWS458794 PGO458784:PGO458794 PQK458784:PQK458794 QAG458784:QAG458794 QKC458784:QKC458794 QTY458784:QTY458794 RDU458784:RDU458794 RNQ458784:RNQ458794 RXM458784:RXM458794 SHI458784:SHI458794 SRE458784:SRE458794 TBA458784:TBA458794 TKW458784:TKW458794 TUS458784:TUS458794 UEO458784:UEO458794 UOK458784:UOK458794 UYG458784:UYG458794 VIC458784:VIC458794 VRY458784:VRY458794 WBU458784:WBU458794 WLQ458784:WLQ458794 WVM458784:WVM458794 E524320:E524330 JA524320:JA524330 SW524320:SW524330 ACS524320:ACS524330 AMO524320:AMO524330 AWK524320:AWK524330 BGG524320:BGG524330 BQC524320:BQC524330 BZY524320:BZY524330 CJU524320:CJU524330 CTQ524320:CTQ524330 DDM524320:DDM524330 DNI524320:DNI524330 DXE524320:DXE524330 EHA524320:EHA524330 EQW524320:EQW524330 FAS524320:FAS524330 FKO524320:FKO524330 FUK524320:FUK524330 GEG524320:GEG524330 GOC524320:GOC524330 GXY524320:GXY524330 HHU524320:HHU524330 HRQ524320:HRQ524330 IBM524320:IBM524330 ILI524320:ILI524330 IVE524320:IVE524330 JFA524320:JFA524330 JOW524320:JOW524330 JYS524320:JYS524330 KIO524320:KIO524330 KSK524320:KSK524330 LCG524320:LCG524330 LMC524320:LMC524330 LVY524320:LVY524330 MFU524320:MFU524330 MPQ524320:MPQ524330 MZM524320:MZM524330 NJI524320:NJI524330 NTE524320:NTE524330 ODA524320:ODA524330 OMW524320:OMW524330 OWS524320:OWS524330 PGO524320:PGO524330 PQK524320:PQK524330 QAG524320:QAG524330 QKC524320:QKC524330 QTY524320:QTY524330 RDU524320:RDU524330 RNQ524320:RNQ524330 RXM524320:RXM524330 SHI524320:SHI524330 SRE524320:SRE524330 TBA524320:TBA524330 TKW524320:TKW524330 TUS524320:TUS524330 UEO524320:UEO524330 UOK524320:UOK524330 UYG524320:UYG524330 VIC524320:VIC524330 VRY524320:VRY524330 WBU524320:WBU524330 WLQ524320:WLQ524330 WVM524320:WVM524330 E589856:E589866 JA589856:JA589866 SW589856:SW589866 ACS589856:ACS589866 AMO589856:AMO589866 AWK589856:AWK589866 BGG589856:BGG589866 BQC589856:BQC589866 BZY589856:BZY589866 CJU589856:CJU589866 CTQ589856:CTQ589866 DDM589856:DDM589866 DNI589856:DNI589866 DXE589856:DXE589866 EHA589856:EHA589866 EQW589856:EQW589866 FAS589856:FAS589866 FKO589856:FKO589866 FUK589856:FUK589866 GEG589856:GEG589866 GOC589856:GOC589866 GXY589856:GXY589866 HHU589856:HHU589866 HRQ589856:HRQ589866 IBM589856:IBM589866 ILI589856:ILI589866 IVE589856:IVE589866 JFA589856:JFA589866 JOW589856:JOW589866 JYS589856:JYS589866 KIO589856:KIO589866 KSK589856:KSK589866 LCG589856:LCG589866 LMC589856:LMC589866 LVY589856:LVY589866 MFU589856:MFU589866 MPQ589856:MPQ589866 MZM589856:MZM589866 NJI589856:NJI589866 NTE589856:NTE589866 ODA589856:ODA589866 OMW589856:OMW589866 OWS589856:OWS589866 PGO589856:PGO589866 PQK589856:PQK589866 QAG589856:QAG589866 QKC589856:QKC589866 QTY589856:QTY589866 RDU589856:RDU589866 RNQ589856:RNQ589866 RXM589856:RXM589866 SHI589856:SHI589866 SRE589856:SRE589866 TBA589856:TBA589866 TKW589856:TKW589866 TUS589856:TUS589866 UEO589856:UEO589866 UOK589856:UOK589866 UYG589856:UYG589866 VIC589856:VIC589866 VRY589856:VRY589866 WBU589856:WBU589866 WLQ589856:WLQ589866 WVM589856:WVM589866 E655392:E655402 JA655392:JA655402 SW655392:SW655402 ACS655392:ACS655402 AMO655392:AMO655402 AWK655392:AWK655402 BGG655392:BGG655402 BQC655392:BQC655402 BZY655392:BZY655402 CJU655392:CJU655402 CTQ655392:CTQ655402 DDM655392:DDM655402 DNI655392:DNI655402 DXE655392:DXE655402 EHA655392:EHA655402 EQW655392:EQW655402 FAS655392:FAS655402 FKO655392:FKO655402 FUK655392:FUK655402 GEG655392:GEG655402 GOC655392:GOC655402 GXY655392:GXY655402 HHU655392:HHU655402 HRQ655392:HRQ655402 IBM655392:IBM655402 ILI655392:ILI655402 IVE655392:IVE655402 JFA655392:JFA655402 JOW655392:JOW655402 JYS655392:JYS655402 KIO655392:KIO655402 KSK655392:KSK655402 LCG655392:LCG655402 LMC655392:LMC655402 LVY655392:LVY655402 MFU655392:MFU655402 MPQ655392:MPQ655402 MZM655392:MZM655402 NJI655392:NJI655402 NTE655392:NTE655402 ODA655392:ODA655402 OMW655392:OMW655402 OWS655392:OWS655402 PGO655392:PGO655402 PQK655392:PQK655402 QAG655392:QAG655402 QKC655392:QKC655402 QTY655392:QTY655402 RDU655392:RDU655402 RNQ655392:RNQ655402 RXM655392:RXM655402 SHI655392:SHI655402 SRE655392:SRE655402 TBA655392:TBA655402 TKW655392:TKW655402 TUS655392:TUS655402 UEO655392:UEO655402 UOK655392:UOK655402 UYG655392:UYG655402 VIC655392:VIC655402 VRY655392:VRY655402 WBU655392:WBU655402 WLQ655392:WLQ655402 WVM655392:WVM655402 E720928:E720938 JA720928:JA720938 SW720928:SW720938 ACS720928:ACS720938 AMO720928:AMO720938 AWK720928:AWK720938 BGG720928:BGG720938 BQC720928:BQC720938 BZY720928:BZY720938 CJU720928:CJU720938 CTQ720928:CTQ720938 DDM720928:DDM720938 DNI720928:DNI720938 DXE720928:DXE720938 EHA720928:EHA720938 EQW720928:EQW720938 FAS720928:FAS720938 FKO720928:FKO720938 FUK720928:FUK720938 GEG720928:GEG720938 GOC720928:GOC720938 GXY720928:GXY720938 HHU720928:HHU720938 HRQ720928:HRQ720938 IBM720928:IBM720938 ILI720928:ILI720938 IVE720928:IVE720938 JFA720928:JFA720938 JOW720928:JOW720938 JYS720928:JYS720938 KIO720928:KIO720938 KSK720928:KSK720938 LCG720928:LCG720938 LMC720928:LMC720938 LVY720928:LVY720938 MFU720928:MFU720938 MPQ720928:MPQ720938 MZM720928:MZM720938 NJI720928:NJI720938 NTE720928:NTE720938 ODA720928:ODA720938 OMW720928:OMW720938 OWS720928:OWS720938 PGO720928:PGO720938 PQK720928:PQK720938 QAG720928:QAG720938 QKC720928:QKC720938 QTY720928:QTY720938 RDU720928:RDU720938 RNQ720928:RNQ720938 RXM720928:RXM720938 SHI720928:SHI720938 SRE720928:SRE720938 TBA720928:TBA720938 TKW720928:TKW720938 TUS720928:TUS720938 UEO720928:UEO720938 UOK720928:UOK720938 UYG720928:UYG720938 VIC720928:VIC720938 VRY720928:VRY720938 WBU720928:WBU720938 WLQ720928:WLQ720938 WVM720928:WVM720938 E786464:E786474 JA786464:JA786474 SW786464:SW786474 ACS786464:ACS786474 AMO786464:AMO786474 AWK786464:AWK786474 BGG786464:BGG786474 BQC786464:BQC786474 BZY786464:BZY786474 CJU786464:CJU786474 CTQ786464:CTQ786474 DDM786464:DDM786474 DNI786464:DNI786474 DXE786464:DXE786474 EHA786464:EHA786474 EQW786464:EQW786474 FAS786464:FAS786474 FKO786464:FKO786474 FUK786464:FUK786474 GEG786464:GEG786474 GOC786464:GOC786474 GXY786464:GXY786474 HHU786464:HHU786474 HRQ786464:HRQ786474 IBM786464:IBM786474 ILI786464:ILI786474 IVE786464:IVE786474 JFA786464:JFA786474 JOW786464:JOW786474 JYS786464:JYS786474 KIO786464:KIO786474 KSK786464:KSK786474 LCG786464:LCG786474 LMC786464:LMC786474 LVY786464:LVY786474 MFU786464:MFU786474 MPQ786464:MPQ786474 MZM786464:MZM786474 NJI786464:NJI786474 NTE786464:NTE786474 ODA786464:ODA786474 OMW786464:OMW786474 OWS786464:OWS786474 PGO786464:PGO786474 PQK786464:PQK786474 QAG786464:QAG786474 QKC786464:QKC786474 QTY786464:QTY786474 RDU786464:RDU786474 RNQ786464:RNQ786474 RXM786464:RXM786474 SHI786464:SHI786474 SRE786464:SRE786474 TBA786464:TBA786474 TKW786464:TKW786474 TUS786464:TUS786474 UEO786464:UEO786474 UOK786464:UOK786474 UYG786464:UYG786474 VIC786464:VIC786474 VRY786464:VRY786474 WBU786464:WBU786474 WLQ786464:WLQ786474 WVM786464:WVM786474 E852000:E852010 JA852000:JA852010 SW852000:SW852010 ACS852000:ACS852010 AMO852000:AMO852010 AWK852000:AWK852010 BGG852000:BGG852010 BQC852000:BQC852010 BZY852000:BZY852010 CJU852000:CJU852010 CTQ852000:CTQ852010 DDM852000:DDM852010 DNI852000:DNI852010 DXE852000:DXE852010 EHA852000:EHA852010 EQW852000:EQW852010 FAS852000:FAS852010 FKO852000:FKO852010 FUK852000:FUK852010 GEG852000:GEG852010 GOC852000:GOC852010 GXY852000:GXY852010 HHU852000:HHU852010 HRQ852000:HRQ852010 IBM852000:IBM852010 ILI852000:ILI852010 IVE852000:IVE852010 JFA852000:JFA852010 JOW852000:JOW852010 JYS852000:JYS852010 KIO852000:KIO852010 KSK852000:KSK852010 LCG852000:LCG852010 LMC852000:LMC852010 LVY852000:LVY852010 MFU852000:MFU852010 MPQ852000:MPQ852010 MZM852000:MZM852010 NJI852000:NJI852010 NTE852000:NTE852010 ODA852000:ODA852010 OMW852000:OMW852010 OWS852000:OWS852010 PGO852000:PGO852010 PQK852000:PQK852010 QAG852000:QAG852010 QKC852000:QKC852010 QTY852000:QTY852010 RDU852000:RDU852010 RNQ852000:RNQ852010 RXM852000:RXM852010 SHI852000:SHI852010 SRE852000:SRE852010 TBA852000:TBA852010 TKW852000:TKW852010 TUS852000:TUS852010 UEO852000:UEO852010 UOK852000:UOK852010 UYG852000:UYG852010 VIC852000:VIC852010 VRY852000:VRY852010 WBU852000:WBU852010 WLQ852000:WLQ852010 WVM852000:WVM852010 E917536:E917546 JA917536:JA917546 SW917536:SW917546 ACS917536:ACS917546 AMO917536:AMO917546 AWK917536:AWK917546 BGG917536:BGG917546 BQC917536:BQC917546 BZY917536:BZY917546 CJU917536:CJU917546 CTQ917536:CTQ917546 DDM917536:DDM917546 DNI917536:DNI917546 DXE917536:DXE917546 EHA917536:EHA917546 EQW917536:EQW917546 FAS917536:FAS917546 FKO917536:FKO917546 FUK917536:FUK917546 GEG917536:GEG917546 GOC917536:GOC917546 GXY917536:GXY917546 HHU917536:HHU917546 HRQ917536:HRQ917546 IBM917536:IBM917546 ILI917536:ILI917546 IVE917536:IVE917546 JFA917536:JFA917546 JOW917536:JOW917546 JYS917536:JYS917546 KIO917536:KIO917546 KSK917536:KSK917546 LCG917536:LCG917546 LMC917536:LMC917546 LVY917536:LVY917546 MFU917536:MFU917546 MPQ917536:MPQ917546 MZM917536:MZM917546 NJI917536:NJI917546 NTE917536:NTE917546 ODA917536:ODA917546 OMW917536:OMW917546 OWS917536:OWS917546 PGO917536:PGO917546 PQK917536:PQK917546 QAG917536:QAG917546 QKC917536:QKC917546 QTY917536:QTY917546 RDU917536:RDU917546 RNQ917536:RNQ917546 RXM917536:RXM917546 SHI917536:SHI917546 SRE917536:SRE917546 TBA917536:TBA917546 TKW917536:TKW917546 TUS917536:TUS917546 UEO917536:UEO917546 UOK917536:UOK917546 UYG917536:UYG917546 VIC917536:VIC917546 VRY917536:VRY917546 WBU917536:WBU917546 WLQ917536:WLQ917546 WVM917536:WVM917546 E983072:E983082 JA983072:JA983082 SW983072:SW983082 ACS983072:ACS983082 AMO983072:AMO983082 AWK983072:AWK983082 BGG983072:BGG983082 BQC983072:BQC983082 BZY983072:BZY983082 CJU983072:CJU983082 CTQ983072:CTQ983082 DDM983072:DDM983082 DNI983072:DNI983082 DXE983072:DXE983082 EHA983072:EHA983082 EQW983072:EQW983082 FAS983072:FAS983082 FKO983072:FKO983082 FUK983072:FUK983082 GEG983072:GEG983082 GOC983072:GOC983082 GXY983072:GXY983082 HHU983072:HHU983082 HRQ983072:HRQ983082 IBM983072:IBM983082 ILI983072:ILI983082 IVE983072:IVE983082 JFA983072:JFA983082 JOW983072:JOW983082 JYS983072:JYS983082 KIO983072:KIO983082 KSK983072:KSK983082 LCG983072:LCG983082 LMC983072:LMC983082 LVY983072:LVY983082 MFU983072:MFU983082 MPQ983072:MPQ983082 MZM983072:MZM983082 NJI983072:NJI983082 NTE983072:NTE983082 ODA983072:ODA983082 OMW983072:OMW983082 OWS983072:OWS983082 PGO983072:PGO983082 PQK983072:PQK983082 QAG983072:QAG983082 QKC983072:QKC983082 QTY983072:QTY983082 RDU983072:RDU983082 RNQ983072:RNQ983082 RXM983072:RXM983082 SHI983072:SHI983082 SRE983072:SRE983082 TBA983072:TBA983082 TKW983072:TKW983082 TUS983072:TUS983082 UEO983072:UEO983082 UOK983072:UOK983082 UYG983072:UYG983082 VIC983072:VIC983082 VRY983072:VRY983082 WBU983072:WBU983082 WLQ983072:WLQ983082 WVM983072:WVM983082 E53:E55 JA53:JA55 SW53:SW55 ACS53:ACS55 AMO53:AMO55 AWK53:AWK55 BGG53:BGG55 BQC53:BQC55 BZY53:BZY55 CJU53:CJU55 CTQ53:CTQ55 DDM53:DDM55 DNI53:DNI55 DXE53:DXE55 EHA53:EHA55 EQW53:EQW55 FAS53:FAS55 FKO53:FKO55 FUK53:FUK55 GEG53:GEG55 GOC53:GOC55 GXY53:GXY55 HHU53:HHU55 HRQ53:HRQ55 IBM53:IBM55 ILI53:ILI55 IVE53:IVE55 JFA53:JFA55 JOW53:JOW55 JYS53:JYS55 KIO53:KIO55 KSK53:KSK55 LCG53:LCG55 LMC53:LMC55 LVY53:LVY55 MFU53:MFU55 MPQ53:MPQ55 MZM53:MZM55 NJI53:NJI55 NTE53:NTE55 ODA53:ODA55 OMW53:OMW55 OWS53:OWS55 PGO53:PGO55 PQK53:PQK55 QAG53:QAG55 QKC53:QKC55 QTY53:QTY55 RDU53:RDU55 RNQ53:RNQ55 RXM53:RXM55 SHI53:SHI55 SRE53:SRE55 TBA53:TBA55 TKW53:TKW55 TUS53:TUS55 UEO53:UEO55 UOK53:UOK55 UYG53:UYG55 VIC53:VIC55 VRY53:VRY55 WBU53:WBU55 WLQ53:WLQ55 WVM53:WVM55 E65589:E65591 JA65589:JA65591 SW65589:SW65591 ACS65589:ACS65591 AMO65589:AMO65591 AWK65589:AWK65591 BGG65589:BGG65591 BQC65589:BQC65591 BZY65589:BZY65591 CJU65589:CJU65591 CTQ65589:CTQ65591 DDM65589:DDM65591 DNI65589:DNI65591 DXE65589:DXE65591 EHA65589:EHA65591 EQW65589:EQW65591 FAS65589:FAS65591 FKO65589:FKO65591 FUK65589:FUK65591 GEG65589:GEG65591 GOC65589:GOC65591 GXY65589:GXY65591 HHU65589:HHU65591 HRQ65589:HRQ65591 IBM65589:IBM65591 ILI65589:ILI65591 IVE65589:IVE65591 JFA65589:JFA65591 JOW65589:JOW65591 JYS65589:JYS65591 KIO65589:KIO65591 KSK65589:KSK65591 LCG65589:LCG65591 LMC65589:LMC65591 LVY65589:LVY65591 MFU65589:MFU65591 MPQ65589:MPQ65591 MZM65589:MZM65591 NJI65589:NJI65591 NTE65589:NTE65591 ODA65589:ODA65591 OMW65589:OMW65591 OWS65589:OWS65591 PGO65589:PGO65591 PQK65589:PQK65591 QAG65589:QAG65591 QKC65589:QKC65591 QTY65589:QTY65591 RDU65589:RDU65591 RNQ65589:RNQ65591 RXM65589:RXM65591 SHI65589:SHI65591 SRE65589:SRE65591 TBA65589:TBA65591 TKW65589:TKW65591 TUS65589:TUS65591 UEO65589:UEO65591 UOK65589:UOK65591 UYG65589:UYG65591 VIC65589:VIC65591 VRY65589:VRY65591 WBU65589:WBU65591 WLQ65589:WLQ65591 WVM65589:WVM65591 E131125:E131127 JA131125:JA131127 SW131125:SW131127 ACS131125:ACS131127 AMO131125:AMO131127 AWK131125:AWK131127 BGG131125:BGG131127 BQC131125:BQC131127 BZY131125:BZY131127 CJU131125:CJU131127 CTQ131125:CTQ131127 DDM131125:DDM131127 DNI131125:DNI131127 DXE131125:DXE131127 EHA131125:EHA131127 EQW131125:EQW131127 FAS131125:FAS131127 FKO131125:FKO131127 FUK131125:FUK131127 GEG131125:GEG131127 GOC131125:GOC131127 GXY131125:GXY131127 HHU131125:HHU131127 HRQ131125:HRQ131127 IBM131125:IBM131127 ILI131125:ILI131127 IVE131125:IVE131127 JFA131125:JFA131127 JOW131125:JOW131127 JYS131125:JYS131127 KIO131125:KIO131127 KSK131125:KSK131127 LCG131125:LCG131127 LMC131125:LMC131127 LVY131125:LVY131127 MFU131125:MFU131127 MPQ131125:MPQ131127 MZM131125:MZM131127 NJI131125:NJI131127 NTE131125:NTE131127 ODA131125:ODA131127 OMW131125:OMW131127 OWS131125:OWS131127 PGO131125:PGO131127 PQK131125:PQK131127 QAG131125:QAG131127 QKC131125:QKC131127 QTY131125:QTY131127 RDU131125:RDU131127 RNQ131125:RNQ131127 RXM131125:RXM131127 SHI131125:SHI131127 SRE131125:SRE131127 TBA131125:TBA131127 TKW131125:TKW131127 TUS131125:TUS131127 UEO131125:UEO131127 UOK131125:UOK131127 UYG131125:UYG131127 VIC131125:VIC131127 VRY131125:VRY131127 WBU131125:WBU131127 WLQ131125:WLQ131127 WVM131125:WVM131127 E196661:E196663 JA196661:JA196663 SW196661:SW196663 ACS196661:ACS196663 AMO196661:AMO196663 AWK196661:AWK196663 BGG196661:BGG196663 BQC196661:BQC196663 BZY196661:BZY196663 CJU196661:CJU196663 CTQ196661:CTQ196663 DDM196661:DDM196663 DNI196661:DNI196663 DXE196661:DXE196663 EHA196661:EHA196663 EQW196661:EQW196663 FAS196661:FAS196663 FKO196661:FKO196663 FUK196661:FUK196663 GEG196661:GEG196663 GOC196661:GOC196663 GXY196661:GXY196663 HHU196661:HHU196663 HRQ196661:HRQ196663 IBM196661:IBM196663 ILI196661:ILI196663 IVE196661:IVE196663 JFA196661:JFA196663 JOW196661:JOW196663 JYS196661:JYS196663 KIO196661:KIO196663 KSK196661:KSK196663 LCG196661:LCG196663 LMC196661:LMC196663 LVY196661:LVY196663 MFU196661:MFU196663 MPQ196661:MPQ196663 MZM196661:MZM196663 NJI196661:NJI196663 NTE196661:NTE196663 ODA196661:ODA196663 OMW196661:OMW196663 OWS196661:OWS196663 PGO196661:PGO196663 PQK196661:PQK196663 QAG196661:QAG196663 QKC196661:QKC196663 QTY196661:QTY196663 RDU196661:RDU196663 RNQ196661:RNQ196663 RXM196661:RXM196663 SHI196661:SHI196663 SRE196661:SRE196663 TBA196661:TBA196663 TKW196661:TKW196663 TUS196661:TUS196663 UEO196661:UEO196663 UOK196661:UOK196663 UYG196661:UYG196663 VIC196661:VIC196663 VRY196661:VRY196663 WBU196661:WBU196663 WLQ196661:WLQ196663 WVM196661:WVM196663 E262197:E262199 JA262197:JA262199 SW262197:SW262199 ACS262197:ACS262199 AMO262197:AMO262199 AWK262197:AWK262199 BGG262197:BGG262199 BQC262197:BQC262199 BZY262197:BZY262199 CJU262197:CJU262199 CTQ262197:CTQ262199 DDM262197:DDM262199 DNI262197:DNI262199 DXE262197:DXE262199 EHA262197:EHA262199 EQW262197:EQW262199 FAS262197:FAS262199 FKO262197:FKO262199 FUK262197:FUK262199 GEG262197:GEG262199 GOC262197:GOC262199 GXY262197:GXY262199 HHU262197:HHU262199 HRQ262197:HRQ262199 IBM262197:IBM262199 ILI262197:ILI262199 IVE262197:IVE262199 JFA262197:JFA262199 JOW262197:JOW262199 JYS262197:JYS262199 KIO262197:KIO262199 KSK262197:KSK262199 LCG262197:LCG262199 LMC262197:LMC262199 LVY262197:LVY262199 MFU262197:MFU262199 MPQ262197:MPQ262199 MZM262197:MZM262199 NJI262197:NJI262199 NTE262197:NTE262199 ODA262197:ODA262199 OMW262197:OMW262199 OWS262197:OWS262199 PGO262197:PGO262199 PQK262197:PQK262199 QAG262197:QAG262199 QKC262197:QKC262199 QTY262197:QTY262199 RDU262197:RDU262199 RNQ262197:RNQ262199 RXM262197:RXM262199 SHI262197:SHI262199 SRE262197:SRE262199 TBA262197:TBA262199 TKW262197:TKW262199 TUS262197:TUS262199 UEO262197:UEO262199 UOK262197:UOK262199 UYG262197:UYG262199 VIC262197:VIC262199 VRY262197:VRY262199 WBU262197:WBU262199 WLQ262197:WLQ262199 WVM262197:WVM262199 E327733:E327735 JA327733:JA327735 SW327733:SW327735 ACS327733:ACS327735 AMO327733:AMO327735 AWK327733:AWK327735 BGG327733:BGG327735 BQC327733:BQC327735 BZY327733:BZY327735 CJU327733:CJU327735 CTQ327733:CTQ327735 DDM327733:DDM327735 DNI327733:DNI327735 DXE327733:DXE327735 EHA327733:EHA327735 EQW327733:EQW327735 FAS327733:FAS327735 FKO327733:FKO327735 FUK327733:FUK327735 GEG327733:GEG327735 GOC327733:GOC327735 GXY327733:GXY327735 HHU327733:HHU327735 HRQ327733:HRQ327735 IBM327733:IBM327735 ILI327733:ILI327735 IVE327733:IVE327735 JFA327733:JFA327735 JOW327733:JOW327735 JYS327733:JYS327735 KIO327733:KIO327735 KSK327733:KSK327735 LCG327733:LCG327735 LMC327733:LMC327735 LVY327733:LVY327735 MFU327733:MFU327735 MPQ327733:MPQ327735 MZM327733:MZM327735 NJI327733:NJI327735 NTE327733:NTE327735 ODA327733:ODA327735 OMW327733:OMW327735 OWS327733:OWS327735 PGO327733:PGO327735 PQK327733:PQK327735 QAG327733:QAG327735 QKC327733:QKC327735 QTY327733:QTY327735 RDU327733:RDU327735 RNQ327733:RNQ327735 RXM327733:RXM327735 SHI327733:SHI327735 SRE327733:SRE327735 TBA327733:TBA327735 TKW327733:TKW327735 TUS327733:TUS327735 UEO327733:UEO327735 UOK327733:UOK327735 UYG327733:UYG327735 VIC327733:VIC327735 VRY327733:VRY327735 WBU327733:WBU327735 WLQ327733:WLQ327735 WVM327733:WVM327735 E393269:E393271 JA393269:JA393271 SW393269:SW393271 ACS393269:ACS393271 AMO393269:AMO393271 AWK393269:AWK393271 BGG393269:BGG393271 BQC393269:BQC393271 BZY393269:BZY393271 CJU393269:CJU393271 CTQ393269:CTQ393271 DDM393269:DDM393271 DNI393269:DNI393271 DXE393269:DXE393271 EHA393269:EHA393271 EQW393269:EQW393271 FAS393269:FAS393271 FKO393269:FKO393271 FUK393269:FUK393271 GEG393269:GEG393271 GOC393269:GOC393271 GXY393269:GXY393271 HHU393269:HHU393271 HRQ393269:HRQ393271 IBM393269:IBM393271 ILI393269:ILI393271 IVE393269:IVE393271 JFA393269:JFA393271 JOW393269:JOW393271 JYS393269:JYS393271 KIO393269:KIO393271 KSK393269:KSK393271 LCG393269:LCG393271 LMC393269:LMC393271 LVY393269:LVY393271 MFU393269:MFU393271 MPQ393269:MPQ393271 MZM393269:MZM393271 NJI393269:NJI393271 NTE393269:NTE393271 ODA393269:ODA393271 OMW393269:OMW393271 OWS393269:OWS393271 PGO393269:PGO393271 PQK393269:PQK393271 QAG393269:QAG393271 QKC393269:QKC393271 QTY393269:QTY393271 RDU393269:RDU393271 RNQ393269:RNQ393271 RXM393269:RXM393271 SHI393269:SHI393271 SRE393269:SRE393271 TBA393269:TBA393271 TKW393269:TKW393271 TUS393269:TUS393271 UEO393269:UEO393271 UOK393269:UOK393271 UYG393269:UYG393271 VIC393269:VIC393271 VRY393269:VRY393271 WBU393269:WBU393271 WLQ393269:WLQ393271 WVM393269:WVM393271 E458805:E458807 JA458805:JA458807 SW458805:SW458807 ACS458805:ACS458807 AMO458805:AMO458807 AWK458805:AWK458807 BGG458805:BGG458807 BQC458805:BQC458807 BZY458805:BZY458807 CJU458805:CJU458807 CTQ458805:CTQ458807 DDM458805:DDM458807 DNI458805:DNI458807 DXE458805:DXE458807 EHA458805:EHA458807 EQW458805:EQW458807 FAS458805:FAS458807 FKO458805:FKO458807 FUK458805:FUK458807 GEG458805:GEG458807 GOC458805:GOC458807 GXY458805:GXY458807 HHU458805:HHU458807 HRQ458805:HRQ458807 IBM458805:IBM458807 ILI458805:ILI458807 IVE458805:IVE458807 JFA458805:JFA458807 JOW458805:JOW458807 JYS458805:JYS458807 KIO458805:KIO458807 KSK458805:KSK458807 LCG458805:LCG458807 LMC458805:LMC458807 LVY458805:LVY458807 MFU458805:MFU458807 MPQ458805:MPQ458807 MZM458805:MZM458807 NJI458805:NJI458807 NTE458805:NTE458807 ODA458805:ODA458807 OMW458805:OMW458807 OWS458805:OWS458807 PGO458805:PGO458807 PQK458805:PQK458807 QAG458805:QAG458807 QKC458805:QKC458807 QTY458805:QTY458807 RDU458805:RDU458807 RNQ458805:RNQ458807 RXM458805:RXM458807 SHI458805:SHI458807 SRE458805:SRE458807 TBA458805:TBA458807 TKW458805:TKW458807 TUS458805:TUS458807 UEO458805:UEO458807 UOK458805:UOK458807 UYG458805:UYG458807 VIC458805:VIC458807 VRY458805:VRY458807 WBU458805:WBU458807 WLQ458805:WLQ458807 WVM458805:WVM458807 E524341:E524343 JA524341:JA524343 SW524341:SW524343 ACS524341:ACS524343 AMO524341:AMO524343 AWK524341:AWK524343 BGG524341:BGG524343 BQC524341:BQC524343 BZY524341:BZY524343 CJU524341:CJU524343 CTQ524341:CTQ524343 DDM524341:DDM524343 DNI524341:DNI524343 DXE524341:DXE524343 EHA524341:EHA524343 EQW524341:EQW524343 FAS524341:FAS524343 FKO524341:FKO524343 FUK524341:FUK524343 GEG524341:GEG524343 GOC524341:GOC524343 GXY524341:GXY524343 HHU524341:HHU524343 HRQ524341:HRQ524343 IBM524341:IBM524343 ILI524341:ILI524343 IVE524341:IVE524343 JFA524341:JFA524343 JOW524341:JOW524343 JYS524341:JYS524343 KIO524341:KIO524343 KSK524341:KSK524343 LCG524341:LCG524343 LMC524341:LMC524343 LVY524341:LVY524343 MFU524341:MFU524343 MPQ524341:MPQ524343 MZM524341:MZM524343 NJI524341:NJI524343 NTE524341:NTE524343 ODA524341:ODA524343 OMW524341:OMW524343 OWS524341:OWS524343 PGO524341:PGO524343 PQK524341:PQK524343 QAG524341:QAG524343 QKC524341:QKC524343 QTY524341:QTY524343 RDU524341:RDU524343 RNQ524341:RNQ524343 RXM524341:RXM524343 SHI524341:SHI524343 SRE524341:SRE524343 TBA524341:TBA524343 TKW524341:TKW524343 TUS524341:TUS524343 UEO524341:UEO524343 UOK524341:UOK524343 UYG524341:UYG524343 VIC524341:VIC524343 VRY524341:VRY524343 WBU524341:WBU524343 WLQ524341:WLQ524343 WVM524341:WVM524343 E589877:E589879 JA589877:JA589879 SW589877:SW589879 ACS589877:ACS589879 AMO589877:AMO589879 AWK589877:AWK589879 BGG589877:BGG589879 BQC589877:BQC589879 BZY589877:BZY589879 CJU589877:CJU589879 CTQ589877:CTQ589879 DDM589877:DDM589879 DNI589877:DNI589879 DXE589877:DXE589879 EHA589877:EHA589879 EQW589877:EQW589879 FAS589877:FAS589879 FKO589877:FKO589879 FUK589877:FUK589879 GEG589877:GEG589879 GOC589877:GOC589879 GXY589877:GXY589879 HHU589877:HHU589879 HRQ589877:HRQ589879 IBM589877:IBM589879 ILI589877:ILI589879 IVE589877:IVE589879 JFA589877:JFA589879 JOW589877:JOW589879 JYS589877:JYS589879 KIO589877:KIO589879 KSK589877:KSK589879 LCG589877:LCG589879 LMC589877:LMC589879 LVY589877:LVY589879 MFU589877:MFU589879 MPQ589877:MPQ589879 MZM589877:MZM589879 NJI589877:NJI589879 NTE589877:NTE589879 ODA589877:ODA589879 OMW589877:OMW589879 OWS589877:OWS589879 PGO589877:PGO589879 PQK589877:PQK589879 QAG589877:QAG589879 QKC589877:QKC589879 QTY589877:QTY589879 RDU589877:RDU589879 RNQ589877:RNQ589879 RXM589877:RXM589879 SHI589877:SHI589879 SRE589877:SRE589879 TBA589877:TBA589879 TKW589877:TKW589879 TUS589877:TUS589879 UEO589877:UEO589879 UOK589877:UOK589879 UYG589877:UYG589879 VIC589877:VIC589879 VRY589877:VRY589879 WBU589877:WBU589879 WLQ589877:WLQ589879 WVM589877:WVM589879 E655413:E655415 JA655413:JA655415 SW655413:SW655415 ACS655413:ACS655415 AMO655413:AMO655415 AWK655413:AWK655415 BGG655413:BGG655415 BQC655413:BQC655415 BZY655413:BZY655415 CJU655413:CJU655415 CTQ655413:CTQ655415 DDM655413:DDM655415 DNI655413:DNI655415 DXE655413:DXE655415 EHA655413:EHA655415 EQW655413:EQW655415 FAS655413:FAS655415 FKO655413:FKO655415 FUK655413:FUK655415 GEG655413:GEG655415 GOC655413:GOC655415 GXY655413:GXY655415 HHU655413:HHU655415 HRQ655413:HRQ655415 IBM655413:IBM655415 ILI655413:ILI655415 IVE655413:IVE655415 JFA655413:JFA655415 JOW655413:JOW655415 JYS655413:JYS655415 KIO655413:KIO655415 KSK655413:KSK655415 LCG655413:LCG655415 LMC655413:LMC655415 LVY655413:LVY655415 MFU655413:MFU655415 MPQ655413:MPQ655415 MZM655413:MZM655415 NJI655413:NJI655415 NTE655413:NTE655415 ODA655413:ODA655415 OMW655413:OMW655415 OWS655413:OWS655415 PGO655413:PGO655415 PQK655413:PQK655415 QAG655413:QAG655415 QKC655413:QKC655415 QTY655413:QTY655415 RDU655413:RDU655415 RNQ655413:RNQ655415 RXM655413:RXM655415 SHI655413:SHI655415 SRE655413:SRE655415 TBA655413:TBA655415 TKW655413:TKW655415 TUS655413:TUS655415 UEO655413:UEO655415 UOK655413:UOK655415 UYG655413:UYG655415 VIC655413:VIC655415 VRY655413:VRY655415 WBU655413:WBU655415 WLQ655413:WLQ655415 WVM655413:WVM655415 E720949:E720951 JA720949:JA720951 SW720949:SW720951 ACS720949:ACS720951 AMO720949:AMO720951 AWK720949:AWK720951 BGG720949:BGG720951 BQC720949:BQC720951 BZY720949:BZY720951 CJU720949:CJU720951 CTQ720949:CTQ720951 DDM720949:DDM720951 DNI720949:DNI720951 DXE720949:DXE720951 EHA720949:EHA720951 EQW720949:EQW720951 FAS720949:FAS720951 FKO720949:FKO720951 FUK720949:FUK720951 GEG720949:GEG720951 GOC720949:GOC720951 GXY720949:GXY720951 HHU720949:HHU720951 HRQ720949:HRQ720951 IBM720949:IBM720951 ILI720949:ILI720951 IVE720949:IVE720951 JFA720949:JFA720951 JOW720949:JOW720951 JYS720949:JYS720951 KIO720949:KIO720951 KSK720949:KSK720951 LCG720949:LCG720951 LMC720949:LMC720951 LVY720949:LVY720951 MFU720949:MFU720951 MPQ720949:MPQ720951 MZM720949:MZM720951 NJI720949:NJI720951 NTE720949:NTE720951 ODA720949:ODA720951 OMW720949:OMW720951 OWS720949:OWS720951 PGO720949:PGO720951 PQK720949:PQK720951 QAG720949:QAG720951 QKC720949:QKC720951 QTY720949:QTY720951 RDU720949:RDU720951 RNQ720949:RNQ720951 RXM720949:RXM720951 SHI720949:SHI720951 SRE720949:SRE720951 TBA720949:TBA720951 TKW720949:TKW720951 TUS720949:TUS720951 UEO720949:UEO720951 UOK720949:UOK720951 UYG720949:UYG720951 VIC720949:VIC720951 VRY720949:VRY720951 WBU720949:WBU720951 WLQ720949:WLQ720951 WVM720949:WVM720951 E786485:E786487 JA786485:JA786487 SW786485:SW786487 ACS786485:ACS786487 AMO786485:AMO786487 AWK786485:AWK786487 BGG786485:BGG786487 BQC786485:BQC786487 BZY786485:BZY786487 CJU786485:CJU786487 CTQ786485:CTQ786487 DDM786485:DDM786487 DNI786485:DNI786487 DXE786485:DXE786487 EHA786485:EHA786487 EQW786485:EQW786487 FAS786485:FAS786487 FKO786485:FKO786487 FUK786485:FUK786487 GEG786485:GEG786487 GOC786485:GOC786487 GXY786485:GXY786487 HHU786485:HHU786487 HRQ786485:HRQ786487 IBM786485:IBM786487 ILI786485:ILI786487 IVE786485:IVE786487 JFA786485:JFA786487 JOW786485:JOW786487 JYS786485:JYS786487 KIO786485:KIO786487 KSK786485:KSK786487 LCG786485:LCG786487 LMC786485:LMC786487 LVY786485:LVY786487 MFU786485:MFU786487 MPQ786485:MPQ786487 MZM786485:MZM786487 NJI786485:NJI786487 NTE786485:NTE786487 ODA786485:ODA786487 OMW786485:OMW786487 OWS786485:OWS786487 PGO786485:PGO786487 PQK786485:PQK786487 QAG786485:QAG786487 QKC786485:QKC786487 QTY786485:QTY786487 RDU786485:RDU786487 RNQ786485:RNQ786487 RXM786485:RXM786487 SHI786485:SHI786487 SRE786485:SRE786487 TBA786485:TBA786487 TKW786485:TKW786487 TUS786485:TUS786487 UEO786485:UEO786487 UOK786485:UOK786487 UYG786485:UYG786487 VIC786485:VIC786487 VRY786485:VRY786487 WBU786485:WBU786487 WLQ786485:WLQ786487 WVM786485:WVM786487 E852021:E852023 JA852021:JA852023 SW852021:SW852023 ACS852021:ACS852023 AMO852021:AMO852023 AWK852021:AWK852023 BGG852021:BGG852023 BQC852021:BQC852023 BZY852021:BZY852023 CJU852021:CJU852023 CTQ852021:CTQ852023 DDM852021:DDM852023 DNI852021:DNI852023 DXE852021:DXE852023 EHA852021:EHA852023 EQW852021:EQW852023 FAS852021:FAS852023 FKO852021:FKO852023 FUK852021:FUK852023 GEG852021:GEG852023 GOC852021:GOC852023 GXY852021:GXY852023 HHU852021:HHU852023 HRQ852021:HRQ852023 IBM852021:IBM852023 ILI852021:ILI852023 IVE852021:IVE852023 JFA852021:JFA852023 JOW852021:JOW852023 JYS852021:JYS852023 KIO852021:KIO852023 KSK852021:KSK852023 LCG852021:LCG852023 LMC852021:LMC852023 LVY852021:LVY852023 MFU852021:MFU852023 MPQ852021:MPQ852023 MZM852021:MZM852023 NJI852021:NJI852023 NTE852021:NTE852023 ODA852021:ODA852023 OMW852021:OMW852023 OWS852021:OWS852023 PGO852021:PGO852023 PQK852021:PQK852023 QAG852021:QAG852023 QKC852021:QKC852023 QTY852021:QTY852023 RDU852021:RDU852023 RNQ852021:RNQ852023 RXM852021:RXM852023 SHI852021:SHI852023 SRE852021:SRE852023 TBA852021:TBA852023 TKW852021:TKW852023 TUS852021:TUS852023 UEO852021:UEO852023 UOK852021:UOK852023 UYG852021:UYG852023 VIC852021:VIC852023 VRY852021:VRY852023 WBU852021:WBU852023 WLQ852021:WLQ852023 WVM852021:WVM852023 E917557:E917559 JA917557:JA917559 SW917557:SW917559 ACS917557:ACS917559 AMO917557:AMO917559 AWK917557:AWK917559 BGG917557:BGG917559 BQC917557:BQC917559 BZY917557:BZY917559 CJU917557:CJU917559 CTQ917557:CTQ917559 DDM917557:DDM917559 DNI917557:DNI917559 DXE917557:DXE917559 EHA917557:EHA917559 EQW917557:EQW917559 FAS917557:FAS917559 FKO917557:FKO917559 FUK917557:FUK917559 GEG917557:GEG917559 GOC917557:GOC917559 GXY917557:GXY917559 HHU917557:HHU917559 HRQ917557:HRQ917559 IBM917557:IBM917559 ILI917557:ILI917559 IVE917557:IVE917559 JFA917557:JFA917559 JOW917557:JOW917559 JYS917557:JYS917559 KIO917557:KIO917559 KSK917557:KSK917559 LCG917557:LCG917559 LMC917557:LMC917559 LVY917557:LVY917559 MFU917557:MFU917559 MPQ917557:MPQ917559 MZM917557:MZM917559 NJI917557:NJI917559 NTE917557:NTE917559 ODA917557:ODA917559 OMW917557:OMW917559 OWS917557:OWS917559 PGO917557:PGO917559 PQK917557:PQK917559 QAG917557:QAG917559 QKC917557:QKC917559 QTY917557:QTY917559 RDU917557:RDU917559 RNQ917557:RNQ917559 RXM917557:RXM917559 SHI917557:SHI917559 SRE917557:SRE917559 TBA917557:TBA917559 TKW917557:TKW917559 TUS917557:TUS917559 UEO917557:UEO917559 UOK917557:UOK917559 UYG917557:UYG917559 VIC917557:VIC917559 VRY917557:VRY917559 WBU917557:WBU917559 WLQ917557:WLQ917559 WVM917557:WVM917559 E983093:E983095 JA983093:JA983095 SW983093:SW983095 ACS983093:ACS983095 AMO983093:AMO983095 AWK983093:AWK983095 BGG983093:BGG983095 BQC983093:BQC983095 BZY983093:BZY983095 CJU983093:CJU983095 CTQ983093:CTQ983095 DDM983093:DDM983095 DNI983093:DNI983095 DXE983093:DXE983095 EHA983093:EHA983095 EQW983093:EQW983095 FAS983093:FAS983095 FKO983093:FKO983095 FUK983093:FUK983095 GEG983093:GEG983095 GOC983093:GOC983095 GXY983093:GXY983095 HHU983093:HHU983095 HRQ983093:HRQ983095 IBM983093:IBM983095 ILI983093:ILI983095 IVE983093:IVE983095 JFA983093:JFA983095 JOW983093:JOW983095 JYS983093:JYS983095 KIO983093:KIO983095 KSK983093:KSK983095 LCG983093:LCG983095 LMC983093:LMC983095 LVY983093:LVY983095 MFU983093:MFU983095 MPQ983093:MPQ983095 MZM983093:MZM983095 NJI983093:NJI983095 NTE983093:NTE983095 ODA983093:ODA983095 OMW983093:OMW983095 OWS983093:OWS983095 PGO983093:PGO983095 PQK983093:PQK983095 QAG983093:QAG983095 QKC983093:QKC983095 QTY983093:QTY983095 RDU983093:RDU983095 RNQ983093:RNQ983095 RXM983093:RXM983095 SHI983093:SHI983095 SRE983093:SRE983095 TBA983093:TBA983095 TKW983093:TKW983095 TUS983093:TUS983095 UEO983093:UEO983095 UOK983093:UOK983095 UYG983093:UYG983095 VIC983093:VIC983095 VRY983093:VRY983095 WBU983093:WBU983095 WLQ983093:WLQ983095 WVM983093:WVM983095" xr:uid="{ED9A796C-6B0B-4748-8DA2-CDD5D111235C}">
      <formula1>"CAR,Innovation,PPM,None"</formula1>
    </dataValidation>
    <dataValidation type="list" allowBlank="1" showInputMessage="1" showErrorMessage="1" sqref="C32:C48 IY32:IY48 SU32:SU48 ACQ32:ACQ48 AMM32:AMM48 AWI32:AWI48 BGE32:BGE48 BQA32:BQA48 BZW32:BZW48 CJS32:CJS48 CTO32:CTO48 DDK32:DDK48 DNG32:DNG48 DXC32:DXC48 EGY32:EGY48 EQU32:EQU48 FAQ32:FAQ48 FKM32:FKM48 FUI32:FUI48 GEE32:GEE48 GOA32:GOA48 GXW32:GXW48 HHS32:HHS48 HRO32:HRO48 IBK32:IBK48 ILG32:ILG48 IVC32:IVC48 JEY32:JEY48 JOU32:JOU48 JYQ32:JYQ48 KIM32:KIM48 KSI32:KSI48 LCE32:LCE48 LMA32:LMA48 LVW32:LVW48 MFS32:MFS48 MPO32:MPO48 MZK32:MZK48 NJG32:NJG48 NTC32:NTC48 OCY32:OCY48 OMU32:OMU48 OWQ32:OWQ48 PGM32:PGM48 PQI32:PQI48 QAE32:QAE48 QKA32:QKA48 QTW32:QTW48 RDS32:RDS48 RNO32:RNO48 RXK32:RXK48 SHG32:SHG48 SRC32:SRC48 TAY32:TAY48 TKU32:TKU48 TUQ32:TUQ48 UEM32:UEM48 UOI32:UOI48 UYE32:UYE48 VIA32:VIA48 VRW32:VRW48 WBS32:WBS48 WLO32:WLO48 WVK32:WVK48 C65568:C65584 IY65568:IY65584 SU65568:SU65584 ACQ65568:ACQ65584 AMM65568:AMM65584 AWI65568:AWI65584 BGE65568:BGE65584 BQA65568:BQA65584 BZW65568:BZW65584 CJS65568:CJS65584 CTO65568:CTO65584 DDK65568:DDK65584 DNG65568:DNG65584 DXC65568:DXC65584 EGY65568:EGY65584 EQU65568:EQU65584 FAQ65568:FAQ65584 FKM65568:FKM65584 FUI65568:FUI65584 GEE65568:GEE65584 GOA65568:GOA65584 GXW65568:GXW65584 HHS65568:HHS65584 HRO65568:HRO65584 IBK65568:IBK65584 ILG65568:ILG65584 IVC65568:IVC65584 JEY65568:JEY65584 JOU65568:JOU65584 JYQ65568:JYQ65584 KIM65568:KIM65584 KSI65568:KSI65584 LCE65568:LCE65584 LMA65568:LMA65584 LVW65568:LVW65584 MFS65568:MFS65584 MPO65568:MPO65584 MZK65568:MZK65584 NJG65568:NJG65584 NTC65568:NTC65584 OCY65568:OCY65584 OMU65568:OMU65584 OWQ65568:OWQ65584 PGM65568:PGM65584 PQI65568:PQI65584 QAE65568:QAE65584 QKA65568:QKA65584 QTW65568:QTW65584 RDS65568:RDS65584 RNO65568:RNO65584 RXK65568:RXK65584 SHG65568:SHG65584 SRC65568:SRC65584 TAY65568:TAY65584 TKU65568:TKU65584 TUQ65568:TUQ65584 UEM65568:UEM65584 UOI65568:UOI65584 UYE65568:UYE65584 VIA65568:VIA65584 VRW65568:VRW65584 WBS65568:WBS65584 WLO65568:WLO65584 WVK65568:WVK65584 C131104:C131120 IY131104:IY131120 SU131104:SU131120 ACQ131104:ACQ131120 AMM131104:AMM131120 AWI131104:AWI131120 BGE131104:BGE131120 BQA131104:BQA131120 BZW131104:BZW131120 CJS131104:CJS131120 CTO131104:CTO131120 DDK131104:DDK131120 DNG131104:DNG131120 DXC131104:DXC131120 EGY131104:EGY131120 EQU131104:EQU131120 FAQ131104:FAQ131120 FKM131104:FKM131120 FUI131104:FUI131120 GEE131104:GEE131120 GOA131104:GOA131120 GXW131104:GXW131120 HHS131104:HHS131120 HRO131104:HRO131120 IBK131104:IBK131120 ILG131104:ILG131120 IVC131104:IVC131120 JEY131104:JEY131120 JOU131104:JOU131120 JYQ131104:JYQ131120 KIM131104:KIM131120 KSI131104:KSI131120 LCE131104:LCE131120 LMA131104:LMA131120 LVW131104:LVW131120 MFS131104:MFS131120 MPO131104:MPO131120 MZK131104:MZK131120 NJG131104:NJG131120 NTC131104:NTC131120 OCY131104:OCY131120 OMU131104:OMU131120 OWQ131104:OWQ131120 PGM131104:PGM131120 PQI131104:PQI131120 QAE131104:QAE131120 QKA131104:QKA131120 QTW131104:QTW131120 RDS131104:RDS131120 RNO131104:RNO131120 RXK131104:RXK131120 SHG131104:SHG131120 SRC131104:SRC131120 TAY131104:TAY131120 TKU131104:TKU131120 TUQ131104:TUQ131120 UEM131104:UEM131120 UOI131104:UOI131120 UYE131104:UYE131120 VIA131104:VIA131120 VRW131104:VRW131120 WBS131104:WBS131120 WLO131104:WLO131120 WVK131104:WVK131120 C196640:C196656 IY196640:IY196656 SU196640:SU196656 ACQ196640:ACQ196656 AMM196640:AMM196656 AWI196640:AWI196656 BGE196640:BGE196656 BQA196640:BQA196656 BZW196640:BZW196656 CJS196640:CJS196656 CTO196640:CTO196656 DDK196640:DDK196656 DNG196640:DNG196656 DXC196640:DXC196656 EGY196640:EGY196656 EQU196640:EQU196656 FAQ196640:FAQ196656 FKM196640:FKM196656 FUI196640:FUI196656 GEE196640:GEE196656 GOA196640:GOA196656 GXW196640:GXW196656 HHS196640:HHS196656 HRO196640:HRO196656 IBK196640:IBK196656 ILG196640:ILG196656 IVC196640:IVC196656 JEY196640:JEY196656 JOU196640:JOU196656 JYQ196640:JYQ196656 KIM196640:KIM196656 KSI196640:KSI196656 LCE196640:LCE196656 LMA196640:LMA196656 LVW196640:LVW196656 MFS196640:MFS196656 MPO196640:MPO196656 MZK196640:MZK196656 NJG196640:NJG196656 NTC196640:NTC196656 OCY196640:OCY196656 OMU196640:OMU196656 OWQ196640:OWQ196656 PGM196640:PGM196656 PQI196640:PQI196656 QAE196640:QAE196656 QKA196640:QKA196656 QTW196640:QTW196656 RDS196640:RDS196656 RNO196640:RNO196656 RXK196640:RXK196656 SHG196640:SHG196656 SRC196640:SRC196656 TAY196640:TAY196656 TKU196640:TKU196656 TUQ196640:TUQ196656 UEM196640:UEM196656 UOI196640:UOI196656 UYE196640:UYE196656 VIA196640:VIA196656 VRW196640:VRW196656 WBS196640:WBS196656 WLO196640:WLO196656 WVK196640:WVK196656 C262176:C262192 IY262176:IY262192 SU262176:SU262192 ACQ262176:ACQ262192 AMM262176:AMM262192 AWI262176:AWI262192 BGE262176:BGE262192 BQA262176:BQA262192 BZW262176:BZW262192 CJS262176:CJS262192 CTO262176:CTO262192 DDK262176:DDK262192 DNG262176:DNG262192 DXC262176:DXC262192 EGY262176:EGY262192 EQU262176:EQU262192 FAQ262176:FAQ262192 FKM262176:FKM262192 FUI262176:FUI262192 GEE262176:GEE262192 GOA262176:GOA262192 GXW262176:GXW262192 HHS262176:HHS262192 HRO262176:HRO262192 IBK262176:IBK262192 ILG262176:ILG262192 IVC262176:IVC262192 JEY262176:JEY262192 JOU262176:JOU262192 JYQ262176:JYQ262192 KIM262176:KIM262192 KSI262176:KSI262192 LCE262176:LCE262192 LMA262176:LMA262192 LVW262176:LVW262192 MFS262176:MFS262192 MPO262176:MPO262192 MZK262176:MZK262192 NJG262176:NJG262192 NTC262176:NTC262192 OCY262176:OCY262192 OMU262176:OMU262192 OWQ262176:OWQ262192 PGM262176:PGM262192 PQI262176:PQI262192 QAE262176:QAE262192 QKA262176:QKA262192 QTW262176:QTW262192 RDS262176:RDS262192 RNO262176:RNO262192 RXK262176:RXK262192 SHG262176:SHG262192 SRC262176:SRC262192 TAY262176:TAY262192 TKU262176:TKU262192 TUQ262176:TUQ262192 UEM262176:UEM262192 UOI262176:UOI262192 UYE262176:UYE262192 VIA262176:VIA262192 VRW262176:VRW262192 WBS262176:WBS262192 WLO262176:WLO262192 WVK262176:WVK262192 C327712:C327728 IY327712:IY327728 SU327712:SU327728 ACQ327712:ACQ327728 AMM327712:AMM327728 AWI327712:AWI327728 BGE327712:BGE327728 BQA327712:BQA327728 BZW327712:BZW327728 CJS327712:CJS327728 CTO327712:CTO327728 DDK327712:DDK327728 DNG327712:DNG327728 DXC327712:DXC327728 EGY327712:EGY327728 EQU327712:EQU327728 FAQ327712:FAQ327728 FKM327712:FKM327728 FUI327712:FUI327728 GEE327712:GEE327728 GOA327712:GOA327728 GXW327712:GXW327728 HHS327712:HHS327728 HRO327712:HRO327728 IBK327712:IBK327728 ILG327712:ILG327728 IVC327712:IVC327728 JEY327712:JEY327728 JOU327712:JOU327728 JYQ327712:JYQ327728 KIM327712:KIM327728 KSI327712:KSI327728 LCE327712:LCE327728 LMA327712:LMA327728 LVW327712:LVW327728 MFS327712:MFS327728 MPO327712:MPO327728 MZK327712:MZK327728 NJG327712:NJG327728 NTC327712:NTC327728 OCY327712:OCY327728 OMU327712:OMU327728 OWQ327712:OWQ327728 PGM327712:PGM327728 PQI327712:PQI327728 QAE327712:QAE327728 QKA327712:QKA327728 QTW327712:QTW327728 RDS327712:RDS327728 RNO327712:RNO327728 RXK327712:RXK327728 SHG327712:SHG327728 SRC327712:SRC327728 TAY327712:TAY327728 TKU327712:TKU327728 TUQ327712:TUQ327728 UEM327712:UEM327728 UOI327712:UOI327728 UYE327712:UYE327728 VIA327712:VIA327728 VRW327712:VRW327728 WBS327712:WBS327728 WLO327712:WLO327728 WVK327712:WVK327728 C393248:C393264 IY393248:IY393264 SU393248:SU393264 ACQ393248:ACQ393264 AMM393248:AMM393264 AWI393248:AWI393264 BGE393248:BGE393264 BQA393248:BQA393264 BZW393248:BZW393264 CJS393248:CJS393264 CTO393248:CTO393264 DDK393248:DDK393264 DNG393248:DNG393264 DXC393248:DXC393264 EGY393248:EGY393264 EQU393248:EQU393264 FAQ393248:FAQ393264 FKM393248:FKM393264 FUI393248:FUI393264 GEE393248:GEE393264 GOA393248:GOA393264 GXW393248:GXW393264 HHS393248:HHS393264 HRO393248:HRO393264 IBK393248:IBK393264 ILG393248:ILG393264 IVC393248:IVC393264 JEY393248:JEY393264 JOU393248:JOU393264 JYQ393248:JYQ393264 KIM393248:KIM393264 KSI393248:KSI393264 LCE393248:LCE393264 LMA393248:LMA393264 LVW393248:LVW393264 MFS393248:MFS393264 MPO393248:MPO393264 MZK393248:MZK393264 NJG393248:NJG393264 NTC393248:NTC393264 OCY393248:OCY393264 OMU393248:OMU393264 OWQ393248:OWQ393264 PGM393248:PGM393264 PQI393248:PQI393264 QAE393248:QAE393264 QKA393248:QKA393264 QTW393248:QTW393264 RDS393248:RDS393264 RNO393248:RNO393264 RXK393248:RXK393264 SHG393248:SHG393264 SRC393248:SRC393264 TAY393248:TAY393264 TKU393248:TKU393264 TUQ393248:TUQ393264 UEM393248:UEM393264 UOI393248:UOI393264 UYE393248:UYE393264 VIA393248:VIA393264 VRW393248:VRW393264 WBS393248:WBS393264 WLO393248:WLO393264 WVK393248:WVK393264 C458784:C458800 IY458784:IY458800 SU458784:SU458800 ACQ458784:ACQ458800 AMM458784:AMM458800 AWI458784:AWI458800 BGE458784:BGE458800 BQA458784:BQA458800 BZW458784:BZW458800 CJS458784:CJS458800 CTO458784:CTO458800 DDK458784:DDK458800 DNG458784:DNG458800 DXC458784:DXC458800 EGY458784:EGY458800 EQU458784:EQU458800 FAQ458784:FAQ458800 FKM458784:FKM458800 FUI458784:FUI458800 GEE458784:GEE458800 GOA458784:GOA458800 GXW458784:GXW458800 HHS458784:HHS458800 HRO458784:HRO458800 IBK458784:IBK458800 ILG458784:ILG458800 IVC458784:IVC458800 JEY458784:JEY458800 JOU458784:JOU458800 JYQ458784:JYQ458800 KIM458784:KIM458800 KSI458784:KSI458800 LCE458784:LCE458800 LMA458784:LMA458800 LVW458784:LVW458800 MFS458784:MFS458800 MPO458784:MPO458800 MZK458784:MZK458800 NJG458784:NJG458800 NTC458784:NTC458800 OCY458784:OCY458800 OMU458784:OMU458800 OWQ458784:OWQ458800 PGM458784:PGM458800 PQI458784:PQI458800 QAE458784:QAE458800 QKA458784:QKA458800 QTW458784:QTW458800 RDS458784:RDS458800 RNO458784:RNO458800 RXK458784:RXK458800 SHG458784:SHG458800 SRC458784:SRC458800 TAY458784:TAY458800 TKU458784:TKU458800 TUQ458784:TUQ458800 UEM458784:UEM458800 UOI458784:UOI458800 UYE458784:UYE458800 VIA458784:VIA458800 VRW458784:VRW458800 WBS458784:WBS458800 WLO458784:WLO458800 WVK458784:WVK458800 C524320:C524336 IY524320:IY524336 SU524320:SU524336 ACQ524320:ACQ524336 AMM524320:AMM524336 AWI524320:AWI524336 BGE524320:BGE524336 BQA524320:BQA524336 BZW524320:BZW524336 CJS524320:CJS524336 CTO524320:CTO524336 DDK524320:DDK524336 DNG524320:DNG524336 DXC524320:DXC524336 EGY524320:EGY524336 EQU524320:EQU524336 FAQ524320:FAQ524336 FKM524320:FKM524336 FUI524320:FUI524336 GEE524320:GEE524336 GOA524320:GOA524336 GXW524320:GXW524336 HHS524320:HHS524336 HRO524320:HRO524336 IBK524320:IBK524336 ILG524320:ILG524336 IVC524320:IVC524336 JEY524320:JEY524336 JOU524320:JOU524336 JYQ524320:JYQ524336 KIM524320:KIM524336 KSI524320:KSI524336 LCE524320:LCE524336 LMA524320:LMA524336 LVW524320:LVW524336 MFS524320:MFS524336 MPO524320:MPO524336 MZK524320:MZK524336 NJG524320:NJG524336 NTC524320:NTC524336 OCY524320:OCY524336 OMU524320:OMU524336 OWQ524320:OWQ524336 PGM524320:PGM524336 PQI524320:PQI524336 QAE524320:QAE524336 QKA524320:QKA524336 QTW524320:QTW524336 RDS524320:RDS524336 RNO524320:RNO524336 RXK524320:RXK524336 SHG524320:SHG524336 SRC524320:SRC524336 TAY524320:TAY524336 TKU524320:TKU524336 TUQ524320:TUQ524336 UEM524320:UEM524336 UOI524320:UOI524336 UYE524320:UYE524336 VIA524320:VIA524336 VRW524320:VRW524336 WBS524320:WBS524336 WLO524320:WLO524336 WVK524320:WVK524336 C589856:C589872 IY589856:IY589872 SU589856:SU589872 ACQ589856:ACQ589872 AMM589856:AMM589872 AWI589856:AWI589872 BGE589856:BGE589872 BQA589856:BQA589872 BZW589856:BZW589872 CJS589856:CJS589872 CTO589856:CTO589872 DDK589856:DDK589872 DNG589856:DNG589872 DXC589856:DXC589872 EGY589856:EGY589872 EQU589856:EQU589872 FAQ589856:FAQ589872 FKM589856:FKM589872 FUI589856:FUI589872 GEE589856:GEE589872 GOA589856:GOA589872 GXW589856:GXW589872 HHS589856:HHS589872 HRO589856:HRO589872 IBK589856:IBK589872 ILG589856:ILG589872 IVC589856:IVC589872 JEY589856:JEY589872 JOU589856:JOU589872 JYQ589856:JYQ589872 KIM589856:KIM589872 KSI589856:KSI589872 LCE589856:LCE589872 LMA589856:LMA589872 LVW589856:LVW589872 MFS589856:MFS589872 MPO589856:MPO589872 MZK589856:MZK589872 NJG589856:NJG589872 NTC589856:NTC589872 OCY589856:OCY589872 OMU589856:OMU589872 OWQ589856:OWQ589872 PGM589856:PGM589872 PQI589856:PQI589872 QAE589856:QAE589872 QKA589856:QKA589872 QTW589856:QTW589872 RDS589856:RDS589872 RNO589856:RNO589872 RXK589856:RXK589872 SHG589856:SHG589872 SRC589856:SRC589872 TAY589856:TAY589872 TKU589856:TKU589872 TUQ589856:TUQ589872 UEM589856:UEM589872 UOI589856:UOI589872 UYE589856:UYE589872 VIA589856:VIA589872 VRW589856:VRW589872 WBS589856:WBS589872 WLO589856:WLO589872 WVK589856:WVK589872 C655392:C655408 IY655392:IY655408 SU655392:SU655408 ACQ655392:ACQ655408 AMM655392:AMM655408 AWI655392:AWI655408 BGE655392:BGE655408 BQA655392:BQA655408 BZW655392:BZW655408 CJS655392:CJS655408 CTO655392:CTO655408 DDK655392:DDK655408 DNG655392:DNG655408 DXC655392:DXC655408 EGY655392:EGY655408 EQU655392:EQU655408 FAQ655392:FAQ655408 FKM655392:FKM655408 FUI655392:FUI655408 GEE655392:GEE655408 GOA655392:GOA655408 GXW655392:GXW655408 HHS655392:HHS655408 HRO655392:HRO655408 IBK655392:IBK655408 ILG655392:ILG655408 IVC655392:IVC655408 JEY655392:JEY655408 JOU655392:JOU655408 JYQ655392:JYQ655408 KIM655392:KIM655408 KSI655392:KSI655408 LCE655392:LCE655408 LMA655392:LMA655408 LVW655392:LVW655408 MFS655392:MFS655408 MPO655392:MPO655408 MZK655392:MZK655408 NJG655392:NJG655408 NTC655392:NTC655408 OCY655392:OCY655408 OMU655392:OMU655408 OWQ655392:OWQ655408 PGM655392:PGM655408 PQI655392:PQI655408 QAE655392:QAE655408 QKA655392:QKA655408 QTW655392:QTW655408 RDS655392:RDS655408 RNO655392:RNO655408 RXK655392:RXK655408 SHG655392:SHG655408 SRC655392:SRC655408 TAY655392:TAY655408 TKU655392:TKU655408 TUQ655392:TUQ655408 UEM655392:UEM655408 UOI655392:UOI655408 UYE655392:UYE655408 VIA655392:VIA655408 VRW655392:VRW655408 WBS655392:WBS655408 WLO655392:WLO655408 WVK655392:WVK655408 C720928:C720944 IY720928:IY720944 SU720928:SU720944 ACQ720928:ACQ720944 AMM720928:AMM720944 AWI720928:AWI720944 BGE720928:BGE720944 BQA720928:BQA720944 BZW720928:BZW720944 CJS720928:CJS720944 CTO720928:CTO720944 DDK720928:DDK720944 DNG720928:DNG720944 DXC720928:DXC720944 EGY720928:EGY720944 EQU720928:EQU720944 FAQ720928:FAQ720944 FKM720928:FKM720944 FUI720928:FUI720944 GEE720928:GEE720944 GOA720928:GOA720944 GXW720928:GXW720944 HHS720928:HHS720944 HRO720928:HRO720944 IBK720928:IBK720944 ILG720928:ILG720944 IVC720928:IVC720944 JEY720928:JEY720944 JOU720928:JOU720944 JYQ720928:JYQ720944 KIM720928:KIM720944 KSI720928:KSI720944 LCE720928:LCE720944 LMA720928:LMA720944 LVW720928:LVW720944 MFS720928:MFS720944 MPO720928:MPO720944 MZK720928:MZK720944 NJG720928:NJG720944 NTC720928:NTC720944 OCY720928:OCY720944 OMU720928:OMU720944 OWQ720928:OWQ720944 PGM720928:PGM720944 PQI720928:PQI720944 QAE720928:QAE720944 QKA720928:QKA720944 QTW720928:QTW720944 RDS720928:RDS720944 RNO720928:RNO720944 RXK720928:RXK720944 SHG720928:SHG720944 SRC720928:SRC720944 TAY720928:TAY720944 TKU720928:TKU720944 TUQ720928:TUQ720944 UEM720928:UEM720944 UOI720928:UOI720944 UYE720928:UYE720944 VIA720928:VIA720944 VRW720928:VRW720944 WBS720928:WBS720944 WLO720928:WLO720944 WVK720928:WVK720944 C786464:C786480 IY786464:IY786480 SU786464:SU786480 ACQ786464:ACQ786480 AMM786464:AMM786480 AWI786464:AWI786480 BGE786464:BGE786480 BQA786464:BQA786480 BZW786464:BZW786480 CJS786464:CJS786480 CTO786464:CTO786480 DDK786464:DDK786480 DNG786464:DNG786480 DXC786464:DXC786480 EGY786464:EGY786480 EQU786464:EQU786480 FAQ786464:FAQ786480 FKM786464:FKM786480 FUI786464:FUI786480 GEE786464:GEE786480 GOA786464:GOA786480 GXW786464:GXW786480 HHS786464:HHS786480 HRO786464:HRO786480 IBK786464:IBK786480 ILG786464:ILG786480 IVC786464:IVC786480 JEY786464:JEY786480 JOU786464:JOU786480 JYQ786464:JYQ786480 KIM786464:KIM786480 KSI786464:KSI786480 LCE786464:LCE786480 LMA786464:LMA786480 LVW786464:LVW786480 MFS786464:MFS786480 MPO786464:MPO786480 MZK786464:MZK786480 NJG786464:NJG786480 NTC786464:NTC786480 OCY786464:OCY786480 OMU786464:OMU786480 OWQ786464:OWQ786480 PGM786464:PGM786480 PQI786464:PQI786480 QAE786464:QAE786480 QKA786464:QKA786480 QTW786464:QTW786480 RDS786464:RDS786480 RNO786464:RNO786480 RXK786464:RXK786480 SHG786464:SHG786480 SRC786464:SRC786480 TAY786464:TAY786480 TKU786464:TKU786480 TUQ786464:TUQ786480 UEM786464:UEM786480 UOI786464:UOI786480 UYE786464:UYE786480 VIA786464:VIA786480 VRW786464:VRW786480 WBS786464:WBS786480 WLO786464:WLO786480 WVK786464:WVK786480 C852000:C852016 IY852000:IY852016 SU852000:SU852016 ACQ852000:ACQ852016 AMM852000:AMM852016 AWI852000:AWI852016 BGE852000:BGE852016 BQA852000:BQA852016 BZW852000:BZW852016 CJS852000:CJS852016 CTO852000:CTO852016 DDK852000:DDK852016 DNG852000:DNG852016 DXC852000:DXC852016 EGY852000:EGY852016 EQU852000:EQU852016 FAQ852000:FAQ852016 FKM852000:FKM852016 FUI852000:FUI852016 GEE852000:GEE852016 GOA852000:GOA852016 GXW852000:GXW852016 HHS852000:HHS852016 HRO852000:HRO852016 IBK852000:IBK852016 ILG852000:ILG852016 IVC852000:IVC852016 JEY852000:JEY852016 JOU852000:JOU852016 JYQ852000:JYQ852016 KIM852000:KIM852016 KSI852000:KSI852016 LCE852000:LCE852016 LMA852000:LMA852016 LVW852000:LVW852016 MFS852000:MFS852016 MPO852000:MPO852016 MZK852000:MZK852016 NJG852000:NJG852016 NTC852000:NTC852016 OCY852000:OCY852016 OMU852000:OMU852016 OWQ852000:OWQ852016 PGM852000:PGM852016 PQI852000:PQI852016 QAE852000:QAE852016 QKA852000:QKA852016 QTW852000:QTW852016 RDS852000:RDS852016 RNO852000:RNO852016 RXK852000:RXK852016 SHG852000:SHG852016 SRC852000:SRC852016 TAY852000:TAY852016 TKU852000:TKU852016 TUQ852000:TUQ852016 UEM852000:UEM852016 UOI852000:UOI852016 UYE852000:UYE852016 VIA852000:VIA852016 VRW852000:VRW852016 WBS852000:WBS852016 WLO852000:WLO852016 WVK852000:WVK852016 C917536:C917552 IY917536:IY917552 SU917536:SU917552 ACQ917536:ACQ917552 AMM917536:AMM917552 AWI917536:AWI917552 BGE917536:BGE917552 BQA917536:BQA917552 BZW917536:BZW917552 CJS917536:CJS917552 CTO917536:CTO917552 DDK917536:DDK917552 DNG917536:DNG917552 DXC917536:DXC917552 EGY917536:EGY917552 EQU917536:EQU917552 FAQ917536:FAQ917552 FKM917536:FKM917552 FUI917536:FUI917552 GEE917536:GEE917552 GOA917536:GOA917552 GXW917536:GXW917552 HHS917536:HHS917552 HRO917536:HRO917552 IBK917536:IBK917552 ILG917536:ILG917552 IVC917536:IVC917552 JEY917536:JEY917552 JOU917536:JOU917552 JYQ917536:JYQ917552 KIM917536:KIM917552 KSI917536:KSI917552 LCE917536:LCE917552 LMA917536:LMA917552 LVW917536:LVW917552 MFS917536:MFS917552 MPO917536:MPO917552 MZK917536:MZK917552 NJG917536:NJG917552 NTC917536:NTC917552 OCY917536:OCY917552 OMU917536:OMU917552 OWQ917536:OWQ917552 PGM917536:PGM917552 PQI917536:PQI917552 QAE917536:QAE917552 QKA917536:QKA917552 QTW917536:QTW917552 RDS917536:RDS917552 RNO917536:RNO917552 RXK917536:RXK917552 SHG917536:SHG917552 SRC917536:SRC917552 TAY917536:TAY917552 TKU917536:TKU917552 TUQ917536:TUQ917552 UEM917536:UEM917552 UOI917536:UOI917552 UYE917536:UYE917552 VIA917536:VIA917552 VRW917536:VRW917552 WBS917536:WBS917552 WLO917536:WLO917552 WVK917536:WVK917552 C983072:C983088 IY983072:IY983088 SU983072:SU983088 ACQ983072:ACQ983088 AMM983072:AMM983088 AWI983072:AWI983088 BGE983072:BGE983088 BQA983072:BQA983088 BZW983072:BZW983088 CJS983072:CJS983088 CTO983072:CTO983088 DDK983072:DDK983088 DNG983072:DNG983088 DXC983072:DXC983088 EGY983072:EGY983088 EQU983072:EQU983088 FAQ983072:FAQ983088 FKM983072:FKM983088 FUI983072:FUI983088 GEE983072:GEE983088 GOA983072:GOA983088 GXW983072:GXW983088 HHS983072:HHS983088 HRO983072:HRO983088 IBK983072:IBK983088 ILG983072:ILG983088 IVC983072:IVC983088 JEY983072:JEY983088 JOU983072:JOU983088 JYQ983072:JYQ983088 KIM983072:KIM983088 KSI983072:KSI983088 LCE983072:LCE983088 LMA983072:LMA983088 LVW983072:LVW983088 MFS983072:MFS983088 MPO983072:MPO983088 MZK983072:MZK983088 NJG983072:NJG983088 NTC983072:NTC983088 OCY983072:OCY983088 OMU983072:OMU983088 OWQ983072:OWQ983088 PGM983072:PGM983088 PQI983072:PQI983088 QAE983072:QAE983088 QKA983072:QKA983088 QTW983072:QTW983088 RDS983072:RDS983088 RNO983072:RNO983088 RXK983072:RXK983088 SHG983072:SHG983088 SRC983072:SRC983088 TAY983072:TAY983088 TKU983072:TKU983088 TUQ983072:TUQ983088 UEM983072:UEM983088 UOI983072:UOI983088 UYE983072:UYE983088 VIA983072:VIA983088 VRW983072:VRW983088 WBS983072:WBS983088 WLO983072:WLO983088 WVK983072:WVK983088 F32:F48 JB32:JB48 SX32:SX48 ACT32:ACT48 AMP32:AMP48 AWL32:AWL48 BGH32:BGH48 BQD32:BQD48 BZZ32:BZZ48 CJV32:CJV48 CTR32:CTR48 DDN32:DDN48 DNJ32:DNJ48 DXF32:DXF48 EHB32:EHB48 EQX32:EQX48 FAT32:FAT48 FKP32:FKP48 FUL32:FUL48 GEH32:GEH48 GOD32:GOD48 GXZ32:GXZ48 HHV32:HHV48 HRR32:HRR48 IBN32:IBN48 ILJ32:ILJ48 IVF32:IVF48 JFB32:JFB48 JOX32:JOX48 JYT32:JYT48 KIP32:KIP48 KSL32:KSL48 LCH32:LCH48 LMD32:LMD48 LVZ32:LVZ48 MFV32:MFV48 MPR32:MPR48 MZN32:MZN48 NJJ32:NJJ48 NTF32:NTF48 ODB32:ODB48 OMX32:OMX48 OWT32:OWT48 PGP32:PGP48 PQL32:PQL48 QAH32:QAH48 QKD32:QKD48 QTZ32:QTZ48 RDV32:RDV48 RNR32:RNR48 RXN32:RXN48 SHJ32:SHJ48 SRF32:SRF48 TBB32:TBB48 TKX32:TKX48 TUT32:TUT48 UEP32:UEP48 UOL32:UOL48 UYH32:UYH48 VID32:VID48 VRZ32:VRZ48 WBV32:WBV48 WLR32:WLR48 WVN32:WVN48 F65568:F65584 JB65568:JB65584 SX65568:SX65584 ACT65568:ACT65584 AMP65568:AMP65584 AWL65568:AWL65584 BGH65568:BGH65584 BQD65568:BQD65584 BZZ65568:BZZ65584 CJV65568:CJV65584 CTR65568:CTR65584 DDN65568:DDN65584 DNJ65568:DNJ65584 DXF65568:DXF65584 EHB65568:EHB65584 EQX65568:EQX65584 FAT65568:FAT65584 FKP65568:FKP65584 FUL65568:FUL65584 GEH65568:GEH65584 GOD65568:GOD65584 GXZ65568:GXZ65584 HHV65568:HHV65584 HRR65568:HRR65584 IBN65568:IBN65584 ILJ65568:ILJ65584 IVF65568:IVF65584 JFB65568:JFB65584 JOX65568:JOX65584 JYT65568:JYT65584 KIP65568:KIP65584 KSL65568:KSL65584 LCH65568:LCH65584 LMD65568:LMD65584 LVZ65568:LVZ65584 MFV65568:MFV65584 MPR65568:MPR65584 MZN65568:MZN65584 NJJ65568:NJJ65584 NTF65568:NTF65584 ODB65568:ODB65584 OMX65568:OMX65584 OWT65568:OWT65584 PGP65568:PGP65584 PQL65568:PQL65584 QAH65568:QAH65584 QKD65568:QKD65584 QTZ65568:QTZ65584 RDV65568:RDV65584 RNR65568:RNR65584 RXN65568:RXN65584 SHJ65568:SHJ65584 SRF65568:SRF65584 TBB65568:TBB65584 TKX65568:TKX65584 TUT65568:TUT65584 UEP65568:UEP65584 UOL65568:UOL65584 UYH65568:UYH65584 VID65568:VID65584 VRZ65568:VRZ65584 WBV65568:WBV65584 WLR65568:WLR65584 WVN65568:WVN65584 F131104:F131120 JB131104:JB131120 SX131104:SX131120 ACT131104:ACT131120 AMP131104:AMP131120 AWL131104:AWL131120 BGH131104:BGH131120 BQD131104:BQD131120 BZZ131104:BZZ131120 CJV131104:CJV131120 CTR131104:CTR131120 DDN131104:DDN131120 DNJ131104:DNJ131120 DXF131104:DXF131120 EHB131104:EHB131120 EQX131104:EQX131120 FAT131104:FAT131120 FKP131104:FKP131120 FUL131104:FUL131120 GEH131104:GEH131120 GOD131104:GOD131120 GXZ131104:GXZ131120 HHV131104:HHV131120 HRR131104:HRR131120 IBN131104:IBN131120 ILJ131104:ILJ131120 IVF131104:IVF131120 JFB131104:JFB131120 JOX131104:JOX131120 JYT131104:JYT131120 KIP131104:KIP131120 KSL131104:KSL131120 LCH131104:LCH131120 LMD131104:LMD131120 LVZ131104:LVZ131120 MFV131104:MFV131120 MPR131104:MPR131120 MZN131104:MZN131120 NJJ131104:NJJ131120 NTF131104:NTF131120 ODB131104:ODB131120 OMX131104:OMX131120 OWT131104:OWT131120 PGP131104:PGP131120 PQL131104:PQL131120 QAH131104:QAH131120 QKD131104:QKD131120 QTZ131104:QTZ131120 RDV131104:RDV131120 RNR131104:RNR131120 RXN131104:RXN131120 SHJ131104:SHJ131120 SRF131104:SRF131120 TBB131104:TBB131120 TKX131104:TKX131120 TUT131104:TUT131120 UEP131104:UEP131120 UOL131104:UOL131120 UYH131104:UYH131120 VID131104:VID131120 VRZ131104:VRZ131120 WBV131104:WBV131120 WLR131104:WLR131120 WVN131104:WVN131120 F196640:F196656 JB196640:JB196656 SX196640:SX196656 ACT196640:ACT196656 AMP196640:AMP196656 AWL196640:AWL196656 BGH196640:BGH196656 BQD196640:BQD196656 BZZ196640:BZZ196656 CJV196640:CJV196656 CTR196640:CTR196656 DDN196640:DDN196656 DNJ196640:DNJ196656 DXF196640:DXF196656 EHB196640:EHB196656 EQX196640:EQX196656 FAT196640:FAT196656 FKP196640:FKP196656 FUL196640:FUL196656 GEH196640:GEH196656 GOD196640:GOD196656 GXZ196640:GXZ196656 HHV196640:HHV196656 HRR196640:HRR196656 IBN196640:IBN196656 ILJ196640:ILJ196656 IVF196640:IVF196656 JFB196640:JFB196656 JOX196640:JOX196656 JYT196640:JYT196656 KIP196640:KIP196656 KSL196640:KSL196656 LCH196640:LCH196656 LMD196640:LMD196656 LVZ196640:LVZ196656 MFV196640:MFV196656 MPR196640:MPR196656 MZN196640:MZN196656 NJJ196640:NJJ196656 NTF196640:NTF196656 ODB196640:ODB196656 OMX196640:OMX196656 OWT196640:OWT196656 PGP196640:PGP196656 PQL196640:PQL196656 QAH196640:QAH196656 QKD196640:QKD196656 QTZ196640:QTZ196656 RDV196640:RDV196656 RNR196640:RNR196656 RXN196640:RXN196656 SHJ196640:SHJ196656 SRF196640:SRF196656 TBB196640:TBB196656 TKX196640:TKX196656 TUT196640:TUT196656 UEP196640:UEP196656 UOL196640:UOL196656 UYH196640:UYH196656 VID196640:VID196656 VRZ196640:VRZ196656 WBV196640:WBV196656 WLR196640:WLR196656 WVN196640:WVN196656 F262176:F262192 JB262176:JB262192 SX262176:SX262192 ACT262176:ACT262192 AMP262176:AMP262192 AWL262176:AWL262192 BGH262176:BGH262192 BQD262176:BQD262192 BZZ262176:BZZ262192 CJV262176:CJV262192 CTR262176:CTR262192 DDN262176:DDN262192 DNJ262176:DNJ262192 DXF262176:DXF262192 EHB262176:EHB262192 EQX262176:EQX262192 FAT262176:FAT262192 FKP262176:FKP262192 FUL262176:FUL262192 GEH262176:GEH262192 GOD262176:GOD262192 GXZ262176:GXZ262192 HHV262176:HHV262192 HRR262176:HRR262192 IBN262176:IBN262192 ILJ262176:ILJ262192 IVF262176:IVF262192 JFB262176:JFB262192 JOX262176:JOX262192 JYT262176:JYT262192 KIP262176:KIP262192 KSL262176:KSL262192 LCH262176:LCH262192 LMD262176:LMD262192 LVZ262176:LVZ262192 MFV262176:MFV262192 MPR262176:MPR262192 MZN262176:MZN262192 NJJ262176:NJJ262192 NTF262176:NTF262192 ODB262176:ODB262192 OMX262176:OMX262192 OWT262176:OWT262192 PGP262176:PGP262192 PQL262176:PQL262192 QAH262176:QAH262192 QKD262176:QKD262192 QTZ262176:QTZ262192 RDV262176:RDV262192 RNR262176:RNR262192 RXN262176:RXN262192 SHJ262176:SHJ262192 SRF262176:SRF262192 TBB262176:TBB262192 TKX262176:TKX262192 TUT262176:TUT262192 UEP262176:UEP262192 UOL262176:UOL262192 UYH262176:UYH262192 VID262176:VID262192 VRZ262176:VRZ262192 WBV262176:WBV262192 WLR262176:WLR262192 WVN262176:WVN262192 F327712:F327728 JB327712:JB327728 SX327712:SX327728 ACT327712:ACT327728 AMP327712:AMP327728 AWL327712:AWL327728 BGH327712:BGH327728 BQD327712:BQD327728 BZZ327712:BZZ327728 CJV327712:CJV327728 CTR327712:CTR327728 DDN327712:DDN327728 DNJ327712:DNJ327728 DXF327712:DXF327728 EHB327712:EHB327728 EQX327712:EQX327728 FAT327712:FAT327728 FKP327712:FKP327728 FUL327712:FUL327728 GEH327712:GEH327728 GOD327712:GOD327728 GXZ327712:GXZ327728 HHV327712:HHV327728 HRR327712:HRR327728 IBN327712:IBN327728 ILJ327712:ILJ327728 IVF327712:IVF327728 JFB327712:JFB327728 JOX327712:JOX327728 JYT327712:JYT327728 KIP327712:KIP327728 KSL327712:KSL327728 LCH327712:LCH327728 LMD327712:LMD327728 LVZ327712:LVZ327728 MFV327712:MFV327728 MPR327712:MPR327728 MZN327712:MZN327728 NJJ327712:NJJ327728 NTF327712:NTF327728 ODB327712:ODB327728 OMX327712:OMX327728 OWT327712:OWT327728 PGP327712:PGP327728 PQL327712:PQL327728 QAH327712:QAH327728 QKD327712:QKD327728 QTZ327712:QTZ327728 RDV327712:RDV327728 RNR327712:RNR327728 RXN327712:RXN327728 SHJ327712:SHJ327728 SRF327712:SRF327728 TBB327712:TBB327728 TKX327712:TKX327728 TUT327712:TUT327728 UEP327712:UEP327728 UOL327712:UOL327728 UYH327712:UYH327728 VID327712:VID327728 VRZ327712:VRZ327728 WBV327712:WBV327728 WLR327712:WLR327728 WVN327712:WVN327728 F393248:F393264 JB393248:JB393264 SX393248:SX393264 ACT393248:ACT393264 AMP393248:AMP393264 AWL393248:AWL393264 BGH393248:BGH393264 BQD393248:BQD393264 BZZ393248:BZZ393264 CJV393248:CJV393264 CTR393248:CTR393264 DDN393248:DDN393264 DNJ393248:DNJ393264 DXF393248:DXF393264 EHB393248:EHB393264 EQX393248:EQX393264 FAT393248:FAT393264 FKP393248:FKP393264 FUL393248:FUL393264 GEH393248:GEH393264 GOD393248:GOD393264 GXZ393248:GXZ393264 HHV393248:HHV393264 HRR393248:HRR393264 IBN393248:IBN393264 ILJ393248:ILJ393264 IVF393248:IVF393264 JFB393248:JFB393264 JOX393248:JOX393264 JYT393248:JYT393264 KIP393248:KIP393264 KSL393248:KSL393264 LCH393248:LCH393264 LMD393248:LMD393264 LVZ393248:LVZ393264 MFV393248:MFV393264 MPR393248:MPR393264 MZN393248:MZN393264 NJJ393248:NJJ393264 NTF393248:NTF393264 ODB393248:ODB393264 OMX393248:OMX393264 OWT393248:OWT393264 PGP393248:PGP393264 PQL393248:PQL393264 QAH393248:QAH393264 QKD393248:QKD393264 QTZ393248:QTZ393264 RDV393248:RDV393264 RNR393248:RNR393264 RXN393248:RXN393264 SHJ393248:SHJ393264 SRF393248:SRF393264 TBB393248:TBB393264 TKX393248:TKX393264 TUT393248:TUT393264 UEP393248:UEP393264 UOL393248:UOL393264 UYH393248:UYH393264 VID393248:VID393264 VRZ393248:VRZ393264 WBV393248:WBV393264 WLR393248:WLR393264 WVN393248:WVN393264 F458784:F458800 JB458784:JB458800 SX458784:SX458800 ACT458784:ACT458800 AMP458784:AMP458800 AWL458784:AWL458800 BGH458784:BGH458800 BQD458784:BQD458800 BZZ458784:BZZ458800 CJV458784:CJV458800 CTR458784:CTR458800 DDN458784:DDN458800 DNJ458784:DNJ458800 DXF458784:DXF458800 EHB458784:EHB458800 EQX458784:EQX458800 FAT458784:FAT458800 FKP458784:FKP458800 FUL458784:FUL458800 GEH458784:GEH458800 GOD458784:GOD458800 GXZ458784:GXZ458800 HHV458784:HHV458800 HRR458784:HRR458800 IBN458784:IBN458800 ILJ458784:ILJ458800 IVF458784:IVF458800 JFB458784:JFB458800 JOX458784:JOX458800 JYT458784:JYT458800 KIP458784:KIP458800 KSL458784:KSL458800 LCH458784:LCH458800 LMD458784:LMD458800 LVZ458784:LVZ458800 MFV458784:MFV458800 MPR458784:MPR458800 MZN458784:MZN458800 NJJ458784:NJJ458800 NTF458784:NTF458800 ODB458784:ODB458800 OMX458784:OMX458800 OWT458784:OWT458800 PGP458784:PGP458800 PQL458784:PQL458800 QAH458784:QAH458800 QKD458784:QKD458800 QTZ458784:QTZ458800 RDV458784:RDV458800 RNR458784:RNR458800 RXN458784:RXN458800 SHJ458784:SHJ458800 SRF458784:SRF458800 TBB458784:TBB458800 TKX458784:TKX458800 TUT458784:TUT458800 UEP458784:UEP458800 UOL458784:UOL458800 UYH458784:UYH458800 VID458784:VID458800 VRZ458784:VRZ458800 WBV458784:WBV458800 WLR458784:WLR458800 WVN458784:WVN458800 F524320:F524336 JB524320:JB524336 SX524320:SX524336 ACT524320:ACT524336 AMP524320:AMP524336 AWL524320:AWL524336 BGH524320:BGH524336 BQD524320:BQD524336 BZZ524320:BZZ524336 CJV524320:CJV524336 CTR524320:CTR524336 DDN524320:DDN524336 DNJ524320:DNJ524336 DXF524320:DXF524336 EHB524320:EHB524336 EQX524320:EQX524336 FAT524320:FAT524336 FKP524320:FKP524336 FUL524320:FUL524336 GEH524320:GEH524336 GOD524320:GOD524336 GXZ524320:GXZ524336 HHV524320:HHV524336 HRR524320:HRR524336 IBN524320:IBN524336 ILJ524320:ILJ524336 IVF524320:IVF524336 JFB524320:JFB524336 JOX524320:JOX524336 JYT524320:JYT524336 KIP524320:KIP524336 KSL524320:KSL524336 LCH524320:LCH524336 LMD524320:LMD524336 LVZ524320:LVZ524336 MFV524320:MFV524336 MPR524320:MPR524336 MZN524320:MZN524336 NJJ524320:NJJ524336 NTF524320:NTF524336 ODB524320:ODB524336 OMX524320:OMX524336 OWT524320:OWT524336 PGP524320:PGP524336 PQL524320:PQL524336 QAH524320:QAH524336 QKD524320:QKD524336 QTZ524320:QTZ524336 RDV524320:RDV524336 RNR524320:RNR524336 RXN524320:RXN524336 SHJ524320:SHJ524336 SRF524320:SRF524336 TBB524320:TBB524336 TKX524320:TKX524336 TUT524320:TUT524336 UEP524320:UEP524336 UOL524320:UOL524336 UYH524320:UYH524336 VID524320:VID524336 VRZ524320:VRZ524336 WBV524320:WBV524336 WLR524320:WLR524336 WVN524320:WVN524336 F589856:F589872 JB589856:JB589872 SX589856:SX589872 ACT589856:ACT589872 AMP589856:AMP589872 AWL589856:AWL589872 BGH589856:BGH589872 BQD589856:BQD589872 BZZ589856:BZZ589872 CJV589856:CJV589872 CTR589856:CTR589872 DDN589856:DDN589872 DNJ589856:DNJ589872 DXF589856:DXF589872 EHB589856:EHB589872 EQX589856:EQX589872 FAT589856:FAT589872 FKP589856:FKP589872 FUL589856:FUL589872 GEH589856:GEH589872 GOD589856:GOD589872 GXZ589856:GXZ589872 HHV589856:HHV589872 HRR589856:HRR589872 IBN589856:IBN589872 ILJ589856:ILJ589872 IVF589856:IVF589872 JFB589856:JFB589872 JOX589856:JOX589872 JYT589856:JYT589872 KIP589856:KIP589872 KSL589856:KSL589872 LCH589856:LCH589872 LMD589856:LMD589872 LVZ589856:LVZ589872 MFV589856:MFV589872 MPR589856:MPR589872 MZN589856:MZN589872 NJJ589856:NJJ589872 NTF589856:NTF589872 ODB589856:ODB589872 OMX589856:OMX589872 OWT589856:OWT589872 PGP589856:PGP589872 PQL589856:PQL589872 QAH589856:QAH589872 QKD589856:QKD589872 QTZ589856:QTZ589872 RDV589856:RDV589872 RNR589856:RNR589872 RXN589856:RXN589872 SHJ589856:SHJ589872 SRF589856:SRF589872 TBB589856:TBB589872 TKX589856:TKX589872 TUT589856:TUT589872 UEP589856:UEP589872 UOL589856:UOL589872 UYH589856:UYH589872 VID589856:VID589872 VRZ589856:VRZ589872 WBV589856:WBV589872 WLR589856:WLR589872 WVN589856:WVN589872 F655392:F655408 JB655392:JB655408 SX655392:SX655408 ACT655392:ACT655408 AMP655392:AMP655408 AWL655392:AWL655408 BGH655392:BGH655408 BQD655392:BQD655408 BZZ655392:BZZ655408 CJV655392:CJV655408 CTR655392:CTR655408 DDN655392:DDN655408 DNJ655392:DNJ655408 DXF655392:DXF655408 EHB655392:EHB655408 EQX655392:EQX655408 FAT655392:FAT655408 FKP655392:FKP655408 FUL655392:FUL655408 GEH655392:GEH655408 GOD655392:GOD655408 GXZ655392:GXZ655408 HHV655392:HHV655408 HRR655392:HRR655408 IBN655392:IBN655408 ILJ655392:ILJ655408 IVF655392:IVF655408 JFB655392:JFB655408 JOX655392:JOX655408 JYT655392:JYT655408 KIP655392:KIP655408 KSL655392:KSL655408 LCH655392:LCH655408 LMD655392:LMD655408 LVZ655392:LVZ655408 MFV655392:MFV655408 MPR655392:MPR655408 MZN655392:MZN655408 NJJ655392:NJJ655408 NTF655392:NTF655408 ODB655392:ODB655408 OMX655392:OMX655408 OWT655392:OWT655408 PGP655392:PGP655408 PQL655392:PQL655408 QAH655392:QAH655408 QKD655392:QKD655408 QTZ655392:QTZ655408 RDV655392:RDV655408 RNR655392:RNR655408 RXN655392:RXN655408 SHJ655392:SHJ655408 SRF655392:SRF655408 TBB655392:TBB655408 TKX655392:TKX655408 TUT655392:TUT655408 UEP655392:UEP655408 UOL655392:UOL655408 UYH655392:UYH655408 VID655392:VID655408 VRZ655392:VRZ655408 WBV655392:WBV655408 WLR655392:WLR655408 WVN655392:WVN655408 F720928:F720944 JB720928:JB720944 SX720928:SX720944 ACT720928:ACT720944 AMP720928:AMP720944 AWL720928:AWL720944 BGH720928:BGH720944 BQD720928:BQD720944 BZZ720928:BZZ720944 CJV720928:CJV720944 CTR720928:CTR720944 DDN720928:DDN720944 DNJ720928:DNJ720944 DXF720928:DXF720944 EHB720928:EHB720944 EQX720928:EQX720944 FAT720928:FAT720944 FKP720928:FKP720944 FUL720928:FUL720944 GEH720928:GEH720944 GOD720928:GOD720944 GXZ720928:GXZ720944 HHV720928:HHV720944 HRR720928:HRR720944 IBN720928:IBN720944 ILJ720928:ILJ720944 IVF720928:IVF720944 JFB720928:JFB720944 JOX720928:JOX720944 JYT720928:JYT720944 KIP720928:KIP720944 KSL720928:KSL720944 LCH720928:LCH720944 LMD720928:LMD720944 LVZ720928:LVZ720944 MFV720928:MFV720944 MPR720928:MPR720944 MZN720928:MZN720944 NJJ720928:NJJ720944 NTF720928:NTF720944 ODB720928:ODB720944 OMX720928:OMX720944 OWT720928:OWT720944 PGP720928:PGP720944 PQL720928:PQL720944 QAH720928:QAH720944 QKD720928:QKD720944 QTZ720928:QTZ720944 RDV720928:RDV720944 RNR720928:RNR720944 RXN720928:RXN720944 SHJ720928:SHJ720944 SRF720928:SRF720944 TBB720928:TBB720944 TKX720928:TKX720944 TUT720928:TUT720944 UEP720928:UEP720944 UOL720928:UOL720944 UYH720928:UYH720944 VID720928:VID720944 VRZ720928:VRZ720944 WBV720928:WBV720944 WLR720928:WLR720944 WVN720928:WVN720944 F786464:F786480 JB786464:JB786480 SX786464:SX786480 ACT786464:ACT786480 AMP786464:AMP786480 AWL786464:AWL786480 BGH786464:BGH786480 BQD786464:BQD786480 BZZ786464:BZZ786480 CJV786464:CJV786480 CTR786464:CTR786480 DDN786464:DDN786480 DNJ786464:DNJ786480 DXF786464:DXF786480 EHB786464:EHB786480 EQX786464:EQX786480 FAT786464:FAT786480 FKP786464:FKP786480 FUL786464:FUL786480 GEH786464:GEH786480 GOD786464:GOD786480 GXZ786464:GXZ786480 HHV786464:HHV786480 HRR786464:HRR786480 IBN786464:IBN786480 ILJ786464:ILJ786480 IVF786464:IVF786480 JFB786464:JFB786480 JOX786464:JOX786480 JYT786464:JYT786480 KIP786464:KIP786480 KSL786464:KSL786480 LCH786464:LCH786480 LMD786464:LMD786480 LVZ786464:LVZ786480 MFV786464:MFV786480 MPR786464:MPR786480 MZN786464:MZN786480 NJJ786464:NJJ786480 NTF786464:NTF786480 ODB786464:ODB786480 OMX786464:OMX786480 OWT786464:OWT786480 PGP786464:PGP786480 PQL786464:PQL786480 QAH786464:QAH786480 QKD786464:QKD786480 QTZ786464:QTZ786480 RDV786464:RDV786480 RNR786464:RNR786480 RXN786464:RXN786480 SHJ786464:SHJ786480 SRF786464:SRF786480 TBB786464:TBB786480 TKX786464:TKX786480 TUT786464:TUT786480 UEP786464:UEP786480 UOL786464:UOL786480 UYH786464:UYH786480 VID786464:VID786480 VRZ786464:VRZ786480 WBV786464:WBV786480 WLR786464:WLR786480 WVN786464:WVN786480 F852000:F852016 JB852000:JB852016 SX852000:SX852016 ACT852000:ACT852016 AMP852000:AMP852016 AWL852000:AWL852016 BGH852000:BGH852016 BQD852000:BQD852016 BZZ852000:BZZ852016 CJV852000:CJV852016 CTR852000:CTR852016 DDN852000:DDN852016 DNJ852000:DNJ852016 DXF852000:DXF852016 EHB852000:EHB852016 EQX852000:EQX852016 FAT852000:FAT852016 FKP852000:FKP852016 FUL852000:FUL852016 GEH852000:GEH852016 GOD852000:GOD852016 GXZ852000:GXZ852016 HHV852000:HHV852016 HRR852000:HRR852016 IBN852000:IBN852016 ILJ852000:ILJ852016 IVF852000:IVF852016 JFB852000:JFB852016 JOX852000:JOX852016 JYT852000:JYT852016 KIP852000:KIP852016 KSL852000:KSL852016 LCH852000:LCH852016 LMD852000:LMD852016 LVZ852000:LVZ852016 MFV852000:MFV852016 MPR852000:MPR852016 MZN852000:MZN852016 NJJ852000:NJJ852016 NTF852000:NTF852016 ODB852000:ODB852016 OMX852000:OMX852016 OWT852000:OWT852016 PGP852000:PGP852016 PQL852000:PQL852016 QAH852000:QAH852016 QKD852000:QKD852016 QTZ852000:QTZ852016 RDV852000:RDV852016 RNR852000:RNR852016 RXN852000:RXN852016 SHJ852000:SHJ852016 SRF852000:SRF852016 TBB852000:TBB852016 TKX852000:TKX852016 TUT852000:TUT852016 UEP852000:UEP852016 UOL852000:UOL852016 UYH852000:UYH852016 VID852000:VID852016 VRZ852000:VRZ852016 WBV852000:WBV852016 WLR852000:WLR852016 WVN852000:WVN852016 F917536:F917552 JB917536:JB917552 SX917536:SX917552 ACT917536:ACT917552 AMP917536:AMP917552 AWL917536:AWL917552 BGH917536:BGH917552 BQD917536:BQD917552 BZZ917536:BZZ917552 CJV917536:CJV917552 CTR917536:CTR917552 DDN917536:DDN917552 DNJ917536:DNJ917552 DXF917536:DXF917552 EHB917536:EHB917552 EQX917536:EQX917552 FAT917536:FAT917552 FKP917536:FKP917552 FUL917536:FUL917552 GEH917536:GEH917552 GOD917536:GOD917552 GXZ917536:GXZ917552 HHV917536:HHV917552 HRR917536:HRR917552 IBN917536:IBN917552 ILJ917536:ILJ917552 IVF917536:IVF917552 JFB917536:JFB917552 JOX917536:JOX917552 JYT917536:JYT917552 KIP917536:KIP917552 KSL917536:KSL917552 LCH917536:LCH917552 LMD917536:LMD917552 LVZ917536:LVZ917552 MFV917536:MFV917552 MPR917536:MPR917552 MZN917536:MZN917552 NJJ917536:NJJ917552 NTF917536:NTF917552 ODB917536:ODB917552 OMX917536:OMX917552 OWT917536:OWT917552 PGP917536:PGP917552 PQL917536:PQL917552 QAH917536:QAH917552 QKD917536:QKD917552 QTZ917536:QTZ917552 RDV917536:RDV917552 RNR917536:RNR917552 RXN917536:RXN917552 SHJ917536:SHJ917552 SRF917536:SRF917552 TBB917536:TBB917552 TKX917536:TKX917552 TUT917536:TUT917552 UEP917536:UEP917552 UOL917536:UOL917552 UYH917536:UYH917552 VID917536:VID917552 VRZ917536:VRZ917552 WBV917536:WBV917552 WLR917536:WLR917552 WVN917536:WVN917552 F983072:F983088 JB983072:JB983088 SX983072:SX983088 ACT983072:ACT983088 AMP983072:AMP983088 AWL983072:AWL983088 BGH983072:BGH983088 BQD983072:BQD983088 BZZ983072:BZZ983088 CJV983072:CJV983088 CTR983072:CTR983088 DDN983072:DDN983088 DNJ983072:DNJ983088 DXF983072:DXF983088 EHB983072:EHB983088 EQX983072:EQX983088 FAT983072:FAT983088 FKP983072:FKP983088 FUL983072:FUL983088 GEH983072:GEH983088 GOD983072:GOD983088 GXZ983072:GXZ983088 HHV983072:HHV983088 HRR983072:HRR983088 IBN983072:IBN983088 ILJ983072:ILJ983088 IVF983072:IVF983088 JFB983072:JFB983088 JOX983072:JOX983088 JYT983072:JYT983088 KIP983072:KIP983088 KSL983072:KSL983088 LCH983072:LCH983088 LMD983072:LMD983088 LVZ983072:LVZ983088 MFV983072:MFV983088 MPR983072:MPR983088 MZN983072:MZN983088 NJJ983072:NJJ983088 NTF983072:NTF983088 ODB983072:ODB983088 OMX983072:OMX983088 OWT983072:OWT983088 PGP983072:PGP983088 PQL983072:PQL983088 QAH983072:QAH983088 QKD983072:QKD983088 QTZ983072:QTZ983088 RDV983072:RDV983088 RNR983072:RNR983088 RXN983072:RXN983088 SHJ983072:SHJ983088 SRF983072:SRF983088 TBB983072:TBB983088 TKX983072:TKX983088 TUT983072:TUT983088 UEP983072:UEP983088 UOL983072:UOL983088 UYH983072:UYH983088 VID983072:VID983088 VRZ983072:VRZ983088 WBV983072:WBV983088 WLR983072:WLR983088 WVN983072:WVN983088 F53:F56 JB53:JB56 SX53:SX56 ACT53:ACT56 AMP53:AMP56 AWL53:AWL56 BGH53:BGH56 BQD53:BQD56 BZZ53:BZZ56 CJV53:CJV56 CTR53:CTR56 DDN53:DDN56 DNJ53:DNJ56 DXF53:DXF56 EHB53:EHB56 EQX53:EQX56 FAT53:FAT56 FKP53:FKP56 FUL53:FUL56 GEH53:GEH56 GOD53:GOD56 GXZ53:GXZ56 HHV53:HHV56 HRR53:HRR56 IBN53:IBN56 ILJ53:ILJ56 IVF53:IVF56 JFB53:JFB56 JOX53:JOX56 JYT53:JYT56 KIP53:KIP56 KSL53:KSL56 LCH53:LCH56 LMD53:LMD56 LVZ53:LVZ56 MFV53:MFV56 MPR53:MPR56 MZN53:MZN56 NJJ53:NJJ56 NTF53:NTF56 ODB53:ODB56 OMX53:OMX56 OWT53:OWT56 PGP53:PGP56 PQL53:PQL56 QAH53:QAH56 QKD53:QKD56 QTZ53:QTZ56 RDV53:RDV56 RNR53:RNR56 RXN53:RXN56 SHJ53:SHJ56 SRF53:SRF56 TBB53:TBB56 TKX53:TKX56 TUT53:TUT56 UEP53:UEP56 UOL53:UOL56 UYH53:UYH56 VID53:VID56 VRZ53:VRZ56 WBV53:WBV56 WLR53:WLR56 WVN53:WVN56 F65589:F65592 JB65589:JB65592 SX65589:SX65592 ACT65589:ACT65592 AMP65589:AMP65592 AWL65589:AWL65592 BGH65589:BGH65592 BQD65589:BQD65592 BZZ65589:BZZ65592 CJV65589:CJV65592 CTR65589:CTR65592 DDN65589:DDN65592 DNJ65589:DNJ65592 DXF65589:DXF65592 EHB65589:EHB65592 EQX65589:EQX65592 FAT65589:FAT65592 FKP65589:FKP65592 FUL65589:FUL65592 GEH65589:GEH65592 GOD65589:GOD65592 GXZ65589:GXZ65592 HHV65589:HHV65592 HRR65589:HRR65592 IBN65589:IBN65592 ILJ65589:ILJ65592 IVF65589:IVF65592 JFB65589:JFB65592 JOX65589:JOX65592 JYT65589:JYT65592 KIP65589:KIP65592 KSL65589:KSL65592 LCH65589:LCH65592 LMD65589:LMD65592 LVZ65589:LVZ65592 MFV65589:MFV65592 MPR65589:MPR65592 MZN65589:MZN65592 NJJ65589:NJJ65592 NTF65589:NTF65592 ODB65589:ODB65592 OMX65589:OMX65592 OWT65589:OWT65592 PGP65589:PGP65592 PQL65589:PQL65592 QAH65589:QAH65592 QKD65589:QKD65592 QTZ65589:QTZ65592 RDV65589:RDV65592 RNR65589:RNR65592 RXN65589:RXN65592 SHJ65589:SHJ65592 SRF65589:SRF65592 TBB65589:TBB65592 TKX65589:TKX65592 TUT65589:TUT65592 UEP65589:UEP65592 UOL65589:UOL65592 UYH65589:UYH65592 VID65589:VID65592 VRZ65589:VRZ65592 WBV65589:WBV65592 WLR65589:WLR65592 WVN65589:WVN65592 F131125:F131128 JB131125:JB131128 SX131125:SX131128 ACT131125:ACT131128 AMP131125:AMP131128 AWL131125:AWL131128 BGH131125:BGH131128 BQD131125:BQD131128 BZZ131125:BZZ131128 CJV131125:CJV131128 CTR131125:CTR131128 DDN131125:DDN131128 DNJ131125:DNJ131128 DXF131125:DXF131128 EHB131125:EHB131128 EQX131125:EQX131128 FAT131125:FAT131128 FKP131125:FKP131128 FUL131125:FUL131128 GEH131125:GEH131128 GOD131125:GOD131128 GXZ131125:GXZ131128 HHV131125:HHV131128 HRR131125:HRR131128 IBN131125:IBN131128 ILJ131125:ILJ131128 IVF131125:IVF131128 JFB131125:JFB131128 JOX131125:JOX131128 JYT131125:JYT131128 KIP131125:KIP131128 KSL131125:KSL131128 LCH131125:LCH131128 LMD131125:LMD131128 LVZ131125:LVZ131128 MFV131125:MFV131128 MPR131125:MPR131128 MZN131125:MZN131128 NJJ131125:NJJ131128 NTF131125:NTF131128 ODB131125:ODB131128 OMX131125:OMX131128 OWT131125:OWT131128 PGP131125:PGP131128 PQL131125:PQL131128 QAH131125:QAH131128 QKD131125:QKD131128 QTZ131125:QTZ131128 RDV131125:RDV131128 RNR131125:RNR131128 RXN131125:RXN131128 SHJ131125:SHJ131128 SRF131125:SRF131128 TBB131125:TBB131128 TKX131125:TKX131128 TUT131125:TUT131128 UEP131125:UEP131128 UOL131125:UOL131128 UYH131125:UYH131128 VID131125:VID131128 VRZ131125:VRZ131128 WBV131125:WBV131128 WLR131125:WLR131128 WVN131125:WVN131128 F196661:F196664 JB196661:JB196664 SX196661:SX196664 ACT196661:ACT196664 AMP196661:AMP196664 AWL196661:AWL196664 BGH196661:BGH196664 BQD196661:BQD196664 BZZ196661:BZZ196664 CJV196661:CJV196664 CTR196661:CTR196664 DDN196661:DDN196664 DNJ196661:DNJ196664 DXF196661:DXF196664 EHB196661:EHB196664 EQX196661:EQX196664 FAT196661:FAT196664 FKP196661:FKP196664 FUL196661:FUL196664 GEH196661:GEH196664 GOD196661:GOD196664 GXZ196661:GXZ196664 HHV196661:HHV196664 HRR196661:HRR196664 IBN196661:IBN196664 ILJ196661:ILJ196664 IVF196661:IVF196664 JFB196661:JFB196664 JOX196661:JOX196664 JYT196661:JYT196664 KIP196661:KIP196664 KSL196661:KSL196664 LCH196661:LCH196664 LMD196661:LMD196664 LVZ196661:LVZ196664 MFV196661:MFV196664 MPR196661:MPR196664 MZN196661:MZN196664 NJJ196661:NJJ196664 NTF196661:NTF196664 ODB196661:ODB196664 OMX196661:OMX196664 OWT196661:OWT196664 PGP196661:PGP196664 PQL196661:PQL196664 QAH196661:QAH196664 QKD196661:QKD196664 QTZ196661:QTZ196664 RDV196661:RDV196664 RNR196661:RNR196664 RXN196661:RXN196664 SHJ196661:SHJ196664 SRF196661:SRF196664 TBB196661:TBB196664 TKX196661:TKX196664 TUT196661:TUT196664 UEP196661:UEP196664 UOL196661:UOL196664 UYH196661:UYH196664 VID196661:VID196664 VRZ196661:VRZ196664 WBV196661:WBV196664 WLR196661:WLR196664 WVN196661:WVN196664 F262197:F262200 JB262197:JB262200 SX262197:SX262200 ACT262197:ACT262200 AMP262197:AMP262200 AWL262197:AWL262200 BGH262197:BGH262200 BQD262197:BQD262200 BZZ262197:BZZ262200 CJV262197:CJV262200 CTR262197:CTR262200 DDN262197:DDN262200 DNJ262197:DNJ262200 DXF262197:DXF262200 EHB262197:EHB262200 EQX262197:EQX262200 FAT262197:FAT262200 FKP262197:FKP262200 FUL262197:FUL262200 GEH262197:GEH262200 GOD262197:GOD262200 GXZ262197:GXZ262200 HHV262197:HHV262200 HRR262197:HRR262200 IBN262197:IBN262200 ILJ262197:ILJ262200 IVF262197:IVF262200 JFB262197:JFB262200 JOX262197:JOX262200 JYT262197:JYT262200 KIP262197:KIP262200 KSL262197:KSL262200 LCH262197:LCH262200 LMD262197:LMD262200 LVZ262197:LVZ262200 MFV262197:MFV262200 MPR262197:MPR262200 MZN262197:MZN262200 NJJ262197:NJJ262200 NTF262197:NTF262200 ODB262197:ODB262200 OMX262197:OMX262200 OWT262197:OWT262200 PGP262197:PGP262200 PQL262197:PQL262200 QAH262197:QAH262200 QKD262197:QKD262200 QTZ262197:QTZ262200 RDV262197:RDV262200 RNR262197:RNR262200 RXN262197:RXN262200 SHJ262197:SHJ262200 SRF262197:SRF262200 TBB262197:TBB262200 TKX262197:TKX262200 TUT262197:TUT262200 UEP262197:UEP262200 UOL262197:UOL262200 UYH262197:UYH262200 VID262197:VID262200 VRZ262197:VRZ262200 WBV262197:WBV262200 WLR262197:WLR262200 WVN262197:WVN262200 F327733:F327736 JB327733:JB327736 SX327733:SX327736 ACT327733:ACT327736 AMP327733:AMP327736 AWL327733:AWL327736 BGH327733:BGH327736 BQD327733:BQD327736 BZZ327733:BZZ327736 CJV327733:CJV327736 CTR327733:CTR327736 DDN327733:DDN327736 DNJ327733:DNJ327736 DXF327733:DXF327736 EHB327733:EHB327736 EQX327733:EQX327736 FAT327733:FAT327736 FKP327733:FKP327736 FUL327733:FUL327736 GEH327733:GEH327736 GOD327733:GOD327736 GXZ327733:GXZ327736 HHV327733:HHV327736 HRR327733:HRR327736 IBN327733:IBN327736 ILJ327733:ILJ327736 IVF327733:IVF327736 JFB327733:JFB327736 JOX327733:JOX327736 JYT327733:JYT327736 KIP327733:KIP327736 KSL327733:KSL327736 LCH327733:LCH327736 LMD327733:LMD327736 LVZ327733:LVZ327736 MFV327733:MFV327736 MPR327733:MPR327736 MZN327733:MZN327736 NJJ327733:NJJ327736 NTF327733:NTF327736 ODB327733:ODB327736 OMX327733:OMX327736 OWT327733:OWT327736 PGP327733:PGP327736 PQL327733:PQL327736 QAH327733:QAH327736 QKD327733:QKD327736 QTZ327733:QTZ327736 RDV327733:RDV327736 RNR327733:RNR327736 RXN327733:RXN327736 SHJ327733:SHJ327736 SRF327733:SRF327736 TBB327733:TBB327736 TKX327733:TKX327736 TUT327733:TUT327736 UEP327733:UEP327736 UOL327733:UOL327736 UYH327733:UYH327736 VID327733:VID327736 VRZ327733:VRZ327736 WBV327733:WBV327736 WLR327733:WLR327736 WVN327733:WVN327736 F393269:F393272 JB393269:JB393272 SX393269:SX393272 ACT393269:ACT393272 AMP393269:AMP393272 AWL393269:AWL393272 BGH393269:BGH393272 BQD393269:BQD393272 BZZ393269:BZZ393272 CJV393269:CJV393272 CTR393269:CTR393272 DDN393269:DDN393272 DNJ393269:DNJ393272 DXF393269:DXF393272 EHB393269:EHB393272 EQX393269:EQX393272 FAT393269:FAT393272 FKP393269:FKP393272 FUL393269:FUL393272 GEH393269:GEH393272 GOD393269:GOD393272 GXZ393269:GXZ393272 HHV393269:HHV393272 HRR393269:HRR393272 IBN393269:IBN393272 ILJ393269:ILJ393272 IVF393269:IVF393272 JFB393269:JFB393272 JOX393269:JOX393272 JYT393269:JYT393272 KIP393269:KIP393272 KSL393269:KSL393272 LCH393269:LCH393272 LMD393269:LMD393272 LVZ393269:LVZ393272 MFV393269:MFV393272 MPR393269:MPR393272 MZN393269:MZN393272 NJJ393269:NJJ393272 NTF393269:NTF393272 ODB393269:ODB393272 OMX393269:OMX393272 OWT393269:OWT393272 PGP393269:PGP393272 PQL393269:PQL393272 QAH393269:QAH393272 QKD393269:QKD393272 QTZ393269:QTZ393272 RDV393269:RDV393272 RNR393269:RNR393272 RXN393269:RXN393272 SHJ393269:SHJ393272 SRF393269:SRF393272 TBB393269:TBB393272 TKX393269:TKX393272 TUT393269:TUT393272 UEP393269:UEP393272 UOL393269:UOL393272 UYH393269:UYH393272 VID393269:VID393272 VRZ393269:VRZ393272 WBV393269:WBV393272 WLR393269:WLR393272 WVN393269:WVN393272 F458805:F458808 JB458805:JB458808 SX458805:SX458808 ACT458805:ACT458808 AMP458805:AMP458808 AWL458805:AWL458808 BGH458805:BGH458808 BQD458805:BQD458808 BZZ458805:BZZ458808 CJV458805:CJV458808 CTR458805:CTR458808 DDN458805:DDN458808 DNJ458805:DNJ458808 DXF458805:DXF458808 EHB458805:EHB458808 EQX458805:EQX458808 FAT458805:FAT458808 FKP458805:FKP458808 FUL458805:FUL458808 GEH458805:GEH458808 GOD458805:GOD458808 GXZ458805:GXZ458808 HHV458805:HHV458808 HRR458805:HRR458808 IBN458805:IBN458808 ILJ458805:ILJ458808 IVF458805:IVF458808 JFB458805:JFB458808 JOX458805:JOX458808 JYT458805:JYT458808 KIP458805:KIP458808 KSL458805:KSL458808 LCH458805:LCH458808 LMD458805:LMD458808 LVZ458805:LVZ458808 MFV458805:MFV458808 MPR458805:MPR458808 MZN458805:MZN458808 NJJ458805:NJJ458808 NTF458805:NTF458808 ODB458805:ODB458808 OMX458805:OMX458808 OWT458805:OWT458808 PGP458805:PGP458808 PQL458805:PQL458808 QAH458805:QAH458808 QKD458805:QKD458808 QTZ458805:QTZ458808 RDV458805:RDV458808 RNR458805:RNR458808 RXN458805:RXN458808 SHJ458805:SHJ458808 SRF458805:SRF458808 TBB458805:TBB458808 TKX458805:TKX458808 TUT458805:TUT458808 UEP458805:UEP458808 UOL458805:UOL458808 UYH458805:UYH458808 VID458805:VID458808 VRZ458805:VRZ458808 WBV458805:WBV458808 WLR458805:WLR458808 WVN458805:WVN458808 F524341:F524344 JB524341:JB524344 SX524341:SX524344 ACT524341:ACT524344 AMP524341:AMP524344 AWL524341:AWL524344 BGH524341:BGH524344 BQD524341:BQD524344 BZZ524341:BZZ524344 CJV524341:CJV524344 CTR524341:CTR524344 DDN524341:DDN524344 DNJ524341:DNJ524344 DXF524341:DXF524344 EHB524341:EHB524344 EQX524341:EQX524344 FAT524341:FAT524344 FKP524341:FKP524344 FUL524341:FUL524344 GEH524341:GEH524344 GOD524341:GOD524344 GXZ524341:GXZ524344 HHV524341:HHV524344 HRR524341:HRR524344 IBN524341:IBN524344 ILJ524341:ILJ524344 IVF524341:IVF524344 JFB524341:JFB524344 JOX524341:JOX524344 JYT524341:JYT524344 KIP524341:KIP524344 KSL524341:KSL524344 LCH524341:LCH524344 LMD524341:LMD524344 LVZ524341:LVZ524344 MFV524341:MFV524344 MPR524341:MPR524344 MZN524341:MZN524344 NJJ524341:NJJ524344 NTF524341:NTF524344 ODB524341:ODB524344 OMX524341:OMX524344 OWT524341:OWT524344 PGP524341:PGP524344 PQL524341:PQL524344 QAH524341:QAH524344 QKD524341:QKD524344 QTZ524341:QTZ524344 RDV524341:RDV524344 RNR524341:RNR524344 RXN524341:RXN524344 SHJ524341:SHJ524344 SRF524341:SRF524344 TBB524341:TBB524344 TKX524341:TKX524344 TUT524341:TUT524344 UEP524341:UEP524344 UOL524341:UOL524344 UYH524341:UYH524344 VID524341:VID524344 VRZ524341:VRZ524344 WBV524341:WBV524344 WLR524341:WLR524344 WVN524341:WVN524344 F589877:F589880 JB589877:JB589880 SX589877:SX589880 ACT589877:ACT589880 AMP589877:AMP589880 AWL589877:AWL589880 BGH589877:BGH589880 BQD589877:BQD589880 BZZ589877:BZZ589880 CJV589877:CJV589880 CTR589877:CTR589880 DDN589877:DDN589880 DNJ589877:DNJ589880 DXF589877:DXF589880 EHB589877:EHB589880 EQX589877:EQX589880 FAT589877:FAT589880 FKP589877:FKP589880 FUL589877:FUL589880 GEH589877:GEH589880 GOD589877:GOD589880 GXZ589877:GXZ589880 HHV589877:HHV589880 HRR589877:HRR589880 IBN589877:IBN589880 ILJ589877:ILJ589880 IVF589877:IVF589880 JFB589877:JFB589880 JOX589877:JOX589880 JYT589877:JYT589880 KIP589877:KIP589880 KSL589877:KSL589880 LCH589877:LCH589880 LMD589877:LMD589880 LVZ589877:LVZ589880 MFV589877:MFV589880 MPR589877:MPR589880 MZN589877:MZN589880 NJJ589877:NJJ589880 NTF589877:NTF589880 ODB589877:ODB589880 OMX589877:OMX589880 OWT589877:OWT589880 PGP589877:PGP589880 PQL589877:PQL589880 QAH589877:QAH589880 QKD589877:QKD589880 QTZ589877:QTZ589880 RDV589877:RDV589880 RNR589877:RNR589880 RXN589877:RXN589880 SHJ589877:SHJ589880 SRF589877:SRF589880 TBB589877:TBB589880 TKX589877:TKX589880 TUT589877:TUT589880 UEP589877:UEP589880 UOL589877:UOL589880 UYH589877:UYH589880 VID589877:VID589880 VRZ589877:VRZ589880 WBV589877:WBV589880 WLR589877:WLR589880 WVN589877:WVN589880 F655413:F655416 JB655413:JB655416 SX655413:SX655416 ACT655413:ACT655416 AMP655413:AMP655416 AWL655413:AWL655416 BGH655413:BGH655416 BQD655413:BQD655416 BZZ655413:BZZ655416 CJV655413:CJV655416 CTR655413:CTR655416 DDN655413:DDN655416 DNJ655413:DNJ655416 DXF655413:DXF655416 EHB655413:EHB655416 EQX655413:EQX655416 FAT655413:FAT655416 FKP655413:FKP655416 FUL655413:FUL655416 GEH655413:GEH655416 GOD655413:GOD655416 GXZ655413:GXZ655416 HHV655413:HHV655416 HRR655413:HRR655416 IBN655413:IBN655416 ILJ655413:ILJ655416 IVF655413:IVF655416 JFB655413:JFB655416 JOX655413:JOX655416 JYT655413:JYT655416 KIP655413:KIP655416 KSL655413:KSL655416 LCH655413:LCH655416 LMD655413:LMD655416 LVZ655413:LVZ655416 MFV655413:MFV655416 MPR655413:MPR655416 MZN655413:MZN655416 NJJ655413:NJJ655416 NTF655413:NTF655416 ODB655413:ODB655416 OMX655413:OMX655416 OWT655413:OWT655416 PGP655413:PGP655416 PQL655413:PQL655416 QAH655413:QAH655416 QKD655413:QKD655416 QTZ655413:QTZ655416 RDV655413:RDV655416 RNR655413:RNR655416 RXN655413:RXN655416 SHJ655413:SHJ655416 SRF655413:SRF655416 TBB655413:TBB655416 TKX655413:TKX655416 TUT655413:TUT655416 UEP655413:UEP655416 UOL655413:UOL655416 UYH655413:UYH655416 VID655413:VID655416 VRZ655413:VRZ655416 WBV655413:WBV655416 WLR655413:WLR655416 WVN655413:WVN655416 F720949:F720952 JB720949:JB720952 SX720949:SX720952 ACT720949:ACT720952 AMP720949:AMP720952 AWL720949:AWL720952 BGH720949:BGH720952 BQD720949:BQD720952 BZZ720949:BZZ720952 CJV720949:CJV720952 CTR720949:CTR720952 DDN720949:DDN720952 DNJ720949:DNJ720952 DXF720949:DXF720952 EHB720949:EHB720952 EQX720949:EQX720952 FAT720949:FAT720952 FKP720949:FKP720952 FUL720949:FUL720952 GEH720949:GEH720952 GOD720949:GOD720952 GXZ720949:GXZ720952 HHV720949:HHV720952 HRR720949:HRR720952 IBN720949:IBN720952 ILJ720949:ILJ720952 IVF720949:IVF720952 JFB720949:JFB720952 JOX720949:JOX720952 JYT720949:JYT720952 KIP720949:KIP720952 KSL720949:KSL720952 LCH720949:LCH720952 LMD720949:LMD720952 LVZ720949:LVZ720952 MFV720949:MFV720952 MPR720949:MPR720952 MZN720949:MZN720952 NJJ720949:NJJ720952 NTF720949:NTF720952 ODB720949:ODB720952 OMX720949:OMX720952 OWT720949:OWT720952 PGP720949:PGP720952 PQL720949:PQL720952 QAH720949:QAH720952 QKD720949:QKD720952 QTZ720949:QTZ720952 RDV720949:RDV720952 RNR720949:RNR720952 RXN720949:RXN720952 SHJ720949:SHJ720952 SRF720949:SRF720952 TBB720949:TBB720952 TKX720949:TKX720952 TUT720949:TUT720952 UEP720949:UEP720952 UOL720949:UOL720952 UYH720949:UYH720952 VID720949:VID720952 VRZ720949:VRZ720952 WBV720949:WBV720952 WLR720949:WLR720952 WVN720949:WVN720952 F786485:F786488 JB786485:JB786488 SX786485:SX786488 ACT786485:ACT786488 AMP786485:AMP786488 AWL786485:AWL786488 BGH786485:BGH786488 BQD786485:BQD786488 BZZ786485:BZZ786488 CJV786485:CJV786488 CTR786485:CTR786488 DDN786485:DDN786488 DNJ786485:DNJ786488 DXF786485:DXF786488 EHB786485:EHB786488 EQX786485:EQX786488 FAT786485:FAT786488 FKP786485:FKP786488 FUL786485:FUL786488 GEH786485:GEH786488 GOD786485:GOD786488 GXZ786485:GXZ786488 HHV786485:HHV786488 HRR786485:HRR786488 IBN786485:IBN786488 ILJ786485:ILJ786488 IVF786485:IVF786488 JFB786485:JFB786488 JOX786485:JOX786488 JYT786485:JYT786488 KIP786485:KIP786488 KSL786485:KSL786488 LCH786485:LCH786488 LMD786485:LMD786488 LVZ786485:LVZ786488 MFV786485:MFV786488 MPR786485:MPR786488 MZN786485:MZN786488 NJJ786485:NJJ786488 NTF786485:NTF786488 ODB786485:ODB786488 OMX786485:OMX786488 OWT786485:OWT786488 PGP786485:PGP786488 PQL786485:PQL786488 QAH786485:QAH786488 QKD786485:QKD786488 QTZ786485:QTZ786488 RDV786485:RDV786488 RNR786485:RNR786488 RXN786485:RXN786488 SHJ786485:SHJ786488 SRF786485:SRF786488 TBB786485:TBB786488 TKX786485:TKX786488 TUT786485:TUT786488 UEP786485:UEP786488 UOL786485:UOL786488 UYH786485:UYH786488 VID786485:VID786488 VRZ786485:VRZ786488 WBV786485:WBV786488 WLR786485:WLR786488 WVN786485:WVN786488 F852021:F852024 JB852021:JB852024 SX852021:SX852024 ACT852021:ACT852024 AMP852021:AMP852024 AWL852021:AWL852024 BGH852021:BGH852024 BQD852021:BQD852024 BZZ852021:BZZ852024 CJV852021:CJV852024 CTR852021:CTR852024 DDN852021:DDN852024 DNJ852021:DNJ852024 DXF852021:DXF852024 EHB852021:EHB852024 EQX852021:EQX852024 FAT852021:FAT852024 FKP852021:FKP852024 FUL852021:FUL852024 GEH852021:GEH852024 GOD852021:GOD852024 GXZ852021:GXZ852024 HHV852021:HHV852024 HRR852021:HRR852024 IBN852021:IBN852024 ILJ852021:ILJ852024 IVF852021:IVF852024 JFB852021:JFB852024 JOX852021:JOX852024 JYT852021:JYT852024 KIP852021:KIP852024 KSL852021:KSL852024 LCH852021:LCH852024 LMD852021:LMD852024 LVZ852021:LVZ852024 MFV852021:MFV852024 MPR852021:MPR852024 MZN852021:MZN852024 NJJ852021:NJJ852024 NTF852021:NTF852024 ODB852021:ODB852024 OMX852021:OMX852024 OWT852021:OWT852024 PGP852021:PGP852024 PQL852021:PQL852024 QAH852021:QAH852024 QKD852021:QKD852024 QTZ852021:QTZ852024 RDV852021:RDV852024 RNR852021:RNR852024 RXN852021:RXN852024 SHJ852021:SHJ852024 SRF852021:SRF852024 TBB852021:TBB852024 TKX852021:TKX852024 TUT852021:TUT852024 UEP852021:UEP852024 UOL852021:UOL852024 UYH852021:UYH852024 VID852021:VID852024 VRZ852021:VRZ852024 WBV852021:WBV852024 WLR852021:WLR852024 WVN852021:WVN852024 F917557:F917560 JB917557:JB917560 SX917557:SX917560 ACT917557:ACT917560 AMP917557:AMP917560 AWL917557:AWL917560 BGH917557:BGH917560 BQD917557:BQD917560 BZZ917557:BZZ917560 CJV917557:CJV917560 CTR917557:CTR917560 DDN917557:DDN917560 DNJ917557:DNJ917560 DXF917557:DXF917560 EHB917557:EHB917560 EQX917557:EQX917560 FAT917557:FAT917560 FKP917557:FKP917560 FUL917557:FUL917560 GEH917557:GEH917560 GOD917557:GOD917560 GXZ917557:GXZ917560 HHV917557:HHV917560 HRR917557:HRR917560 IBN917557:IBN917560 ILJ917557:ILJ917560 IVF917557:IVF917560 JFB917557:JFB917560 JOX917557:JOX917560 JYT917557:JYT917560 KIP917557:KIP917560 KSL917557:KSL917560 LCH917557:LCH917560 LMD917557:LMD917560 LVZ917557:LVZ917560 MFV917557:MFV917560 MPR917557:MPR917560 MZN917557:MZN917560 NJJ917557:NJJ917560 NTF917557:NTF917560 ODB917557:ODB917560 OMX917557:OMX917560 OWT917557:OWT917560 PGP917557:PGP917560 PQL917557:PQL917560 QAH917557:QAH917560 QKD917557:QKD917560 QTZ917557:QTZ917560 RDV917557:RDV917560 RNR917557:RNR917560 RXN917557:RXN917560 SHJ917557:SHJ917560 SRF917557:SRF917560 TBB917557:TBB917560 TKX917557:TKX917560 TUT917557:TUT917560 UEP917557:UEP917560 UOL917557:UOL917560 UYH917557:UYH917560 VID917557:VID917560 VRZ917557:VRZ917560 WBV917557:WBV917560 WLR917557:WLR917560 WVN917557:WVN917560 F983093:F983096 JB983093:JB983096 SX983093:SX983096 ACT983093:ACT983096 AMP983093:AMP983096 AWL983093:AWL983096 BGH983093:BGH983096 BQD983093:BQD983096 BZZ983093:BZZ983096 CJV983093:CJV983096 CTR983093:CTR983096 DDN983093:DDN983096 DNJ983093:DNJ983096 DXF983093:DXF983096 EHB983093:EHB983096 EQX983093:EQX983096 FAT983093:FAT983096 FKP983093:FKP983096 FUL983093:FUL983096 GEH983093:GEH983096 GOD983093:GOD983096 GXZ983093:GXZ983096 HHV983093:HHV983096 HRR983093:HRR983096 IBN983093:IBN983096 ILJ983093:ILJ983096 IVF983093:IVF983096 JFB983093:JFB983096 JOX983093:JOX983096 JYT983093:JYT983096 KIP983093:KIP983096 KSL983093:KSL983096 LCH983093:LCH983096 LMD983093:LMD983096 LVZ983093:LVZ983096 MFV983093:MFV983096 MPR983093:MPR983096 MZN983093:MZN983096 NJJ983093:NJJ983096 NTF983093:NTF983096 ODB983093:ODB983096 OMX983093:OMX983096 OWT983093:OWT983096 PGP983093:PGP983096 PQL983093:PQL983096 QAH983093:QAH983096 QKD983093:QKD983096 QTZ983093:QTZ983096 RDV983093:RDV983096 RNR983093:RNR983096 RXN983093:RXN983096 SHJ983093:SHJ983096 SRF983093:SRF983096 TBB983093:TBB983096 TKX983093:TKX983096 TUT983093:TUT983096 UEP983093:UEP983096 UOL983093:UOL983096 UYH983093:UYH983096 VID983093:VID983096 VRZ983093:VRZ983096 WBV983093:WBV983096 WLR983093:WLR983096 WVN983093:WVN983096 C53:C56 IY53:IY56 SU53:SU56 ACQ53:ACQ56 AMM53:AMM56 AWI53:AWI56 BGE53:BGE56 BQA53:BQA56 BZW53:BZW56 CJS53:CJS56 CTO53:CTO56 DDK53:DDK56 DNG53:DNG56 DXC53:DXC56 EGY53:EGY56 EQU53:EQU56 FAQ53:FAQ56 FKM53:FKM56 FUI53:FUI56 GEE53:GEE56 GOA53:GOA56 GXW53:GXW56 HHS53:HHS56 HRO53:HRO56 IBK53:IBK56 ILG53:ILG56 IVC53:IVC56 JEY53:JEY56 JOU53:JOU56 JYQ53:JYQ56 KIM53:KIM56 KSI53:KSI56 LCE53:LCE56 LMA53:LMA56 LVW53:LVW56 MFS53:MFS56 MPO53:MPO56 MZK53:MZK56 NJG53:NJG56 NTC53:NTC56 OCY53:OCY56 OMU53:OMU56 OWQ53:OWQ56 PGM53:PGM56 PQI53:PQI56 QAE53:QAE56 QKA53:QKA56 QTW53:QTW56 RDS53:RDS56 RNO53:RNO56 RXK53:RXK56 SHG53:SHG56 SRC53:SRC56 TAY53:TAY56 TKU53:TKU56 TUQ53:TUQ56 UEM53:UEM56 UOI53:UOI56 UYE53:UYE56 VIA53:VIA56 VRW53:VRW56 WBS53:WBS56 WLO53:WLO56 WVK53:WVK56 C65589:C65592 IY65589:IY65592 SU65589:SU65592 ACQ65589:ACQ65592 AMM65589:AMM65592 AWI65589:AWI65592 BGE65589:BGE65592 BQA65589:BQA65592 BZW65589:BZW65592 CJS65589:CJS65592 CTO65589:CTO65592 DDK65589:DDK65592 DNG65589:DNG65592 DXC65589:DXC65592 EGY65589:EGY65592 EQU65589:EQU65592 FAQ65589:FAQ65592 FKM65589:FKM65592 FUI65589:FUI65592 GEE65589:GEE65592 GOA65589:GOA65592 GXW65589:GXW65592 HHS65589:HHS65592 HRO65589:HRO65592 IBK65589:IBK65592 ILG65589:ILG65592 IVC65589:IVC65592 JEY65589:JEY65592 JOU65589:JOU65592 JYQ65589:JYQ65592 KIM65589:KIM65592 KSI65589:KSI65592 LCE65589:LCE65592 LMA65589:LMA65592 LVW65589:LVW65592 MFS65589:MFS65592 MPO65589:MPO65592 MZK65589:MZK65592 NJG65589:NJG65592 NTC65589:NTC65592 OCY65589:OCY65592 OMU65589:OMU65592 OWQ65589:OWQ65592 PGM65589:PGM65592 PQI65589:PQI65592 QAE65589:QAE65592 QKA65589:QKA65592 QTW65589:QTW65592 RDS65589:RDS65592 RNO65589:RNO65592 RXK65589:RXK65592 SHG65589:SHG65592 SRC65589:SRC65592 TAY65589:TAY65592 TKU65589:TKU65592 TUQ65589:TUQ65592 UEM65589:UEM65592 UOI65589:UOI65592 UYE65589:UYE65592 VIA65589:VIA65592 VRW65589:VRW65592 WBS65589:WBS65592 WLO65589:WLO65592 WVK65589:WVK65592 C131125:C131128 IY131125:IY131128 SU131125:SU131128 ACQ131125:ACQ131128 AMM131125:AMM131128 AWI131125:AWI131128 BGE131125:BGE131128 BQA131125:BQA131128 BZW131125:BZW131128 CJS131125:CJS131128 CTO131125:CTO131128 DDK131125:DDK131128 DNG131125:DNG131128 DXC131125:DXC131128 EGY131125:EGY131128 EQU131125:EQU131128 FAQ131125:FAQ131128 FKM131125:FKM131128 FUI131125:FUI131128 GEE131125:GEE131128 GOA131125:GOA131128 GXW131125:GXW131128 HHS131125:HHS131128 HRO131125:HRO131128 IBK131125:IBK131128 ILG131125:ILG131128 IVC131125:IVC131128 JEY131125:JEY131128 JOU131125:JOU131128 JYQ131125:JYQ131128 KIM131125:KIM131128 KSI131125:KSI131128 LCE131125:LCE131128 LMA131125:LMA131128 LVW131125:LVW131128 MFS131125:MFS131128 MPO131125:MPO131128 MZK131125:MZK131128 NJG131125:NJG131128 NTC131125:NTC131128 OCY131125:OCY131128 OMU131125:OMU131128 OWQ131125:OWQ131128 PGM131125:PGM131128 PQI131125:PQI131128 QAE131125:QAE131128 QKA131125:QKA131128 QTW131125:QTW131128 RDS131125:RDS131128 RNO131125:RNO131128 RXK131125:RXK131128 SHG131125:SHG131128 SRC131125:SRC131128 TAY131125:TAY131128 TKU131125:TKU131128 TUQ131125:TUQ131128 UEM131125:UEM131128 UOI131125:UOI131128 UYE131125:UYE131128 VIA131125:VIA131128 VRW131125:VRW131128 WBS131125:WBS131128 WLO131125:WLO131128 WVK131125:WVK131128 C196661:C196664 IY196661:IY196664 SU196661:SU196664 ACQ196661:ACQ196664 AMM196661:AMM196664 AWI196661:AWI196664 BGE196661:BGE196664 BQA196661:BQA196664 BZW196661:BZW196664 CJS196661:CJS196664 CTO196661:CTO196664 DDK196661:DDK196664 DNG196661:DNG196664 DXC196661:DXC196664 EGY196661:EGY196664 EQU196661:EQU196664 FAQ196661:FAQ196664 FKM196661:FKM196664 FUI196661:FUI196664 GEE196661:GEE196664 GOA196661:GOA196664 GXW196661:GXW196664 HHS196661:HHS196664 HRO196661:HRO196664 IBK196661:IBK196664 ILG196661:ILG196664 IVC196661:IVC196664 JEY196661:JEY196664 JOU196661:JOU196664 JYQ196661:JYQ196664 KIM196661:KIM196664 KSI196661:KSI196664 LCE196661:LCE196664 LMA196661:LMA196664 LVW196661:LVW196664 MFS196661:MFS196664 MPO196661:MPO196664 MZK196661:MZK196664 NJG196661:NJG196664 NTC196661:NTC196664 OCY196661:OCY196664 OMU196661:OMU196664 OWQ196661:OWQ196664 PGM196661:PGM196664 PQI196661:PQI196664 QAE196661:QAE196664 QKA196661:QKA196664 QTW196661:QTW196664 RDS196661:RDS196664 RNO196661:RNO196664 RXK196661:RXK196664 SHG196661:SHG196664 SRC196661:SRC196664 TAY196661:TAY196664 TKU196661:TKU196664 TUQ196661:TUQ196664 UEM196661:UEM196664 UOI196661:UOI196664 UYE196661:UYE196664 VIA196661:VIA196664 VRW196661:VRW196664 WBS196661:WBS196664 WLO196661:WLO196664 WVK196661:WVK196664 C262197:C262200 IY262197:IY262200 SU262197:SU262200 ACQ262197:ACQ262200 AMM262197:AMM262200 AWI262197:AWI262200 BGE262197:BGE262200 BQA262197:BQA262200 BZW262197:BZW262200 CJS262197:CJS262200 CTO262197:CTO262200 DDK262197:DDK262200 DNG262197:DNG262200 DXC262197:DXC262200 EGY262197:EGY262200 EQU262197:EQU262200 FAQ262197:FAQ262200 FKM262197:FKM262200 FUI262197:FUI262200 GEE262197:GEE262200 GOA262197:GOA262200 GXW262197:GXW262200 HHS262197:HHS262200 HRO262197:HRO262200 IBK262197:IBK262200 ILG262197:ILG262200 IVC262197:IVC262200 JEY262197:JEY262200 JOU262197:JOU262200 JYQ262197:JYQ262200 KIM262197:KIM262200 KSI262197:KSI262200 LCE262197:LCE262200 LMA262197:LMA262200 LVW262197:LVW262200 MFS262197:MFS262200 MPO262197:MPO262200 MZK262197:MZK262200 NJG262197:NJG262200 NTC262197:NTC262200 OCY262197:OCY262200 OMU262197:OMU262200 OWQ262197:OWQ262200 PGM262197:PGM262200 PQI262197:PQI262200 QAE262197:QAE262200 QKA262197:QKA262200 QTW262197:QTW262200 RDS262197:RDS262200 RNO262197:RNO262200 RXK262197:RXK262200 SHG262197:SHG262200 SRC262197:SRC262200 TAY262197:TAY262200 TKU262197:TKU262200 TUQ262197:TUQ262200 UEM262197:UEM262200 UOI262197:UOI262200 UYE262197:UYE262200 VIA262197:VIA262200 VRW262197:VRW262200 WBS262197:WBS262200 WLO262197:WLO262200 WVK262197:WVK262200 C327733:C327736 IY327733:IY327736 SU327733:SU327736 ACQ327733:ACQ327736 AMM327733:AMM327736 AWI327733:AWI327736 BGE327733:BGE327736 BQA327733:BQA327736 BZW327733:BZW327736 CJS327733:CJS327736 CTO327733:CTO327736 DDK327733:DDK327736 DNG327733:DNG327736 DXC327733:DXC327736 EGY327733:EGY327736 EQU327733:EQU327736 FAQ327733:FAQ327736 FKM327733:FKM327736 FUI327733:FUI327736 GEE327733:GEE327736 GOA327733:GOA327736 GXW327733:GXW327736 HHS327733:HHS327736 HRO327733:HRO327736 IBK327733:IBK327736 ILG327733:ILG327736 IVC327733:IVC327736 JEY327733:JEY327736 JOU327733:JOU327736 JYQ327733:JYQ327736 KIM327733:KIM327736 KSI327733:KSI327736 LCE327733:LCE327736 LMA327733:LMA327736 LVW327733:LVW327736 MFS327733:MFS327736 MPO327733:MPO327736 MZK327733:MZK327736 NJG327733:NJG327736 NTC327733:NTC327736 OCY327733:OCY327736 OMU327733:OMU327736 OWQ327733:OWQ327736 PGM327733:PGM327736 PQI327733:PQI327736 QAE327733:QAE327736 QKA327733:QKA327736 QTW327733:QTW327736 RDS327733:RDS327736 RNO327733:RNO327736 RXK327733:RXK327736 SHG327733:SHG327736 SRC327733:SRC327736 TAY327733:TAY327736 TKU327733:TKU327736 TUQ327733:TUQ327736 UEM327733:UEM327736 UOI327733:UOI327736 UYE327733:UYE327736 VIA327733:VIA327736 VRW327733:VRW327736 WBS327733:WBS327736 WLO327733:WLO327736 WVK327733:WVK327736 C393269:C393272 IY393269:IY393272 SU393269:SU393272 ACQ393269:ACQ393272 AMM393269:AMM393272 AWI393269:AWI393272 BGE393269:BGE393272 BQA393269:BQA393272 BZW393269:BZW393272 CJS393269:CJS393272 CTO393269:CTO393272 DDK393269:DDK393272 DNG393269:DNG393272 DXC393269:DXC393272 EGY393269:EGY393272 EQU393269:EQU393272 FAQ393269:FAQ393272 FKM393269:FKM393272 FUI393269:FUI393272 GEE393269:GEE393272 GOA393269:GOA393272 GXW393269:GXW393272 HHS393269:HHS393272 HRO393269:HRO393272 IBK393269:IBK393272 ILG393269:ILG393272 IVC393269:IVC393272 JEY393269:JEY393272 JOU393269:JOU393272 JYQ393269:JYQ393272 KIM393269:KIM393272 KSI393269:KSI393272 LCE393269:LCE393272 LMA393269:LMA393272 LVW393269:LVW393272 MFS393269:MFS393272 MPO393269:MPO393272 MZK393269:MZK393272 NJG393269:NJG393272 NTC393269:NTC393272 OCY393269:OCY393272 OMU393269:OMU393272 OWQ393269:OWQ393272 PGM393269:PGM393272 PQI393269:PQI393272 QAE393269:QAE393272 QKA393269:QKA393272 QTW393269:QTW393272 RDS393269:RDS393272 RNO393269:RNO393272 RXK393269:RXK393272 SHG393269:SHG393272 SRC393269:SRC393272 TAY393269:TAY393272 TKU393269:TKU393272 TUQ393269:TUQ393272 UEM393269:UEM393272 UOI393269:UOI393272 UYE393269:UYE393272 VIA393269:VIA393272 VRW393269:VRW393272 WBS393269:WBS393272 WLO393269:WLO393272 WVK393269:WVK393272 C458805:C458808 IY458805:IY458808 SU458805:SU458808 ACQ458805:ACQ458808 AMM458805:AMM458808 AWI458805:AWI458808 BGE458805:BGE458808 BQA458805:BQA458808 BZW458805:BZW458808 CJS458805:CJS458808 CTO458805:CTO458808 DDK458805:DDK458808 DNG458805:DNG458808 DXC458805:DXC458808 EGY458805:EGY458808 EQU458805:EQU458808 FAQ458805:FAQ458808 FKM458805:FKM458808 FUI458805:FUI458808 GEE458805:GEE458808 GOA458805:GOA458808 GXW458805:GXW458808 HHS458805:HHS458808 HRO458805:HRO458808 IBK458805:IBK458808 ILG458805:ILG458808 IVC458805:IVC458808 JEY458805:JEY458808 JOU458805:JOU458808 JYQ458805:JYQ458808 KIM458805:KIM458808 KSI458805:KSI458808 LCE458805:LCE458808 LMA458805:LMA458808 LVW458805:LVW458808 MFS458805:MFS458808 MPO458805:MPO458808 MZK458805:MZK458808 NJG458805:NJG458808 NTC458805:NTC458808 OCY458805:OCY458808 OMU458805:OMU458808 OWQ458805:OWQ458808 PGM458805:PGM458808 PQI458805:PQI458808 QAE458805:QAE458808 QKA458805:QKA458808 QTW458805:QTW458808 RDS458805:RDS458808 RNO458805:RNO458808 RXK458805:RXK458808 SHG458805:SHG458808 SRC458805:SRC458808 TAY458805:TAY458808 TKU458805:TKU458808 TUQ458805:TUQ458808 UEM458805:UEM458808 UOI458805:UOI458808 UYE458805:UYE458808 VIA458805:VIA458808 VRW458805:VRW458808 WBS458805:WBS458808 WLO458805:WLO458808 WVK458805:WVK458808 C524341:C524344 IY524341:IY524344 SU524341:SU524344 ACQ524341:ACQ524344 AMM524341:AMM524344 AWI524341:AWI524344 BGE524341:BGE524344 BQA524341:BQA524344 BZW524341:BZW524344 CJS524341:CJS524344 CTO524341:CTO524344 DDK524341:DDK524344 DNG524341:DNG524344 DXC524341:DXC524344 EGY524341:EGY524344 EQU524341:EQU524344 FAQ524341:FAQ524344 FKM524341:FKM524344 FUI524341:FUI524344 GEE524341:GEE524344 GOA524341:GOA524344 GXW524341:GXW524344 HHS524341:HHS524344 HRO524341:HRO524344 IBK524341:IBK524344 ILG524341:ILG524344 IVC524341:IVC524344 JEY524341:JEY524344 JOU524341:JOU524344 JYQ524341:JYQ524344 KIM524341:KIM524344 KSI524341:KSI524344 LCE524341:LCE524344 LMA524341:LMA524344 LVW524341:LVW524344 MFS524341:MFS524344 MPO524341:MPO524344 MZK524341:MZK524344 NJG524341:NJG524344 NTC524341:NTC524344 OCY524341:OCY524344 OMU524341:OMU524344 OWQ524341:OWQ524344 PGM524341:PGM524344 PQI524341:PQI524344 QAE524341:QAE524344 QKA524341:QKA524344 QTW524341:QTW524344 RDS524341:RDS524344 RNO524341:RNO524344 RXK524341:RXK524344 SHG524341:SHG524344 SRC524341:SRC524344 TAY524341:TAY524344 TKU524341:TKU524344 TUQ524341:TUQ524344 UEM524341:UEM524344 UOI524341:UOI524344 UYE524341:UYE524344 VIA524341:VIA524344 VRW524341:VRW524344 WBS524341:WBS524344 WLO524341:WLO524344 WVK524341:WVK524344 C589877:C589880 IY589877:IY589880 SU589877:SU589880 ACQ589877:ACQ589880 AMM589877:AMM589880 AWI589877:AWI589880 BGE589877:BGE589880 BQA589877:BQA589880 BZW589877:BZW589880 CJS589877:CJS589880 CTO589877:CTO589880 DDK589877:DDK589880 DNG589877:DNG589880 DXC589877:DXC589880 EGY589877:EGY589880 EQU589877:EQU589880 FAQ589877:FAQ589880 FKM589877:FKM589880 FUI589877:FUI589880 GEE589877:GEE589880 GOA589877:GOA589880 GXW589877:GXW589880 HHS589877:HHS589880 HRO589877:HRO589880 IBK589877:IBK589880 ILG589877:ILG589880 IVC589877:IVC589880 JEY589877:JEY589880 JOU589877:JOU589880 JYQ589877:JYQ589880 KIM589877:KIM589880 KSI589877:KSI589880 LCE589877:LCE589880 LMA589877:LMA589880 LVW589877:LVW589880 MFS589877:MFS589880 MPO589877:MPO589880 MZK589877:MZK589880 NJG589877:NJG589880 NTC589877:NTC589880 OCY589877:OCY589880 OMU589877:OMU589880 OWQ589877:OWQ589880 PGM589877:PGM589880 PQI589877:PQI589880 QAE589877:QAE589880 QKA589877:QKA589880 QTW589877:QTW589880 RDS589877:RDS589880 RNO589877:RNO589880 RXK589877:RXK589880 SHG589877:SHG589880 SRC589877:SRC589880 TAY589877:TAY589880 TKU589877:TKU589880 TUQ589877:TUQ589880 UEM589877:UEM589880 UOI589877:UOI589880 UYE589877:UYE589880 VIA589877:VIA589880 VRW589877:VRW589880 WBS589877:WBS589880 WLO589877:WLO589880 WVK589877:WVK589880 C655413:C655416 IY655413:IY655416 SU655413:SU655416 ACQ655413:ACQ655416 AMM655413:AMM655416 AWI655413:AWI655416 BGE655413:BGE655416 BQA655413:BQA655416 BZW655413:BZW655416 CJS655413:CJS655416 CTO655413:CTO655416 DDK655413:DDK655416 DNG655413:DNG655416 DXC655413:DXC655416 EGY655413:EGY655416 EQU655413:EQU655416 FAQ655413:FAQ655416 FKM655413:FKM655416 FUI655413:FUI655416 GEE655413:GEE655416 GOA655413:GOA655416 GXW655413:GXW655416 HHS655413:HHS655416 HRO655413:HRO655416 IBK655413:IBK655416 ILG655413:ILG655416 IVC655413:IVC655416 JEY655413:JEY655416 JOU655413:JOU655416 JYQ655413:JYQ655416 KIM655413:KIM655416 KSI655413:KSI655416 LCE655413:LCE655416 LMA655413:LMA655416 LVW655413:LVW655416 MFS655413:MFS655416 MPO655413:MPO655416 MZK655413:MZK655416 NJG655413:NJG655416 NTC655413:NTC655416 OCY655413:OCY655416 OMU655413:OMU655416 OWQ655413:OWQ655416 PGM655413:PGM655416 PQI655413:PQI655416 QAE655413:QAE655416 QKA655413:QKA655416 QTW655413:QTW655416 RDS655413:RDS655416 RNO655413:RNO655416 RXK655413:RXK655416 SHG655413:SHG655416 SRC655413:SRC655416 TAY655413:TAY655416 TKU655413:TKU655416 TUQ655413:TUQ655416 UEM655413:UEM655416 UOI655413:UOI655416 UYE655413:UYE655416 VIA655413:VIA655416 VRW655413:VRW655416 WBS655413:WBS655416 WLO655413:WLO655416 WVK655413:WVK655416 C720949:C720952 IY720949:IY720952 SU720949:SU720952 ACQ720949:ACQ720952 AMM720949:AMM720952 AWI720949:AWI720952 BGE720949:BGE720952 BQA720949:BQA720952 BZW720949:BZW720952 CJS720949:CJS720952 CTO720949:CTO720952 DDK720949:DDK720952 DNG720949:DNG720952 DXC720949:DXC720952 EGY720949:EGY720952 EQU720949:EQU720952 FAQ720949:FAQ720952 FKM720949:FKM720952 FUI720949:FUI720952 GEE720949:GEE720952 GOA720949:GOA720952 GXW720949:GXW720952 HHS720949:HHS720952 HRO720949:HRO720952 IBK720949:IBK720952 ILG720949:ILG720952 IVC720949:IVC720952 JEY720949:JEY720952 JOU720949:JOU720952 JYQ720949:JYQ720952 KIM720949:KIM720952 KSI720949:KSI720952 LCE720949:LCE720952 LMA720949:LMA720952 LVW720949:LVW720952 MFS720949:MFS720952 MPO720949:MPO720952 MZK720949:MZK720952 NJG720949:NJG720952 NTC720949:NTC720952 OCY720949:OCY720952 OMU720949:OMU720952 OWQ720949:OWQ720952 PGM720949:PGM720952 PQI720949:PQI720952 QAE720949:QAE720952 QKA720949:QKA720952 QTW720949:QTW720952 RDS720949:RDS720952 RNO720949:RNO720952 RXK720949:RXK720952 SHG720949:SHG720952 SRC720949:SRC720952 TAY720949:TAY720952 TKU720949:TKU720952 TUQ720949:TUQ720952 UEM720949:UEM720952 UOI720949:UOI720952 UYE720949:UYE720952 VIA720949:VIA720952 VRW720949:VRW720952 WBS720949:WBS720952 WLO720949:WLO720952 WVK720949:WVK720952 C786485:C786488 IY786485:IY786488 SU786485:SU786488 ACQ786485:ACQ786488 AMM786485:AMM786488 AWI786485:AWI786488 BGE786485:BGE786488 BQA786485:BQA786488 BZW786485:BZW786488 CJS786485:CJS786488 CTO786485:CTO786488 DDK786485:DDK786488 DNG786485:DNG786488 DXC786485:DXC786488 EGY786485:EGY786488 EQU786485:EQU786488 FAQ786485:FAQ786488 FKM786485:FKM786488 FUI786485:FUI786488 GEE786485:GEE786488 GOA786485:GOA786488 GXW786485:GXW786488 HHS786485:HHS786488 HRO786485:HRO786488 IBK786485:IBK786488 ILG786485:ILG786488 IVC786485:IVC786488 JEY786485:JEY786488 JOU786485:JOU786488 JYQ786485:JYQ786488 KIM786485:KIM786488 KSI786485:KSI786488 LCE786485:LCE786488 LMA786485:LMA786488 LVW786485:LVW786488 MFS786485:MFS786488 MPO786485:MPO786488 MZK786485:MZK786488 NJG786485:NJG786488 NTC786485:NTC786488 OCY786485:OCY786488 OMU786485:OMU786488 OWQ786485:OWQ786488 PGM786485:PGM786488 PQI786485:PQI786488 QAE786485:QAE786488 QKA786485:QKA786488 QTW786485:QTW786488 RDS786485:RDS786488 RNO786485:RNO786488 RXK786485:RXK786488 SHG786485:SHG786488 SRC786485:SRC786488 TAY786485:TAY786488 TKU786485:TKU786488 TUQ786485:TUQ786488 UEM786485:UEM786488 UOI786485:UOI786488 UYE786485:UYE786488 VIA786485:VIA786488 VRW786485:VRW786488 WBS786485:WBS786488 WLO786485:WLO786488 WVK786485:WVK786488 C852021:C852024 IY852021:IY852024 SU852021:SU852024 ACQ852021:ACQ852024 AMM852021:AMM852024 AWI852021:AWI852024 BGE852021:BGE852024 BQA852021:BQA852024 BZW852021:BZW852024 CJS852021:CJS852024 CTO852021:CTO852024 DDK852021:DDK852024 DNG852021:DNG852024 DXC852021:DXC852024 EGY852021:EGY852024 EQU852021:EQU852024 FAQ852021:FAQ852024 FKM852021:FKM852024 FUI852021:FUI852024 GEE852021:GEE852024 GOA852021:GOA852024 GXW852021:GXW852024 HHS852021:HHS852024 HRO852021:HRO852024 IBK852021:IBK852024 ILG852021:ILG852024 IVC852021:IVC852024 JEY852021:JEY852024 JOU852021:JOU852024 JYQ852021:JYQ852024 KIM852021:KIM852024 KSI852021:KSI852024 LCE852021:LCE852024 LMA852021:LMA852024 LVW852021:LVW852024 MFS852021:MFS852024 MPO852021:MPO852024 MZK852021:MZK852024 NJG852021:NJG852024 NTC852021:NTC852024 OCY852021:OCY852024 OMU852021:OMU852024 OWQ852021:OWQ852024 PGM852021:PGM852024 PQI852021:PQI852024 QAE852021:QAE852024 QKA852021:QKA852024 QTW852021:QTW852024 RDS852021:RDS852024 RNO852021:RNO852024 RXK852021:RXK852024 SHG852021:SHG852024 SRC852021:SRC852024 TAY852021:TAY852024 TKU852021:TKU852024 TUQ852021:TUQ852024 UEM852021:UEM852024 UOI852021:UOI852024 UYE852021:UYE852024 VIA852021:VIA852024 VRW852021:VRW852024 WBS852021:WBS852024 WLO852021:WLO852024 WVK852021:WVK852024 C917557:C917560 IY917557:IY917560 SU917557:SU917560 ACQ917557:ACQ917560 AMM917557:AMM917560 AWI917557:AWI917560 BGE917557:BGE917560 BQA917557:BQA917560 BZW917557:BZW917560 CJS917557:CJS917560 CTO917557:CTO917560 DDK917557:DDK917560 DNG917557:DNG917560 DXC917557:DXC917560 EGY917557:EGY917560 EQU917557:EQU917560 FAQ917557:FAQ917560 FKM917557:FKM917560 FUI917557:FUI917560 GEE917557:GEE917560 GOA917557:GOA917560 GXW917557:GXW917560 HHS917557:HHS917560 HRO917557:HRO917560 IBK917557:IBK917560 ILG917557:ILG917560 IVC917557:IVC917560 JEY917557:JEY917560 JOU917557:JOU917560 JYQ917557:JYQ917560 KIM917557:KIM917560 KSI917557:KSI917560 LCE917557:LCE917560 LMA917557:LMA917560 LVW917557:LVW917560 MFS917557:MFS917560 MPO917557:MPO917560 MZK917557:MZK917560 NJG917557:NJG917560 NTC917557:NTC917560 OCY917557:OCY917560 OMU917557:OMU917560 OWQ917557:OWQ917560 PGM917557:PGM917560 PQI917557:PQI917560 QAE917557:QAE917560 QKA917557:QKA917560 QTW917557:QTW917560 RDS917557:RDS917560 RNO917557:RNO917560 RXK917557:RXK917560 SHG917557:SHG917560 SRC917557:SRC917560 TAY917557:TAY917560 TKU917557:TKU917560 TUQ917557:TUQ917560 UEM917557:UEM917560 UOI917557:UOI917560 UYE917557:UYE917560 VIA917557:VIA917560 VRW917557:VRW917560 WBS917557:WBS917560 WLO917557:WLO917560 WVK917557:WVK917560 C983093:C983096 IY983093:IY983096 SU983093:SU983096 ACQ983093:ACQ983096 AMM983093:AMM983096 AWI983093:AWI983096 BGE983093:BGE983096 BQA983093:BQA983096 BZW983093:BZW983096 CJS983093:CJS983096 CTO983093:CTO983096 DDK983093:DDK983096 DNG983093:DNG983096 DXC983093:DXC983096 EGY983093:EGY983096 EQU983093:EQU983096 FAQ983093:FAQ983096 FKM983093:FKM983096 FUI983093:FUI983096 GEE983093:GEE983096 GOA983093:GOA983096 GXW983093:GXW983096 HHS983093:HHS983096 HRO983093:HRO983096 IBK983093:IBK983096 ILG983093:ILG983096 IVC983093:IVC983096 JEY983093:JEY983096 JOU983093:JOU983096 JYQ983093:JYQ983096 KIM983093:KIM983096 KSI983093:KSI983096 LCE983093:LCE983096 LMA983093:LMA983096 LVW983093:LVW983096 MFS983093:MFS983096 MPO983093:MPO983096 MZK983093:MZK983096 NJG983093:NJG983096 NTC983093:NTC983096 OCY983093:OCY983096 OMU983093:OMU983096 OWQ983093:OWQ983096 PGM983093:PGM983096 PQI983093:PQI983096 QAE983093:QAE983096 QKA983093:QKA983096 QTW983093:QTW983096 RDS983093:RDS983096 RNO983093:RNO983096 RXK983093:RXK983096 SHG983093:SHG983096 SRC983093:SRC983096 TAY983093:TAY983096 TKU983093:TKU983096 TUQ983093:TUQ983096 UEM983093:UEM983096 UOI983093:UOI983096 UYE983093:UYE983096 VIA983093:VIA983096 VRW983093:VRW983096 WBS983093:WBS983096 WLO983093:WLO983096 WVK983093:WVK983096" xr:uid="{B54A6690-4202-4706-8BFF-752437BCCDAD}">
      <formula1>"Not Applicable,High,Medium,Low"</formula1>
    </dataValidation>
    <dataValidation type="list" allowBlank="1" showInputMessage="1" showErrorMessage="1" sqref="J26:J27 JF26:JF27 TB26:TB27 ACX26:ACX27 AMT26:AMT27 AWP26:AWP27 BGL26:BGL27 BQH26:BQH27 CAD26:CAD27 CJZ26:CJZ27 CTV26:CTV27 DDR26:DDR27 DNN26:DNN27 DXJ26:DXJ27 EHF26:EHF27 ERB26:ERB27 FAX26:FAX27 FKT26:FKT27 FUP26:FUP27 GEL26:GEL27 GOH26:GOH27 GYD26:GYD27 HHZ26:HHZ27 HRV26:HRV27 IBR26:IBR27 ILN26:ILN27 IVJ26:IVJ27 JFF26:JFF27 JPB26:JPB27 JYX26:JYX27 KIT26:KIT27 KSP26:KSP27 LCL26:LCL27 LMH26:LMH27 LWD26:LWD27 MFZ26:MFZ27 MPV26:MPV27 MZR26:MZR27 NJN26:NJN27 NTJ26:NTJ27 ODF26:ODF27 ONB26:ONB27 OWX26:OWX27 PGT26:PGT27 PQP26:PQP27 QAL26:QAL27 QKH26:QKH27 QUD26:QUD27 RDZ26:RDZ27 RNV26:RNV27 RXR26:RXR27 SHN26:SHN27 SRJ26:SRJ27 TBF26:TBF27 TLB26:TLB27 TUX26:TUX27 UET26:UET27 UOP26:UOP27 UYL26:UYL27 VIH26:VIH27 VSD26:VSD27 WBZ26:WBZ27 WLV26:WLV27 WVR26:WVR27 J65562:J65563 JF65562:JF65563 TB65562:TB65563 ACX65562:ACX65563 AMT65562:AMT65563 AWP65562:AWP65563 BGL65562:BGL65563 BQH65562:BQH65563 CAD65562:CAD65563 CJZ65562:CJZ65563 CTV65562:CTV65563 DDR65562:DDR65563 DNN65562:DNN65563 DXJ65562:DXJ65563 EHF65562:EHF65563 ERB65562:ERB65563 FAX65562:FAX65563 FKT65562:FKT65563 FUP65562:FUP65563 GEL65562:GEL65563 GOH65562:GOH65563 GYD65562:GYD65563 HHZ65562:HHZ65563 HRV65562:HRV65563 IBR65562:IBR65563 ILN65562:ILN65563 IVJ65562:IVJ65563 JFF65562:JFF65563 JPB65562:JPB65563 JYX65562:JYX65563 KIT65562:KIT65563 KSP65562:KSP65563 LCL65562:LCL65563 LMH65562:LMH65563 LWD65562:LWD65563 MFZ65562:MFZ65563 MPV65562:MPV65563 MZR65562:MZR65563 NJN65562:NJN65563 NTJ65562:NTJ65563 ODF65562:ODF65563 ONB65562:ONB65563 OWX65562:OWX65563 PGT65562:PGT65563 PQP65562:PQP65563 QAL65562:QAL65563 QKH65562:QKH65563 QUD65562:QUD65563 RDZ65562:RDZ65563 RNV65562:RNV65563 RXR65562:RXR65563 SHN65562:SHN65563 SRJ65562:SRJ65563 TBF65562:TBF65563 TLB65562:TLB65563 TUX65562:TUX65563 UET65562:UET65563 UOP65562:UOP65563 UYL65562:UYL65563 VIH65562:VIH65563 VSD65562:VSD65563 WBZ65562:WBZ65563 WLV65562:WLV65563 WVR65562:WVR65563 J131098:J131099 JF131098:JF131099 TB131098:TB131099 ACX131098:ACX131099 AMT131098:AMT131099 AWP131098:AWP131099 BGL131098:BGL131099 BQH131098:BQH131099 CAD131098:CAD131099 CJZ131098:CJZ131099 CTV131098:CTV131099 DDR131098:DDR131099 DNN131098:DNN131099 DXJ131098:DXJ131099 EHF131098:EHF131099 ERB131098:ERB131099 FAX131098:FAX131099 FKT131098:FKT131099 FUP131098:FUP131099 GEL131098:GEL131099 GOH131098:GOH131099 GYD131098:GYD131099 HHZ131098:HHZ131099 HRV131098:HRV131099 IBR131098:IBR131099 ILN131098:ILN131099 IVJ131098:IVJ131099 JFF131098:JFF131099 JPB131098:JPB131099 JYX131098:JYX131099 KIT131098:KIT131099 KSP131098:KSP131099 LCL131098:LCL131099 LMH131098:LMH131099 LWD131098:LWD131099 MFZ131098:MFZ131099 MPV131098:MPV131099 MZR131098:MZR131099 NJN131098:NJN131099 NTJ131098:NTJ131099 ODF131098:ODF131099 ONB131098:ONB131099 OWX131098:OWX131099 PGT131098:PGT131099 PQP131098:PQP131099 QAL131098:QAL131099 QKH131098:QKH131099 QUD131098:QUD131099 RDZ131098:RDZ131099 RNV131098:RNV131099 RXR131098:RXR131099 SHN131098:SHN131099 SRJ131098:SRJ131099 TBF131098:TBF131099 TLB131098:TLB131099 TUX131098:TUX131099 UET131098:UET131099 UOP131098:UOP131099 UYL131098:UYL131099 VIH131098:VIH131099 VSD131098:VSD131099 WBZ131098:WBZ131099 WLV131098:WLV131099 WVR131098:WVR131099 J196634:J196635 JF196634:JF196635 TB196634:TB196635 ACX196634:ACX196635 AMT196634:AMT196635 AWP196634:AWP196635 BGL196634:BGL196635 BQH196634:BQH196635 CAD196634:CAD196635 CJZ196634:CJZ196635 CTV196634:CTV196635 DDR196634:DDR196635 DNN196634:DNN196635 DXJ196634:DXJ196635 EHF196634:EHF196635 ERB196634:ERB196635 FAX196634:FAX196635 FKT196634:FKT196635 FUP196634:FUP196635 GEL196634:GEL196635 GOH196634:GOH196635 GYD196634:GYD196635 HHZ196634:HHZ196635 HRV196634:HRV196635 IBR196634:IBR196635 ILN196634:ILN196635 IVJ196634:IVJ196635 JFF196634:JFF196635 JPB196634:JPB196635 JYX196634:JYX196635 KIT196634:KIT196635 KSP196634:KSP196635 LCL196634:LCL196635 LMH196634:LMH196635 LWD196634:LWD196635 MFZ196634:MFZ196635 MPV196634:MPV196635 MZR196634:MZR196635 NJN196634:NJN196635 NTJ196634:NTJ196635 ODF196634:ODF196635 ONB196634:ONB196635 OWX196634:OWX196635 PGT196634:PGT196635 PQP196634:PQP196635 QAL196634:QAL196635 QKH196634:QKH196635 QUD196634:QUD196635 RDZ196634:RDZ196635 RNV196634:RNV196635 RXR196634:RXR196635 SHN196634:SHN196635 SRJ196634:SRJ196635 TBF196634:TBF196635 TLB196634:TLB196635 TUX196634:TUX196635 UET196634:UET196635 UOP196634:UOP196635 UYL196634:UYL196635 VIH196634:VIH196635 VSD196634:VSD196635 WBZ196634:WBZ196635 WLV196634:WLV196635 WVR196634:WVR196635 J262170:J262171 JF262170:JF262171 TB262170:TB262171 ACX262170:ACX262171 AMT262170:AMT262171 AWP262170:AWP262171 BGL262170:BGL262171 BQH262170:BQH262171 CAD262170:CAD262171 CJZ262170:CJZ262171 CTV262170:CTV262171 DDR262170:DDR262171 DNN262170:DNN262171 DXJ262170:DXJ262171 EHF262170:EHF262171 ERB262170:ERB262171 FAX262170:FAX262171 FKT262170:FKT262171 FUP262170:FUP262171 GEL262170:GEL262171 GOH262170:GOH262171 GYD262170:GYD262171 HHZ262170:HHZ262171 HRV262170:HRV262171 IBR262170:IBR262171 ILN262170:ILN262171 IVJ262170:IVJ262171 JFF262170:JFF262171 JPB262170:JPB262171 JYX262170:JYX262171 KIT262170:KIT262171 KSP262170:KSP262171 LCL262170:LCL262171 LMH262170:LMH262171 LWD262170:LWD262171 MFZ262170:MFZ262171 MPV262170:MPV262171 MZR262170:MZR262171 NJN262170:NJN262171 NTJ262170:NTJ262171 ODF262170:ODF262171 ONB262170:ONB262171 OWX262170:OWX262171 PGT262170:PGT262171 PQP262170:PQP262171 QAL262170:QAL262171 QKH262170:QKH262171 QUD262170:QUD262171 RDZ262170:RDZ262171 RNV262170:RNV262171 RXR262170:RXR262171 SHN262170:SHN262171 SRJ262170:SRJ262171 TBF262170:TBF262171 TLB262170:TLB262171 TUX262170:TUX262171 UET262170:UET262171 UOP262170:UOP262171 UYL262170:UYL262171 VIH262170:VIH262171 VSD262170:VSD262171 WBZ262170:WBZ262171 WLV262170:WLV262171 WVR262170:WVR262171 J327706:J327707 JF327706:JF327707 TB327706:TB327707 ACX327706:ACX327707 AMT327706:AMT327707 AWP327706:AWP327707 BGL327706:BGL327707 BQH327706:BQH327707 CAD327706:CAD327707 CJZ327706:CJZ327707 CTV327706:CTV327707 DDR327706:DDR327707 DNN327706:DNN327707 DXJ327706:DXJ327707 EHF327706:EHF327707 ERB327706:ERB327707 FAX327706:FAX327707 FKT327706:FKT327707 FUP327706:FUP327707 GEL327706:GEL327707 GOH327706:GOH327707 GYD327706:GYD327707 HHZ327706:HHZ327707 HRV327706:HRV327707 IBR327706:IBR327707 ILN327706:ILN327707 IVJ327706:IVJ327707 JFF327706:JFF327707 JPB327706:JPB327707 JYX327706:JYX327707 KIT327706:KIT327707 KSP327706:KSP327707 LCL327706:LCL327707 LMH327706:LMH327707 LWD327706:LWD327707 MFZ327706:MFZ327707 MPV327706:MPV327707 MZR327706:MZR327707 NJN327706:NJN327707 NTJ327706:NTJ327707 ODF327706:ODF327707 ONB327706:ONB327707 OWX327706:OWX327707 PGT327706:PGT327707 PQP327706:PQP327707 QAL327706:QAL327707 QKH327706:QKH327707 QUD327706:QUD327707 RDZ327706:RDZ327707 RNV327706:RNV327707 RXR327706:RXR327707 SHN327706:SHN327707 SRJ327706:SRJ327707 TBF327706:TBF327707 TLB327706:TLB327707 TUX327706:TUX327707 UET327706:UET327707 UOP327706:UOP327707 UYL327706:UYL327707 VIH327706:VIH327707 VSD327706:VSD327707 WBZ327706:WBZ327707 WLV327706:WLV327707 WVR327706:WVR327707 J393242:J393243 JF393242:JF393243 TB393242:TB393243 ACX393242:ACX393243 AMT393242:AMT393243 AWP393242:AWP393243 BGL393242:BGL393243 BQH393242:BQH393243 CAD393242:CAD393243 CJZ393242:CJZ393243 CTV393242:CTV393243 DDR393242:DDR393243 DNN393242:DNN393243 DXJ393242:DXJ393243 EHF393242:EHF393243 ERB393242:ERB393243 FAX393242:FAX393243 FKT393242:FKT393243 FUP393242:FUP393243 GEL393242:GEL393243 GOH393242:GOH393243 GYD393242:GYD393243 HHZ393242:HHZ393243 HRV393242:HRV393243 IBR393242:IBR393243 ILN393242:ILN393243 IVJ393242:IVJ393243 JFF393242:JFF393243 JPB393242:JPB393243 JYX393242:JYX393243 KIT393242:KIT393243 KSP393242:KSP393243 LCL393242:LCL393243 LMH393242:LMH393243 LWD393242:LWD393243 MFZ393242:MFZ393243 MPV393242:MPV393243 MZR393242:MZR393243 NJN393242:NJN393243 NTJ393242:NTJ393243 ODF393242:ODF393243 ONB393242:ONB393243 OWX393242:OWX393243 PGT393242:PGT393243 PQP393242:PQP393243 QAL393242:QAL393243 QKH393242:QKH393243 QUD393242:QUD393243 RDZ393242:RDZ393243 RNV393242:RNV393243 RXR393242:RXR393243 SHN393242:SHN393243 SRJ393242:SRJ393243 TBF393242:TBF393243 TLB393242:TLB393243 TUX393242:TUX393243 UET393242:UET393243 UOP393242:UOP393243 UYL393242:UYL393243 VIH393242:VIH393243 VSD393242:VSD393243 WBZ393242:WBZ393243 WLV393242:WLV393243 WVR393242:WVR393243 J458778:J458779 JF458778:JF458779 TB458778:TB458779 ACX458778:ACX458779 AMT458778:AMT458779 AWP458778:AWP458779 BGL458778:BGL458779 BQH458778:BQH458779 CAD458778:CAD458779 CJZ458778:CJZ458779 CTV458778:CTV458779 DDR458778:DDR458779 DNN458778:DNN458779 DXJ458778:DXJ458779 EHF458778:EHF458779 ERB458778:ERB458779 FAX458778:FAX458779 FKT458778:FKT458779 FUP458778:FUP458779 GEL458778:GEL458779 GOH458778:GOH458779 GYD458778:GYD458779 HHZ458778:HHZ458779 HRV458778:HRV458779 IBR458778:IBR458779 ILN458778:ILN458779 IVJ458778:IVJ458779 JFF458778:JFF458779 JPB458778:JPB458779 JYX458778:JYX458779 KIT458778:KIT458779 KSP458778:KSP458779 LCL458778:LCL458779 LMH458778:LMH458779 LWD458778:LWD458779 MFZ458778:MFZ458779 MPV458778:MPV458779 MZR458778:MZR458779 NJN458778:NJN458779 NTJ458778:NTJ458779 ODF458778:ODF458779 ONB458778:ONB458779 OWX458778:OWX458779 PGT458778:PGT458779 PQP458778:PQP458779 QAL458778:QAL458779 QKH458778:QKH458779 QUD458778:QUD458779 RDZ458778:RDZ458779 RNV458778:RNV458779 RXR458778:RXR458779 SHN458778:SHN458779 SRJ458778:SRJ458779 TBF458778:TBF458779 TLB458778:TLB458779 TUX458778:TUX458779 UET458778:UET458779 UOP458778:UOP458779 UYL458778:UYL458779 VIH458778:VIH458779 VSD458778:VSD458779 WBZ458778:WBZ458779 WLV458778:WLV458779 WVR458778:WVR458779 J524314:J524315 JF524314:JF524315 TB524314:TB524315 ACX524314:ACX524315 AMT524314:AMT524315 AWP524314:AWP524315 BGL524314:BGL524315 BQH524314:BQH524315 CAD524314:CAD524315 CJZ524314:CJZ524315 CTV524314:CTV524315 DDR524314:DDR524315 DNN524314:DNN524315 DXJ524314:DXJ524315 EHF524314:EHF524315 ERB524314:ERB524315 FAX524314:FAX524315 FKT524314:FKT524315 FUP524314:FUP524315 GEL524314:GEL524315 GOH524314:GOH524315 GYD524314:GYD524315 HHZ524314:HHZ524315 HRV524314:HRV524315 IBR524314:IBR524315 ILN524314:ILN524315 IVJ524314:IVJ524315 JFF524314:JFF524315 JPB524314:JPB524315 JYX524314:JYX524315 KIT524314:KIT524315 KSP524314:KSP524315 LCL524314:LCL524315 LMH524314:LMH524315 LWD524314:LWD524315 MFZ524314:MFZ524315 MPV524314:MPV524315 MZR524314:MZR524315 NJN524314:NJN524315 NTJ524314:NTJ524315 ODF524314:ODF524315 ONB524314:ONB524315 OWX524314:OWX524315 PGT524314:PGT524315 PQP524314:PQP524315 QAL524314:QAL524315 QKH524314:QKH524315 QUD524314:QUD524315 RDZ524314:RDZ524315 RNV524314:RNV524315 RXR524314:RXR524315 SHN524314:SHN524315 SRJ524314:SRJ524315 TBF524314:TBF524315 TLB524314:TLB524315 TUX524314:TUX524315 UET524314:UET524315 UOP524314:UOP524315 UYL524314:UYL524315 VIH524314:VIH524315 VSD524314:VSD524315 WBZ524314:WBZ524315 WLV524314:WLV524315 WVR524314:WVR524315 J589850:J589851 JF589850:JF589851 TB589850:TB589851 ACX589850:ACX589851 AMT589850:AMT589851 AWP589850:AWP589851 BGL589850:BGL589851 BQH589850:BQH589851 CAD589850:CAD589851 CJZ589850:CJZ589851 CTV589850:CTV589851 DDR589850:DDR589851 DNN589850:DNN589851 DXJ589850:DXJ589851 EHF589850:EHF589851 ERB589850:ERB589851 FAX589850:FAX589851 FKT589850:FKT589851 FUP589850:FUP589851 GEL589850:GEL589851 GOH589850:GOH589851 GYD589850:GYD589851 HHZ589850:HHZ589851 HRV589850:HRV589851 IBR589850:IBR589851 ILN589850:ILN589851 IVJ589850:IVJ589851 JFF589850:JFF589851 JPB589850:JPB589851 JYX589850:JYX589851 KIT589850:KIT589851 KSP589850:KSP589851 LCL589850:LCL589851 LMH589850:LMH589851 LWD589850:LWD589851 MFZ589850:MFZ589851 MPV589850:MPV589851 MZR589850:MZR589851 NJN589850:NJN589851 NTJ589850:NTJ589851 ODF589850:ODF589851 ONB589850:ONB589851 OWX589850:OWX589851 PGT589850:PGT589851 PQP589850:PQP589851 QAL589850:QAL589851 QKH589850:QKH589851 QUD589850:QUD589851 RDZ589850:RDZ589851 RNV589850:RNV589851 RXR589850:RXR589851 SHN589850:SHN589851 SRJ589850:SRJ589851 TBF589850:TBF589851 TLB589850:TLB589851 TUX589850:TUX589851 UET589850:UET589851 UOP589850:UOP589851 UYL589850:UYL589851 VIH589850:VIH589851 VSD589850:VSD589851 WBZ589850:WBZ589851 WLV589850:WLV589851 WVR589850:WVR589851 J655386:J655387 JF655386:JF655387 TB655386:TB655387 ACX655386:ACX655387 AMT655386:AMT655387 AWP655386:AWP655387 BGL655386:BGL655387 BQH655386:BQH655387 CAD655386:CAD655387 CJZ655386:CJZ655387 CTV655386:CTV655387 DDR655386:DDR655387 DNN655386:DNN655387 DXJ655386:DXJ655387 EHF655386:EHF655387 ERB655386:ERB655387 FAX655386:FAX655387 FKT655386:FKT655387 FUP655386:FUP655387 GEL655386:GEL655387 GOH655386:GOH655387 GYD655386:GYD655387 HHZ655386:HHZ655387 HRV655386:HRV655387 IBR655386:IBR655387 ILN655386:ILN655387 IVJ655386:IVJ655387 JFF655386:JFF655387 JPB655386:JPB655387 JYX655386:JYX655387 KIT655386:KIT655387 KSP655386:KSP655387 LCL655386:LCL655387 LMH655386:LMH655387 LWD655386:LWD655387 MFZ655386:MFZ655387 MPV655386:MPV655387 MZR655386:MZR655387 NJN655386:NJN655387 NTJ655386:NTJ655387 ODF655386:ODF655387 ONB655386:ONB655387 OWX655386:OWX655387 PGT655386:PGT655387 PQP655386:PQP655387 QAL655386:QAL655387 QKH655386:QKH655387 QUD655386:QUD655387 RDZ655386:RDZ655387 RNV655386:RNV655387 RXR655386:RXR655387 SHN655386:SHN655387 SRJ655386:SRJ655387 TBF655386:TBF655387 TLB655386:TLB655387 TUX655386:TUX655387 UET655386:UET655387 UOP655386:UOP655387 UYL655386:UYL655387 VIH655386:VIH655387 VSD655386:VSD655387 WBZ655386:WBZ655387 WLV655386:WLV655387 WVR655386:WVR655387 J720922:J720923 JF720922:JF720923 TB720922:TB720923 ACX720922:ACX720923 AMT720922:AMT720923 AWP720922:AWP720923 BGL720922:BGL720923 BQH720922:BQH720923 CAD720922:CAD720923 CJZ720922:CJZ720923 CTV720922:CTV720923 DDR720922:DDR720923 DNN720922:DNN720923 DXJ720922:DXJ720923 EHF720922:EHF720923 ERB720922:ERB720923 FAX720922:FAX720923 FKT720922:FKT720923 FUP720922:FUP720923 GEL720922:GEL720923 GOH720922:GOH720923 GYD720922:GYD720923 HHZ720922:HHZ720923 HRV720922:HRV720923 IBR720922:IBR720923 ILN720922:ILN720923 IVJ720922:IVJ720923 JFF720922:JFF720923 JPB720922:JPB720923 JYX720922:JYX720923 KIT720922:KIT720923 KSP720922:KSP720923 LCL720922:LCL720923 LMH720922:LMH720923 LWD720922:LWD720923 MFZ720922:MFZ720923 MPV720922:MPV720923 MZR720922:MZR720923 NJN720922:NJN720923 NTJ720922:NTJ720923 ODF720922:ODF720923 ONB720922:ONB720923 OWX720922:OWX720923 PGT720922:PGT720923 PQP720922:PQP720923 QAL720922:QAL720923 QKH720922:QKH720923 QUD720922:QUD720923 RDZ720922:RDZ720923 RNV720922:RNV720923 RXR720922:RXR720923 SHN720922:SHN720923 SRJ720922:SRJ720923 TBF720922:TBF720923 TLB720922:TLB720923 TUX720922:TUX720923 UET720922:UET720923 UOP720922:UOP720923 UYL720922:UYL720923 VIH720922:VIH720923 VSD720922:VSD720923 WBZ720922:WBZ720923 WLV720922:WLV720923 WVR720922:WVR720923 J786458:J786459 JF786458:JF786459 TB786458:TB786459 ACX786458:ACX786459 AMT786458:AMT786459 AWP786458:AWP786459 BGL786458:BGL786459 BQH786458:BQH786459 CAD786458:CAD786459 CJZ786458:CJZ786459 CTV786458:CTV786459 DDR786458:DDR786459 DNN786458:DNN786459 DXJ786458:DXJ786459 EHF786458:EHF786459 ERB786458:ERB786459 FAX786458:FAX786459 FKT786458:FKT786459 FUP786458:FUP786459 GEL786458:GEL786459 GOH786458:GOH786459 GYD786458:GYD786459 HHZ786458:HHZ786459 HRV786458:HRV786459 IBR786458:IBR786459 ILN786458:ILN786459 IVJ786458:IVJ786459 JFF786458:JFF786459 JPB786458:JPB786459 JYX786458:JYX786459 KIT786458:KIT786459 KSP786458:KSP786459 LCL786458:LCL786459 LMH786458:LMH786459 LWD786458:LWD786459 MFZ786458:MFZ786459 MPV786458:MPV786459 MZR786458:MZR786459 NJN786458:NJN786459 NTJ786458:NTJ786459 ODF786458:ODF786459 ONB786458:ONB786459 OWX786458:OWX786459 PGT786458:PGT786459 PQP786458:PQP786459 QAL786458:QAL786459 QKH786458:QKH786459 QUD786458:QUD786459 RDZ786458:RDZ786459 RNV786458:RNV786459 RXR786458:RXR786459 SHN786458:SHN786459 SRJ786458:SRJ786459 TBF786458:TBF786459 TLB786458:TLB786459 TUX786458:TUX786459 UET786458:UET786459 UOP786458:UOP786459 UYL786458:UYL786459 VIH786458:VIH786459 VSD786458:VSD786459 WBZ786458:WBZ786459 WLV786458:WLV786459 WVR786458:WVR786459 J851994:J851995 JF851994:JF851995 TB851994:TB851995 ACX851994:ACX851995 AMT851994:AMT851995 AWP851994:AWP851995 BGL851994:BGL851995 BQH851994:BQH851995 CAD851994:CAD851995 CJZ851994:CJZ851995 CTV851994:CTV851995 DDR851994:DDR851995 DNN851994:DNN851995 DXJ851994:DXJ851995 EHF851994:EHF851995 ERB851994:ERB851995 FAX851994:FAX851995 FKT851994:FKT851995 FUP851994:FUP851995 GEL851994:GEL851995 GOH851994:GOH851995 GYD851994:GYD851995 HHZ851994:HHZ851995 HRV851994:HRV851995 IBR851994:IBR851995 ILN851994:ILN851995 IVJ851994:IVJ851995 JFF851994:JFF851995 JPB851994:JPB851995 JYX851994:JYX851995 KIT851994:KIT851995 KSP851994:KSP851995 LCL851994:LCL851995 LMH851994:LMH851995 LWD851994:LWD851995 MFZ851994:MFZ851995 MPV851994:MPV851995 MZR851994:MZR851995 NJN851994:NJN851995 NTJ851994:NTJ851995 ODF851994:ODF851995 ONB851994:ONB851995 OWX851994:OWX851995 PGT851994:PGT851995 PQP851994:PQP851995 QAL851994:QAL851995 QKH851994:QKH851995 QUD851994:QUD851995 RDZ851994:RDZ851995 RNV851994:RNV851995 RXR851994:RXR851995 SHN851994:SHN851995 SRJ851994:SRJ851995 TBF851994:TBF851995 TLB851994:TLB851995 TUX851994:TUX851995 UET851994:UET851995 UOP851994:UOP851995 UYL851994:UYL851995 VIH851994:VIH851995 VSD851994:VSD851995 WBZ851994:WBZ851995 WLV851994:WLV851995 WVR851994:WVR851995 J917530:J917531 JF917530:JF917531 TB917530:TB917531 ACX917530:ACX917531 AMT917530:AMT917531 AWP917530:AWP917531 BGL917530:BGL917531 BQH917530:BQH917531 CAD917530:CAD917531 CJZ917530:CJZ917531 CTV917530:CTV917531 DDR917530:DDR917531 DNN917530:DNN917531 DXJ917530:DXJ917531 EHF917530:EHF917531 ERB917530:ERB917531 FAX917530:FAX917531 FKT917530:FKT917531 FUP917530:FUP917531 GEL917530:GEL917531 GOH917530:GOH917531 GYD917530:GYD917531 HHZ917530:HHZ917531 HRV917530:HRV917531 IBR917530:IBR917531 ILN917530:ILN917531 IVJ917530:IVJ917531 JFF917530:JFF917531 JPB917530:JPB917531 JYX917530:JYX917531 KIT917530:KIT917531 KSP917530:KSP917531 LCL917530:LCL917531 LMH917530:LMH917531 LWD917530:LWD917531 MFZ917530:MFZ917531 MPV917530:MPV917531 MZR917530:MZR917531 NJN917530:NJN917531 NTJ917530:NTJ917531 ODF917530:ODF917531 ONB917530:ONB917531 OWX917530:OWX917531 PGT917530:PGT917531 PQP917530:PQP917531 QAL917530:QAL917531 QKH917530:QKH917531 QUD917530:QUD917531 RDZ917530:RDZ917531 RNV917530:RNV917531 RXR917530:RXR917531 SHN917530:SHN917531 SRJ917530:SRJ917531 TBF917530:TBF917531 TLB917530:TLB917531 TUX917530:TUX917531 UET917530:UET917531 UOP917530:UOP917531 UYL917530:UYL917531 VIH917530:VIH917531 VSD917530:VSD917531 WBZ917530:WBZ917531 WLV917530:WLV917531 WVR917530:WVR917531 J983066:J983067 JF983066:JF983067 TB983066:TB983067 ACX983066:ACX983067 AMT983066:AMT983067 AWP983066:AWP983067 BGL983066:BGL983067 BQH983066:BQH983067 CAD983066:CAD983067 CJZ983066:CJZ983067 CTV983066:CTV983067 DDR983066:DDR983067 DNN983066:DNN983067 DXJ983066:DXJ983067 EHF983066:EHF983067 ERB983066:ERB983067 FAX983066:FAX983067 FKT983066:FKT983067 FUP983066:FUP983067 GEL983066:GEL983067 GOH983066:GOH983067 GYD983066:GYD983067 HHZ983066:HHZ983067 HRV983066:HRV983067 IBR983066:IBR983067 ILN983066:ILN983067 IVJ983066:IVJ983067 JFF983066:JFF983067 JPB983066:JPB983067 JYX983066:JYX983067 KIT983066:KIT983067 KSP983066:KSP983067 LCL983066:LCL983067 LMH983066:LMH983067 LWD983066:LWD983067 MFZ983066:MFZ983067 MPV983066:MPV983067 MZR983066:MZR983067 NJN983066:NJN983067 NTJ983066:NTJ983067 ODF983066:ODF983067 ONB983066:ONB983067 OWX983066:OWX983067 PGT983066:PGT983067 PQP983066:PQP983067 QAL983066:QAL983067 QKH983066:QKH983067 QUD983066:QUD983067 RDZ983066:RDZ983067 RNV983066:RNV983067 RXR983066:RXR983067 SHN983066:SHN983067 SRJ983066:SRJ983067 TBF983066:TBF983067 TLB983066:TLB983067 TUX983066:TUX983067 UET983066:UET983067 UOP983066:UOP983067 UYL983066:UYL983067 VIH983066:VIH983067 VSD983066:VSD983067 WBZ983066:WBZ983067 WLV983066:WLV983067 WVR983066:WVR983067 D32:D48 IZ32:IZ48 SV32:SV48 ACR32:ACR48 AMN32:AMN48 AWJ32:AWJ48 BGF32:BGF48 BQB32:BQB48 BZX32:BZX48 CJT32:CJT48 CTP32:CTP48 DDL32:DDL48 DNH32:DNH48 DXD32:DXD48 EGZ32:EGZ48 EQV32:EQV48 FAR32:FAR48 FKN32:FKN48 FUJ32:FUJ48 GEF32:GEF48 GOB32:GOB48 GXX32:GXX48 HHT32:HHT48 HRP32:HRP48 IBL32:IBL48 ILH32:ILH48 IVD32:IVD48 JEZ32:JEZ48 JOV32:JOV48 JYR32:JYR48 KIN32:KIN48 KSJ32:KSJ48 LCF32:LCF48 LMB32:LMB48 LVX32:LVX48 MFT32:MFT48 MPP32:MPP48 MZL32:MZL48 NJH32:NJH48 NTD32:NTD48 OCZ32:OCZ48 OMV32:OMV48 OWR32:OWR48 PGN32:PGN48 PQJ32:PQJ48 QAF32:QAF48 QKB32:QKB48 QTX32:QTX48 RDT32:RDT48 RNP32:RNP48 RXL32:RXL48 SHH32:SHH48 SRD32:SRD48 TAZ32:TAZ48 TKV32:TKV48 TUR32:TUR48 UEN32:UEN48 UOJ32:UOJ48 UYF32:UYF48 VIB32:VIB48 VRX32:VRX48 WBT32:WBT48 WLP32:WLP48 WVL32:WVL48 D65568:D65584 IZ65568:IZ65584 SV65568:SV65584 ACR65568:ACR65584 AMN65568:AMN65584 AWJ65568:AWJ65584 BGF65568:BGF65584 BQB65568:BQB65584 BZX65568:BZX65584 CJT65568:CJT65584 CTP65568:CTP65584 DDL65568:DDL65584 DNH65568:DNH65584 DXD65568:DXD65584 EGZ65568:EGZ65584 EQV65568:EQV65584 FAR65568:FAR65584 FKN65568:FKN65584 FUJ65568:FUJ65584 GEF65568:GEF65584 GOB65568:GOB65584 GXX65568:GXX65584 HHT65568:HHT65584 HRP65568:HRP65584 IBL65568:IBL65584 ILH65568:ILH65584 IVD65568:IVD65584 JEZ65568:JEZ65584 JOV65568:JOV65584 JYR65568:JYR65584 KIN65568:KIN65584 KSJ65568:KSJ65584 LCF65568:LCF65584 LMB65568:LMB65584 LVX65568:LVX65584 MFT65568:MFT65584 MPP65568:MPP65584 MZL65568:MZL65584 NJH65568:NJH65584 NTD65568:NTD65584 OCZ65568:OCZ65584 OMV65568:OMV65584 OWR65568:OWR65584 PGN65568:PGN65584 PQJ65568:PQJ65584 QAF65568:QAF65584 QKB65568:QKB65584 QTX65568:QTX65584 RDT65568:RDT65584 RNP65568:RNP65584 RXL65568:RXL65584 SHH65568:SHH65584 SRD65568:SRD65584 TAZ65568:TAZ65584 TKV65568:TKV65584 TUR65568:TUR65584 UEN65568:UEN65584 UOJ65568:UOJ65584 UYF65568:UYF65584 VIB65568:VIB65584 VRX65568:VRX65584 WBT65568:WBT65584 WLP65568:WLP65584 WVL65568:WVL65584 D131104:D131120 IZ131104:IZ131120 SV131104:SV131120 ACR131104:ACR131120 AMN131104:AMN131120 AWJ131104:AWJ131120 BGF131104:BGF131120 BQB131104:BQB131120 BZX131104:BZX131120 CJT131104:CJT131120 CTP131104:CTP131120 DDL131104:DDL131120 DNH131104:DNH131120 DXD131104:DXD131120 EGZ131104:EGZ131120 EQV131104:EQV131120 FAR131104:FAR131120 FKN131104:FKN131120 FUJ131104:FUJ131120 GEF131104:GEF131120 GOB131104:GOB131120 GXX131104:GXX131120 HHT131104:HHT131120 HRP131104:HRP131120 IBL131104:IBL131120 ILH131104:ILH131120 IVD131104:IVD131120 JEZ131104:JEZ131120 JOV131104:JOV131120 JYR131104:JYR131120 KIN131104:KIN131120 KSJ131104:KSJ131120 LCF131104:LCF131120 LMB131104:LMB131120 LVX131104:LVX131120 MFT131104:MFT131120 MPP131104:MPP131120 MZL131104:MZL131120 NJH131104:NJH131120 NTD131104:NTD131120 OCZ131104:OCZ131120 OMV131104:OMV131120 OWR131104:OWR131120 PGN131104:PGN131120 PQJ131104:PQJ131120 QAF131104:QAF131120 QKB131104:QKB131120 QTX131104:QTX131120 RDT131104:RDT131120 RNP131104:RNP131120 RXL131104:RXL131120 SHH131104:SHH131120 SRD131104:SRD131120 TAZ131104:TAZ131120 TKV131104:TKV131120 TUR131104:TUR131120 UEN131104:UEN131120 UOJ131104:UOJ131120 UYF131104:UYF131120 VIB131104:VIB131120 VRX131104:VRX131120 WBT131104:WBT131120 WLP131104:WLP131120 WVL131104:WVL131120 D196640:D196656 IZ196640:IZ196656 SV196640:SV196656 ACR196640:ACR196656 AMN196640:AMN196656 AWJ196640:AWJ196656 BGF196640:BGF196656 BQB196640:BQB196656 BZX196640:BZX196656 CJT196640:CJT196656 CTP196640:CTP196656 DDL196640:DDL196656 DNH196640:DNH196656 DXD196640:DXD196656 EGZ196640:EGZ196656 EQV196640:EQV196656 FAR196640:FAR196656 FKN196640:FKN196656 FUJ196640:FUJ196656 GEF196640:GEF196656 GOB196640:GOB196656 GXX196640:GXX196656 HHT196640:HHT196656 HRP196640:HRP196656 IBL196640:IBL196656 ILH196640:ILH196656 IVD196640:IVD196656 JEZ196640:JEZ196656 JOV196640:JOV196656 JYR196640:JYR196656 KIN196640:KIN196656 KSJ196640:KSJ196656 LCF196640:LCF196656 LMB196640:LMB196656 LVX196640:LVX196656 MFT196640:MFT196656 MPP196640:MPP196656 MZL196640:MZL196656 NJH196640:NJH196656 NTD196640:NTD196656 OCZ196640:OCZ196656 OMV196640:OMV196656 OWR196640:OWR196656 PGN196640:PGN196656 PQJ196640:PQJ196656 QAF196640:QAF196656 QKB196640:QKB196656 QTX196640:QTX196656 RDT196640:RDT196656 RNP196640:RNP196656 RXL196640:RXL196656 SHH196640:SHH196656 SRD196640:SRD196656 TAZ196640:TAZ196656 TKV196640:TKV196656 TUR196640:TUR196656 UEN196640:UEN196656 UOJ196640:UOJ196656 UYF196640:UYF196656 VIB196640:VIB196656 VRX196640:VRX196656 WBT196640:WBT196656 WLP196640:WLP196656 WVL196640:WVL196656 D262176:D262192 IZ262176:IZ262192 SV262176:SV262192 ACR262176:ACR262192 AMN262176:AMN262192 AWJ262176:AWJ262192 BGF262176:BGF262192 BQB262176:BQB262192 BZX262176:BZX262192 CJT262176:CJT262192 CTP262176:CTP262192 DDL262176:DDL262192 DNH262176:DNH262192 DXD262176:DXD262192 EGZ262176:EGZ262192 EQV262176:EQV262192 FAR262176:FAR262192 FKN262176:FKN262192 FUJ262176:FUJ262192 GEF262176:GEF262192 GOB262176:GOB262192 GXX262176:GXX262192 HHT262176:HHT262192 HRP262176:HRP262192 IBL262176:IBL262192 ILH262176:ILH262192 IVD262176:IVD262192 JEZ262176:JEZ262192 JOV262176:JOV262192 JYR262176:JYR262192 KIN262176:KIN262192 KSJ262176:KSJ262192 LCF262176:LCF262192 LMB262176:LMB262192 LVX262176:LVX262192 MFT262176:MFT262192 MPP262176:MPP262192 MZL262176:MZL262192 NJH262176:NJH262192 NTD262176:NTD262192 OCZ262176:OCZ262192 OMV262176:OMV262192 OWR262176:OWR262192 PGN262176:PGN262192 PQJ262176:PQJ262192 QAF262176:QAF262192 QKB262176:QKB262192 QTX262176:QTX262192 RDT262176:RDT262192 RNP262176:RNP262192 RXL262176:RXL262192 SHH262176:SHH262192 SRD262176:SRD262192 TAZ262176:TAZ262192 TKV262176:TKV262192 TUR262176:TUR262192 UEN262176:UEN262192 UOJ262176:UOJ262192 UYF262176:UYF262192 VIB262176:VIB262192 VRX262176:VRX262192 WBT262176:WBT262192 WLP262176:WLP262192 WVL262176:WVL262192 D327712:D327728 IZ327712:IZ327728 SV327712:SV327728 ACR327712:ACR327728 AMN327712:AMN327728 AWJ327712:AWJ327728 BGF327712:BGF327728 BQB327712:BQB327728 BZX327712:BZX327728 CJT327712:CJT327728 CTP327712:CTP327728 DDL327712:DDL327728 DNH327712:DNH327728 DXD327712:DXD327728 EGZ327712:EGZ327728 EQV327712:EQV327728 FAR327712:FAR327728 FKN327712:FKN327728 FUJ327712:FUJ327728 GEF327712:GEF327728 GOB327712:GOB327728 GXX327712:GXX327728 HHT327712:HHT327728 HRP327712:HRP327728 IBL327712:IBL327728 ILH327712:ILH327728 IVD327712:IVD327728 JEZ327712:JEZ327728 JOV327712:JOV327728 JYR327712:JYR327728 KIN327712:KIN327728 KSJ327712:KSJ327728 LCF327712:LCF327728 LMB327712:LMB327728 LVX327712:LVX327728 MFT327712:MFT327728 MPP327712:MPP327728 MZL327712:MZL327728 NJH327712:NJH327728 NTD327712:NTD327728 OCZ327712:OCZ327728 OMV327712:OMV327728 OWR327712:OWR327728 PGN327712:PGN327728 PQJ327712:PQJ327728 QAF327712:QAF327728 QKB327712:QKB327728 QTX327712:QTX327728 RDT327712:RDT327728 RNP327712:RNP327728 RXL327712:RXL327728 SHH327712:SHH327728 SRD327712:SRD327728 TAZ327712:TAZ327728 TKV327712:TKV327728 TUR327712:TUR327728 UEN327712:UEN327728 UOJ327712:UOJ327728 UYF327712:UYF327728 VIB327712:VIB327728 VRX327712:VRX327728 WBT327712:WBT327728 WLP327712:WLP327728 WVL327712:WVL327728 D393248:D393264 IZ393248:IZ393264 SV393248:SV393264 ACR393248:ACR393264 AMN393248:AMN393264 AWJ393248:AWJ393264 BGF393248:BGF393264 BQB393248:BQB393264 BZX393248:BZX393264 CJT393248:CJT393264 CTP393248:CTP393264 DDL393248:DDL393264 DNH393248:DNH393264 DXD393248:DXD393264 EGZ393248:EGZ393264 EQV393248:EQV393264 FAR393248:FAR393264 FKN393248:FKN393264 FUJ393248:FUJ393264 GEF393248:GEF393264 GOB393248:GOB393264 GXX393248:GXX393264 HHT393248:HHT393264 HRP393248:HRP393264 IBL393248:IBL393264 ILH393248:ILH393264 IVD393248:IVD393264 JEZ393248:JEZ393264 JOV393248:JOV393264 JYR393248:JYR393264 KIN393248:KIN393264 KSJ393248:KSJ393264 LCF393248:LCF393264 LMB393248:LMB393264 LVX393248:LVX393264 MFT393248:MFT393264 MPP393248:MPP393264 MZL393248:MZL393264 NJH393248:NJH393264 NTD393248:NTD393264 OCZ393248:OCZ393264 OMV393248:OMV393264 OWR393248:OWR393264 PGN393248:PGN393264 PQJ393248:PQJ393264 QAF393248:QAF393264 QKB393248:QKB393264 QTX393248:QTX393264 RDT393248:RDT393264 RNP393248:RNP393264 RXL393248:RXL393264 SHH393248:SHH393264 SRD393248:SRD393264 TAZ393248:TAZ393264 TKV393248:TKV393264 TUR393248:TUR393264 UEN393248:UEN393264 UOJ393248:UOJ393264 UYF393248:UYF393264 VIB393248:VIB393264 VRX393248:VRX393264 WBT393248:WBT393264 WLP393248:WLP393264 WVL393248:WVL393264 D458784:D458800 IZ458784:IZ458800 SV458784:SV458800 ACR458784:ACR458800 AMN458784:AMN458800 AWJ458784:AWJ458800 BGF458784:BGF458800 BQB458784:BQB458800 BZX458784:BZX458800 CJT458784:CJT458800 CTP458784:CTP458800 DDL458784:DDL458800 DNH458784:DNH458800 DXD458784:DXD458800 EGZ458784:EGZ458800 EQV458784:EQV458800 FAR458784:FAR458800 FKN458784:FKN458800 FUJ458784:FUJ458800 GEF458784:GEF458800 GOB458784:GOB458800 GXX458784:GXX458800 HHT458784:HHT458800 HRP458784:HRP458800 IBL458784:IBL458800 ILH458784:ILH458800 IVD458784:IVD458800 JEZ458784:JEZ458800 JOV458784:JOV458800 JYR458784:JYR458800 KIN458784:KIN458800 KSJ458784:KSJ458800 LCF458784:LCF458800 LMB458784:LMB458800 LVX458784:LVX458800 MFT458784:MFT458800 MPP458784:MPP458800 MZL458784:MZL458800 NJH458784:NJH458800 NTD458784:NTD458800 OCZ458784:OCZ458800 OMV458784:OMV458800 OWR458784:OWR458800 PGN458784:PGN458800 PQJ458784:PQJ458800 QAF458784:QAF458800 QKB458784:QKB458800 QTX458784:QTX458800 RDT458784:RDT458800 RNP458784:RNP458800 RXL458784:RXL458800 SHH458784:SHH458800 SRD458784:SRD458800 TAZ458784:TAZ458800 TKV458784:TKV458800 TUR458784:TUR458800 UEN458784:UEN458800 UOJ458784:UOJ458800 UYF458784:UYF458800 VIB458784:VIB458800 VRX458784:VRX458800 WBT458784:WBT458800 WLP458784:WLP458800 WVL458784:WVL458800 D524320:D524336 IZ524320:IZ524336 SV524320:SV524336 ACR524320:ACR524336 AMN524320:AMN524336 AWJ524320:AWJ524336 BGF524320:BGF524336 BQB524320:BQB524336 BZX524320:BZX524336 CJT524320:CJT524336 CTP524320:CTP524336 DDL524320:DDL524336 DNH524320:DNH524336 DXD524320:DXD524336 EGZ524320:EGZ524336 EQV524320:EQV524336 FAR524320:FAR524336 FKN524320:FKN524336 FUJ524320:FUJ524336 GEF524320:GEF524336 GOB524320:GOB524336 GXX524320:GXX524336 HHT524320:HHT524336 HRP524320:HRP524336 IBL524320:IBL524336 ILH524320:ILH524336 IVD524320:IVD524336 JEZ524320:JEZ524336 JOV524320:JOV524336 JYR524320:JYR524336 KIN524320:KIN524336 KSJ524320:KSJ524336 LCF524320:LCF524336 LMB524320:LMB524336 LVX524320:LVX524336 MFT524320:MFT524336 MPP524320:MPP524336 MZL524320:MZL524336 NJH524320:NJH524336 NTD524320:NTD524336 OCZ524320:OCZ524336 OMV524320:OMV524336 OWR524320:OWR524336 PGN524320:PGN524336 PQJ524320:PQJ524336 QAF524320:QAF524336 QKB524320:QKB524336 QTX524320:QTX524336 RDT524320:RDT524336 RNP524320:RNP524336 RXL524320:RXL524336 SHH524320:SHH524336 SRD524320:SRD524336 TAZ524320:TAZ524336 TKV524320:TKV524336 TUR524320:TUR524336 UEN524320:UEN524336 UOJ524320:UOJ524336 UYF524320:UYF524336 VIB524320:VIB524336 VRX524320:VRX524336 WBT524320:WBT524336 WLP524320:WLP524336 WVL524320:WVL524336 D589856:D589872 IZ589856:IZ589872 SV589856:SV589872 ACR589856:ACR589872 AMN589856:AMN589872 AWJ589856:AWJ589872 BGF589856:BGF589872 BQB589856:BQB589872 BZX589856:BZX589872 CJT589856:CJT589872 CTP589856:CTP589872 DDL589856:DDL589872 DNH589856:DNH589872 DXD589856:DXD589872 EGZ589856:EGZ589872 EQV589856:EQV589872 FAR589856:FAR589872 FKN589856:FKN589872 FUJ589856:FUJ589872 GEF589856:GEF589872 GOB589856:GOB589872 GXX589856:GXX589872 HHT589856:HHT589872 HRP589856:HRP589872 IBL589856:IBL589872 ILH589856:ILH589872 IVD589856:IVD589872 JEZ589856:JEZ589872 JOV589856:JOV589872 JYR589856:JYR589872 KIN589856:KIN589872 KSJ589856:KSJ589872 LCF589856:LCF589872 LMB589856:LMB589872 LVX589856:LVX589872 MFT589856:MFT589872 MPP589856:MPP589872 MZL589856:MZL589872 NJH589856:NJH589872 NTD589856:NTD589872 OCZ589856:OCZ589872 OMV589856:OMV589872 OWR589856:OWR589872 PGN589856:PGN589872 PQJ589856:PQJ589872 QAF589856:QAF589872 QKB589856:QKB589872 QTX589856:QTX589872 RDT589856:RDT589872 RNP589856:RNP589872 RXL589856:RXL589872 SHH589856:SHH589872 SRD589856:SRD589872 TAZ589856:TAZ589872 TKV589856:TKV589872 TUR589856:TUR589872 UEN589856:UEN589872 UOJ589856:UOJ589872 UYF589856:UYF589872 VIB589856:VIB589872 VRX589856:VRX589872 WBT589856:WBT589872 WLP589856:WLP589872 WVL589856:WVL589872 D655392:D655408 IZ655392:IZ655408 SV655392:SV655408 ACR655392:ACR655408 AMN655392:AMN655408 AWJ655392:AWJ655408 BGF655392:BGF655408 BQB655392:BQB655408 BZX655392:BZX655408 CJT655392:CJT655408 CTP655392:CTP655408 DDL655392:DDL655408 DNH655392:DNH655408 DXD655392:DXD655408 EGZ655392:EGZ655408 EQV655392:EQV655408 FAR655392:FAR655408 FKN655392:FKN655408 FUJ655392:FUJ655408 GEF655392:GEF655408 GOB655392:GOB655408 GXX655392:GXX655408 HHT655392:HHT655408 HRP655392:HRP655408 IBL655392:IBL655408 ILH655392:ILH655408 IVD655392:IVD655408 JEZ655392:JEZ655408 JOV655392:JOV655408 JYR655392:JYR655408 KIN655392:KIN655408 KSJ655392:KSJ655408 LCF655392:LCF655408 LMB655392:LMB655408 LVX655392:LVX655408 MFT655392:MFT655408 MPP655392:MPP655408 MZL655392:MZL655408 NJH655392:NJH655408 NTD655392:NTD655408 OCZ655392:OCZ655408 OMV655392:OMV655408 OWR655392:OWR655408 PGN655392:PGN655408 PQJ655392:PQJ655408 QAF655392:QAF655408 QKB655392:QKB655408 QTX655392:QTX655408 RDT655392:RDT655408 RNP655392:RNP655408 RXL655392:RXL655408 SHH655392:SHH655408 SRD655392:SRD655408 TAZ655392:TAZ655408 TKV655392:TKV655408 TUR655392:TUR655408 UEN655392:UEN655408 UOJ655392:UOJ655408 UYF655392:UYF655408 VIB655392:VIB655408 VRX655392:VRX655408 WBT655392:WBT655408 WLP655392:WLP655408 WVL655392:WVL655408 D720928:D720944 IZ720928:IZ720944 SV720928:SV720944 ACR720928:ACR720944 AMN720928:AMN720944 AWJ720928:AWJ720944 BGF720928:BGF720944 BQB720928:BQB720944 BZX720928:BZX720944 CJT720928:CJT720944 CTP720928:CTP720944 DDL720928:DDL720944 DNH720928:DNH720944 DXD720928:DXD720944 EGZ720928:EGZ720944 EQV720928:EQV720944 FAR720928:FAR720944 FKN720928:FKN720944 FUJ720928:FUJ720944 GEF720928:GEF720944 GOB720928:GOB720944 GXX720928:GXX720944 HHT720928:HHT720944 HRP720928:HRP720944 IBL720928:IBL720944 ILH720928:ILH720944 IVD720928:IVD720944 JEZ720928:JEZ720944 JOV720928:JOV720944 JYR720928:JYR720944 KIN720928:KIN720944 KSJ720928:KSJ720944 LCF720928:LCF720944 LMB720928:LMB720944 LVX720928:LVX720944 MFT720928:MFT720944 MPP720928:MPP720944 MZL720928:MZL720944 NJH720928:NJH720944 NTD720928:NTD720944 OCZ720928:OCZ720944 OMV720928:OMV720944 OWR720928:OWR720944 PGN720928:PGN720944 PQJ720928:PQJ720944 QAF720928:QAF720944 QKB720928:QKB720944 QTX720928:QTX720944 RDT720928:RDT720944 RNP720928:RNP720944 RXL720928:RXL720944 SHH720928:SHH720944 SRD720928:SRD720944 TAZ720928:TAZ720944 TKV720928:TKV720944 TUR720928:TUR720944 UEN720928:UEN720944 UOJ720928:UOJ720944 UYF720928:UYF720944 VIB720928:VIB720944 VRX720928:VRX720944 WBT720928:WBT720944 WLP720928:WLP720944 WVL720928:WVL720944 D786464:D786480 IZ786464:IZ786480 SV786464:SV786480 ACR786464:ACR786480 AMN786464:AMN786480 AWJ786464:AWJ786480 BGF786464:BGF786480 BQB786464:BQB786480 BZX786464:BZX786480 CJT786464:CJT786480 CTP786464:CTP786480 DDL786464:DDL786480 DNH786464:DNH786480 DXD786464:DXD786480 EGZ786464:EGZ786480 EQV786464:EQV786480 FAR786464:FAR786480 FKN786464:FKN786480 FUJ786464:FUJ786480 GEF786464:GEF786480 GOB786464:GOB786480 GXX786464:GXX786480 HHT786464:HHT786480 HRP786464:HRP786480 IBL786464:IBL786480 ILH786464:ILH786480 IVD786464:IVD786480 JEZ786464:JEZ786480 JOV786464:JOV786480 JYR786464:JYR786480 KIN786464:KIN786480 KSJ786464:KSJ786480 LCF786464:LCF786480 LMB786464:LMB786480 LVX786464:LVX786480 MFT786464:MFT786480 MPP786464:MPP786480 MZL786464:MZL786480 NJH786464:NJH786480 NTD786464:NTD786480 OCZ786464:OCZ786480 OMV786464:OMV786480 OWR786464:OWR786480 PGN786464:PGN786480 PQJ786464:PQJ786480 QAF786464:QAF786480 QKB786464:QKB786480 QTX786464:QTX786480 RDT786464:RDT786480 RNP786464:RNP786480 RXL786464:RXL786480 SHH786464:SHH786480 SRD786464:SRD786480 TAZ786464:TAZ786480 TKV786464:TKV786480 TUR786464:TUR786480 UEN786464:UEN786480 UOJ786464:UOJ786480 UYF786464:UYF786480 VIB786464:VIB786480 VRX786464:VRX786480 WBT786464:WBT786480 WLP786464:WLP786480 WVL786464:WVL786480 D852000:D852016 IZ852000:IZ852016 SV852000:SV852016 ACR852000:ACR852016 AMN852000:AMN852016 AWJ852000:AWJ852016 BGF852000:BGF852016 BQB852000:BQB852016 BZX852000:BZX852016 CJT852000:CJT852016 CTP852000:CTP852016 DDL852000:DDL852016 DNH852000:DNH852016 DXD852000:DXD852016 EGZ852000:EGZ852016 EQV852000:EQV852016 FAR852000:FAR852016 FKN852000:FKN852016 FUJ852000:FUJ852016 GEF852000:GEF852016 GOB852000:GOB852016 GXX852000:GXX852016 HHT852000:HHT852016 HRP852000:HRP852016 IBL852000:IBL852016 ILH852000:ILH852016 IVD852000:IVD852016 JEZ852000:JEZ852016 JOV852000:JOV852016 JYR852000:JYR852016 KIN852000:KIN852016 KSJ852000:KSJ852016 LCF852000:LCF852016 LMB852000:LMB852016 LVX852000:LVX852016 MFT852000:MFT852016 MPP852000:MPP852016 MZL852000:MZL852016 NJH852000:NJH852016 NTD852000:NTD852016 OCZ852000:OCZ852016 OMV852000:OMV852016 OWR852000:OWR852016 PGN852000:PGN852016 PQJ852000:PQJ852016 QAF852000:QAF852016 QKB852000:QKB852016 QTX852000:QTX852016 RDT852000:RDT852016 RNP852000:RNP852016 RXL852000:RXL852016 SHH852000:SHH852016 SRD852000:SRD852016 TAZ852000:TAZ852016 TKV852000:TKV852016 TUR852000:TUR852016 UEN852000:UEN852016 UOJ852000:UOJ852016 UYF852000:UYF852016 VIB852000:VIB852016 VRX852000:VRX852016 WBT852000:WBT852016 WLP852000:WLP852016 WVL852000:WVL852016 D917536:D917552 IZ917536:IZ917552 SV917536:SV917552 ACR917536:ACR917552 AMN917536:AMN917552 AWJ917536:AWJ917552 BGF917536:BGF917552 BQB917536:BQB917552 BZX917536:BZX917552 CJT917536:CJT917552 CTP917536:CTP917552 DDL917536:DDL917552 DNH917536:DNH917552 DXD917536:DXD917552 EGZ917536:EGZ917552 EQV917536:EQV917552 FAR917536:FAR917552 FKN917536:FKN917552 FUJ917536:FUJ917552 GEF917536:GEF917552 GOB917536:GOB917552 GXX917536:GXX917552 HHT917536:HHT917552 HRP917536:HRP917552 IBL917536:IBL917552 ILH917536:ILH917552 IVD917536:IVD917552 JEZ917536:JEZ917552 JOV917536:JOV917552 JYR917536:JYR917552 KIN917536:KIN917552 KSJ917536:KSJ917552 LCF917536:LCF917552 LMB917536:LMB917552 LVX917536:LVX917552 MFT917536:MFT917552 MPP917536:MPP917552 MZL917536:MZL917552 NJH917536:NJH917552 NTD917536:NTD917552 OCZ917536:OCZ917552 OMV917536:OMV917552 OWR917536:OWR917552 PGN917536:PGN917552 PQJ917536:PQJ917552 QAF917536:QAF917552 QKB917536:QKB917552 QTX917536:QTX917552 RDT917536:RDT917552 RNP917536:RNP917552 RXL917536:RXL917552 SHH917536:SHH917552 SRD917536:SRD917552 TAZ917536:TAZ917552 TKV917536:TKV917552 TUR917536:TUR917552 UEN917536:UEN917552 UOJ917536:UOJ917552 UYF917536:UYF917552 VIB917536:VIB917552 VRX917536:VRX917552 WBT917536:WBT917552 WLP917536:WLP917552 WVL917536:WVL917552 D983072:D983088 IZ983072:IZ983088 SV983072:SV983088 ACR983072:ACR983088 AMN983072:AMN983088 AWJ983072:AWJ983088 BGF983072:BGF983088 BQB983072:BQB983088 BZX983072:BZX983088 CJT983072:CJT983088 CTP983072:CTP983088 DDL983072:DDL983088 DNH983072:DNH983088 DXD983072:DXD983088 EGZ983072:EGZ983088 EQV983072:EQV983088 FAR983072:FAR983088 FKN983072:FKN983088 FUJ983072:FUJ983088 GEF983072:GEF983088 GOB983072:GOB983088 GXX983072:GXX983088 HHT983072:HHT983088 HRP983072:HRP983088 IBL983072:IBL983088 ILH983072:ILH983088 IVD983072:IVD983088 JEZ983072:JEZ983088 JOV983072:JOV983088 JYR983072:JYR983088 KIN983072:KIN983088 KSJ983072:KSJ983088 LCF983072:LCF983088 LMB983072:LMB983088 LVX983072:LVX983088 MFT983072:MFT983088 MPP983072:MPP983088 MZL983072:MZL983088 NJH983072:NJH983088 NTD983072:NTD983088 OCZ983072:OCZ983088 OMV983072:OMV983088 OWR983072:OWR983088 PGN983072:PGN983088 PQJ983072:PQJ983088 QAF983072:QAF983088 QKB983072:QKB983088 QTX983072:QTX983088 RDT983072:RDT983088 RNP983072:RNP983088 RXL983072:RXL983088 SHH983072:SHH983088 SRD983072:SRD983088 TAZ983072:TAZ983088 TKV983072:TKV983088 TUR983072:TUR983088 UEN983072:UEN983088 UOJ983072:UOJ983088 UYF983072:UYF983088 VIB983072:VIB983088 VRX983072:VRX983088 WBT983072:WBT983088 WLP983072:WLP983088 WVL983072:WVL983088 E43:E48 JA43:JA48 SW43:SW48 ACS43:ACS48 AMO43:AMO48 AWK43:AWK48 BGG43:BGG48 BQC43:BQC48 BZY43:BZY48 CJU43:CJU48 CTQ43:CTQ48 DDM43:DDM48 DNI43:DNI48 DXE43:DXE48 EHA43:EHA48 EQW43:EQW48 FAS43:FAS48 FKO43:FKO48 FUK43:FUK48 GEG43:GEG48 GOC43:GOC48 GXY43:GXY48 HHU43:HHU48 HRQ43:HRQ48 IBM43:IBM48 ILI43:ILI48 IVE43:IVE48 JFA43:JFA48 JOW43:JOW48 JYS43:JYS48 KIO43:KIO48 KSK43:KSK48 LCG43:LCG48 LMC43:LMC48 LVY43:LVY48 MFU43:MFU48 MPQ43:MPQ48 MZM43:MZM48 NJI43:NJI48 NTE43:NTE48 ODA43:ODA48 OMW43:OMW48 OWS43:OWS48 PGO43:PGO48 PQK43:PQK48 QAG43:QAG48 QKC43:QKC48 QTY43:QTY48 RDU43:RDU48 RNQ43:RNQ48 RXM43:RXM48 SHI43:SHI48 SRE43:SRE48 TBA43:TBA48 TKW43:TKW48 TUS43:TUS48 UEO43:UEO48 UOK43:UOK48 UYG43:UYG48 VIC43:VIC48 VRY43:VRY48 WBU43:WBU48 WLQ43:WLQ48 WVM43:WVM48 E65579:E65584 JA65579:JA65584 SW65579:SW65584 ACS65579:ACS65584 AMO65579:AMO65584 AWK65579:AWK65584 BGG65579:BGG65584 BQC65579:BQC65584 BZY65579:BZY65584 CJU65579:CJU65584 CTQ65579:CTQ65584 DDM65579:DDM65584 DNI65579:DNI65584 DXE65579:DXE65584 EHA65579:EHA65584 EQW65579:EQW65584 FAS65579:FAS65584 FKO65579:FKO65584 FUK65579:FUK65584 GEG65579:GEG65584 GOC65579:GOC65584 GXY65579:GXY65584 HHU65579:HHU65584 HRQ65579:HRQ65584 IBM65579:IBM65584 ILI65579:ILI65584 IVE65579:IVE65584 JFA65579:JFA65584 JOW65579:JOW65584 JYS65579:JYS65584 KIO65579:KIO65584 KSK65579:KSK65584 LCG65579:LCG65584 LMC65579:LMC65584 LVY65579:LVY65584 MFU65579:MFU65584 MPQ65579:MPQ65584 MZM65579:MZM65584 NJI65579:NJI65584 NTE65579:NTE65584 ODA65579:ODA65584 OMW65579:OMW65584 OWS65579:OWS65584 PGO65579:PGO65584 PQK65579:PQK65584 QAG65579:QAG65584 QKC65579:QKC65584 QTY65579:QTY65584 RDU65579:RDU65584 RNQ65579:RNQ65584 RXM65579:RXM65584 SHI65579:SHI65584 SRE65579:SRE65584 TBA65579:TBA65584 TKW65579:TKW65584 TUS65579:TUS65584 UEO65579:UEO65584 UOK65579:UOK65584 UYG65579:UYG65584 VIC65579:VIC65584 VRY65579:VRY65584 WBU65579:WBU65584 WLQ65579:WLQ65584 WVM65579:WVM65584 E131115:E131120 JA131115:JA131120 SW131115:SW131120 ACS131115:ACS131120 AMO131115:AMO131120 AWK131115:AWK131120 BGG131115:BGG131120 BQC131115:BQC131120 BZY131115:BZY131120 CJU131115:CJU131120 CTQ131115:CTQ131120 DDM131115:DDM131120 DNI131115:DNI131120 DXE131115:DXE131120 EHA131115:EHA131120 EQW131115:EQW131120 FAS131115:FAS131120 FKO131115:FKO131120 FUK131115:FUK131120 GEG131115:GEG131120 GOC131115:GOC131120 GXY131115:GXY131120 HHU131115:HHU131120 HRQ131115:HRQ131120 IBM131115:IBM131120 ILI131115:ILI131120 IVE131115:IVE131120 JFA131115:JFA131120 JOW131115:JOW131120 JYS131115:JYS131120 KIO131115:KIO131120 KSK131115:KSK131120 LCG131115:LCG131120 LMC131115:LMC131120 LVY131115:LVY131120 MFU131115:MFU131120 MPQ131115:MPQ131120 MZM131115:MZM131120 NJI131115:NJI131120 NTE131115:NTE131120 ODA131115:ODA131120 OMW131115:OMW131120 OWS131115:OWS131120 PGO131115:PGO131120 PQK131115:PQK131120 QAG131115:QAG131120 QKC131115:QKC131120 QTY131115:QTY131120 RDU131115:RDU131120 RNQ131115:RNQ131120 RXM131115:RXM131120 SHI131115:SHI131120 SRE131115:SRE131120 TBA131115:TBA131120 TKW131115:TKW131120 TUS131115:TUS131120 UEO131115:UEO131120 UOK131115:UOK131120 UYG131115:UYG131120 VIC131115:VIC131120 VRY131115:VRY131120 WBU131115:WBU131120 WLQ131115:WLQ131120 WVM131115:WVM131120 E196651:E196656 JA196651:JA196656 SW196651:SW196656 ACS196651:ACS196656 AMO196651:AMO196656 AWK196651:AWK196656 BGG196651:BGG196656 BQC196651:BQC196656 BZY196651:BZY196656 CJU196651:CJU196656 CTQ196651:CTQ196656 DDM196651:DDM196656 DNI196651:DNI196656 DXE196651:DXE196656 EHA196651:EHA196656 EQW196651:EQW196656 FAS196651:FAS196656 FKO196651:FKO196656 FUK196651:FUK196656 GEG196651:GEG196656 GOC196651:GOC196656 GXY196651:GXY196656 HHU196651:HHU196656 HRQ196651:HRQ196656 IBM196651:IBM196656 ILI196651:ILI196656 IVE196651:IVE196656 JFA196651:JFA196656 JOW196651:JOW196656 JYS196651:JYS196656 KIO196651:KIO196656 KSK196651:KSK196656 LCG196651:LCG196656 LMC196651:LMC196656 LVY196651:LVY196656 MFU196651:MFU196656 MPQ196651:MPQ196656 MZM196651:MZM196656 NJI196651:NJI196656 NTE196651:NTE196656 ODA196651:ODA196656 OMW196651:OMW196656 OWS196651:OWS196656 PGO196651:PGO196656 PQK196651:PQK196656 QAG196651:QAG196656 QKC196651:QKC196656 QTY196651:QTY196656 RDU196651:RDU196656 RNQ196651:RNQ196656 RXM196651:RXM196656 SHI196651:SHI196656 SRE196651:SRE196656 TBA196651:TBA196656 TKW196651:TKW196656 TUS196651:TUS196656 UEO196651:UEO196656 UOK196651:UOK196656 UYG196651:UYG196656 VIC196651:VIC196656 VRY196651:VRY196656 WBU196651:WBU196656 WLQ196651:WLQ196656 WVM196651:WVM196656 E262187:E262192 JA262187:JA262192 SW262187:SW262192 ACS262187:ACS262192 AMO262187:AMO262192 AWK262187:AWK262192 BGG262187:BGG262192 BQC262187:BQC262192 BZY262187:BZY262192 CJU262187:CJU262192 CTQ262187:CTQ262192 DDM262187:DDM262192 DNI262187:DNI262192 DXE262187:DXE262192 EHA262187:EHA262192 EQW262187:EQW262192 FAS262187:FAS262192 FKO262187:FKO262192 FUK262187:FUK262192 GEG262187:GEG262192 GOC262187:GOC262192 GXY262187:GXY262192 HHU262187:HHU262192 HRQ262187:HRQ262192 IBM262187:IBM262192 ILI262187:ILI262192 IVE262187:IVE262192 JFA262187:JFA262192 JOW262187:JOW262192 JYS262187:JYS262192 KIO262187:KIO262192 KSK262187:KSK262192 LCG262187:LCG262192 LMC262187:LMC262192 LVY262187:LVY262192 MFU262187:MFU262192 MPQ262187:MPQ262192 MZM262187:MZM262192 NJI262187:NJI262192 NTE262187:NTE262192 ODA262187:ODA262192 OMW262187:OMW262192 OWS262187:OWS262192 PGO262187:PGO262192 PQK262187:PQK262192 QAG262187:QAG262192 QKC262187:QKC262192 QTY262187:QTY262192 RDU262187:RDU262192 RNQ262187:RNQ262192 RXM262187:RXM262192 SHI262187:SHI262192 SRE262187:SRE262192 TBA262187:TBA262192 TKW262187:TKW262192 TUS262187:TUS262192 UEO262187:UEO262192 UOK262187:UOK262192 UYG262187:UYG262192 VIC262187:VIC262192 VRY262187:VRY262192 WBU262187:WBU262192 WLQ262187:WLQ262192 WVM262187:WVM262192 E327723:E327728 JA327723:JA327728 SW327723:SW327728 ACS327723:ACS327728 AMO327723:AMO327728 AWK327723:AWK327728 BGG327723:BGG327728 BQC327723:BQC327728 BZY327723:BZY327728 CJU327723:CJU327728 CTQ327723:CTQ327728 DDM327723:DDM327728 DNI327723:DNI327728 DXE327723:DXE327728 EHA327723:EHA327728 EQW327723:EQW327728 FAS327723:FAS327728 FKO327723:FKO327728 FUK327723:FUK327728 GEG327723:GEG327728 GOC327723:GOC327728 GXY327723:GXY327728 HHU327723:HHU327728 HRQ327723:HRQ327728 IBM327723:IBM327728 ILI327723:ILI327728 IVE327723:IVE327728 JFA327723:JFA327728 JOW327723:JOW327728 JYS327723:JYS327728 KIO327723:KIO327728 KSK327723:KSK327728 LCG327723:LCG327728 LMC327723:LMC327728 LVY327723:LVY327728 MFU327723:MFU327728 MPQ327723:MPQ327728 MZM327723:MZM327728 NJI327723:NJI327728 NTE327723:NTE327728 ODA327723:ODA327728 OMW327723:OMW327728 OWS327723:OWS327728 PGO327723:PGO327728 PQK327723:PQK327728 QAG327723:QAG327728 QKC327723:QKC327728 QTY327723:QTY327728 RDU327723:RDU327728 RNQ327723:RNQ327728 RXM327723:RXM327728 SHI327723:SHI327728 SRE327723:SRE327728 TBA327723:TBA327728 TKW327723:TKW327728 TUS327723:TUS327728 UEO327723:UEO327728 UOK327723:UOK327728 UYG327723:UYG327728 VIC327723:VIC327728 VRY327723:VRY327728 WBU327723:WBU327728 WLQ327723:WLQ327728 WVM327723:WVM327728 E393259:E393264 JA393259:JA393264 SW393259:SW393264 ACS393259:ACS393264 AMO393259:AMO393264 AWK393259:AWK393264 BGG393259:BGG393264 BQC393259:BQC393264 BZY393259:BZY393264 CJU393259:CJU393264 CTQ393259:CTQ393264 DDM393259:DDM393264 DNI393259:DNI393264 DXE393259:DXE393264 EHA393259:EHA393264 EQW393259:EQW393264 FAS393259:FAS393264 FKO393259:FKO393264 FUK393259:FUK393264 GEG393259:GEG393264 GOC393259:GOC393264 GXY393259:GXY393264 HHU393259:HHU393264 HRQ393259:HRQ393264 IBM393259:IBM393264 ILI393259:ILI393264 IVE393259:IVE393264 JFA393259:JFA393264 JOW393259:JOW393264 JYS393259:JYS393264 KIO393259:KIO393264 KSK393259:KSK393264 LCG393259:LCG393264 LMC393259:LMC393264 LVY393259:LVY393264 MFU393259:MFU393264 MPQ393259:MPQ393264 MZM393259:MZM393264 NJI393259:NJI393264 NTE393259:NTE393264 ODA393259:ODA393264 OMW393259:OMW393264 OWS393259:OWS393264 PGO393259:PGO393264 PQK393259:PQK393264 QAG393259:QAG393264 QKC393259:QKC393264 QTY393259:QTY393264 RDU393259:RDU393264 RNQ393259:RNQ393264 RXM393259:RXM393264 SHI393259:SHI393264 SRE393259:SRE393264 TBA393259:TBA393264 TKW393259:TKW393264 TUS393259:TUS393264 UEO393259:UEO393264 UOK393259:UOK393264 UYG393259:UYG393264 VIC393259:VIC393264 VRY393259:VRY393264 WBU393259:WBU393264 WLQ393259:WLQ393264 WVM393259:WVM393264 E458795:E458800 JA458795:JA458800 SW458795:SW458800 ACS458795:ACS458800 AMO458795:AMO458800 AWK458795:AWK458800 BGG458795:BGG458800 BQC458795:BQC458800 BZY458795:BZY458800 CJU458795:CJU458800 CTQ458795:CTQ458800 DDM458795:DDM458800 DNI458795:DNI458800 DXE458795:DXE458800 EHA458795:EHA458800 EQW458795:EQW458800 FAS458795:FAS458800 FKO458795:FKO458800 FUK458795:FUK458800 GEG458795:GEG458800 GOC458795:GOC458800 GXY458795:GXY458800 HHU458795:HHU458800 HRQ458795:HRQ458800 IBM458795:IBM458800 ILI458795:ILI458800 IVE458795:IVE458800 JFA458795:JFA458800 JOW458795:JOW458800 JYS458795:JYS458800 KIO458795:KIO458800 KSK458795:KSK458800 LCG458795:LCG458800 LMC458795:LMC458800 LVY458795:LVY458800 MFU458795:MFU458800 MPQ458795:MPQ458800 MZM458795:MZM458800 NJI458795:NJI458800 NTE458795:NTE458800 ODA458795:ODA458800 OMW458795:OMW458800 OWS458795:OWS458800 PGO458795:PGO458800 PQK458795:PQK458800 QAG458795:QAG458800 QKC458795:QKC458800 QTY458795:QTY458800 RDU458795:RDU458800 RNQ458795:RNQ458800 RXM458795:RXM458800 SHI458795:SHI458800 SRE458795:SRE458800 TBA458795:TBA458800 TKW458795:TKW458800 TUS458795:TUS458800 UEO458795:UEO458800 UOK458795:UOK458800 UYG458795:UYG458800 VIC458795:VIC458800 VRY458795:VRY458800 WBU458795:WBU458800 WLQ458795:WLQ458800 WVM458795:WVM458800 E524331:E524336 JA524331:JA524336 SW524331:SW524336 ACS524331:ACS524336 AMO524331:AMO524336 AWK524331:AWK524336 BGG524331:BGG524336 BQC524331:BQC524336 BZY524331:BZY524336 CJU524331:CJU524336 CTQ524331:CTQ524336 DDM524331:DDM524336 DNI524331:DNI524336 DXE524331:DXE524336 EHA524331:EHA524336 EQW524331:EQW524336 FAS524331:FAS524336 FKO524331:FKO524336 FUK524331:FUK524336 GEG524331:GEG524336 GOC524331:GOC524336 GXY524331:GXY524336 HHU524331:HHU524336 HRQ524331:HRQ524336 IBM524331:IBM524336 ILI524331:ILI524336 IVE524331:IVE524336 JFA524331:JFA524336 JOW524331:JOW524336 JYS524331:JYS524336 KIO524331:KIO524336 KSK524331:KSK524336 LCG524331:LCG524336 LMC524331:LMC524336 LVY524331:LVY524336 MFU524331:MFU524336 MPQ524331:MPQ524336 MZM524331:MZM524336 NJI524331:NJI524336 NTE524331:NTE524336 ODA524331:ODA524336 OMW524331:OMW524336 OWS524331:OWS524336 PGO524331:PGO524336 PQK524331:PQK524336 QAG524331:QAG524336 QKC524331:QKC524336 QTY524331:QTY524336 RDU524331:RDU524336 RNQ524331:RNQ524336 RXM524331:RXM524336 SHI524331:SHI524336 SRE524331:SRE524336 TBA524331:TBA524336 TKW524331:TKW524336 TUS524331:TUS524336 UEO524331:UEO524336 UOK524331:UOK524336 UYG524331:UYG524336 VIC524331:VIC524336 VRY524331:VRY524336 WBU524331:WBU524336 WLQ524331:WLQ524336 WVM524331:WVM524336 E589867:E589872 JA589867:JA589872 SW589867:SW589872 ACS589867:ACS589872 AMO589867:AMO589872 AWK589867:AWK589872 BGG589867:BGG589872 BQC589867:BQC589872 BZY589867:BZY589872 CJU589867:CJU589872 CTQ589867:CTQ589872 DDM589867:DDM589872 DNI589867:DNI589872 DXE589867:DXE589872 EHA589867:EHA589872 EQW589867:EQW589872 FAS589867:FAS589872 FKO589867:FKO589872 FUK589867:FUK589872 GEG589867:GEG589872 GOC589867:GOC589872 GXY589867:GXY589872 HHU589867:HHU589872 HRQ589867:HRQ589872 IBM589867:IBM589872 ILI589867:ILI589872 IVE589867:IVE589872 JFA589867:JFA589872 JOW589867:JOW589872 JYS589867:JYS589872 KIO589867:KIO589872 KSK589867:KSK589872 LCG589867:LCG589872 LMC589867:LMC589872 LVY589867:LVY589872 MFU589867:MFU589872 MPQ589867:MPQ589872 MZM589867:MZM589872 NJI589867:NJI589872 NTE589867:NTE589872 ODA589867:ODA589872 OMW589867:OMW589872 OWS589867:OWS589872 PGO589867:PGO589872 PQK589867:PQK589872 QAG589867:QAG589872 QKC589867:QKC589872 QTY589867:QTY589872 RDU589867:RDU589872 RNQ589867:RNQ589872 RXM589867:RXM589872 SHI589867:SHI589872 SRE589867:SRE589872 TBA589867:TBA589872 TKW589867:TKW589872 TUS589867:TUS589872 UEO589867:UEO589872 UOK589867:UOK589872 UYG589867:UYG589872 VIC589867:VIC589872 VRY589867:VRY589872 WBU589867:WBU589872 WLQ589867:WLQ589872 WVM589867:WVM589872 E655403:E655408 JA655403:JA655408 SW655403:SW655408 ACS655403:ACS655408 AMO655403:AMO655408 AWK655403:AWK655408 BGG655403:BGG655408 BQC655403:BQC655408 BZY655403:BZY655408 CJU655403:CJU655408 CTQ655403:CTQ655408 DDM655403:DDM655408 DNI655403:DNI655408 DXE655403:DXE655408 EHA655403:EHA655408 EQW655403:EQW655408 FAS655403:FAS655408 FKO655403:FKO655408 FUK655403:FUK655408 GEG655403:GEG655408 GOC655403:GOC655408 GXY655403:GXY655408 HHU655403:HHU655408 HRQ655403:HRQ655408 IBM655403:IBM655408 ILI655403:ILI655408 IVE655403:IVE655408 JFA655403:JFA655408 JOW655403:JOW655408 JYS655403:JYS655408 KIO655403:KIO655408 KSK655403:KSK655408 LCG655403:LCG655408 LMC655403:LMC655408 LVY655403:LVY655408 MFU655403:MFU655408 MPQ655403:MPQ655408 MZM655403:MZM655408 NJI655403:NJI655408 NTE655403:NTE655408 ODA655403:ODA655408 OMW655403:OMW655408 OWS655403:OWS655408 PGO655403:PGO655408 PQK655403:PQK655408 QAG655403:QAG655408 QKC655403:QKC655408 QTY655403:QTY655408 RDU655403:RDU655408 RNQ655403:RNQ655408 RXM655403:RXM655408 SHI655403:SHI655408 SRE655403:SRE655408 TBA655403:TBA655408 TKW655403:TKW655408 TUS655403:TUS655408 UEO655403:UEO655408 UOK655403:UOK655408 UYG655403:UYG655408 VIC655403:VIC655408 VRY655403:VRY655408 WBU655403:WBU655408 WLQ655403:WLQ655408 WVM655403:WVM655408 E720939:E720944 JA720939:JA720944 SW720939:SW720944 ACS720939:ACS720944 AMO720939:AMO720944 AWK720939:AWK720944 BGG720939:BGG720944 BQC720939:BQC720944 BZY720939:BZY720944 CJU720939:CJU720944 CTQ720939:CTQ720944 DDM720939:DDM720944 DNI720939:DNI720944 DXE720939:DXE720944 EHA720939:EHA720944 EQW720939:EQW720944 FAS720939:FAS720944 FKO720939:FKO720944 FUK720939:FUK720944 GEG720939:GEG720944 GOC720939:GOC720944 GXY720939:GXY720944 HHU720939:HHU720944 HRQ720939:HRQ720944 IBM720939:IBM720944 ILI720939:ILI720944 IVE720939:IVE720944 JFA720939:JFA720944 JOW720939:JOW720944 JYS720939:JYS720944 KIO720939:KIO720944 KSK720939:KSK720944 LCG720939:LCG720944 LMC720939:LMC720944 LVY720939:LVY720944 MFU720939:MFU720944 MPQ720939:MPQ720944 MZM720939:MZM720944 NJI720939:NJI720944 NTE720939:NTE720944 ODA720939:ODA720944 OMW720939:OMW720944 OWS720939:OWS720944 PGO720939:PGO720944 PQK720939:PQK720944 QAG720939:QAG720944 QKC720939:QKC720944 QTY720939:QTY720944 RDU720939:RDU720944 RNQ720939:RNQ720944 RXM720939:RXM720944 SHI720939:SHI720944 SRE720939:SRE720944 TBA720939:TBA720944 TKW720939:TKW720944 TUS720939:TUS720944 UEO720939:UEO720944 UOK720939:UOK720944 UYG720939:UYG720944 VIC720939:VIC720944 VRY720939:VRY720944 WBU720939:WBU720944 WLQ720939:WLQ720944 WVM720939:WVM720944 E786475:E786480 JA786475:JA786480 SW786475:SW786480 ACS786475:ACS786480 AMO786475:AMO786480 AWK786475:AWK786480 BGG786475:BGG786480 BQC786475:BQC786480 BZY786475:BZY786480 CJU786475:CJU786480 CTQ786475:CTQ786480 DDM786475:DDM786480 DNI786475:DNI786480 DXE786475:DXE786480 EHA786475:EHA786480 EQW786475:EQW786480 FAS786475:FAS786480 FKO786475:FKO786480 FUK786475:FUK786480 GEG786475:GEG786480 GOC786475:GOC786480 GXY786475:GXY786480 HHU786475:HHU786480 HRQ786475:HRQ786480 IBM786475:IBM786480 ILI786475:ILI786480 IVE786475:IVE786480 JFA786475:JFA786480 JOW786475:JOW786480 JYS786475:JYS786480 KIO786475:KIO786480 KSK786475:KSK786480 LCG786475:LCG786480 LMC786475:LMC786480 LVY786475:LVY786480 MFU786475:MFU786480 MPQ786475:MPQ786480 MZM786475:MZM786480 NJI786475:NJI786480 NTE786475:NTE786480 ODA786475:ODA786480 OMW786475:OMW786480 OWS786475:OWS786480 PGO786475:PGO786480 PQK786475:PQK786480 QAG786475:QAG786480 QKC786475:QKC786480 QTY786475:QTY786480 RDU786475:RDU786480 RNQ786475:RNQ786480 RXM786475:RXM786480 SHI786475:SHI786480 SRE786475:SRE786480 TBA786475:TBA786480 TKW786475:TKW786480 TUS786475:TUS786480 UEO786475:UEO786480 UOK786475:UOK786480 UYG786475:UYG786480 VIC786475:VIC786480 VRY786475:VRY786480 WBU786475:WBU786480 WLQ786475:WLQ786480 WVM786475:WVM786480 E852011:E852016 JA852011:JA852016 SW852011:SW852016 ACS852011:ACS852016 AMO852011:AMO852016 AWK852011:AWK852016 BGG852011:BGG852016 BQC852011:BQC852016 BZY852011:BZY852016 CJU852011:CJU852016 CTQ852011:CTQ852016 DDM852011:DDM852016 DNI852011:DNI852016 DXE852011:DXE852016 EHA852011:EHA852016 EQW852011:EQW852016 FAS852011:FAS852016 FKO852011:FKO852016 FUK852011:FUK852016 GEG852011:GEG852016 GOC852011:GOC852016 GXY852011:GXY852016 HHU852011:HHU852016 HRQ852011:HRQ852016 IBM852011:IBM852016 ILI852011:ILI852016 IVE852011:IVE852016 JFA852011:JFA852016 JOW852011:JOW852016 JYS852011:JYS852016 KIO852011:KIO852016 KSK852011:KSK852016 LCG852011:LCG852016 LMC852011:LMC852016 LVY852011:LVY852016 MFU852011:MFU852016 MPQ852011:MPQ852016 MZM852011:MZM852016 NJI852011:NJI852016 NTE852011:NTE852016 ODA852011:ODA852016 OMW852011:OMW852016 OWS852011:OWS852016 PGO852011:PGO852016 PQK852011:PQK852016 QAG852011:QAG852016 QKC852011:QKC852016 QTY852011:QTY852016 RDU852011:RDU852016 RNQ852011:RNQ852016 RXM852011:RXM852016 SHI852011:SHI852016 SRE852011:SRE852016 TBA852011:TBA852016 TKW852011:TKW852016 TUS852011:TUS852016 UEO852011:UEO852016 UOK852011:UOK852016 UYG852011:UYG852016 VIC852011:VIC852016 VRY852011:VRY852016 WBU852011:WBU852016 WLQ852011:WLQ852016 WVM852011:WVM852016 E917547:E917552 JA917547:JA917552 SW917547:SW917552 ACS917547:ACS917552 AMO917547:AMO917552 AWK917547:AWK917552 BGG917547:BGG917552 BQC917547:BQC917552 BZY917547:BZY917552 CJU917547:CJU917552 CTQ917547:CTQ917552 DDM917547:DDM917552 DNI917547:DNI917552 DXE917547:DXE917552 EHA917547:EHA917552 EQW917547:EQW917552 FAS917547:FAS917552 FKO917547:FKO917552 FUK917547:FUK917552 GEG917547:GEG917552 GOC917547:GOC917552 GXY917547:GXY917552 HHU917547:HHU917552 HRQ917547:HRQ917552 IBM917547:IBM917552 ILI917547:ILI917552 IVE917547:IVE917552 JFA917547:JFA917552 JOW917547:JOW917552 JYS917547:JYS917552 KIO917547:KIO917552 KSK917547:KSK917552 LCG917547:LCG917552 LMC917547:LMC917552 LVY917547:LVY917552 MFU917547:MFU917552 MPQ917547:MPQ917552 MZM917547:MZM917552 NJI917547:NJI917552 NTE917547:NTE917552 ODA917547:ODA917552 OMW917547:OMW917552 OWS917547:OWS917552 PGO917547:PGO917552 PQK917547:PQK917552 QAG917547:QAG917552 QKC917547:QKC917552 QTY917547:QTY917552 RDU917547:RDU917552 RNQ917547:RNQ917552 RXM917547:RXM917552 SHI917547:SHI917552 SRE917547:SRE917552 TBA917547:TBA917552 TKW917547:TKW917552 TUS917547:TUS917552 UEO917547:UEO917552 UOK917547:UOK917552 UYG917547:UYG917552 VIC917547:VIC917552 VRY917547:VRY917552 WBU917547:WBU917552 WLQ917547:WLQ917552 WVM917547:WVM917552 E983083:E983088 JA983083:JA983088 SW983083:SW983088 ACS983083:ACS983088 AMO983083:AMO983088 AWK983083:AWK983088 BGG983083:BGG983088 BQC983083:BQC983088 BZY983083:BZY983088 CJU983083:CJU983088 CTQ983083:CTQ983088 DDM983083:DDM983088 DNI983083:DNI983088 DXE983083:DXE983088 EHA983083:EHA983088 EQW983083:EQW983088 FAS983083:FAS983088 FKO983083:FKO983088 FUK983083:FUK983088 GEG983083:GEG983088 GOC983083:GOC983088 GXY983083:GXY983088 HHU983083:HHU983088 HRQ983083:HRQ983088 IBM983083:IBM983088 ILI983083:ILI983088 IVE983083:IVE983088 JFA983083:JFA983088 JOW983083:JOW983088 JYS983083:JYS983088 KIO983083:KIO983088 KSK983083:KSK983088 LCG983083:LCG983088 LMC983083:LMC983088 LVY983083:LVY983088 MFU983083:MFU983088 MPQ983083:MPQ983088 MZM983083:MZM983088 NJI983083:NJI983088 NTE983083:NTE983088 ODA983083:ODA983088 OMW983083:OMW983088 OWS983083:OWS983088 PGO983083:PGO983088 PQK983083:PQK983088 QAG983083:QAG983088 QKC983083:QKC983088 QTY983083:QTY983088 RDU983083:RDU983088 RNQ983083:RNQ983088 RXM983083:RXM983088 SHI983083:SHI983088 SRE983083:SRE983088 TBA983083:TBA983088 TKW983083:TKW983088 TUS983083:TUS983088 UEO983083:UEO983088 UOK983083:UOK983088 UYG983083:UYG983088 VIC983083:VIC983088 VRY983083:VRY983088 WBU983083:WBU983088 WLQ983083:WLQ983088 WVM983083:WVM983088 O26:O27 JK26:JK27 TG26:TG27 ADC26:ADC27 AMY26:AMY27 AWU26:AWU27 BGQ26:BGQ27 BQM26:BQM27 CAI26:CAI27 CKE26:CKE27 CUA26:CUA27 DDW26:DDW27 DNS26:DNS27 DXO26:DXO27 EHK26:EHK27 ERG26:ERG27 FBC26:FBC27 FKY26:FKY27 FUU26:FUU27 GEQ26:GEQ27 GOM26:GOM27 GYI26:GYI27 HIE26:HIE27 HSA26:HSA27 IBW26:IBW27 ILS26:ILS27 IVO26:IVO27 JFK26:JFK27 JPG26:JPG27 JZC26:JZC27 KIY26:KIY27 KSU26:KSU27 LCQ26:LCQ27 LMM26:LMM27 LWI26:LWI27 MGE26:MGE27 MQA26:MQA27 MZW26:MZW27 NJS26:NJS27 NTO26:NTO27 ODK26:ODK27 ONG26:ONG27 OXC26:OXC27 PGY26:PGY27 PQU26:PQU27 QAQ26:QAQ27 QKM26:QKM27 QUI26:QUI27 REE26:REE27 ROA26:ROA27 RXW26:RXW27 SHS26:SHS27 SRO26:SRO27 TBK26:TBK27 TLG26:TLG27 TVC26:TVC27 UEY26:UEY27 UOU26:UOU27 UYQ26:UYQ27 VIM26:VIM27 VSI26:VSI27 WCE26:WCE27 WMA26:WMA27 WVW26:WVW27 O65562:O65563 JK65562:JK65563 TG65562:TG65563 ADC65562:ADC65563 AMY65562:AMY65563 AWU65562:AWU65563 BGQ65562:BGQ65563 BQM65562:BQM65563 CAI65562:CAI65563 CKE65562:CKE65563 CUA65562:CUA65563 DDW65562:DDW65563 DNS65562:DNS65563 DXO65562:DXO65563 EHK65562:EHK65563 ERG65562:ERG65563 FBC65562:FBC65563 FKY65562:FKY65563 FUU65562:FUU65563 GEQ65562:GEQ65563 GOM65562:GOM65563 GYI65562:GYI65563 HIE65562:HIE65563 HSA65562:HSA65563 IBW65562:IBW65563 ILS65562:ILS65563 IVO65562:IVO65563 JFK65562:JFK65563 JPG65562:JPG65563 JZC65562:JZC65563 KIY65562:KIY65563 KSU65562:KSU65563 LCQ65562:LCQ65563 LMM65562:LMM65563 LWI65562:LWI65563 MGE65562:MGE65563 MQA65562:MQA65563 MZW65562:MZW65563 NJS65562:NJS65563 NTO65562:NTO65563 ODK65562:ODK65563 ONG65562:ONG65563 OXC65562:OXC65563 PGY65562:PGY65563 PQU65562:PQU65563 QAQ65562:QAQ65563 QKM65562:QKM65563 QUI65562:QUI65563 REE65562:REE65563 ROA65562:ROA65563 RXW65562:RXW65563 SHS65562:SHS65563 SRO65562:SRO65563 TBK65562:TBK65563 TLG65562:TLG65563 TVC65562:TVC65563 UEY65562:UEY65563 UOU65562:UOU65563 UYQ65562:UYQ65563 VIM65562:VIM65563 VSI65562:VSI65563 WCE65562:WCE65563 WMA65562:WMA65563 WVW65562:WVW65563 O131098:O131099 JK131098:JK131099 TG131098:TG131099 ADC131098:ADC131099 AMY131098:AMY131099 AWU131098:AWU131099 BGQ131098:BGQ131099 BQM131098:BQM131099 CAI131098:CAI131099 CKE131098:CKE131099 CUA131098:CUA131099 DDW131098:DDW131099 DNS131098:DNS131099 DXO131098:DXO131099 EHK131098:EHK131099 ERG131098:ERG131099 FBC131098:FBC131099 FKY131098:FKY131099 FUU131098:FUU131099 GEQ131098:GEQ131099 GOM131098:GOM131099 GYI131098:GYI131099 HIE131098:HIE131099 HSA131098:HSA131099 IBW131098:IBW131099 ILS131098:ILS131099 IVO131098:IVO131099 JFK131098:JFK131099 JPG131098:JPG131099 JZC131098:JZC131099 KIY131098:KIY131099 KSU131098:KSU131099 LCQ131098:LCQ131099 LMM131098:LMM131099 LWI131098:LWI131099 MGE131098:MGE131099 MQA131098:MQA131099 MZW131098:MZW131099 NJS131098:NJS131099 NTO131098:NTO131099 ODK131098:ODK131099 ONG131098:ONG131099 OXC131098:OXC131099 PGY131098:PGY131099 PQU131098:PQU131099 QAQ131098:QAQ131099 QKM131098:QKM131099 QUI131098:QUI131099 REE131098:REE131099 ROA131098:ROA131099 RXW131098:RXW131099 SHS131098:SHS131099 SRO131098:SRO131099 TBK131098:TBK131099 TLG131098:TLG131099 TVC131098:TVC131099 UEY131098:UEY131099 UOU131098:UOU131099 UYQ131098:UYQ131099 VIM131098:VIM131099 VSI131098:VSI131099 WCE131098:WCE131099 WMA131098:WMA131099 WVW131098:WVW131099 O196634:O196635 JK196634:JK196635 TG196634:TG196635 ADC196634:ADC196635 AMY196634:AMY196635 AWU196634:AWU196635 BGQ196634:BGQ196635 BQM196634:BQM196635 CAI196634:CAI196635 CKE196634:CKE196635 CUA196634:CUA196635 DDW196634:DDW196635 DNS196634:DNS196635 DXO196634:DXO196635 EHK196634:EHK196635 ERG196634:ERG196635 FBC196634:FBC196635 FKY196634:FKY196635 FUU196634:FUU196635 GEQ196634:GEQ196635 GOM196634:GOM196635 GYI196634:GYI196635 HIE196634:HIE196635 HSA196634:HSA196635 IBW196634:IBW196635 ILS196634:ILS196635 IVO196634:IVO196635 JFK196634:JFK196635 JPG196634:JPG196635 JZC196634:JZC196635 KIY196634:KIY196635 KSU196634:KSU196635 LCQ196634:LCQ196635 LMM196634:LMM196635 LWI196634:LWI196635 MGE196634:MGE196635 MQA196634:MQA196635 MZW196634:MZW196635 NJS196634:NJS196635 NTO196634:NTO196635 ODK196634:ODK196635 ONG196634:ONG196635 OXC196634:OXC196635 PGY196634:PGY196635 PQU196634:PQU196635 QAQ196634:QAQ196635 QKM196634:QKM196635 QUI196634:QUI196635 REE196634:REE196635 ROA196634:ROA196635 RXW196634:RXW196635 SHS196634:SHS196635 SRO196634:SRO196635 TBK196634:TBK196635 TLG196634:TLG196635 TVC196634:TVC196635 UEY196634:UEY196635 UOU196634:UOU196635 UYQ196634:UYQ196635 VIM196634:VIM196635 VSI196634:VSI196635 WCE196634:WCE196635 WMA196634:WMA196635 WVW196634:WVW196635 O262170:O262171 JK262170:JK262171 TG262170:TG262171 ADC262170:ADC262171 AMY262170:AMY262171 AWU262170:AWU262171 BGQ262170:BGQ262171 BQM262170:BQM262171 CAI262170:CAI262171 CKE262170:CKE262171 CUA262170:CUA262171 DDW262170:DDW262171 DNS262170:DNS262171 DXO262170:DXO262171 EHK262170:EHK262171 ERG262170:ERG262171 FBC262170:FBC262171 FKY262170:FKY262171 FUU262170:FUU262171 GEQ262170:GEQ262171 GOM262170:GOM262171 GYI262170:GYI262171 HIE262170:HIE262171 HSA262170:HSA262171 IBW262170:IBW262171 ILS262170:ILS262171 IVO262170:IVO262171 JFK262170:JFK262171 JPG262170:JPG262171 JZC262170:JZC262171 KIY262170:KIY262171 KSU262170:KSU262171 LCQ262170:LCQ262171 LMM262170:LMM262171 LWI262170:LWI262171 MGE262170:MGE262171 MQA262170:MQA262171 MZW262170:MZW262171 NJS262170:NJS262171 NTO262170:NTO262171 ODK262170:ODK262171 ONG262170:ONG262171 OXC262170:OXC262171 PGY262170:PGY262171 PQU262170:PQU262171 QAQ262170:QAQ262171 QKM262170:QKM262171 QUI262170:QUI262171 REE262170:REE262171 ROA262170:ROA262171 RXW262170:RXW262171 SHS262170:SHS262171 SRO262170:SRO262171 TBK262170:TBK262171 TLG262170:TLG262171 TVC262170:TVC262171 UEY262170:UEY262171 UOU262170:UOU262171 UYQ262170:UYQ262171 VIM262170:VIM262171 VSI262170:VSI262171 WCE262170:WCE262171 WMA262170:WMA262171 WVW262170:WVW262171 O327706:O327707 JK327706:JK327707 TG327706:TG327707 ADC327706:ADC327707 AMY327706:AMY327707 AWU327706:AWU327707 BGQ327706:BGQ327707 BQM327706:BQM327707 CAI327706:CAI327707 CKE327706:CKE327707 CUA327706:CUA327707 DDW327706:DDW327707 DNS327706:DNS327707 DXO327706:DXO327707 EHK327706:EHK327707 ERG327706:ERG327707 FBC327706:FBC327707 FKY327706:FKY327707 FUU327706:FUU327707 GEQ327706:GEQ327707 GOM327706:GOM327707 GYI327706:GYI327707 HIE327706:HIE327707 HSA327706:HSA327707 IBW327706:IBW327707 ILS327706:ILS327707 IVO327706:IVO327707 JFK327706:JFK327707 JPG327706:JPG327707 JZC327706:JZC327707 KIY327706:KIY327707 KSU327706:KSU327707 LCQ327706:LCQ327707 LMM327706:LMM327707 LWI327706:LWI327707 MGE327706:MGE327707 MQA327706:MQA327707 MZW327706:MZW327707 NJS327706:NJS327707 NTO327706:NTO327707 ODK327706:ODK327707 ONG327706:ONG327707 OXC327706:OXC327707 PGY327706:PGY327707 PQU327706:PQU327707 QAQ327706:QAQ327707 QKM327706:QKM327707 QUI327706:QUI327707 REE327706:REE327707 ROA327706:ROA327707 RXW327706:RXW327707 SHS327706:SHS327707 SRO327706:SRO327707 TBK327706:TBK327707 TLG327706:TLG327707 TVC327706:TVC327707 UEY327706:UEY327707 UOU327706:UOU327707 UYQ327706:UYQ327707 VIM327706:VIM327707 VSI327706:VSI327707 WCE327706:WCE327707 WMA327706:WMA327707 WVW327706:WVW327707 O393242:O393243 JK393242:JK393243 TG393242:TG393243 ADC393242:ADC393243 AMY393242:AMY393243 AWU393242:AWU393243 BGQ393242:BGQ393243 BQM393242:BQM393243 CAI393242:CAI393243 CKE393242:CKE393243 CUA393242:CUA393243 DDW393242:DDW393243 DNS393242:DNS393243 DXO393242:DXO393243 EHK393242:EHK393243 ERG393242:ERG393243 FBC393242:FBC393243 FKY393242:FKY393243 FUU393242:FUU393243 GEQ393242:GEQ393243 GOM393242:GOM393243 GYI393242:GYI393243 HIE393242:HIE393243 HSA393242:HSA393243 IBW393242:IBW393243 ILS393242:ILS393243 IVO393242:IVO393243 JFK393242:JFK393243 JPG393242:JPG393243 JZC393242:JZC393243 KIY393242:KIY393243 KSU393242:KSU393243 LCQ393242:LCQ393243 LMM393242:LMM393243 LWI393242:LWI393243 MGE393242:MGE393243 MQA393242:MQA393243 MZW393242:MZW393243 NJS393242:NJS393243 NTO393242:NTO393243 ODK393242:ODK393243 ONG393242:ONG393243 OXC393242:OXC393243 PGY393242:PGY393243 PQU393242:PQU393243 QAQ393242:QAQ393243 QKM393242:QKM393243 QUI393242:QUI393243 REE393242:REE393243 ROA393242:ROA393243 RXW393242:RXW393243 SHS393242:SHS393243 SRO393242:SRO393243 TBK393242:TBK393243 TLG393242:TLG393243 TVC393242:TVC393243 UEY393242:UEY393243 UOU393242:UOU393243 UYQ393242:UYQ393243 VIM393242:VIM393243 VSI393242:VSI393243 WCE393242:WCE393243 WMA393242:WMA393243 WVW393242:WVW393243 O458778:O458779 JK458778:JK458779 TG458778:TG458779 ADC458778:ADC458779 AMY458778:AMY458779 AWU458778:AWU458779 BGQ458778:BGQ458779 BQM458778:BQM458779 CAI458778:CAI458779 CKE458778:CKE458779 CUA458778:CUA458779 DDW458778:DDW458779 DNS458778:DNS458779 DXO458778:DXO458779 EHK458778:EHK458779 ERG458778:ERG458779 FBC458778:FBC458779 FKY458778:FKY458779 FUU458778:FUU458779 GEQ458778:GEQ458779 GOM458778:GOM458779 GYI458778:GYI458779 HIE458778:HIE458779 HSA458778:HSA458779 IBW458778:IBW458779 ILS458778:ILS458779 IVO458778:IVO458779 JFK458778:JFK458779 JPG458778:JPG458779 JZC458778:JZC458779 KIY458778:KIY458779 KSU458778:KSU458779 LCQ458778:LCQ458779 LMM458778:LMM458779 LWI458778:LWI458779 MGE458778:MGE458779 MQA458778:MQA458779 MZW458778:MZW458779 NJS458778:NJS458779 NTO458778:NTO458779 ODK458778:ODK458779 ONG458778:ONG458779 OXC458778:OXC458779 PGY458778:PGY458779 PQU458778:PQU458779 QAQ458778:QAQ458779 QKM458778:QKM458779 QUI458778:QUI458779 REE458778:REE458779 ROA458778:ROA458779 RXW458778:RXW458779 SHS458778:SHS458779 SRO458778:SRO458779 TBK458778:TBK458779 TLG458778:TLG458779 TVC458778:TVC458779 UEY458778:UEY458779 UOU458778:UOU458779 UYQ458778:UYQ458779 VIM458778:VIM458779 VSI458778:VSI458779 WCE458778:WCE458779 WMA458778:WMA458779 WVW458778:WVW458779 O524314:O524315 JK524314:JK524315 TG524314:TG524315 ADC524314:ADC524315 AMY524314:AMY524315 AWU524314:AWU524315 BGQ524314:BGQ524315 BQM524314:BQM524315 CAI524314:CAI524315 CKE524314:CKE524315 CUA524314:CUA524315 DDW524314:DDW524315 DNS524314:DNS524315 DXO524314:DXO524315 EHK524314:EHK524315 ERG524314:ERG524315 FBC524314:FBC524315 FKY524314:FKY524315 FUU524314:FUU524315 GEQ524314:GEQ524315 GOM524314:GOM524315 GYI524314:GYI524315 HIE524314:HIE524315 HSA524314:HSA524315 IBW524314:IBW524315 ILS524314:ILS524315 IVO524314:IVO524315 JFK524314:JFK524315 JPG524314:JPG524315 JZC524314:JZC524315 KIY524314:KIY524315 KSU524314:KSU524315 LCQ524314:LCQ524315 LMM524314:LMM524315 LWI524314:LWI524315 MGE524314:MGE524315 MQA524314:MQA524315 MZW524314:MZW524315 NJS524314:NJS524315 NTO524314:NTO524315 ODK524314:ODK524315 ONG524314:ONG524315 OXC524314:OXC524315 PGY524314:PGY524315 PQU524314:PQU524315 QAQ524314:QAQ524315 QKM524314:QKM524315 QUI524314:QUI524315 REE524314:REE524315 ROA524314:ROA524315 RXW524314:RXW524315 SHS524314:SHS524315 SRO524314:SRO524315 TBK524314:TBK524315 TLG524314:TLG524315 TVC524314:TVC524315 UEY524314:UEY524315 UOU524314:UOU524315 UYQ524314:UYQ524315 VIM524314:VIM524315 VSI524314:VSI524315 WCE524314:WCE524315 WMA524314:WMA524315 WVW524314:WVW524315 O589850:O589851 JK589850:JK589851 TG589850:TG589851 ADC589850:ADC589851 AMY589850:AMY589851 AWU589850:AWU589851 BGQ589850:BGQ589851 BQM589850:BQM589851 CAI589850:CAI589851 CKE589850:CKE589851 CUA589850:CUA589851 DDW589850:DDW589851 DNS589850:DNS589851 DXO589850:DXO589851 EHK589850:EHK589851 ERG589850:ERG589851 FBC589850:FBC589851 FKY589850:FKY589851 FUU589850:FUU589851 GEQ589850:GEQ589851 GOM589850:GOM589851 GYI589850:GYI589851 HIE589850:HIE589851 HSA589850:HSA589851 IBW589850:IBW589851 ILS589850:ILS589851 IVO589850:IVO589851 JFK589850:JFK589851 JPG589850:JPG589851 JZC589850:JZC589851 KIY589850:KIY589851 KSU589850:KSU589851 LCQ589850:LCQ589851 LMM589850:LMM589851 LWI589850:LWI589851 MGE589850:MGE589851 MQA589850:MQA589851 MZW589850:MZW589851 NJS589850:NJS589851 NTO589850:NTO589851 ODK589850:ODK589851 ONG589850:ONG589851 OXC589850:OXC589851 PGY589850:PGY589851 PQU589850:PQU589851 QAQ589850:QAQ589851 QKM589850:QKM589851 QUI589850:QUI589851 REE589850:REE589851 ROA589850:ROA589851 RXW589850:RXW589851 SHS589850:SHS589851 SRO589850:SRO589851 TBK589850:TBK589851 TLG589850:TLG589851 TVC589850:TVC589851 UEY589850:UEY589851 UOU589850:UOU589851 UYQ589850:UYQ589851 VIM589850:VIM589851 VSI589850:VSI589851 WCE589850:WCE589851 WMA589850:WMA589851 WVW589850:WVW589851 O655386:O655387 JK655386:JK655387 TG655386:TG655387 ADC655386:ADC655387 AMY655386:AMY655387 AWU655386:AWU655387 BGQ655386:BGQ655387 BQM655386:BQM655387 CAI655386:CAI655387 CKE655386:CKE655387 CUA655386:CUA655387 DDW655386:DDW655387 DNS655386:DNS655387 DXO655386:DXO655387 EHK655386:EHK655387 ERG655386:ERG655387 FBC655386:FBC655387 FKY655386:FKY655387 FUU655386:FUU655387 GEQ655386:GEQ655387 GOM655386:GOM655387 GYI655386:GYI655387 HIE655386:HIE655387 HSA655386:HSA655387 IBW655386:IBW655387 ILS655386:ILS655387 IVO655386:IVO655387 JFK655386:JFK655387 JPG655386:JPG655387 JZC655386:JZC655387 KIY655386:KIY655387 KSU655386:KSU655387 LCQ655386:LCQ655387 LMM655386:LMM655387 LWI655386:LWI655387 MGE655386:MGE655387 MQA655386:MQA655387 MZW655386:MZW655387 NJS655386:NJS655387 NTO655386:NTO655387 ODK655386:ODK655387 ONG655386:ONG655387 OXC655386:OXC655387 PGY655386:PGY655387 PQU655386:PQU655387 QAQ655386:QAQ655387 QKM655386:QKM655387 QUI655386:QUI655387 REE655386:REE655387 ROA655386:ROA655387 RXW655386:RXW655387 SHS655386:SHS655387 SRO655386:SRO655387 TBK655386:TBK655387 TLG655386:TLG655387 TVC655386:TVC655387 UEY655386:UEY655387 UOU655386:UOU655387 UYQ655386:UYQ655387 VIM655386:VIM655387 VSI655386:VSI655387 WCE655386:WCE655387 WMA655386:WMA655387 WVW655386:WVW655387 O720922:O720923 JK720922:JK720923 TG720922:TG720923 ADC720922:ADC720923 AMY720922:AMY720923 AWU720922:AWU720923 BGQ720922:BGQ720923 BQM720922:BQM720923 CAI720922:CAI720923 CKE720922:CKE720923 CUA720922:CUA720923 DDW720922:DDW720923 DNS720922:DNS720923 DXO720922:DXO720923 EHK720922:EHK720923 ERG720922:ERG720923 FBC720922:FBC720923 FKY720922:FKY720923 FUU720922:FUU720923 GEQ720922:GEQ720923 GOM720922:GOM720923 GYI720922:GYI720923 HIE720922:HIE720923 HSA720922:HSA720923 IBW720922:IBW720923 ILS720922:ILS720923 IVO720922:IVO720923 JFK720922:JFK720923 JPG720922:JPG720923 JZC720922:JZC720923 KIY720922:KIY720923 KSU720922:KSU720923 LCQ720922:LCQ720923 LMM720922:LMM720923 LWI720922:LWI720923 MGE720922:MGE720923 MQA720922:MQA720923 MZW720922:MZW720923 NJS720922:NJS720923 NTO720922:NTO720923 ODK720922:ODK720923 ONG720922:ONG720923 OXC720922:OXC720923 PGY720922:PGY720923 PQU720922:PQU720923 QAQ720922:QAQ720923 QKM720922:QKM720923 QUI720922:QUI720923 REE720922:REE720923 ROA720922:ROA720923 RXW720922:RXW720923 SHS720922:SHS720923 SRO720922:SRO720923 TBK720922:TBK720923 TLG720922:TLG720923 TVC720922:TVC720923 UEY720922:UEY720923 UOU720922:UOU720923 UYQ720922:UYQ720923 VIM720922:VIM720923 VSI720922:VSI720923 WCE720922:WCE720923 WMA720922:WMA720923 WVW720922:WVW720923 O786458:O786459 JK786458:JK786459 TG786458:TG786459 ADC786458:ADC786459 AMY786458:AMY786459 AWU786458:AWU786459 BGQ786458:BGQ786459 BQM786458:BQM786459 CAI786458:CAI786459 CKE786458:CKE786459 CUA786458:CUA786459 DDW786458:DDW786459 DNS786458:DNS786459 DXO786458:DXO786459 EHK786458:EHK786459 ERG786458:ERG786459 FBC786458:FBC786459 FKY786458:FKY786459 FUU786458:FUU786459 GEQ786458:GEQ786459 GOM786458:GOM786459 GYI786458:GYI786459 HIE786458:HIE786459 HSA786458:HSA786459 IBW786458:IBW786459 ILS786458:ILS786459 IVO786458:IVO786459 JFK786458:JFK786459 JPG786458:JPG786459 JZC786458:JZC786459 KIY786458:KIY786459 KSU786458:KSU786459 LCQ786458:LCQ786459 LMM786458:LMM786459 LWI786458:LWI786459 MGE786458:MGE786459 MQA786458:MQA786459 MZW786458:MZW786459 NJS786458:NJS786459 NTO786458:NTO786459 ODK786458:ODK786459 ONG786458:ONG786459 OXC786458:OXC786459 PGY786458:PGY786459 PQU786458:PQU786459 QAQ786458:QAQ786459 QKM786458:QKM786459 QUI786458:QUI786459 REE786458:REE786459 ROA786458:ROA786459 RXW786458:RXW786459 SHS786458:SHS786459 SRO786458:SRO786459 TBK786458:TBK786459 TLG786458:TLG786459 TVC786458:TVC786459 UEY786458:UEY786459 UOU786458:UOU786459 UYQ786458:UYQ786459 VIM786458:VIM786459 VSI786458:VSI786459 WCE786458:WCE786459 WMA786458:WMA786459 WVW786458:WVW786459 O851994:O851995 JK851994:JK851995 TG851994:TG851995 ADC851994:ADC851995 AMY851994:AMY851995 AWU851994:AWU851995 BGQ851994:BGQ851995 BQM851994:BQM851995 CAI851994:CAI851995 CKE851994:CKE851995 CUA851994:CUA851995 DDW851994:DDW851995 DNS851994:DNS851995 DXO851994:DXO851995 EHK851994:EHK851995 ERG851994:ERG851995 FBC851994:FBC851995 FKY851994:FKY851995 FUU851994:FUU851995 GEQ851994:GEQ851995 GOM851994:GOM851995 GYI851994:GYI851995 HIE851994:HIE851995 HSA851994:HSA851995 IBW851994:IBW851995 ILS851994:ILS851995 IVO851994:IVO851995 JFK851994:JFK851995 JPG851994:JPG851995 JZC851994:JZC851995 KIY851994:KIY851995 KSU851994:KSU851995 LCQ851994:LCQ851995 LMM851994:LMM851995 LWI851994:LWI851995 MGE851994:MGE851995 MQA851994:MQA851995 MZW851994:MZW851995 NJS851994:NJS851995 NTO851994:NTO851995 ODK851994:ODK851995 ONG851994:ONG851995 OXC851994:OXC851995 PGY851994:PGY851995 PQU851994:PQU851995 QAQ851994:QAQ851995 QKM851994:QKM851995 QUI851994:QUI851995 REE851994:REE851995 ROA851994:ROA851995 RXW851994:RXW851995 SHS851994:SHS851995 SRO851994:SRO851995 TBK851994:TBK851995 TLG851994:TLG851995 TVC851994:TVC851995 UEY851994:UEY851995 UOU851994:UOU851995 UYQ851994:UYQ851995 VIM851994:VIM851995 VSI851994:VSI851995 WCE851994:WCE851995 WMA851994:WMA851995 WVW851994:WVW851995 O917530:O917531 JK917530:JK917531 TG917530:TG917531 ADC917530:ADC917531 AMY917530:AMY917531 AWU917530:AWU917531 BGQ917530:BGQ917531 BQM917530:BQM917531 CAI917530:CAI917531 CKE917530:CKE917531 CUA917530:CUA917531 DDW917530:DDW917531 DNS917530:DNS917531 DXO917530:DXO917531 EHK917530:EHK917531 ERG917530:ERG917531 FBC917530:FBC917531 FKY917530:FKY917531 FUU917530:FUU917531 GEQ917530:GEQ917531 GOM917530:GOM917531 GYI917530:GYI917531 HIE917530:HIE917531 HSA917530:HSA917531 IBW917530:IBW917531 ILS917530:ILS917531 IVO917530:IVO917531 JFK917530:JFK917531 JPG917530:JPG917531 JZC917530:JZC917531 KIY917530:KIY917531 KSU917530:KSU917531 LCQ917530:LCQ917531 LMM917530:LMM917531 LWI917530:LWI917531 MGE917530:MGE917531 MQA917530:MQA917531 MZW917530:MZW917531 NJS917530:NJS917531 NTO917530:NTO917531 ODK917530:ODK917531 ONG917530:ONG917531 OXC917530:OXC917531 PGY917530:PGY917531 PQU917530:PQU917531 QAQ917530:QAQ917531 QKM917530:QKM917531 QUI917530:QUI917531 REE917530:REE917531 ROA917530:ROA917531 RXW917530:RXW917531 SHS917530:SHS917531 SRO917530:SRO917531 TBK917530:TBK917531 TLG917530:TLG917531 TVC917530:TVC917531 UEY917530:UEY917531 UOU917530:UOU917531 UYQ917530:UYQ917531 VIM917530:VIM917531 VSI917530:VSI917531 WCE917530:WCE917531 WMA917530:WMA917531 WVW917530:WVW917531 O983066:O983067 JK983066:JK983067 TG983066:TG983067 ADC983066:ADC983067 AMY983066:AMY983067 AWU983066:AWU983067 BGQ983066:BGQ983067 BQM983066:BQM983067 CAI983066:CAI983067 CKE983066:CKE983067 CUA983066:CUA983067 DDW983066:DDW983067 DNS983066:DNS983067 DXO983066:DXO983067 EHK983066:EHK983067 ERG983066:ERG983067 FBC983066:FBC983067 FKY983066:FKY983067 FUU983066:FUU983067 GEQ983066:GEQ983067 GOM983066:GOM983067 GYI983066:GYI983067 HIE983066:HIE983067 HSA983066:HSA983067 IBW983066:IBW983067 ILS983066:ILS983067 IVO983066:IVO983067 JFK983066:JFK983067 JPG983066:JPG983067 JZC983066:JZC983067 KIY983066:KIY983067 KSU983066:KSU983067 LCQ983066:LCQ983067 LMM983066:LMM983067 LWI983066:LWI983067 MGE983066:MGE983067 MQA983066:MQA983067 MZW983066:MZW983067 NJS983066:NJS983067 NTO983066:NTO983067 ODK983066:ODK983067 ONG983066:ONG983067 OXC983066:OXC983067 PGY983066:PGY983067 PQU983066:PQU983067 QAQ983066:QAQ983067 QKM983066:QKM983067 QUI983066:QUI983067 REE983066:REE983067 ROA983066:ROA983067 RXW983066:RXW983067 SHS983066:SHS983067 SRO983066:SRO983067 TBK983066:TBK983067 TLG983066:TLG983067 TVC983066:TVC983067 UEY983066:UEY983067 UOU983066:UOU983067 UYQ983066:UYQ983067 VIM983066:VIM983067 VSI983066:VSI983067 WCE983066:WCE983067 WMA983066:WMA983067 WVW983066:WVW983067 P4:P25 JL4:JL25 TH4:TH25 ADD4:ADD25 AMZ4:AMZ25 AWV4:AWV25 BGR4:BGR25 BQN4:BQN25 CAJ4:CAJ25 CKF4:CKF25 CUB4:CUB25 DDX4:DDX25 DNT4:DNT25 DXP4:DXP25 EHL4:EHL25 ERH4:ERH25 FBD4:FBD25 FKZ4:FKZ25 FUV4:FUV25 GER4:GER25 GON4:GON25 GYJ4:GYJ25 HIF4:HIF25 HSB4:HSB25 IBX4:IBX25 ILT4:ILT25 IVP4:IVP25 JFL4:JFL25 JPH4:JPH25 JZD4:JZD25 KIZ4:KIZ25 KSV4:KSV25 LCR4:LCR25 LMN4:LMN25 LWJ4:LWJ25 MGF4:MGF25 MQB4:MQB25 MZX4:MZX25 NJT4:NJT25 NTP4:NTP25 ODL4:ODL25 ONH4:ONH25 OXD4:OXD25 PGZ4:PGZ25 PQV4:PQV25 QAR4:QAR25 QKN4:QKN25 QUJ4:QUJ25 REF4:REF25 ROB4:ROB25 RXX4:RXX25 SHT4:SHT25 SRP4:SRP25 TBL4:TBL25 TLH4:TLH25 TVD4:TVD25 UEZ4:UEZ25 UOV4:UOV25 UYR4:UYR25 VIN4:VIN25 VSJ4:VSJ25 WCF4:WCF25 WMB4:WMB25 WVX4:WVX25 P65540:P65561 JL65540:JL65561 TH65540:TH65561 ADD65540:ADD65561 AMZ65540:AMZ65561 AWV65540:AWV65561 BGR65540:BGR65561 BQN65540:BQN65561 CAJ65540:CAJ65561 CKF65540:CKF65561 CUB65540:CUB65561 DDX65540:DDX65561 DNT65540:DNT65561 DXP65540:DXP65561 EHL65540:EHL65561 ERH65540:ERH65561 FBD65540:FBD65561 FKZ65540:FKZ65561 FUV65540:FUV65561 GER65540:GER65561 GON65540:GON65561 GYJ65540:GYJ65561 HIF65540:HIF65561 HSB65540:HSB65561 IBX65540:IBX65561 ILT65540:ILT65561 IVP65540:IVP65561 JFL65540:JFL65561 JPH65540:JPH65561 JZD65540:JZD65561 KIZ65540:KIZ65561 KSV65540:KSV65561 LCR65540:LCR65561 LMN65540:LMN65561 LWJ65540:LWJ65561 MGF65540:MGF65561 MQB65540:MQB65561 MZX65540:MZX65561 NJT65540:NJT65561 NTP65540:NTP65561 ODL65540:ODL65561 ONH65540:ONH65561 OXD65540:OXD65561 PGZ65540:PGZ65561 PQV65540:PQV65561 QAR65540:QAR65561 QKN65540:QKN65561 QUJ65540:QUJ65561 REF65540:REF65561 ROB65540:ROB65561 RXX65540:RXX65561 SHT65540:SHT65561 SRP65540:SRP65561 TBL65540:TBL65561 TLH65540:TLH65561 TVD65540:TVD65561 UEZ65540:UEZ65561 UOV65540:UOV65561 UYR65540:UYR65561 VIN65540:VIN65561 VSJ65540:VSJ65561 WCF65540:WCF65561 WMB65540:WMB65561 WVX65540:WVX65561 P131076:P131097 JL131076:JL131097 TH131076:TH131097 ADD131076:ADD131097 AMZ131076:AMZ131097 AWV131076:AWV131097 BGR131076:BGR131097 BQN131076:BQN131097 CAJ131076:CAJ131097 CKF131076:CKF131097 CUB131076:CUB131097 DDX131076:DDX131097 DNT131076:DNT131097 DXP131076:DXP131097 EHL131076:EHL131097 ERH131076:ERH131097 FBD131076:FBD131097 FKZ131076:FKZ131097 FUV131076:FUV131097 GER131076:GER131097 GON131076:GON131097 GYJ131076:GYJ131097 HIF131076:HIF131097 HSB131076:HSB131097 IBX131076:IBX131097 ILT131076:ILT131097 IVP131076:IVP131097 JFL131076:JFL131097 JPH131076:JPH131097 JZD131076:JZD131097 KIZ131076:KIZ131097 KSV131076:KSV131097 LCR131076:LCR131097 LMN131076:LMN131097 LWJ131076:LWJ131097 MGF131076:MGF131097 MQB131076:MQB131097 MZX131076:MZX131097 NJT131076:NJT131097 NTP131076:NTP131097 ODL131076:ODL131097 ONH131076:ONH131097 OXD131076:OXD131097 PGZ131076:PGZ131097 PQV131076:PQV131097 QAR131076:QAR131097 QKN131076:QKN131097 QUJ131076:QUJ131097 REF131076:REF131097 ROB131076:ROB131097 RXX131076:RXX131097 SHT131076:SHT131097 SRP131076:SRP131097 TBL131076:TBL131097 TLH131076:TLH131097 TVD131076:TVD131097 UEZ131076:UEZ131097 UOV131076:UOV131097 UYR131076:UYR131097 VIN131076:VIN131097 VSJ131076:VSJ131097 WCF131076:WCF131097 WMB131076:WMB131097 WVX131076:WVX131097 P196612:P196633 JL196612:JL196633 TH196612:TH196633 ADD196612:ADD196633 AMZ196612:AMZ196633 AWV196612:AWV196633 BGR196612:BGR196633 BQN196612:BQN196633 CAJ196612:CAJ196633 CKF196612:CKF196633 CUB196612:CUB196633 DDX196612:DDX196633 DNT196612:DNT196633 DXP196612:DXP196633 EHL196612:EHL196633 ERH196612:ERH196633 FBD196612:FBD196633 FKZ196612:FKZ196633 FUV196612:FUV196633 GER196612:GER196633 GON196612:GON196633 GYJ196612:GYJ196633 HIF196612:HIF196633 HSB196612:HSB196633 IBX196612:IBX196633 ILT196612:ILT196633 IVP196612:IVP196633 JFL196612:JFL196633 JPH196612:JPH196633 JZD196612:JZD196633 KIZ196612:KIZ196633 KSV196612:KSV196633 LCR196612:LCR196633 LMN196612:LMN196633 LWJ196612:LWJ196633 MGF196612:MGF196633 MQB196612:MQB196633 MZX196612:MZX196633 NJT196612:NJT196633 NTP196612:NTP196633 ODL196612:ODL196633 ONH196612:ONH196633 OXD196612:OXD196633 PGZ196612:PGZ196633 PQV196612:PQV196633 QAR196612:QAR196633 QKN196612:QKN196633 QUJ196612:QUJ196633 REF196612:REF196633 ROB196612:ROB196633 RXX196612:RXX196633 SHT196612:SHT196633 SRP196612:SRP196633 TBL196612:TBL196633 TLH196612:TLH196633 TVD196612:TVD196633 UEZ196612:UEZ196633 UOV196612:UOV196633 UYR196612:UYR196633 VIN196612:VIN196633 VSJ196612:VSJ196633 WCF196612:WCF196633 WMB196612:WMB196633 WVX196612:WVX196633 P262148:P262169 JL262148:JL262169 TH262148:TH262169 ADD262148:ADD262169 AMZ262148:AMZ262169 AWV262148:AWV262169 BGR262148:BGR262169 BQN262148:BQN262169 CAJ262148:CAJ262169 CKF262148:CKF262169 CUB262148:CUB262169 DDX262148:DDX262169 DNT262148:DNT262169 DXP262148:DXP262169 EHL262148:EHL262169 ERH262148:ERH262169 FBD262148:FBD262169 FKZ262148:FKZ262169 FUV262148:FUV262169 GER262148:GER262169 GON262148:GON262169 GYJ262148:GYJ262169 HIF262148:HIF262169 HSB262148:HSB262169 IBX262148:IBX262169 ILT262148:ILT262169 IVP262148:IVP262169 JFL262148:JFL262169 JPH262148:JPH262169 JZD262148:JZD262169 KIZ262148:KIZ262169 KSV262148:KSV262169 LCR262148:LCR262169 LMN262148:LMN262169 LWJ262148:LWJ262169 MGF262148:MGF262169 MQB262148:MQB262169 MZX262148:MZX262169 NJT262148:NJT262169 NTP262148:NTP262169 ODL262148:ODL262169 ONH262148:ONH262169 OXD262148:OXD262169 PGZ262148:PGZ262169 PQV262148:PQV262169 QAR262148:QAR262169 QKN262148:QKN262169 QUJ262148:QUJ262169 REF262148:REF262169 ROB262148:ROB262169 RXX262148:RXX262169 SHT262148:SHT262169 SRP262148:SRP262169 TBL262148:TBL262169 TLH262148:TLH262169 TVD262148:TVD262169 UEZ262148:UEZ262169 UOV262148:UOV262169 UYR262148:UYR262169 VIN262148:VIN262169 VSJ262148:VSJ262169 WCF262148:WCF262169 WMB262148:WMB262169 WVX262148:WVX262169 P327684:P327705 JL327684:JL327705 TH327684:TH327705 ADD327684:ADD327705 AMZ327684:AMZ327705 AWV327684:AWV327705 BGR327684:BGR327705 BQN327684:BQN327705 CAJ327684:CAJ327705 CKF327684:CKF327705 CUB327684:CUB327705 DDX327684:DDX327705 DNT327684:DNT327705 DXP327684:DXP327705 EHL327684:EHL327705 ERH327684:ERH327705 FBD327684:FBD327705 FKZ327684:FKZ327705 FUV327684:FUV327705 GER327684:GER327705 GON327684:GON327705 GYJ327684:GYJ327705 HIF327684:HIF327705 HSB327684:HSB327705 IBX327684:IBX327705 ILT327684:ILT327705 IVP327684:IVP327705 JFL327684:JFL327705 JPH327684:JPH327705 JZD327684:JZD327705 KIZ327684:KIZ327705 KSV327684:KSV327705 LCR327684:LCR327705 LMN327684:LMN327705 LWJ327684:LWJ327705 MGF327684:MGF327705 MQB327684:MQB327705 MZX327684:MZX327705 NJT327684:NJT327705 NTP327684:NTP327705 ODL327684:ODL327705 ONH327684:ONH327705 OXD327684:OXD327705 PGZ327684:PGZ327705 PQV327684:PQV327705 QAR327684:QAR327705 QKN327684:QKN327705 QUJ327684:QUJ327705 REF327684:REF327705 ROB327684:ROB327705 RXX327684:RXX327705 SHT327684:SHT327705 SRP327684:SRP327705 TBL327684:TBL327705 TLH327684:TLH327705 TVD327684:TVD327705 UEZ327684:UEZ327705 UOV327684:UOV327705 UYR327684:UYR327705 VIN327684:VIN327705 VSJ327684:VSJ327705 WCF327684:WCF327705 WMB327684:WMB327705 WVX327684:WVX327705 P393220:P393241 JL393220:JL393241 TH393220:TH393241 ADD393220:ADD393241 AMZ393220:AMZ393241 AWV393220:AWV393241 BGR393220:BGR393241 BQN393220:BQN393241 CAJ393220:CAJ393241 CKF393220:CKF393241 CUB393220:CUB393241 DDX393220:DDX393241 DNT393220:DNT393241 DXP393220:DXP393241 EHL393220:EHL393241 ERH393220:ERH393241 FBD393220:FBD393241 FKZ393220:FKZ393241 FUV393220:FUV393241 GER393220:GER393241 GON393220:GON393241 GYJ393220:GYJ393241 HIF393220:HIF393241 HSB393220:HSB393241 IBX393220:IBX393241 ILT393220:ILT393241 IVP393220:IVP393241 JFL393220:JFL393241 JPH393220:JPH393241 JZD393220:JZD393241 KIZ393220:KIZ393241 KSV393220:KSV393241 LCR393220:LCR393241 LMN393220:LMN393241 LWJ393220:LWJ393241 MGF393220:MGF393241 MQB393220:MQB393241 MZX393220:MZX393241 NJT393220:NJT393241 NTP393220:NTP393241 ODL393220:ODL393241 ONH393220:ONH393241 OXD393220:OXD393241 PGZ393220:PGZ393241 PQV393220:PQV393241 QAR393220:QAR393241 QKN393220:QKN393241 QUJ393220:QUJ393241 REF393220:REF393241 ROB393220:ROB393241 RXX393220:RXX393241 SHT393220:SHT393241 SRP393220:SRP393241 TBL393220:TBL393241 TLH393220:TLH393241 TVD393220:TVD393241 UEZ393220:UEZ393241 UOV393220:UOV393241 UYR393220:UYR393241 VIN393220:VIN393241 VSJ393220:VSJ393241 WCF393220:WCF393241 WMB393220:WMB393241 WVX393220:WVX393241 P458756:P458777 JL458756:JL458777 TH458756:TH458777 ADD458756:ADD458777 AMZ458756:AMZ458777 AWV458756:AWV458777 BGR458756:BGR458777 BQN458756:BQN458777 CAJ458756:CAJ458777 CKF458756:CKF458777 CUB458756:CUB458777 DDX458756:DDX458777 DNT458756:DNT458777 DXP458756:DXP458777 EHL458756:EHL458777 ERH458756:ERH458777 FBD458756:FBD458777 FKZ458756:FKZ458777 FUV458756:FUV458777 GER458756:GER458777 GON458756:GON458777 GYJ458756:GYJ458777 HIF458756:HIF458777 HSB458756:HSB458777 IBX458756:IBX458777 ILT458756:ILT458777 IVP458756:IVP458777 JFL458756:JFL458777 JPH458756:JPH458777 JZD458756:JZD458777 KIZ458756:KIZ458777 KSV458756:KSV458777 LCR458756:LCR458777 LMN458756:LMN458777 LWJ458756:LWJ458777 MGF458756:MGF458777 MQB458756:MQB458777 MZX458756:MZX458777 NJT458756:NJT458777 NTP458756:NTP458777 ODL458756:ODL458777 ONH458756:ONH458777 OXD458756:OXD458777 PGZ458756:PGZ458777 PQV458756:PQV458777 QAR458756:QAR458777 QKN458756:QKN458777 QUJ458756:QUJ458777 REF458756:REF458777 ROB458756:ROB458777 RXX458756:RXX458777 SHT458756:SHT458777 SRP458756:SRP458777 TBL458756:TBL458777 TLH458756:TLH458777 TVD458756:TVD458777 UEZ458756:UEZ458777 UOV458756:UOV458777 UYR458756:UYR458777 VIN458756:VIN458777 VSJ458756:VSJ458777 WCF458756:WCF458777 WMB458756:WMB458777 WVX458756:WVX458777 P524292:P524313 JL524292:JL524313 TH524292:TH524313 ADD524292:ADD524313 AMZ524292:AMZ524313 AWV524292:AWV524313 BGR524292:BGR524313 BQN524292:BQN524313 CAJ524292:CAJ524313 CKF524292:CKF524313 CUB524292:CUB524313 DDX524292:DDX524313 DNT524292:DNT524313 DXP524292:DXP524313 EHL524292:EHL524313 ERH524292:ERH524313 FBD524292:FBD524313 FKZ524292:FKZ524313 FUV524292:FUV524313 GER524292:GER524313 GON524292:GON524313 GYJ524292:GYJ524313 HIF524292:HIF524313 HSB524292:HSB524313 IBX524292:IBX524313 ILT524292:ILT524313 IVP524292:IVP524313 JFL524292:JFL524313 JPH524292:JPH524313 JZD524292:JZD524313 KIZ524292:KIZ524313 KSV524292:KSV524313 LCR524292:LCR524313 LMN524292:LMN524313 LWJ524292:LWJ524313 MGF524292:MGF524313 MQB524292:MQB524313 MZX524292:MZX524313 NJT524292:NJT524313 NTP524292:NTP524313 ODL524292:ODL524313 ONH524292:ONH524313 OXD524292:OXD524313 PGZ524292:PGZ524313 PQV524292:PQV524313 QAR524292:QAR524313 QKN524292:QKN524313 QUJ524292:QUJ524313 REF524292:REF524313 ROB524292:ROB524313 RXX524292:RXX524313 SHT524292:SHT524313 SRP524292:SRP524313 TBL524292:TBL524313 TLH524292:TLH524313 TVD524292:TVD524313 UEZ524292:UEZ524313 UOV524292:UOV524313 UYR524292:UYR524313 VIN524292:VIN524313 VSJ524292:VSJ524313 WCF524292:WCF524313 WMB524292:WMB524313 WVX524292:WVX524313 P589828:P589849 JL589828:JL589849 TH589828:TH589849 ADD589828:ADD589849 AMZ589828:AMZ589849 AWV589828:AWV589849 BGR589828:BGR589849 BQN589828:BQN589849 CAJ589828:CAJ589849 CKF589828:CKF589849 CUB589828:CUB589849 DDX589828:DDX589849 DNT589828:DNT589849 DXP589828:DXP589849 EHL589828:EHL589849 ERH589828:ERH589849 FBD589828:FBD589849 FKZ589828:FKZ589849 FUV589828:FUV589849 GER589828:GER589849 GON589828:GON589849 GYJ589828:GYJ589849 HIF589828:HIF589849 HSB589828:HSB589849 IBX589828:IBX589849 ILT589828:ILT589849 IVP589828:IVP589849 JFL589828:JFL589849 JPH589828:JPH589849 JZD589828:JZD589849 KIZ589828:KIZ589849 KSV589828:KSV589849 LCR589828:LCR589849 LMN589828:LMN589849 LWJ589828:LWJ589849 MGF589828:MGF589849 MQB589828:MQB589849 MZX589828:MZX589849 NJT589828:NJT589849 NTP589828:NTP589849 ODL589828:ODL589849 ONH589828:ONH589849 OXD589828:OXD589849 PGZ589828:PGZ589849 PQV589828:PQV589849 QAR589828:QAR589849 QKN589828:QKN589849 QUJ589828:QUJ589849 REF589828:REF589849 ROB589828:ROB589849 RXX589828:RXX589849 SHT589828:SHT589849 SRP589828:SRP589849 TBL589828:TBL589849 TLH589828:TLH589849 TVD589828:TVD589849 UEZ589828:UEZ589849 UOV589828:UOV589849 UYR589828:UYR589849 VIN589828:VIN589849 VSJ589828:VSJ589849 WCF589828:WCF589849 WMB589828:WMB589849 WVX589828:WVX589849 P655364:P655385 JL655364:JL655385 TH655364:TH655385 ADD655364:ADD655385 AMZ655364:AMZ655385 AWV655364:AWV655385 BGR655364:BGR655385 BQN655364:BQN655385 CAJ655364:CAJ655385 CKF655364:CKF655385 CUB655364:CUB655385 DDX655364:DDX655385 DNT655364:DNT655385 DXP655364:DXP655385 EHL655364:EHL655385 ERH655364:ERH655385 FBD655364:FBD655385 FKZ655364:FKZ655385 FUV655364:FUV655385 GER655364:GER655385 GON655364:GON655385 GYJ655364:GYJ655385 HIF655364:HIF655385 HSB655364:HSB655385 IBX655364:IBX655385 ILT655364:ILT655385 IVP655364:IVP655385 JFL655364:JFL655385 JPH655364:JPH655385 JZD655364:JZD655385 KIZ655364:KIZ655385 KSV655364:KSV655385 LCR655364:LCR655385 LMN655364:LMN655385 LWJ655364:LWJ655385 MGF655364:MGF655385 MQB655364:MQB655385 MZX655364:MZX655385 NJT655364:NJT655385 NTP655364:NTP655385 ODL655364:ODL655385 ONH655364:ONH655385 OXD655364:OXD655385 PGZ655364:PGZ655385 PQV655364:PQV655385 QAR655364:QAR655385 QKN655364:QKN655385 QUJ655364:QUJ655385 REF655364:REF655385 ROB655364:ROB655385 RXX655364:RXX655385 SHT655364:SHT655385 SRP655364:SRP655385 TBL655364:TBL655385 TLH655364:TLH655385 TVD655364:TVD655385 UEZ655364:UEZ655385 UOV655364:UOV655385 UYR655364:UYR655385 VIN655364:VIN655385 VSJ655364:VSJ655385 WCF655364:WCF655385 WMB655364:WMB655385 WVX655364:WVX655385 P720900:P720921 JL720900:JL720921 TH720900:TH720921 ADD720900:ADD720921 AMZ720900:AMZ720921 AWV720900:AWV720921 BGR720900:BGR720921 BQN720900:BQN720921 CAJ720900:CAJ720921 CKF720900:CKF720921 CUB720900:CUB720921 DDX720900:DDX720921 DNT720900:DNT720921 DXP720900:DXP720921 EHL720900:EHL720921 ERH720900:ERH720921 FBD720900:FBD720921 FKZ720900:FKZ720921 FUV720900:FUV720921 GER720900:GER720921 GON720900:GON720921 GYJ720900:GYJ720921 HIF720900:HIF720921 HSB720900:HSB720921 IBX720900:IBX720921 ILT720900:ILT720921 IVP720900:IVP720921 JFL720900:JFL720921 JPH720900:JPH720921 JZD720900:JZD720921 KIZ720900:KIZ720921 KSV720900:KSV720921 LCR720900:LCR720921 LMN720900:LMN720921 LWJ720900:LWJ720921 MGF720900:MGF720921 MQB720900:MQB720921 MZX720900:MZX720921 NJT720900:NJT720921 NTP720900:NTP720921 ODL720900:ODL720921 ONH720900:ONH720921 OXD720900:OXD720921 PGZ720900:PGZ720921 PQV720900:PQV720921 QAR720900:QAR720921 QKN720900:QKN720921 QUJ720900:QUJ720921 REF720900:REF720921 ROB720900:ROB720921 RXX720900:RXX720921 SHT720900:SHT720921 SRP720900:SRP720921 TBL720900:TBL720921 TLH720900:TLH720921 TVD720900:TVD720921 UEZ720900:UEZ720921 UOV720900:UOV720921 UYR720900:UYR720921 VIN720900:VIN720921 VSJ720900:VSJ720921 WCF720900:WCF720921 WMB720900:WMB720921 WVX720900:WVX720921 P786436:P786457 JL786436:JL786457 TH786436:TH786457 ADD786436:ADD786457 AMZ786436:AMZ786457 AWV786436:AWV786457 BGR786436:BGR786457 BQN786436:BQN786457 CAJ786436:CAJ786457 CKF786436:CKF786457 CUB786436:CUB786457 DDX786436:DDX786457 DNT786436:DNT786457 DXP786436:DXP786457 EHL786436:EHL786457 ERH786436:ERH786457 FBD786436:FBD786457 FKZ786436:FKZ786457 FUV786436:FUV786457 GER786436:GER786457 GON786436:GON786457 GYJ786436:GYJ786457 HIF786436:HIF786457 HSB786436:HSB786457 IBX786436:IBX786457 ILT786436:ILT786457 IVP786436:IVP786457 JFL786436:JFL786457 JPH786436:JPH786457 JZD786436:JZD786457 KIZ786436:KIZ786457 KSV786436:KSV786457 LCR786436:LCR786457 LMN786436:LMN786457 LWJ786436:LWJ786457 MGF786436:MGF786457 MQB786436:MQB786457 MZX786436:MZX786457 NJT786436:NJT786457 NTP786436:NTP786457 ODL786436:ODL786457 ONH786436:ONH786457 OXD786436:OXD786457 PGZ786436:PGZ786457 PQV786436:PQV786457 QAR786436:QAR786457 QKN786436:QKN786457 QUJ786436:QUJ786457 REF786436:REF786457 ROB786436:ROB786457 RXX786436:RXX786457 SHT786436:SHT786457 SRP786436:SRP786457 TBL786436:TBL786457 TLH786436:TLH786457 TVD786436:TVD786457 UEZ786436:UEZ786457 UOV786436:UOV786457 UYR786436:UYR786457 VIN786436:VIN786457 VSJ786436:VSJ786457 WCF786436:WCF786457 WMB786436:WMB786457 WVX786436:WVX786457 P851972:P851993 JL851972:JL851993 TH851972:TH851993 ADD851972:ADD851993 AMZ851972:AMZ851993 AWV851972:AWV851993 BGR851972:BGR851993 BQN851972:BQN851993 CAJ851972:CAJ851993 CKF851972:CKF851993 CUB851972:CUB851993 DDX851972:DDX851993 DNT851972:DNT851993 DXP851972:DXP851993 EHL851972:EHL851993 ERH851972:ERH851993 FBD851972:FBD851993 FKZ851972:FKZ851993 FUV851972:FUV851993 GER851972:GER851993 GON851972:GON851993 GYJ851972:GYJ851993 HIF851972:HIF851993 HSB851972:HSB851993 IBX851972:IBX851993 ILT851972:ILT851993 IVP851972:IVP851993 JFL851972:JFL851993 JPH851972:JPH851993 JZD851972:JZD851993 KIZ851972:KIZ851993 KSV851972:KSV851993 LCR851972:LCR851993 LMN851972:LMN851993 LWJ851972:LWJ851993 MGF851972:MGF851993 MQB851972:MQB851993 MZX851972:MZX851993 NJT851972:NJT851993 NTP851972:NTP851993 ODL851972:ODL851993 ONH851972:ONH851993 OXD851972:OXD851993 PGZ851972:PGZ851993 PQV851972:PQV851993 QAR851972:QAR851993 QKN851972:QKN851993 QUJ851972:QUJ851993 REF851972:REF851993 ROB851972:ROB851993 RXX851972:RXX851993 SHT851972:SHT851993 SRP851972:SRP851993 TBL851972:TBL851993 TLH851972:TLH851993 TVD851972:TVD851993 UEZ851972:UEZ851993 UOV851972:UOV851993 UYR851972:UYR851993 VIN851972:VIN851993 VSJ851972:VSJ851993 WCF851972:WCF851993 WMB851972:WMB851993 WVX851972:WVX851993 P917508:P917529 JL917508:JL917529 TH917508:TH917529 ADD917508:ADD917529 AMZ917508:AMZ917529 AWV917508:AWV917529 BGR917508:BGR917529 BQN917508:BQN917529 CAJ917508:CAJ917529 CKF917508:CKF917529 CUB917508:CUB917529 DDX917508:DDX917529 DNT917508:DNT917529 DXP917508:DXP917529 EHL917508:EHL917529 ERH917508:ERH917529 FBD917508:FBD917529 FKZ917508:FKZ917529 FUV917508:FUV917529 GER917508:GER917529 GON917508:GON917529 GYJ917508:GYJ917529 HIF917508:HIF917529 HSB917508:HSB917529 IBX917508:IBX917529 ILT917508:ILT917529 IVP917508:IVP917529 JFL917508:JFL917529 JPH917508:JPH917529 JZD917508:JZD917529 KIZ917508:KIZ917529 KSV917508:KSV917529 LCR917508:LCR917529 LMN917508:LMN917529 LWJ917508:LWJ917529 MGF917508:MGF917529 MQB917508:MQB917529 MZX917508:MZX917529 NJT917508:NJT917529 NTP917508:NTP917529 ODL917508:ODL917529 ONH917508:ONH917529 OXD917508:OXD917529 PGZ917508:PGZ917529 PQV917508:PQV917529 QAR917508:QAR917529 QKN917508:QKN917529 QUJ917508:QUJ917529 REF917508:REF917529 ROB917508:ROB917529 RXX917508:RXX917529 SHT917508:SHT917529 SRP917508:SRP917529 TBL917508:TBL917529 TLH917508:TLH917529 TVD917508:TVD917529 UEZ917508:UEZ917529 UOV917508:UOV917529 UYR917508:UYR917529 VIN917508:VIN917529 VSJ917508:VSJ917529 WCF917508:WCF917529 WMB917508:WMB917529 WVX917508:WVX917529 P983044:P983065 JL983044:JL983065 TH983044:TH983065 ADD983044:ADD983065 AMZ983044:AMZ983065 AWV983044:AWV983065 BGR983044:BGR983065 BQN983044:BQN983065 CAJ983044:CAJ983065 CKF983044:CKF983065 CUB983044:CUB983065 DDX983044:DDX983065 DNT983044:DNT983065 DXP983044:DXP983065 EHL983044:EHL983065 ERH983044:ERH983065 FBD983044:FBD983065 FKZ983044:FKZ983065 FUV983044:FUV983065 GER983044:GER983065 GON983044:GON983065 GYJ983044:GYJ983065 HIF983044:HIF983065 HSB983044:HSB983065 IBX983044:IBX983065 ILT983044:ILT983065 IVP983044:IVP983065 JFL983044:JFL983065 JPH983044:JPH983065 JZD983044:JZD983065 KIZ983044:KIZ983065 KSV983044:KSV983065 LCR983044:LCR983065 LMN983044:LMN983065 LWJ983044:LWJ983065 MGF983044:MGF983065 MQB983044:MQB983065 MZX983044:MZX983065 NJT983044:NJT983065 NTP983044:NTP983065 ODL983044:ODL983065 ONH983044:ONH983065 OXD983044:OXD983065 PGZ983044:PGZ983065 PQV983044:PQV983065 QAR983044:QAR983065 QKN983044:QKN983065 QUJ983044:QUJ983065 REF983044:REF983065 ROB983044:ROB983065 RXX983044:RXX983065 SHT983044:SHT983065 SRP983044:SRP983065 TBL983044:TBL983065 TLH983044:TLH983065 TVD983044:TVD983065 UEZ983044:UEZ983065 UOV983044:UOV983065 UYR983044:UYR983065 VIN983044:VIN983065 VSJ983044:VSJ983065 WCF983044:WCF983065 WMB983044:WMB983065 WVX983044:WVX983065 E56 JA56 SW56 ACS56 AMO56 AWK56 BGG56 BQC56 BZY56 CJU56 CTQ56 DDM56 DNI56 DXE56 EHA56 EQW56 FAS56 FKO56 FUK56 GEG56 GOC56 GXY56 HHU56 HRQ56 IBM56 ILI56 IVE56 JFA56 JOW56 JYS56 KIO56 KSK56 LCG56 LMC56 LVY56 MFU56 MPQ56 MZM56 NJI56 NTE56 ODA56 OMW56 OWS56 PGO56 PQK56 QAG56 QKC56 QTY56 RDU56 RNQ56 RXM56 SHI56 SRE56 TBA56 TKW56 TUS56 UEO56 UOK56 UYG56 VIC56 VRY56 WBU56 WLQ56 WVM56 E65592 JA65592 SW65592 ACS65592 AMO65592 AWK65592 BGG65592 BQC65592 BZY65592 CJU65592 CTQ65592 DDM65592 DNI65592 DXE65592 EHA65592 EQW65592 FAS65592 FKO65592 FUK65592 GEG65592 GOC65592 GXY65592 HHU65592 HRQ65592 IBM65592 ILI65592 IVE65592 JFA65592 JOW65592 JYS65592 KIO65592 KSK65592 LCG65592 LMC65592 LVY65592 MFU65592 MPQ65592 MZM65592 NJI65592 NTE65592 ODA65592 OMW65592 OWS65592 PGO65592 PQK65592 QAG65592 QKC65592 QTY65592 RDU65592 RNQ65592 RXM65592 SHI65592 SRE65592 TBA65592 TKW65592 TUS65592 UEO65592 UOK65592 UYG65592 VIC65592 VRY65592 WBU65592 WLQ65592 WVM65592 E131128 JA131128 SW131128 ACS131128 AMO131128 AWK131128 BGG131128 BQC131128 BZY131128 CJU131128 CTQ131128 DDM131128 DNI131128 DXE131128 EHA131128 EQW131128 FAS131128 FKO131128 FUK131128 GEG131128 GOC131128 GXY131128 HHU131128 HRQ131128 IBM131128 ILI131128 IVE131128 JFA131128 JOW131128 JYS131128 KIO131128 KSK131128 LCG131128 LMC131128 LVY131128 MFU131128 MPQ131128 MZM131128 NJI131128 NTE131128 ODA131128 OMW131128 OWS131128 PGO131128 PQK131128 QAG131128 QKC131128 QTY131128 RDU131128 RNQ131128 RXM131128 SHI131128 SRE131128 TBA131128 TKW131128 TUS131128 UEO131128 UOK131128 UYG131128 VIC131128 VRY131128 WBU131128 WLQ131128 WVM131128 E196664 JA196664 SW196664 ACS196664 AMO196664 AWK196664 BGG196664 BQC196664 BZY196664 CJU196664 CTQ196664 DDM196664 DNI196664 DXE196664 EHA196664 EQW196664 FAS196664 FKO196664 FUK196664 GEG196664 GOC196664 GXY196664 HHU196664 HRQ196664 IBM196664 ILI196664 IVE196664 JFA196664 JOW196664 JYS196664 KIO196664 KSK196664 LCG196664 LMC196664 LVY196664 MFU196664 MPQ196664 MZM196664 NJI196664 NTE196664 ODA196664 OMW196664 OWS196664 PGO196664 PQK196664 QAG196664 QKC196664 QTY196664 RDU196664 RNQ196664 RXM196664 SHI196664 SRE196664 TBA196664 TKW196664 TUS196664 UEO196664 UOK196664 UYG196664 VIC196664 VRY196664 WBU196664 WLQ196664 WVM196664 E262200 JA262200 SW262200 ACS262200 AMO262200 AWK262200 BGG262200 BQC262200 BZY262200 CJU262200 CTQ262200 DDM262200 DNI262200 DXE262200 EHA262200 EQW262200 FAS262200 FKO262200 FUK262200 GEG262200 GOC262200 GXY262200 HHU262200 HRQ262200 IBM262200 ILI262200 IVE262200 JFA262200 JOW262200 JYS262200 KIO262200 KSK262200 LCG262200 LMC262200 LVY262200 MFU262200 MPQ262200 MZM262200 NJI262200 NTE262200 ODA262200 OMW262200 OWS262200 PGO262200 PQK262200 QAG262200 QKC262200 QTY262200 RDU262200 RNQ262200 RXM262200 SHI262200 SRE262200 TBA262200 TKW262200 TUS262200 UEO262200 UOK262200 UYG262200 VIC262200 VRY262200 WBU262200 WLQ262200 WVM262200 E327736 JA327736 SW327736 ACS327736 AMO327736 AWK327736 BGG327736 BQC327736 BZY327736 CJU327736 CTQ327736 DDM327736 DNI327736 DXE327736 EHA327736 EQW327736 FAS327736 FKO327736 FUK327736 GEG327736 GOC327736 GXY327736 HHU327736 HRQ327736 IBM327736 ILI327736 IVE327736 JFA327736 JOW327736 JYS327736 KIO327736 KSK327736 LCG327736 LMC327736 LVY327736 MFU327736 MPQ327736 MZM327736 NJI327736 NTE327736 ODA327736 OMW327736 OWS327736 PGO327736 PQK327736 QAG327736 QKC327736 QTY327736 RDU327736 RNQ327736 RXM327736 SHI327736 SRE327736 TBA327736 TKW327736 TUS327736 UEO327736 UOK327736 UYG327736 VIC327736 VRY327736 WBU327736 WLQ327736 WVM327736 E393272 JA393272 SW393272 ACS393272 AMO393272 AWK393272 BGG393272 BQC393272 BZY393272 CJU393272 CTQ393272 DDM393272 DNI393272 DXE393272 EHA393272 EQW393272 FAS393272 FKO393272 FUK393272 GEG393272 GOC393272 GXY393272 HHU393272 HRQ393272 IBM393272 ILI393272 IVE393272 JFA393272 JOW393272 JYS393272 KIO393272 KSK393272 LCG393272 LMC393272 LVY393272 MFU393272 MPQ393272 MZM393272 NJI393272 NTE393272 ODA393272 OMW393272 OWS393272 PGO393272 PQK393272 QAG393272 QKC393272 QTY393272 RDU393272 RNQ393272 RXM393272 SHI393272 SRE393272 TBA393272 TKW393272 TUS393272 UEO393272 UOK393272 UYG393272 VIC393272 VRY393272 WBU393272 WLQ393272 WVM393272 E458808 JA458808 SW458808 ACS458808 AMO458808 AWK458808 BGG458808 BQC458808 BZY458808 CJU458808 CTQ458808 DDM458808 DNI458808 DXE458808 EHA458808 EQW458808 FAS458808 FKO458808 FUK458808 GEG458808 GOC458808 GXY458808 HHU458808 HRQ458808 IBM458808 ILI458808 IVE458808 JFA458808 JOW458808 JYS458808 KIO458808 KSK458808 LCG458808 LMC458808 LVY458808 MFU458808 MPQ458808 MZM458808 NJI458808 NTE458808 ODA458808 OMW458808 OWS458808 PGO458808 PQK458808 QAG458808 QKC458808 QTY458808 RDU458808 RNQ458808 RXM458808 SHI458808 SRE458808 TBA458808 TKW458808 TUS458808 UEO458808 UOK458808 UYG458808 VIC458808 VRY458808 WBU458808 WLQ458808 WVM458808 E524344 JA524344 SW524344 ACS524344 AMO524344 AWK524344 BGG524344 BQC524344 BZY524344 CJU524344 CTQ524344 DDM524344 DNI524344 DXE524344 EHA524344 EQW524344 FAS524344 FKO524344 FUK524344 GEG524344 GOC524344 GXY524344 HHU524344 HRQ524344 IBM524344 ILI524344 IVE524344 JFA524344 JOW524344 JYS524344 KIO524344 KSK524344 LCG524344 LMC524344 LVY524344 MFU524344 MPQ524344 MZM524344 NJI524344 NTE524344 ODA524344 OMW524344 OWS524344 PGO524344 PQK524344 QAG524344 QKC524344 QTY524344 RDU524344 RNQ524344 RXM524344 SHI524344 SRE524344 TBA524344 TKW524344 TUS524344 UEO524344 UOK524344 UYG524344 VIC524344 VRY524344 WBU524344 WLQ524344 WVM524344 E589880 JA589880 SW589880 ACS589880 AMO589880 AWK589880 BGG589880 BQC589880 BZY589880 CJU589880 CTQ589880 DDM589880 DNI589880 DXE589880 EHA589880 EQW589880 FAS589880 FKO589880 FUK589880 GEG589880 GOC589880 GXY589880 HHU589880 HRQ589880 IBM589880 ILI589880 IVE589880 JFA589880 JOW589880 JYS589880 KIO589880 KSK589880 LCG589880 LMC589880 LVY589880 MFU589880 MPQ589880 MZM589880 NJI589880 NTE589880 ODA589880 OMW589880 OWS589880 PGO589880 PQK589880 QAG589880 QKC589880 QTY589880 RDU589880 RNQ589880 RXM589880 SHI589880 SRE589880 TBA589880 TKW589880 TUS589880 UEO589880 UOK589880 UYG589880 VIC589880 VRY589880 WBU589880 WLQ589880 WVM589880 E655416 JA655416 SW655416 ACS655416 AMO655416 AWK655416 BGG655416 BQC655416 BZY655416 CJU655416 CTQ655416 DDM655416 DNI655416 DXE655416 EHA655416 EQW655416 FAS655416 FKO655416 FUK655416 GEG655416 GOC655416 GXY655416 HHU655416 HRQ655416 IBM655416 ILI655416 IVE655416 JFA655416 JOW655416 JYS655416 KIO655416 KSK655416 LCG655416 LMC655416 LVY655416 MFU655416 MPQ655416 MZM655416 NJI655416 NTE655416 ODA655416 OMW655416 OWS655416 PGO655416 PQK655416 QAG655416 QKC655416 QTY655416 RDU655416 RNQ655416 RXM655416 SHI655416 SRE655416 TBA655416 TKW655416 TUS655416 UEO655416 UOK655416 UYG655416 VIC655416 VRY655416 WBU655416 WLQ655416 WVM655416 E720952 JA720952 SW720952 ACS720952 AMO720952 AWK720952 BGG720952 BQC720952 BZY720952 CJU720952 CTQ720952 DDM720952 DNI720952 DXE720952 EHA720952 EQW720952 FAS720952 FKO720952 FUK720952 GEG720952 GOC720952 GXY720952 HHU720952 HRQ720952 IBM720952 ILI720952 IVE720952 JFA720952 JOW720952 JYS720952 KIO720952 KSK720952 LCG720952 LMC720952 LVY720952 MFU720952 MPQ720952 MZM720952 NJI720952 NTE720952 ODA720952 OMW720952 OWS720952 PGO720952 PQK720952 QAG720952 QKC720952 QTY720952 RDU720952 RNQ720952 RXM720952 SHI720952 SRE720952 TBA720952 TKW720952 TUS720952 UEO720952 UOK720952 UYG720952 VIC720952 VRY720952 WBU720952 WLQ720952 WVM720952 E786488 JA786488 SW786488 ACS786488 AMO786488 AWK786488 BGG786488 BQC786488 BZY786488 CJU786488 CTQ786488 DDM786488 DNI786488 DXE786488 EHA786488 EQW786488 FAS786488 FKO786488 FUK786488 GEG786488 GOC786488 GXY786488 HHU786488 HRQ786488 IBM786488 ILI786488 IVE786488 JFA786488 JOW786488 JYS786488 KIO786488 KSK786488 LCG786488 LMC786488 LVY786488 MFU786488 MPQ786488 MZM786488 NJI786488 NTE786488 ODA786488 OMW786488 OWS786488 PGO786488 PQK786488 QAG786488 QKC786488 QTY786488 RDU786488 RNQ786488 RXM786488 SHI786488 SRE786488 TBA786488 TKW786488 TUS786488 UEO786488 UOK786488 UYG786488 VIC786488 VRY786488 WBU786488 WLQ786488 WVM786488 E852024 JA852024 SW852024 ACS852024 AMO852024 AWK852024 BGG852024 BQC852024 BZY852024 CJU852024 CTQ852024 DDM852024 DNI852024 DXE852024 EHA852024 EQW852024 FAS852024 FKO852024 FUK852024 GEG852024 GOC852024 GXY852024 HHU852024 HRQ852024 IBM852024 ILI852024 IVE852024 JFA852024 JOW852024 JYS852024 KIO852024 KSK852024 LCG852024 LMC852024 LVY852024 MFU852024 MPQ852024 MZM852024 NJI852024 NTE852024 ODA852024 OMW852024 OWS852024 PGO852024 PQK852024 QAG852024 QKC852024 QTY852024 RDU852024 RNQ852024 RXM852024 SHI852024 SRE852024 TBA852024 TKW852024 TUS852024 UEO852024 UOK852024 UYG852024 VIC852024 VRY852024 WBU852024 WLQ852024 WVM852024 E917560 JA917560 SW917560 ACS917560 AMO917560 AWK917560 BGG917560 BQC917560 BZY917560 CJU917560 CTQ917560 DDM917560 DNI917560 DXE917560 EHA917560 EQW917560 FAS917560 FKO917560 FUK917560 GEG917560 GOC917560 GXY917560 HHU917560 HRQ917560 IBM917560 ILI917560 IVE917560 JFA917560 JOW917560 JYS917560 KIO917560 KSK917560 LCG917560 LMC917560 LVY917560 MFU917560 MPQ917560 MZM917560 NJI917560 NTE917560 ODA917560 OMW917560 OWS917560 PGO917560 PQK917560 QAG917560 QKC917560 QTY917560 RDU917560 RNQ917560 RXM917560 SHI917560 SRE917560 TBA917560 TKW917560 TUS917560 UEO917560 UOK917560 UYG917560 VIC917560 VRY917560 WBU917560 WLQ917560 WVM917560 E983096 JA983096 SW983096 ACS983096 AMO983096 AWK983096 BGG983096 BQC983096 BZY983096 CJU983096 CTQ983096 DDM983096 DNI983096 DXE983096 EHA983096 EQW983096 FAS983096 FKO983096 FUK983096 GEG983096 GOC983096 GXY983096 HHU983096 HRQ983096 IBM983096 ILI983096 IVE983096 JFA983096 JOW983096 JYS983096 KIO983096 KSK983096 LCG983096 LMC983096 LVY983096 MFU983096 MPQ983096 MZM983096 NJI983096 NTE983096 ODA983096 OMW983096 OWS983096 PGO983096 PQK983096 QAG983096 QKC983096 QTY983096 RDU983096 RNQ983096 RXM983096 SHI983096 SRE983096 TBA983096 TKW983096 TUS983096 UEO983096 UOK983096 UYG983096 VIC983096 VRY983096 WBU983096 WLQ983096 WVM983096 D53:D56 IZ53:IZ56 SV53:SV56 ACR53:ACR56 AMN53:AMN56 AWJ53:AWJ56 BGF53:BGF56 BQB53:BQB56 BZX53:BZX56 CJT53:CJT56 CTP53:CTP56 DDL53:DDL56 DNH53:DNH56 DXD53:DXD56 EGZ53:EGZ56 EQV53:EQV56 FAR53:FAR56 FKN53:FKN56 FUJ53:FUJ56 GEF53:GEF56 GOB53:GOB56 GXX53:GXX56 HHT53:HHT56 HRP53:HRP56 IBL53:IBL56 ILH53:ILH56 IVD53:IVD56 JEZ53:JEZ56 JOV53:JOV56 JYR53:JYR56 KIN53:KIN56 KSJ53:KSJ56 LCF53:LCF56 LMB53:LMB56 LVX53:LVX56 MFT53:MFT56 MPP53:MPP56 MZL53:MZL56 NJH53:NJH56 NTD53:NTD56 OCZ53:OCZ56 OMV53:OMV56 OWR53:OWR56 PGN53:PGN56 PQJ53:PQJ56 QAF53:QAF56 QKB53:QKB56 QTX53:QTX56 RDT53:RDT56 RNP53:RNP56 RXL53:RXL56 SHH53:SHH56 SRD53:SRD56 TAZ53:TAZ56 TKV53:TKV56 TUR53:TUR56 UEN53:UEN56 UOJ53:UOJ56 UYF53:UYF56 VIB53:VIB56 VRX53:VRX56 WBT53:WBT56 WLP53:WLP56 WVL53:WVL56 D65589:D65592 IZ65589:IZ65592 SV65589:SV65592 ACR65589:ACR65592 AMN65589:AMN65592 AWJ65589:AWJ65592 BGF65589:BGF65592 BQB65589:BQB65592 BZX65589:BZX65592 CJT65589:CJT65592 CTP65589:CTP65592 DDL65589:DDL65592 DNH65589:DNH65592 DXD65589:DXD65592 EGZ65589:EGZ65592 EQV65589:EQV65592 FAR65589:FAR65592 FKN65589:FKN65592 FUJ65589:FUJ65592 GEF65589:GEF65592 GOB65589:GOB65592 GXX65589:GXX65592 HHT65589:HHT65592 HRP65589:HRP65592 IBL65589:IBL65592 ILH65589:ILH65592 IVD65589:IVD65592 JEZ65589:JEZ65592 JOV65589:JOV65592 JYR65589:JYR65592 KIN65589:KIN65592 KSJ65589:KSJ65592 LCF65589:LCF65592 LMB65589:LMB65592 LVX65589:LVX65592 MFT65589:MFT65592 MPP65589:MPP65592 MZL65589:MZL65592 NJH65589:NJH65592 NTD65589:NTD65592 OCZ65589:OCZ65592 OMV65589:OMV65592 OWR65589:OWR65592 PGN65589:PGN65592 PQJ65589:PQJ65592 QAF65589:QAF65592 QKB65589:QKB65592 QTX65589:QTX65592 RDT65589:RDT65592 RNP65589:RNP65592 RXL65589:RXL65592 SHH65589:SHH65592 SRD65589:SRD65592 TAZ65589:TAZ65592 TKV65589:TKV65592 TUR65589:TUR65592 UEN65589:UEN65592 UOJ65589:UOJ65592 UYF65589:UYF65592 VIB65589:VIB65592 VRX65589:VRX65592 WBT65589:WBT65592 WLP65589:WLP65592 WVL65589:WVL65592 D131125:D131128 IZ131125:IZ131128 SV131125:SV131128 ACR131125:ACR131128 AMN131125:AMN131128 AWJ131125:AWJ131128 BGF131125:BGF131128 BQB131125:BQB131128 BZX131125:BZX131128 CJT131125:CJT131128 CTP131125:CTP131128 DDL131125:DDL131128 DNH131125:DNH131128 DXD131125:DXD131128 EGZ131125:EGZ131128 EQV131125:EQV131128 FAR131125:FAR131128 FKN131125:FKN131128 FUJ131125:FUJ131128 GEF131125:GEF131128 GOB131125:GOB131128 GXX131125:GXX131128 HHT131125:HHT131128 HRP131125:HRP131128 IBL131125:IBL131128 ILH131125:ILH131128 IVD131125:IVD131128 JEZ131125:JEZ131128 JOV131125:JOV131128 JYR131125:JYR131128 KIN131125:KIN131128 KSJ131125:KSJ131128 LCF131125:LCF131128 LMB131125:LMB131128 LVX131125:LVX131128 MFT131125:MFT131128 MPP131125:MPP131128 MZL131125:MZL131128 NJH131125:NJH131128 NTD131125:NTD131128 OCZ131125:OCZ131128 OMV131125:OMV131128 OWR131125:OWR131128 PGN131125:PGN131128 PQJ131125:PQJ131128 QAF131125:QAF131128 QKB131125:QKB131128 QTX131125:QTX131128 RDT131125:RDT131128 RNP131125:RNP131128 RXL131125:RXL131128 SHH131125:SHH131128 SRD131125:SRD131128 TAZ131125:TAZ131128 TKV131125:TKV131128 TUR131125:TUR131128 UEN131125:UEN131128 UOJ131125:UOJ131128 UYF131125:UYF131128 VIB131125:VIB131128 VRX131125:VRX131128 WBT131125:WBT131128 WLP131125:WLP131128 WVL131125:WVL131128 D196661:D196664 IZ196661:IZ196664 SV196661:SV196664 ACR196661:ACR196664 AMN196661:AMN196664 AWJ196661:AWJ196664 BGF196661:BGF196664 BQB196661:BQB196664 BZX196661:BZX196664 CJT196661:CJT196664 CTP196661:CTP196664 DDL196661:DDL196664 DNH196661:DNH196664 DXD196661:DXD196664 EGZ196661:EGZ196664 EQV196661:EQV196664 FAR196661:FAR196664 FKN196661:FKN196664 FUJ196661:FUJ196664 GEF196661:GEF196664 GOB196661:GOB196664 GXX196661:GXX196664 HHT196661:HHT196664 HRP196661:HRP196664 IBL196661:IBL196664 ILH196661:ILH196664 IVD196661:IVD196664 JEZ196661:JEZ196664 JOV196661:JOV196664 JYR196661:JYR196664 KIN196661:KIN196664 KSJ196661:KSJ196664 LCF196661:LCF196664 LMB196661:LMB196664 LVX196661:LVX196664 MFT196661:MFT196664 MPP196661:MPP196664 MZL196661:MZL196664 NJH196661:NJH196664 NTD196661:NTD196664 OCZ196661:OCZ196664 OMV196661:OMV196664 OWR196661:OWR196664 PGN196661:PGN196664 PQJ196661:PQJ196664 QAF196661:QAF196664 QKB196661:QKB196664 QTX196661:QTX196664 RDT196661:RDT196664 RNP196661:RNP196664 RXL196661:RXL196664 SHH196661:SHH196664 SRD196661:SRD196664 TAZ196661:TAZ196664 TKV196661:TKV196664 TUR196661:TUR196664 UEN196661:UEN196664 UOJ196661:UOJ196664 UYF196661:UYF196664 VIB196661:VIB196664 VRX196661:VRX196664 WBT196661:WBT196664 WLP196661:WLP196664 WVL196661:WVL196664 D262197:D262200 IZ262197:IZ262200 SV262197:SV262200 ACR262197:ACR262200 AMN262197:AMN262200 AWJ262197:AWJ262200 BGF262197:BGF262200 BQB262197:BQB262200 BZX262197:BZX262200 CJT262197:CJT262200 CTP262197:CTP262200 DDL262197:DDL262200 DNH262197:DNH262200 DXD262197:DXD262200 EGZ262197:EGZ262200 EQV262197:EQV262200 FAR262197:FAR262200 FKN262197:FKN262200 FUJ262197:FUJ262200 GEF262197:GEF262200 GOB262197:GOB262200 GXX262197:GXX262200 HHT262197:HHT262200 HRP262197:HRP262200 IBL262197:IBL262200 ILH262197:ILH262200 IVD262197:IVD262200 JEZ262197:JEZ262200 JOV262197:JOV262200 JYR262197:JYR262200 KIN262197:KIN262200 KSJ262197:KSJ262200 LCF262197:LCF262200 LMB262197:LMB262200 LVX262197:LVX262200 MFT262197:MFT262200 MPP262197:MPP262200 MZL262197:MZL262200 NJH262197:NJH262200 NTD262197:NTD262200 OCZ262197:OCZ262200 OMV262197:OMV262200 OWR262197:OWR262200 PGN262197:PGN262200 PQJ262197:PQJ262200 QAF262197:QAF262200 QKB262197:QKB262200 QTX262197:QTX262200 RDT262197:RDT262200 RNP262197:RNP262200 RXL262197:RXL262200 SHH262197:SHH262200 SRD262197:SRD262200 TAZ262197:TAZ262200 TKV262197:TKV262200 TUR262197:TUR262200 UEN262197:UEN262200 UOJ262197:UOJ262200 UYF262197:UYF262200 VIB262197:VIB262200 VRX262197:VRX262200 WBT262197:WBT262200 WLP262197:WLP262200 WVL262197:WVL262200 D327733:D327736 IZ327733:IZ327736 SV327733:SV327736 ACR327733:ACR327736 AMN327733:AMN327736 AWJ327733:AWJ327736 BGF327733:BGF327736 BQB327733:BQB327736 BZX327733:BZX327736 CJT327733:CJT327736 CTP327733:CTP327736 DDL327733:DDL327736 DNH327733:DNH327736 DXD327733:DXD327736 EGZ327733:EGZ327736 EQV327733:EQV327736 FAR327733:FAR327736 FKN327733:FKN327736 FUJ327733:FUJ327736 GEF327733:GEF327736 GOB327733:GOB327736 GXX327733:GXX327736 HHT327733:HHT327736 HRP327733:HRP327736 IBL327733:IBL327736 ILH327733:ILH327736 IVD327733:IVD327736 JEZ327733:JEZ327736 JOV327733:JOV327736 JYR327733:JYR327736 KIN327733:KIN327736 KSJ327733:KSJ327736 LCF327733:LCF327736 LMB327733:LMB327736 LVX327733:LVX327736 MFT327733:MFT327736 MPP327733:MPP327736 MZL327733:MZL327736 NJH327733:NJH327736 NTD327733:NTD327736 OCZ327733:OCZ327736 OMV327733:OMV327736 OWR327733:OWR327736 PGN327733:PGN327736 PQJ327733:PQJ327736 QAF327733:QAF327736 QKB327733:QKB327736 QTX327733:QTX327736 RDT327733:RDT327736 RNP327733:RNP327736 RXL327733:RXL327736 SHH327733:SHH327736 SRD327733:SRD327736 TAZ327733:TAZ327736 TKV327733:TKV327736 TUR327733:TUR327736 UEN327733:UEN327736 UOJ327733:UOJ327736 UYF327733:UYF327736 VIB327733:VIB327736 VRX327733:VRX327736 WBT327733:WBT327736 WLP327733:WLP327736 WVL327733:WVL327736 D393269:D393272 IZ393269:IZ393272 SV393269:SV393272 ACR393269:ACR393272 AMN393269:AMN393272 AWJ393269:AWJ393272 BGF393269:BGF393272 BQB393269:BQB393272 BZX393269:BZX393272 CJT393269:CJT393272 CTP393269:CTP393272 DDL393269:DDL393272 DNH393269:DNH393272 DXD393269:DXD393272 EGZ393269:EGZ393272 EQV393269:EQV393272 FAR393269:FAR393272 FKN393269:FKN393272 FUJ393269:FUJ393272 GEF393269:GEF393272 GOB393269:GOB393272 GXX393269:GXX393272 HHT393269:HHT393272 HRP393269:HRP393272 IBL393269:IBL393272 ILH393269:ILH393272 IVD393269:IVD393272 JEZ393269:JEZ393272 JOV393269:JOV393272 JYR393269:JYR393272 KIN393269:KIN393272 KSJ393269:KSJ393272 LCF393269:LCF393272 LMB393269:LMB393272 LVX393269:LVX393272 MFT393269:MFT393272 MPP393269:MPP393272 MZL393269:MZL393272 NJH393269:NJH393272 NTD393269:NTD393272 OCZ393269:OCZ393272 OMV393269:OMV393272 OWR393269:OWR393272 PGN393269:PGN393272 PQJ393269:PQJ393272 QAF393269:QAF393272 QKB393269:QKB393272 QTX393269:QTX393272 RDT393269:RDT393272 RNP393269:RNP393272 RXL393269:RXL393272 SHH393269:SHH393272 SRD393269:SRD393272 TAZ393269:TAZ393272 TKV393269:TKV393272 TUR393269:TUR393272 UEN393269:UEN393272 UOJ393269:UOJ393272 UYF393269:UYF393272 VIB393269:VIB393272 VRX393269:VRX393272 WBT393269:WBT393272 WLP393269:WLP393272 WVL393269:WVL393272 D458805:D458808 IZ458805:IZ458808 SV458805:SV458808 ACR458805:ACR458808 AMN458805:AMN458808 AWJ458805:AWJ458808 BGF458805:BGF458808 BQB458805:BQB458808 BZX458805:BZX458808 CJT458805:CJT458808 CTP458805:CTP458808 DDL458805:DDL458808 DNH458805:DNH458808 DXD458805:DXD458808 EGZ458805:EGZ458808 EQV458805:EQV458808 FAR458805:FAR458808 FKN458805:FKN458808 FUJ458805:FUJ458808 GEF458805:GEF458808 GOB458805:GOB458808 GXX458805:GXX458808 HHT458805:HHT458808 HRP458805:HRP458808 IBL458805:IBL458808 ILH458805:ILH458808 IVD458805:IVD458808 JEZ458805:JEZ458808 JOV458805:JOV458808 JYR458805:JYR458808 KIN458805:KIN458808 KSJ458805:KSJ458808 LCF458805:LCF458808 LMB458805:LMB458808 LVX458805:LVX458808 MFT458805:MFT458808 MPP458805:MPP458808 MZL458805:MZL458808 NJH458805:NJH458808 NTD458805:NTD458808 OCZ458805:OCZ458808 OMV458805:OMV458808 OWR458805:OWR458808 PGN458805:PGN458808 PQJ458805:PQJ458808 QAF458805:QAF458808 QKB458805:QKB458808 QTX458805:QTX458808 RDT458805:RDT458808 RNP458805:RNP458808 RXL458805:RXL458808 SHH458805:SHH458808 SRD458805:SRD458808 TAZ458805:TAZ458808 TKV458805:TKV458808 TUR458805:TUR458808 UEN458805:UEN458808 UOJ458805:UOJ458808 UYF458805:UYF458808 VIB458805:VIB458808 VRX458805:VRX458808 WBT458805:WBT458808 WLP458805:WLP458808 WVL458805:WVL458808 D524341:D524344 IZ524341:IZ524344 SV524341:SV524344 ACR524341:ACR524344 AMN524341:AMN524344 AWJ524341:AWJ524344 BGF524341:BGF524344 BQB524341:BQB524344 BZX524341:BZX524344 CJT524341:CJT524344 CTP524341:CTP524344 DDL524341:DDL524344 DNH524341:DNH524344 DXD524341:DXD524344 EGZ524341:EGZ524344 EQV524341:EQV524344 FAR524341:FAR524344 FKN524341:FKN524344 FUJ524341:FUJ524344 GEF524341:GEF524344 GOB524341:GOB524344 GXX524341:GXX524344 HHT524341:HHT524344 HRP524341:HRP524344 IBL524341:IBL524344 ILH524341:ILH524344 IVD524341:IVD524344 JEZ524341:JEZ524344 JOV524341:JOV524344 JYR524341:JYR524344 KIN524341:KIN524344 KSJ524341:KSJ524344 LCF524341:LCF524344 LMB524341:LMB524344 LVX524341:LVX524344 MFT524341:MFT524344 MPP524341:MPP524344 MZL524341:MZL524344 NJH524341:NJH524344 NTD524341:NTD524344 OCZ524341:OCZ524344 OMV524341:OMV524344 OWR524341:OWR524344 PGN524341:PGN524344 PQJ524341:PQJ524344 QAF524341:QAF524344 QKB524341:QKB524344 QTX524341:QTX524344 RDT524341:RDT524344 RNP524341:RNP524344 RXL524341:RXL524344 SHH524341:SHH524344 SRD524341:SRD524344 TAZ524341:TAZ524344 TKV524341:TKV524344 TUR524341:TUR524344 UEN524341:UEN524344 UOJ524341:UOJ524344 UYF524341:UYF524344 VIB524341:VIB524344 VRX524341:VRX524344 WBT524341:WBT524344 WLP524341:WLP524344 WVL524341:WVL524344 D589877:D589880 IZ589877:IZ589880 SV589877:SV589880 ACR589877:ACR589880 AMN589877:AMN589880 AWJ589877:AWJ589880 BGF589877:BGF589880 BQB589877:BQB589880 BZX589877:BZX589880 CJT589877:CJT589880 CTP589877:CTP589880 DDL589877:DDL589880 DNH589877:DNH589880 DXD589877:DXD589880 EGZ589877:EGZ589880 EQV589877:EQV589880 FAR589877:FAR589880 FKN589877:FKN589880 FUJ589877:FUJ589880 GEF589877:GEF589880 GOB589877:GOB589880 GXX589877:GXX589880 HHT589877:HHT589880 HRP589877:HRP589880 IBL589877:IBL589880 ILH589877:ILH589880 IVD589877:IVD589880 JEZ589877:JEZ589880 JOV589877:JOV589880 JYR589877:JYR589880 KIN589877:KIN589880 KSJ589877:KSJ589880 LCF589877:LCF589880 LMB589877:LMB589880 LVX589877:LVX589880 MFT589877:MFT589880 MPP589877:MPP589880 MZL589877:MZL589880 NJH589877:NJH589880 NTD589877:NTD589880 OCZ589877:OCZ589880 OMV589877:OMV589880 OWR589877:OWR589880 PGN589877:PGN589880 PQJ589877:PQJ589880 QAF589877:QAF589880 QKB589877:QKB589880 QTX589877:QTX589880 RDT589877:RDT589880 RNP589877:RNP589880 RXL589877:RXL589880 SHH589877:SHH589880 SRD589877:SRD589880 TAZ589877:TAZ589880 TKV589877:TKV589880 TUR589877:TUR589880 UEN589877:UEN589880 UOJ589877:UOJ589880 UYF589877:UYF589880 VIB589877:VIB589880 VRX589877:VRX589880 WBT589877:WBT589880 WLP589877:WLP589880 WVL589877:WVL589880 D655413:D655416 IZ655413:IZ655416 SV655413:SV655416 ACR655413:ACR655416 AMN655413:AMN655416 AWJ655413:AWJ655416 BGF655413:BGF655416 BQB655413:BQB655416 BZX655413:BZX655416 CJT655413:CJT655416 CTP655413:CTP655416 DDL655413:DDL655416 DNH655413:DNH655416 DXD655413:DXD655416 EGZ655413:EGZ655416 EQV655413:EQV655416 FAR655413:FAR655416 FKN655413:FKN655416 FUJ655413:FUJ655416 GEF655413:GEF655416 GOB655413:GOB655416 GXX655413:GXX655416 HHT655413:HHT655416 HRP655413:HRP655416 IBL655413:IBL655416 ILH655413:ILH655416 IVD655413:IVD655416 JEZ655413:JEZ655416 JOV655413:JOV655416 JYR655413:JYR655416 KIN655413:KIN655416 KSJ655413:KSJ655416 LCF655413:LCF655416 LMB655413:LMB655416 LVX655413:LVX655416 MFT655413:MFT655416 MPP655413:MPP655416 MZL655413:MZL655416 NJH655413:NJH655416 NTD655413:NTD655416 OCZ655413:OCZ655416 OMV655413:OMV655416 OWR655413:OWR655416 PGN655413:PGN655416 PQJ655413:PQJ655416 QAF655413:QAF655416 QKB655413:QKB655416 QTX655413:QTX655416 RDT655413:RDT655416 RNP655413:RNP655416 RXL655413:RXL655416 SHH655413:SHH655416 SRD655413:SRD655416 TAZ655413:TAZ655416 TKV655413:TKV655416 TUR655413:TUR655416 UEN655413:UEN655416 UOJ655413:UOJ655416 UYF655413:UYF655416 VIB655413:VIB655416 VRX655413:VRX655416 WBT655413:WBT655416 WLP655413:WLP655416 WVL655413:WVL655416 D720949:D720952 IZ720949:IZ720952 SV720949:SV720952 ACR720949:ACR720952 AMN720949:AMN720952 AWJ720949:AWJ720952 BGF720949:BGF720952 BQB720949:BQB720952 BZX720949:BZX720952 CJT720949:CJT720952 CTP720949:CTP720952 DDL720949:DDL720952 DNH720949:DNH720952 DXD720949:DXD720952 EGZ720949:EGZ720952 EQV720949:EQV720952 FAR720949:FAR720952 FKN720949:FKN720952 FUJ720949:FUJ720952 GEF720949:GEF720952 GOB720949:GOB720952 GXX720949:GXX720952 HHT720949:HHT720952 HRP720949:HRP720952 IBL720949:IBL720952 ILH720949:ILH720952 IVD720949:IVD720952 JEZ720949:JEZ720952 JOV720949:JOV720952 JYR720949:JYR720952 KIN720949:KIN720952 KSJ720949:KSJ720952 LCF720949:LCF720952 LMB720949:LMB720952 LVX720949:LVX720952 MFT720949:MFT720952 MPP720949:MPP720952 MZL720949:MZL720952 NJH720949:NJH720952 NTD720949:NTD720952 OCZ720949:OCZ720952 OMV720949:OMV720952 OWR720949:OWR720952 PGN720949:PGN720952 PQJ720949:PQJ720952 QAF720949:QAF720952 QKB720949:QKB720952 QTX720949:QTX720952 RDT720949:RDT720952 RNP720949:RNP720952 RXL720949:RXL720952 SHH720949:SHH720952 SRD720949:SRD720952 TAZ720949:TAZ720952 TKV720949:TKV720952 TUR720949:TUR720952 UEN720949:UEN720952 UOJ720949:UOJ720952 UYF720949:UYF720952 VIB720949:VIB720952 VRX720949:VRX720952 WBT720949:WBT720952 WLP720949:WLP720952 WVL720949:WVL720952 D786485:D786488 IZ786485:IZ786488 SV786485:SV786488 ACR786485:ACR786488 AMN786485:AMN786488 AWJ786485:AWJ786488 BGF786485:BGF786488 BQB786485:BQB786488 BZX786485:BZX786488 CJT786485:CJT786488 CTP786485:CTP786488 DDL786485:DDL786488 DNH786485:DNH786488 DXD786485:DXD786488 EGZ786485:EGZ786488 EQV786485:EQV786488 FAR786485:FAR786488 FKN786485:FKN786488 FUJ786485:FUJ786488 GEF786485:GEF786488 GOB786485:GOB786488 GXX786485:GXX786488 HHT786485:HHT786488 HRP786485:HRP786488 IBL786485:IBL786488 ILH786485:ILH786488 IVD786485:IVD786488 JEZ786485:JEZ786488 JOV786485:JOV786488 JYR786485:JYR786488 KIN786485:KIN786488 KSJ786485:KSJ786488 LCF786485:LCF786488 LMB786485:LMB786488 LVX786485:LVX786488 MFT786485:MFT786488 MPP786485:MPP786488 MZL786485:MZL786488 NJH786485:NJH786488 NTD786485:NTD786488 OCZ786485:OCZ786488 OMV786485:OMV786488 OWR786485:OWR786488 PGN786485:PGN786488 PQJ786485:PQJ786488 QAF786485:QAF786488 QKB786485:QKB786488 QTX786485:QTX786488 RDT786485:RDT786488 RNP786485:RNP786488 RXL786485:RXL786488 SHH786485:SHH786488 SRD786485:SRD786488 TAZ786485:TAZ786488 TKV786485:TKV786488 TUR786485:TUR786488 UEN786485:UEN786488 UOJ786485:UOJ786488 UYF786485:UYF786488 VIB786485:VIB786488 VRX786485:VRX786488 WBT786485:WBT786488 WLP786485:WLP786488 WVL786485:WVL786488 D852021:D852024 IZ852021:IZ852024 SV852021:SV852024 ACR852021:ACR852024 AMN852021:AMN852024 AWJ852021:AWJ852024 BGF852021:BGF852024 BQB852021:BQB852024 BZX852021:BZX852024 CJT852021:CJT852024 CTP852021:CTP852024 DDL852021:DDL852024 DNH852021:DNH852024 DXD852021:DXD852024 EGZ852021:EGZ852024 EQV852021:EQV852024 FAR852021:FAR852024 FKN852021:FKN852024 FUJ852021:FUJ852024 GEF852021:GEF852024 GOB852021:GOB852024 GXX852021:GXX852024 HHT852021:HHT852024 HRP852021:HRP852024 IBL852021:IBL852024 ILH852021:ILH852024 IVD852021:IVD852024 JEZ852021:JEZ852024 JOV852021:JOV852024 JYR852021:JYR852024 KIN852021:KIN852024 KSJ852021:KSJ852024 LCF852021:LCF852024 LMB852021:LMB852024 LVX852021:LVX852024 MFT852021:MFT852024 MPP852021:MPP852024 MZL852021:MZL852024 NJH852021:NJH852024 NTD852021:NTD852024 OCZ852021:OCZ852024 OMV852021:OMV852024 OWR852021:OWR852024 PGN852021:PGN852024 PQJ852021:PQJ852024 QAF852021:QAF852024 QKB852021:QKB852024 QTX852021:QTX852024 RDT852021:RDT852024 RNP852021:RNP852024 RXL852021:RXL852024 SHH852021:SHH852024 SRD852021:SRD852024 TAZ852021:TAZ852024 TKV852021:TKV852024 TUR852021:TUR852024 UEN852021:UEN852024 UOJ852021:UOJ852024 UYF852021:UYF852024 VIB852021:VIB852024 VRX852021:VRX852024 WBT852021:WBT852024 WLP852021:WLP852024 WVL852021:WVL852024 D917557:D917560 IZ917557:IZ917560 SV917557:SV917560 ACR917557:ACR917560 AMN917557:AMN917560 AWJ917557:AWJ917560 BGF917557:BGF917560 BQB917557:BQB917560 BZX917557:BZX917560 CJT917557:CJT917560 CTP917557:CTP917560 DDL917557:DDL917560 DNH917557:DNH917560 DXD917557:DXD917560 EGZ917557:EGZ917560 EQV917557:EQV917560 FAR917557:FAR917560 FKN917557:FKN917560 FUJ917557:FUJ917560 GEF917557:GEF917560 GOB917557:GOB917560 GXX917557:GXX917560 HHT917557:HHT917560 HRP917557:HRP917560 IBL917557:IBL917560 ILH917557:ILH917560 IVD917557:IVD917560 JEZ917557:JEZ917560 JOV917557:JOV917560 JYR917557:JYR917560 KIN917557:KIN917560 KSJ917557:KSJ917560 LCF917557:LCF917560 LMB917557:LMB917560 LVX917557:LVX917560 MFT917557:MFT917560 MPP917557:MPP917560 MZL917557:MZL917560 NJH917557:NJH917560 NTD917557:NTD917560 OCZ917557:OCZ917560 OMV917557:OMV917560 OWR917557:OWR917560 PGN917557:PGN917560 PQJ917557:PQJ917560 QAF917557:QAF917560 QKB917557:QKB917560 QTX917557:QTX917560 RDT917557:RDT917560 RNP917557:RNP917560 RXL917557:RXL917560 SHH917557:SHH917560 SRD917557:SRD917560 TAZ917557:TAZ917560 TKV917557:TKV917560 TUR917557:TUR917560 UEN917557:UEN917560 UOJ917557:UOJ917560 UYF917557:UYF917560 VIB917557:VIB917560 VRX917557:VRX917560 WBT917557:WBT917560 WLP917557:WLP917560 WVL917557:WVL917560 D983093:D983096 IZ983093:IZ983096 SV983093:SV983096 ACR983093:ACR983096 AMN983093:AMN983096 AWJ983093:AWJ983096 BGF983093:BGF983096 BQB983093:BQB983096 BZX983093:BZX983096 CJT983093:CJT983096 CTP983093:CTP983096 DDL983093:DDL983096 DNH983093:DNH983096 DXD983093:DXD983096 EGZ983093:EGZ983096 EQV983093:EQV983096 FAR983093:FAR983096 FKN983093:FKN983096 FUJ983093:FUJ983096 GEF983093:GEF983096 GOB983093:GOB983096 GXX983093:GXX983096 HHT983093:HHT983096 HRP983093:HRP983096 IBL983093:IBL983096 ILH983093:ILH983096 IVD983093:IVD983096 JEZ983093:JEZ983096 JOV983093:JOV983096 JYR983093:JYR983096 KIN983093:KIN983096 KSJ983093:KSJ983096 LCF983093:LCF983096 LMB983093:LMB983096 LVX983093:LVX983096 MFT983093:MFT983096 MPP983093:MPP983096 MZL983093:MZL983096 NJH983093:NJH983096 NTD983093:NTD983096 OCZ983093:OCZ983096 OMV983093:OMV983096 OWR983093:OWR983096 PGN983093:PGN983096 PQJ983093:PQJ983096 QAF983093:QAF983096 QKB983093:QKB983096 QTX983093:QTX983096 RDT983093:RDT983096 RNP983093:RNP983096 RXL983093:RXL983096 SHH983093:SHH983096 SRD983093:SRD983096 TAZ983093:TAZ983096 TKV983093:TKV983096 TUR983093:TUR983096 UEN983093:UEN983096 UOJ983093:UOJ983096 UYF983093:UYF983096 VIB983093:VIB983096 VRX983093:VRX983096 WBT983093:WBT983096 WLP983093:WLP983096 WVL983093:WVL983096" xr:uid="{561FFE19-8464-44C3-9C4E-069593DECD95}">
      <formula1>"Yes,No"</formula1>
    </dataValidation>
  </dataValidations>
  <pageMargins left="0.7" right="0.7" top="0.75" bottom="0.75" header="0.3" footer="0.3"/>
  <pageSetup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A321627338508478443B02EC52A1E0C" ma:contentTypeVersion="6" ma:contentTypeDescription="Create a new document." ma:contentTypeScope="" ma:versionID="9ab3d4321988deaefbfb4797038f3c04">
  <xsd:schema xmlns:xsd="http://www.w3.org/2001/XMLSchema" xmlns:xs="http://www.w3.org/2001/XMLSchema" xmlns:p="http://schemas.microsoft.com/office/2006/metadata/properties" xmlns:ns2="55d38afc-b01b-47ae-944e-816424b2af4f" xmlns:ns3="b4fc53ee-9209-4627-90f7-b85cf175e43c" targetNamespace="http://schemas.microsoft.com/office/2006/metadata/properties" ma:root="true" ma:fieldsID="3b141081807cdcd9ec0020d05d18ca1c" ns2:_="" ns3:_="">
    <xsd:import namespace="55d38afc-b01b-47ae-944e-816424b2af4f"/>
    <xsd:import namespace="b4fc53ee-9209-4627-90f7-b85cf175e43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d38afc-b01b-47ae-944e-816424b2af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4fc53ee-9209-4627-90f7-b85cf175e43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4119E998-6748-4DB0-8832-5C5CEE129B6E}">
  <ds:schemaRefs>
    <ds:schemaRef ds:uri="b4fc53ee-9209-4627-90f7-b85cf175e43c"/>
    <ds:schemaRef ds:uri="http://purl.org/dc/terms/"/>
    <ds:schemaRef ds:uri="55d38afc-b01b-47ae-944e-816424b2af4f"/>
    <ds:schemaRef ds:uri="http://www.w3.org/XML/1998/namespace"/>
    <ds:schemaRef ds:uri="http://purl.org/dc/elements/1.1/"/>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http://purl.org/dc/dcmitype/"/>
  </ds:schemaRefs>
</ds:datastoreItem>
</file>

<file path=customXml/itemProps2.xml><?xml version="1.0" encoding="utf-8"?>
<ds:datastoreItem xmlns:ds="http://schemas.openxmlformats.org/officeDocument/2006/customXml" ds:itemID="{6E662E7E-C42D-45B9-8FBC-10B1A7052F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5d38afc-b01b-47ae-944e-816424b2af4f"/>
    <ds:schemaRef ds:uri="b4fc53ee-9209-4627-90f7-b85cf175e4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6C638B-6375-4044-968C-EB300CD3ABD9}">
  <ds:schemaRefs>
    <ds:schemaRef ds:uri="http://schemas.microsoft.com/sharepoint/v3/contenttype/forms"/>
  </ds:schemaRefs>
</ds:datastoreItem>
</file>

<file path=customXml/itemProps4.xml><?xml version="1.0" encoding="utf-8"?>
<ds:datastoreItem xmlns:ds="http://schemas.openxmlformats.org/officeDocument/2006/customXml" ds:itemID="{AE60DE6D-697E-49C0-B432-78DF9D6B2CBA}">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23</vt:i4>
      </vt:variant>
    </vt:vector>
  </HeadingPairs>
  <TitlesOfParts>
    <vt:vector size="41" baseType="lpstr">
      <vt:lpstr>MetricsDefinition (2)</vt:lpstr>
      <vt:lpstr>KPI Plan</vt:lpstr>
      <vt:lpstr>EnablerPlan</vt:lpstr>
      <vt:lpstr>KPI Measures-DataEntry</vt:lpstr>
      <vt:lpstr>KPI Tracker</vt:lpstr>
      <vt:lpstr>RAG-Calculation-Logic</vt:lpstr>
      <vt:lpstr>MeasureList</vt:lpstr>
      <vt:lpstr>DynamicLists</vt:lpstr>
      <vt:lpstr>PivotTable-KPI Summary</vt:lpstr>
      <vt:lpstr>MetricsDefinition</vt:lpstr>
      <vt:lpstr>Instructions</vt:lpstr>
      <vt:lpstr>Doc. Info</vt:lpstr>
      <vt:lpstr>MetricToMeasureMapping</vt:lpstr>
      <vt:lpstr>Template Revision History</vt:lpstr>
      <vt:lpstr>ObjChartData</vt:lpstr>
      <vt:lpstr>ObjectivesFlowDiagram</vt:lpstr>
      <vt:lpstr>ListMaster</vt:lpstr>
      <vt:lpstr>KPI Plan&amp;EnablerPlan-Sample</vt:lpstr>
      <vt:lpstr>Business_Objective</vt:lpstr>
      <vt:lpstr>Business_Strartegy</vt:lpstr>
      <vt:lpstr>Delivery_Process_Model</vt:lpstr>
      <vt:lpstr>DistinctMetricCategory</vt:lpstr>
      <vt:lpstr>Frequency</vt:lpstr>
      <vt:lpstr>Location</vt:lpstr>
      <vt:lpstr>Location_Type</vt:lpstr>
      <vt:lpstr>Metric_Category</vt:lpstr>
      <vt:lpstr>Metric_Intent</vt:lpstr>
      <vt:lpstr>Metric_Type</vt:lpstr>
      <vt:lpstr>Performance_Level</vt:lpstr>
      <vt:lpstr>'PivotTable-KPI Summary'!Print_Titles</vt:lpstr>
      <vt:lpstr>Process_Objective</vt:lpstr>
      <vt:lpstr>Process_Objective_Metrics</vt:lpstr>
      <vt:lpstr>Project_Category</vt:lpstr>
      <vt:lpstr>Project_Status</vt:lpstr>
      <vt:lpstr>Project_Type</vt:lpstr>
      <vt:lpstr>RationaleHigherLevelObjective</vt:lpstr>
      <vt:lpstr>Service_Line</vt:lpstr>
      <vt:lpstr>Size</vt:lpstr>
      <vt:lpstr>Sub_process_Objective</vt:lpstr>
      <vt:lpstr>Technology</vt:lpstr>
      <vt:lpstr>Vertical</vt:lpstr>
    </vt:vector>
  </TitlesOfParts>
  <Manager/>
  <Company>SSL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sivanantham.m</dc:creator>
  <cp:keywords/>
  <dc:description/>
  <cp:lastModifiedBy>Parvathi V.</cp:lastModifiedBy>
  <cp:revision/>
  <dcterms:created xsi:type="dcterms:W3CDTF">2011-05-25T05:23:31Z</dcterms:created>
  <dcterms:modified xsi:type="dcterms:W3CDTF">2026-06-01T10:39:29Z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0x0101008A321627338508478443B02EC52A1E0C</vt:lpwstr>
  </property>
  <property fmtid="{D5CDD505-2E9C-101B-9397-08002B2CF9AE}" pid="3" name="WorkbookGuid">
    <vt:lpwstr>95d1fb52-cc46-4453-955a-76e1bebd90ce</vt:lpwstr>
  </property>
  <property fmtid="{D5CDD505-2E9C-101B-9397-08002B2CF9AE}" pid="4" name="MediaServiceImageTags">
    <vt:lpwstr/>
  </property>
  <property fmtid="{D5CDD505-2E9C-101B-9397-08002B2CF9AE}" pid="5" name="Order">
    <vt:r8>3029800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TriggerFlowInfo">
    <vt:lpwstr/>
  </property>
  <property fmtid="{D5CDD505-2E9C-101B-9397-08002B2CF9AE}" pid="10" name="ComplianceAssetId">
    <vt:lpwstr/>
  </property>
  <property fmtid="{D5CDD505-2E9C-101B-9397-08002B2CF9AE}" pid="11" name="TemplateUrl">
    <vt:lpwstr/>
  </property>
</Properties>
</file>